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nehorman/Desktop/SCD Paper/"/>
    </mc:Choice>
  </mc:AlternateContent>
  <xr:revisionPtr revIDLastSave="0" documentId="13_ncr:1_{C59F78B2-5327-A14A-8413-010D442E5C0B}" xr6:coauthVersionLast="36" xr6:coauthVersionMax="36" xr10:uidLastSave="{00000000-0000-0000-0000-000000000000}"/>
  <bookViews>
    <workbookView xWindow="640" yWindow="580" windowWidth="27380" windowHeight="16180" activeTab="5" xr2:uid="{00000000-000D-0000-FFFF-FFFF00000000}"/>
  </bookViews>
  <sheets>
    <sheet name="10 uM plates-9" sheetId="1" r:id="rId1"/>
    <sheet name="10 and 1 uM combined" sheetId="5" r:id="rId2"/>
    <sheet name="1 um pates-10" sheetId="3" r:id="rId3"/>
    <sheet name="Hits from 56 plate" sheetId="2" r:id="rId4"/>
    <sheet name="experiement design (96-well (2)" sheetId="10" r:id="rId5"/>
    <sheet name="Fig 4C Raw Data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54" i="10" l="1"/>
  <c r="AM44" i="10"/>
  <c r="AM53" i="10"/>
  <c r="AM43" i="10"/>
  <c r="AH47" i="10"/>
  <c r="AH48" i="10"/>
  <c r="AH57" i="10"/>
  <c r="AN48" i="10"/>
  <c r="AM51" i="10"/>
  <c r="AM41" i="10"/>
  <c r="AM55" i="10"/>
  <c r="AM45" i="10"/>
  <c r="AH54" i="10"/>
  <c r="AH42" i="10"/>
  <c r="W60" i="10"/>
  <c r="AI51" i="10"/>
  <c r="AH51" i="10"/>
  <c r="AH41" i="10"/>
  <c r="I13" i="9"/>
  <c r="I14" i="9"/>
  <c r="I15" i="9"/>
  <c r="I7" i="9"/>
  <c r="I9" i="9"/>
  <c r="I4" i="9"/>
  <c r="I3" i="9"/>
  <c r="I11" i="9"/>
  <c r="H25" i="9"/>
  <c r="H24" i="9"/>
  <c r="I6" i="9"/>
  <c r="H22" i="9"/>
  <c r="H21" i="9"/>
  <c r="AQ51" i="10"/>
  <c r="AQ52" i="10"/>
  <c r="AQ53" i="10"/>
  <c r="AQ54" i="10"/>
  <c r="AQ55" i="10"/>
  <c r="AQ56" i="10"/>
  <c r="AQ57" i="10"/>
  <c r="AQ58" i="10"/>
  <c r="AQ41" i="10"/>
  <c r="AQ42" i="10"/>
  <c r="AQ43" i="10"/>
  <c r="AQ44" i="10"/>
  <c r="AQ45" i="10"/>
  <c r="AQ46" i="10"/>
  <c r="AQ47" i="10"/>
  <c r="AQ48" i="10"/>
  <c r="AJ51" i="10"/>
  <c r="AK51" i="10"/>
  <c r="AL51" i="10"/>
  <c r="AN51" i="10"/>
  <c r="AO51" i="10"/>
  <c r="AP51" i="10"/>
  <c r="AI52" i="10"/>
  <c r="AJ52" i="10"/>
  <c r="AK52" i="10"/>
  <c r="AL52" i="10"/>
  <c r="AM52" i="10"/>
  <c r="AN52" i="10"/>
  <c r="AO52" i="10"/>
  <c r="AP52" i="10"/>
  <c r="AI53" i="10"/>
  <c r="AJ53" i="10"/>
  <c r="AK53" i="10"/>
  <c r="AL53" i="10"/>
  <c r="AN53" i="10"/>
  <c r="AO53" i="10"/>
  <c r="AP53" i="10"/>
  <c r="AI54" i="10"/>
  <c r="AJ54" i="10"/>
  <c r="AK54" i="10"/>
  <c r="AL54" i="10"/>
  <c r="AN54" i="10"/>
  <c r="AO54" i="10"/>
  <c r="AP54" i="10"/>
  <c r="AI55" i="10"/>
  <c r="AJ55" i="10"/>
  <c r="AK55" i="10"/>
  <c r="AL55" i="10"/>
  <c r="AN55" i="10"/>
  <c r="AO55" i="10"/>
  <c r="AP55" i="10"/>
  <c r="AI56" i="10"/>
  <c r="AJ56" i="10"/>
  <c r="AK56" i="10"/>
  <c r="AL56" i="10"/>
  <c r="AM56" i="10"/>
  <c r="AN56" i="10"/>
  <c r="AO56" i="10"/>
  <c r="AP56" i="10"/>
  <c r="AI57" i="10"/>
  <c r="AJ57" i="10"/>
  <c r="AK57" i="10"/>
  <c r="AL57" i="10"/>
  <c r="AM57" i="10"/>
  <c r="AN57" i="10"/>
  <c r="AO57" i="10"/>
  <c r="AP57" i="10"/>
  <c r="AI58" i="10"/>
  <c r="AJ58" i="10"/>
  <c r="AK58" i="10"/>
  <c r="AL58" i="10"/>
  <c r="AM58" i="10"/>
  <c r="AN58" i="10"/>
  <c r="AO58" i="10"/>
  <c r="AP58" i="10"/>
  <c r="AH52" i="10"/>
  <c r="AH53" i="10"/>
  <c r="AH55" i="10"/>
  <c r="AH56" i="10"/>
  <c r="AH58" i="10"/>
  <c r="AI41" i="10"/>
  <c r="AJ41" i="10"/>
  <c r="AK41" i="10"/>
  <c r="AL41" i="10"/>
  <c r="AN41" i="10"/>
  <c r="AO41" i="10"/>
  <c r="AP41" i="10"/>
  <c r="AI42" i="10"/>
  <c r="AJ42" i="10"/>
  <c r="AK42" i="10"/>
  <c r="AL42" i="10"/>
  <c r="AM42" i="10"/>
  <c r="AN42" i="10"/>
  <c r="AO42" i="10"/>
  <c r="AP42" i="10"/>
  <c r="AI43" i="10"/>
  <c r="AJ43" i="10"/>
  <c r="AK43" i="10"/>
  <c r="AL43" i="10"/>
  <c r="AN43" i="10"/>
  <c r="AO43" i="10"/>
  <c r="AP43" i="10"/>
  <c r="AI44" i="10"/>
  <c r="AJ44" i="10"/>
  <c r="AK44" i="10"/>
  <c r="AL44" i="10"/>
  <c r="AN44" i="10"/>
  <c r="AO44" i="10"/>
  <c r="AP44" i="10"/>
  <c r="AI45" i="10"/>
  <c r="AJ45" i="10"/>
  <c r="AK45" i="10"/>
  <c r="AL45" i="10"/>
  <c r="AN45" i="10"/>
  <c r="AO45" i="10"/>
  <c r="AP45" i="10"/>
  <c r="AI46" i="10"/>
  <c r="AJ46" i="10"/>
  <c r="AK46" i="10"/>
  <c r="AL46" i="10"/>
  <c r="AM46" i="10"/>
  <c r="AN46" i="10"/>
  <c r="AO46" i="10"/>
  <c r="AP46" i="10"/>
  <c r="AI47" i="10"/>
  <c r="AJ47" i="10"/>
  <c r="AK47" i="10"/>
  <c r="AL47" i="10"/>
  <c r="AM47" i="10"/>
  <c r="AN47" i="10"/>
  <c r="AO47" i="10"/>
  <c r="AP47" i="10"/>
  <c r="AI48" i="10"/>
  <c r="AJ48" i="10"/>
  <c r="AK48" i="10"/>
  <c r="AL48" i="10"/>
  <c r="AM48" i="10"/>
  <c r="AO48" i="10"/>
  <c r="AP48" i="10"/>
  <c r="AH43" i="10"/>
  <c r="AH44" i="10"/>
  <c r="AH45" i="10"/>
  <c r="AH46" i="10"/>
  <c r="X69" i="10"/>
  <c r="Y69" i="10"/>
  <c r="Z69" i="10"/>
  <c r="AA69" i="10"/>
  <c r="AB69" i="10"/>
  <c r="AC69" i="10"/>
  <c r="AD69" i="10"/>
  <c r="AE69" i="10"/>
  <c r="AF69" i="10"/>
  <c r="X70" i="10"/>
  <c r="Y70" i="10"/>
  <c r="Z70" i="10"/>
  <c r="AA70" i="10"/>
  <c r="AB70" i="10"/>
  <c r="AC70" i="10"/>
  <c r="AD70" i="10"/>
  <c r="AE70" i="10"/>
  <c r="AF70" i="10"/>
  <c r="X71" i="10"/>
  <c r="Y71" i="10"/>
  <c r="Z71" i="10"/>
  <c r="AA71" i="10"/>
  <c r="AB71" i="10"/>
  <c r="AC71" i="10"/>
  <c r="AD71" i="10"/>
  <c r="AE71" i="10"/>
  <c r="AF71" i="10"/>
  <c r="X72" i="10"/>
  <c r="Y72" i="10"/>
  <c r="Z72" i="10"/>
  <c r="AA72" i="10"/>
  <c r="AB72" i="10"/>
  <c r="AC72" i="10"/>
  <c r="AD72" i="10"/>
  <c r="AE72" i="10"/>
  <c r="AF72" i="10"/>
  <c r="X73" i="10"/>
  <c r="Y73" i="10"/>
  <c r="Z73" i="10"/>
  <c r="AA73" i="10"/>
  <c r="AB73" i="10"/>
  <c r="AC73" i="10"/>
  <c r="AD73" i="10"/>
  <c r="AE73" i="10"/>
  <c r="AF73" i="10"/>
  <c r="X74" i="10"/>
  <c r="Y74" i="10"/>
  <c r="Z74" i="10"/>
  <c r="AA74" i="10"/>
  <c r="AB74" i="10"/>
  <c r="AC74" i="10"/>
  <c r="AD74" i="10"/>
  <c r="AE74" i="10"/>
  <c r="AF74" i="10"/>
  <c r="X75" i="10"/>
  <c r="Y75" i="10"/>
  <c r="Z75" i="10"/>
  <c r="AA75" i="10"/>
  <c r="AB75" i="10"/>
  <c r="AC75" i="10"/>
  <c r="AD75" i="10"/>
  <c r="AE75" i="10"/>
  <c r="AF75" i="10"/>
  <c r="X76" i="10"/>
  <c r="Y76" i="10"/>
  <c r="Z76" i="10"/>
  <c r="AA76" i="10"/>
  <c r="AB76" i="10"/>
  <c r="AC76" i="10"/>
  <c r="AD76" i="10"/>
  <c r="AE76" i="10"/>
  <c r="AF76" i="10"/>
  <c r="W70" i="10"/>
  <c r="W71" i="10"/>
  <c r="W72" i="10"/>
  <c r="W73" i="10"/>
  <c r="W74" i="10"/>
  <c r="W75" i="10"/>
  <c r="W76" i="10"/>
  <c r="W69" i="10"/>
  <c r="X60" i="10"/>
  <c r="Y60" i="10"/>
  <c r="Z60" i="10"/>
  <c r="AA60" i="10"/>
  <c r="AB60" i="10"/>
  <c r="AC60" i="10"/>
  <c r="AD60" i="10"/>
  <c r="AE60" i="10"/>
  <c r="AF60" i="10"/>
  <c r="X61" i="10"/>
  <c r="Y61" i="10"/>
  <c r="Z61" i="10"/>
  <c r="AA61" i="10"/>
  <c r="AB61" i="10"/>
  <c r="AC61" i="10"/>
  <c r="AD61" i="10"/>
  <c r="AE61" i="10"/>
  <c r="AF61" i="10"/>
  <c r="X62" i="10"/>
  <c r="Y62" i="10"/>
  <c r="Z62" i="10"/>
  <c r="AA62" i="10"/>
  <c r="AB62" i="10"/>
  <c r="AC62" i="10"/>
  <c r="AD62" i="10"/>
  <c r="AE62" i="10"/>
  <c r="AF62" i="10"/>
  <c r="X63" i="10"/>
  <c r="Y63" i="10"/>
  <c r="Z63" i="10"/>
  <c r="AA63" i="10"/>
  <c r="AB63" i="10"/>
  <c r="AC63" i="10"/>
  <c r="AD63" i="10"/>
  <c r="AE63" i="10"/>
  <c r="AF63" i="10"/>
  <c r="X64" i="10"/>
  <c r="Y64" i="10"/>
  <c r="Z64" i="10"/>
  <c r="AA64" i="10"/>
  <c r="AB64" i="10"/>
  <c r="AC64" i="10"/>
  <c r="AD64" i="10"/>
  <c r="AE64" i="10"/>
  <c r="AF64" i="10"/>
  <c r="X65" i="10"/>
  <c r="Y65" i="10"/>
  <c r="Z65" i="10"/>
  <c r="AA65" i="10"/>
  <c r="AB65" i="10"/>
  <c r="AC65" i="10"/>
  <c r="AD65" i="10"/>
  <c r="AE65" i="10"/>
  <c r="AF65" i="10"/>
  <c r="X66" i="10"/>
  <c r="Y66" i="10"/>
  <c r="Z66" i="10"/>
  <c r="AA66" i="10"/>
  <c r="AB66" i="10"/>
  <c r="AC66" i="10"/>
  <c r="AD66" i="10"/>
  <c r="AE66" i="10"/>
  <c r="AF66" i="10"/>
  <c r="X67" i="10"/>
  <c r="Y67" i="10"/>
  <c r="Z67" i="10"/>
  <c r="AA67" i="10"/>
  <c r="AB67" i="10"/>
  <c r="AC67" i="10"/>
  <c r="AD67" i="10"/>
  <c r="AE67" i="10"/>
  <c r="AF67" i="10"/>
  <c r="W61" i="10"/>
  <c r="W62" i="10"/>
  <c r="W63" i="10"/>
  <c r="W64" i="10"/>
  <c r="W65" i="10"/>
  <c r="W66" i="10"/>
  <c r="W67" i="10"/>
  <c r="S77" i="10"/>
  <c r="S68" i="10"/>
  <c r="X51" i="10"/>
  <c r="Y51" i="10"/>
  <c r="Z51" i="10"/>
  <c r="AA51" i="10"/>
  <c r="AB51" i="10"/>
  <c r="AC51" i="10"/>
  <c r="AD51" i="10"/>
  <c r="AE51" i="10"/>
  <c r="AF51" i="10"/>
  <c r="X52" i="10"/>
  <c r="Y52" i="10"/>
  <c r="Z52" i="10"/>
  <c r="AA52" i="10"/>
  <c r="AB52" i="10"/>
  <c r="AC52" i="10"/>
  <c r="AD52" i="10"/>
  <c r="AE52" i="10"/>
  <c r="AF52" i="10"/>
  <c r="X53" i="10"/>
  <c r="Y53" i="10"/>
  <c r="Z53" i="10"/>
  <c r="AA53" i="10"/>
  <c r="AB53" i="10"/>
  <c r="AC53" i="10"/>
  <c r="AD53" i="10"/>
  <c r="AE53" i="10"/>
  <c r="AF53" i="10"/>
  <c r="X54" i="10"/>
  <c r="Y54" i="10"/>
  <c r="Z54" i="10"/>
  <c r="AA54" i="10"/>
  <c r="AB54" i="10"/>
  <c r="AC54" i="10"/>
  <c r="AD54" i="10"/>
  <c r="AE54" i="10"/>
  <c r="AF54" i="10"/>
  <c r="X55" i="10"/>
  <c r="Y55" i="10"/>
  <c r="Z55" i="10"/>
  <c r="AA55" i="10"/>
  <c r="AB55" i="10"/>
  <c r="AC55" i="10"/>
  <c r="AD55" i="10"/>
  <c r="AE55" i="10"/>
  <c r="AF55" i="10"/>
  <c r="X56" i="10"/>
  <c r="Y56" i="10"/>
  <c r="Z56" i="10"/>
  <c r="AA56" i="10"/>
  <c r="AB56" i="10"/>
  <c r="AC56" i="10"/>
  <c r="AD56" i="10"/>
  <c r="AE56" i="10"/>
  <c r="AF56" i="10"/>
  <c r="X57" i="10"/>
  <c r="Y57" i="10"/>
  <c r="Z57" i="10"/>
  <c r="AA57" i="10"/>
  <c r="AB57" i="10"/>
  <c r="AC57" i="10"/>
  <c r="AD57" i="10"/>
  <c r="AE57" i="10"/>
  <c r="AF57" i="10"/>
  <c r="X58" i="10"/>
  <c r="Y58" i="10"/>
  <c r="Z58" i="10"/>
  <c r="AA58" i="10"/>
  <c r="AB58" i="10"/>
  <c r="AC58" i="10"/>
  <c r="AD58" i="10"/>
  <c r="AE58" i="10"/>
  <c r="AF58" i="10"/>
  <c r="W52" i="10"/>
  <c r="W53" i="10"/>
  <c r="W54" i="10"/>
  <c r="W55" i="10"/>
  <c r="W56" i="10"/>
  <c r="W57" i="10"/>
  <c r="W58" i="10"/>
  <c r="W51" i="10"/>
  <c r="Y42" i="10"/>
  <c r="W42" i="10"/>
  <c r="X42" i="10"/>
  <c r="Z42" i="10"/>
  <c r="AA42" i="10"/>
  <c r="AB42" i="10"/>
  <c r="AC42" i="10"/>
  <c r="AD42" i="10"/>
  <c r="AE42" i="10"/>
  <c r="AF42" i="10"/>
  <c r="X43" i="10"/>
  <c r="Y43" i="10"/>
  <c r="Z43" i="10"/>
  <c r="AA43" i="10"/>
  <c r="AB43" i="10"/>
  <c r="AC43" i="10"/>
  <c r="AD43" i="10"/>
  <c r="AE43" i="10"/>
  <c r="AF43" i="10"/>
  <c r="X44" i="10"/>
  <c r="Y44" i="10"/>
  <c r="Z44" i="10"/>
  <c r="AA44" i="10"/>
  <c r="AB44" i="10"/>
  <c r="AC44" i="10"/>
  <c r="AD44" i="10"/>
  <c r="AE44" i="10"/>
  <c r="AF44" i="10"/>
  <c r="X45" i="10"/>
  <c r="Y45" i="10"/>
  <c r="Z45" i="10"/>
  <c r="AA45" i="10"/>
  <c r="AB45" i="10"/>
  <c r="AC45" i="10"/>
  <c r="AD45" i="10"/>
  <c r="AE45" i="10"/>
  <c r="AF45" i="10"/>
  <c r="X46" i="10"/>
  <c r="Y46" i="10"/>
  <c r="Z46" i="10"/>
  <c r="AA46" i="10"/>
  <c r="AB46" i="10"/>
  <c r="AC46" i="10"/>
  <c r="AD46" i="10"/>
  <c r="AE46" i="10"/>
  <c r="AF46" i="10"/>
  <c r="X47" i="10"/>
  <c r="Y47" i="10"/>
  <c r="Z47" i="10"/>
  <c r="AA47" i="10"/>
  <c r="AB47" i="10"/>
  <c r="AC47" i="10"/>
  <c r="AD47" i="10"/>
  <c r="AE47" i="10"/>
  <c r="AF47" i="10"/>
  <c r="X48" i="10"/>
  <c r="Y48" i="10"/>
  <c r="Z48" i="10"/>
  <c r="AA48" i="10"/>
  <c r="AB48" i="10"/>
  <c r="AC48" i="10"/>
  <c r="AD48" i="10"/>
  <c r="AE48" i="10"/>
  <c r="AF48" i="10"/>
  <c r="X49" i="10"/>
  <c r="Y49" i="10"/>
  <c r="Z49" i="10"/>
  <c r="AA49" i="10"/>
  <c r="AB49" i="10"/>
  <c r="AC49" i="10"/>
  <c r="AD49" i="10"/>
  <c r="AE49" i="10"/>
  <c r="AF49" i="10"/>
  <c r="W43" i="10"/>
  <c r="W44" i="10"/>
  <c r="W45" i="10"/>
  <c r="W46" i="10"/>
  <c r="W47" i="10"/>
  <c r="W48" i="10"/>
  <c r="W49" i="10"/>
  <c r="S59" i="10"/>
  <c r="S50" i="10"/>
  <c r="E21" i="10"/>
  <c r="E20" i="10"/>
  <c r="E19" i="10"/>
  <c r="M16" i="10"/>
  <c r="L16" i="10"/>
  <c r="K16" i="10"/>
  <c r="L15" i="10"/>
  <c r="K15" i="10"/>
  <c r="J15" i="10"/>
  <c r="J16" i="10" s="1"/>
  <c r="J29" i="2"/>
  <c r="J28" i="2"/>
  <c r="I28" i="2"/>
  <c r="G29" i="2"/>
  <c r="G28" i="2"/>
  <c r="H29" i="2"/>
  <c r="H28" i="2"/>
  <c r="I29" i="2"/>
  <c r="S3761" i="3"/>
  <c r="S3762" i="3" s="1"/>
  <c r="S3763" i="3" s="1"/>
  <c r="S3764" i="3" s="1"/>
  <c r="M3386" i="1"/>
</calcChain>
</file>

<file path=xl/sharedStrings.xml><?xml version="1.0" encoding="utf-8"?>
<sst xmlns="http://schemas.openxmlformats.org/spreadsheetml/2006/main" count="42629" uniqueCount="14680">
  <si>
    <t>Well</t>
  </si>
  <si>
    <t>CalcResult</t>
  </si>
  <si>
    <t>Plate</t>
  </si>
  <si>
    <t>Well (2)</t>
  </si>
  <si>
    <t>Barcode</t>
  </si>
  <si>
    <t>Compound</t>
  </si>
  <si>
    <t>Name</t>
  </si>
  <si>
    <t>Function</t>
  </si>
  <si>
    <t>hc_SSMD</t>
  </si>
  <si>
    <t>hc_ZPrimeRobust</t>
  </si>
  <si>
    <t>hc_ZPrime</t>
  </si>
  <si>
    <t>hc_CalcResult_normalized</t>
  </si>
  <si>
    <t>hc_CalcResult_z_score</t>
  </si>
  <si>
    <t>H22</t>
  </si>
  <si>
    <t>D0552436</t>
  </si>
  <si>
    <t>D0552436:H22</t>
  </si>
  <si>
    <t>TR06444119-001</t>
  </si>
  <si>
    <t>Avadomide(CC-122)</t>
  </si>
  <si>
    <t>P1</t>
  </si>
  <si>
    <t>P01</t>
  </si>
  <si>
    <t>D0552436:P01</t>
  </si>
  <si>
    <t>TR06413120-001</t>
  </si>
  <si>
    <t>Thiomyristoyl</t>
  </si>
  <si>
    <t>D18</t>
  </si>
  <si>
    <t>D0552436:D18</t>
  </si>
  <si>
    <t>TR06428693-002</t>
  </si>
  <si>
    <t>Pomalidomide</t>
  </si>
  <si>
    <t>M4</t>
  </si>
  <si>
    <t>D0552433</t>
  </si>
  <si>
    <t>M04</t>
  </si>
  <si>
    <t>D0552433:M04</t>
  </si>
  <si>
    <t>TR01512012-006</t>
  </si>
  <si>
    <t>Triciribine</t>
  </si>
  <si>
    <t>A17</t>
  </si>
  <si>
    <t>D0554054</t>
  </si>
  <si>
    <t>D0554054:A17</t>
  </si>
  <si>
    <t>TR06546472-001</t>
  </si>
  <si>
    <t>Ceftiofur</t>
  </si>
  <si>
    <t>B24</t>
  </si>
  <si>
    <t>D0554054:B24</t>
  </si>
  <si>
    <t>TR06555470-001</t>
  </si>
  <si>
    <t>Diatrizoate sodium</t>
  </si>
  <si>
    <t>E13</t>
  </si>
  <si>
    <t>D0552436:E13</t>
  </si>
  <si>
    <t>TR06423649-001</t>
  </si>
  <si>
    <t>Lanifibranor(IVA-337)</t>
  </si>
  <si>
    <t>a moderately potent and well balanced pan PPAR agonist</t>
  </si>
  <si>
    <t>A8</t>
  </si>
  <si>
    <t>A08</t>
  </si>
  <si>
    <t>D0552433:A08</t>
  </si>
  <si>
    <t>TR01536408-003</t>
  </si>
  <si>
    <t>MFCD00001208, SYR135584</t>
  </si>
  <si>
    <t>A2</t>
  </si>
  <si>
    <t>A02</t>
  </si>
  <si>
    <t>D0552433:A02</t>
  </si>
  <si>
    <t>TR01488822-002</t>
  </si>
  <si>
    <t>SYR016118, MFCD00002507</t>
  </si>
  <si>
    <t>P4</t>
  </si>
  <si>
    <t>D0552434</t>
  </si>
  <si>
    <t>P04</t>
  </si>
  <si>
    <t>D0552434:P04</t>
  </si>
  <si>
    <t>TR01752613-004</t>
  </si>
  <si>
    <t>SYR231684, MFCD00221745</t>
  </si>
  <si>
    <t>A23</t>
  </si>
  <si>
    <t>D0554054:A23</t>
  </si>
  <si>
    <t>TR06554093-001</t>
  </si>
  <si>
    <t>Idoxuridin</t>
  </si>
  <si>
    <t>O2</t>
  </si>
  <si>
    <t>D0554053</t>
  </si>
  <si>
    <t>O02</t>
  </si>
  <si>
    <t>D0554053:O02</t>
  </si>
  <si>
    <t>TR06486410-001</t>
  </si>
  <si>
    <t>Sodium sulfadiazine</t>
  </si>
  <si>
    <t>an intermediate-acting bacteriostatic, synthetic sulfanilamide derivative</t>
  </si>
  <si>
    <t>N3</t>
  </si>
  <si>
    <t>N03</t>
  </si>
  <si>
    <t>D0552434:N03</t>
  </si>
  <si>
    <t>TR01735399-002</t>
  </si>
  <si>
    <t>SYR243083</t>
  </si>
  <si>
    <t>K1</t>
  </si>
  <si>
    <t>K01</t>
  </si>
  <si>
    <t>D0552433:K01</t>
  </si>
  <si>
    <t>TR01483572-006</t>
  </si>
  <si>
    <t>Flavone</t>
  </si>
  <si>
    <t>D0554055</t>
  </si>
  <si>
    <t>D0554055:K01</t>
  </si>
  <si>
    <t>TR06557999-001</t>
  </si>
  <si>
    <t>K-Ras(G12C) inhibitor 12</t>
  </si>
  <si>
    <t>an allosteric inhibitor of oncogenic K-Ras(G12C)</t>
  </si>
  <si>
    <t>H1</t>
  </si>
  <si>
    <t>H01</t>
  </si>
  <si>
    <t>D0554055:H01</t>
  </si>
  <si>
    <t>TR06557121-001</t>
  </si>
  <si>
    <t>Glucosamine hydrochloride</t>
  </si>
  <si>
    <t>B1</t>
  </si>
  <si>
    <t>B01</t>
  </si>
  <si>
    <t>D0554054:B01</t>
  </si>
  <si>
    <t>TR06512728-001</t>
  </si>
  <si>
    <t>Tianeptine</t>
  </si>
  <si>
    <t>A4</t>
  </si>
  <si>
    <t>D0552435</t>
  </si>
  <si>
    <t>A04</t>
  </si>
  <si>
    <t>D0552435:A04</t>
  </si>
  <si>
    <t>TR06126106-023</t>
  </si>
  <si>
    <t>Indomethacin</t>
  </si>
  <si>
    <t>a nonsteroidal anti-inflammatory drug</t>
  </si>
  <si>
    <t>D2</t>
  </si>
  <si>
    <t>D02</t>
  </si>
  <si>
    <t>D0554055:D02</t>
  </si>
  <si>
    <t>TR06558147-001</t>
  </si>
  <si>
    <t>Lupeol</t>
  </si>
  <si>
    <t>N2</t>
  </si>
  <si>
    <t>N02</t>
  </si>
  <si>
    <t>D0554054:N02</t>
  </si>
  <si>
    <t>TR06516590-001</t>
  </si>
  <si>
    <t>Oxiracetam</t>
  </si>
  <si>
    <t>H3</t>
  </si>
  <si>
    <t>H03</t>
  </si>
  <si>
    <t>D0554054:H03</t>
  </si>
  <si>
    <t>TR06516715-001</t>
  </si>
  <si>
    <t>STF-083010</t>
  </si>
  <si>
    <t>D0552433:A04</t>
  </si>
  <si>
    <t>TR01507280-002</t>
  </si>
  <si>
    <t>MFCD14766288</t>
  </si>
  <si>
    <t>A7</t>
  </si>
  <si>
    <t>A07</t>
  </si>
  <si>
    <t>D0552433:A07</t>
  </si>
  <si>
    <t>TR01531720-002</t>
  </si>
  <si>
    <t>Protirelin</t>
  </si>
  <si>
    <t>C24</t>
  </si>
  <si>
    <t>D0552431</t>
  </si>
  <si>
    <t>D0552431:C24</t>
  </si>
  <si>
    <t>TR01279317-002</t>
  </si>
  <si>
    <t>Pramiracetam</t>
  </si>
  <si>
    <t>N1</t>
  </si>
  <si>
    <t>N01</t>
  </si>
  <si>
    <t>D0552434:N01</t>
  </si>
  <si>
    <t>TR01706417-003</t>
  </si>
  <si>
    <t>Etofylline</t>
  </si>
  <si>
    <t>B17</t>
  </si>
  <si>
    <t>D0552433:B17</t>
  </si>
  <si>
    <t>TR01610111-002</t>
  </si>
  <si>
    <t>Icaritin</t>
  </si>
  <si>
    <t>J8</t>
  </si>
  <si>
    <t>J08</t>
  </si>
  <si>
    <t>D0554053:J08</t>
  </si>
  <si>
    <t>TR06496549-001</t>
  </si>
  <si>
    <t>Gluconolactone</t>
  </si>
  <si>
    <t>M17</t>
  </si>
  <si>
    <t>D0552432</t>
  </si>
  <si>
    <t>D0552432:M17</t>
  </si>
  <si>
    <t>TR01406268-003</t>
  </si>
  <si>
    <t>Lenalidomide</t>
  </si>
  <si>
    <t>P14</t>
  </si>
  <si>
    <t>D0554053:P14</t>
  </si>
  <si>
    <t>TR06502722-002</t>
  </si>
  <si>
    <t>Dicloxacillin Sodium</t>
  </si>
  <si>
    <t>K14</t>
  </si>
  <si>
    <t>A24</t>
  </si>
  <si>
    <t>D0552434:A24</t>
  </si>
  <si>
    <t>TR02540663-004</t>
  </si>
  <si>
    <t>D0554053:A24</t>
  </si>
  <si>
    <t>TR06512303-001</t>
  </si>
  <si>
    <t>D0552436:D02</t>
  </si>
  <si>
    <t>TR06413204-001</t>
  </si>
  <si>
    <t>P2</t>
  </si>
  <si>
    <t>P02</t>
  </si>
  <si>
    <t>D0552436:P02</t>
  </si>
  <si>
    <t>TR06413445-001</t>
  </si>
  <si>
    <t>A16</t>
  </si>
  <si>
    <t>D0552433:A16</t>
  </si>
  <si>
    <t>TR01602489-004</t>
  </si>
  <si>
    <t>C11</t>
  </si>
  <si>
    <t>D0552436:C11</t>
  </si>
  <si>
    <t>TR06422207-002</t>
  </si>
  <si>
    <t>C15</t>
  </si>
  <si>
    <t>D0554054:C15</t>
  </si>
  <si>
    <t>TR06544011-001</t>
  </si>
  <si>
    <t>N14</t>
  </si>
  <si>
    <t>D0554054:N14</t>
  </si>
  <si>
    <t>TR06543888-001</t>
  </si>
  <si>
    <t>D0554053:M04</t>
  </si>
  <si>
    <t>TR06486681-001</t>
  </si>
  <si>
    <t>D0554055:P02</t>
  </si>
  <si>
    <t>TR06562786-001</t>
  </si>
  <si>
    <t>E23</t>
  </si>
  <si>
    <t>D0554053:E23</t>
  </si>
  <si>
    <t>TR06511712-002</t>
  </si>
  <si>
    <t>D0552431:A24</t>
  </si>
  <si>
    <t>TR01278900-006</t>
  </si>
  <si>
    <t>K10</t>
  </si>
  <si>
    <t>L1</t>
  </si>
  <si>
    <t>L01</t>
  </si>
  <si>
    <t>D0554054:L01</t>
  </si>
  <si>
    <t>TR06516358-001</t>
  </si>
  <si>
    <t>D24</t>
  </si>
  <si>
    <t>D0552433:D24</t>
  </si>
  <si>
    <t>TR01690526-002</t>
  </si>
  <si>
    <t>A3</t>
  </si>
  <si>
    <t>A03</t>
  </si>
  <si>
    <t>D0554055:A03</t>
  </si>
  <si>
    <t>TR06562787-001</t>
  </si>
  <si>
    <t>D14</t>
  </si>
  <si>
    <t>M1</t>
  </si>
  <si>
    <t>M01</t>
  </si>
  <si>
    <t>D0554054:M01</t>
  </si>
  <si>
    <t>TR06516359-001</t>
  </si>
  <si>
    <t>B21</t>
  </si>
  <si>
    <t>D0552433:B21</t>
  </si>
  <si>
    <t>TR01651407-006</t>
  </si>
  <si>
    <t>D0552434:A23</t>
  </si>
  <si>
    <t>TR02424915-003</t>
  </si>
  <si>
    <t>D0554053:A17</t>
  </si>
  <si>
    <t>TR06505582-002</t>
  </si>
  <si>
    <t>B9</t>
  </si>
  <si>
    <t>B09</t>
  </si>
  <si>
    <t>D0552433:B09</t>
  </si>
  <si>
    <t>TR01545865-008</t>
  </si>
  <si>
    <t>A22</t>
  </si>
  <si>
    <t>D0554053:A22</t>
  </si>
  <si>
    <t>TR06511000-001</t>
  </si>
  <si>
    <t>P12</t>
  </si>
  <si>
    <t>F20</t>
  </si>
  <si>
    <t>D0554054:F20</t>
  </si>
  <si>
    <t>TR06547978-001</t>
  </si>
  <si>
    <t>A20</t>
  </si>
  <si>
    <t>D0552433:A20</t>
  </si>
  <si>
    <t>TR01640792-004</t>
  </si>
  <si>
    <t>D0554054:A02</t>
  </si>
  <si>
    <t>TR06516423-001</t>
  </si>
  <si>
    <t>D0554055:B01</t>
  </si>
  <si>
    <t>TR06556820-001</t>
  </si>
  <si>
    <t>I1</t>
  </si>
  <si>
    <t>I01</t>
  </si>
  <si>
    <t>D0552435:I01</t>
  </si>
  <si>
    <t>TR06098790-009</t>
  </si>
  <si>
    <t>C17</t>
  </si>
  <si>
    <t>D0554054:C17</t>
  </si>
  <si>
    <t>TR06546504-001</t>
  </si>
  <si>
    <t>E1</t>
  </si>
  <si>
    <t>E01</t>
  </si>
  <si>
    <t>D0552436:E01</t>
  </si>
  <si>
    <t>TR06412337-001</t>
  </si>
  <si>
    <t>A14</t>
  </si>
  <si>
    <t>D0552433:A14</t>
  </si>
  <si>
    <t>TR01587055-004</t>
  </si>
  <si>
    <t>B10</t>
  </si>
  <si>
    <t>D0552433:B10</t>
  </si>
  <si>
    <t>TR01552768-009</t>
  </si>
  <si>
    <t>D0554055:O02</t>
  </si>
  <si>
    <t>TR06562785-001</t>
  </si>
  <si>
    <t>D0552436:E23</t>
  </si>
  <si>
    <t>TR06444450-001</t>
  </si>
  <si>
    <t>B4</t>
  </si>
  <si>
    <t>B04</t>
  </si>
  <si>
    <t>D0552436:B04</t>
  </si>
  <si>
    <t>TR06416581-001</t>
  </si>
  <si>
    <t>D0552435:H22</t>
  </si>
  <si>
    <t>TR06408515-001</t>
  </si>
  <si>
    <t>G1</t>
  </si>
  <si>
    <t>G01</t>
  </si>
  <si>
    <t>D0552433:G01</t>
  </si>
  <si>
    <t>TR01480045-005</t>
  </si>
  <si>
    <t>O5</t>
  </si>
  <si>
    <t>O05</t>
  </si>
  <si>
    <t>D0554053:O05</t>
  </si>
  <si>
    <t>TR06489250-001</t>
  </si>
  <si>
    <t>L2</t>
  </si>
  <si>
    <t>L02</t>
  </si>
  <si>
    <t>D0554054:L02</t>
  </si>
  <si>
    <t>TR06516581-002</t>
  </si>
  <si>
    <t>D0554054:A04</t>
  </si>
  <si>
    <t>TR06516860-002</t>
  </si>
  <si>
    <t>D0554054:N03</t>
  </si>
  <si>
    <t>TR06516824-001</t>
  </si>
  <si>
    <t>D0552435:A08</t>
  </si>
  <si>
    <t>TR06375585-008</t>
  </si>
  <si>
    <t>I22</t>
  </si>
  <si>
    <t>D0552435:I22</t>
  </si>
  <si>
    <t>TR06408517-002</t>
  </si>
  <si>
    <t>H24</t>
  </si>
  <si>
    <t>D0552436:H24</t>
  </si>
  <si>
    <t>TR06445457-001</t>
  </si>
  <si>
    <t>P6</t>
  </si>
  <si>
    <t>P06</t>
  </si>
  <si>
    <t>D0552433:P06</t>
  </si>
  <si>
    <t>TR01531433-002</t>
  </si>
  <si>
    <t>D0552433:A24</t>
  </si>
  <si>
    <t>TR01686738-002</t>
  </si>
  <si>
    <t>E5</t>
  </si>
  <si>
    <t>E05</t>
  </si>
  <si>
    <t>D0552436:E05</t>
  </si>
  <si>
    <t>TR06416938-001</t>
  </si>
  <si>
    <t>E24</t>
  </si>
  <si>
    <t>D0554055:E24</t>
  </si>
  <si>
    <t>L20</t>
  </si>
  <si>
    <t>D0554053:L20</t>
  </si>
  <si>
    <t>TR06510010-002</t>
  </si>
  <si>
    <t>D0554054:L20</t>
  </si>
  <si>
    <t>TR06548022-001</t>
  </si>
  <si>
    <t>C19</t>
  </si>
  <si>
    <t>D0554054:C19</t>
  </si>
  <si>
    <t>TR06547727-001</t>
  </si>
  <si>
    <t>C3</t>
  </si>
  <si>
    <t>C03</t>
  </si>
  <si>
    <t>D0552433:C03</t>
  </si>
  <si>
    <t>TR01497629-003</t>
  </si>
  <si>
    <t>M3</t>
  </si>
  <si>
    <t>M03</t>
  </si>
  <si>
    <t>D0552433:M03</t>
  </si>
  <si>
    <t>TR01506297-003</t>
  </si>
  <si>
    <t>C18</t>
  </si>
  <si>
    <t>D0554054:C18</t>
  </si>
  <si>
    <t>TR06547100-001</t>
  </si>
  <si>
    <t>M6</t>
  </si>
  <si>
    <t>M06</t>
  </si>
  <si>
    <t>D0554054:M06</t>
  </si>
  <si>
    <t>TR06525471-001</t>
  </si>
  <si>
    <t>D0552431:H24</t>
  </si>
  <si>
    <t>TR01281207-004</t>
  </si>
  <si>
    <t>D13</t>
  </si>
  <si>
    <t>D0554053:D13</t>
  </si>
  <si>
    <t>TR06501003-001</t>
  </si>
  <si>
    <t>D0552436:A17</t>
  </si>
  <si>
    <t>TR06424940-002</t>
  </si>
  <si>
    <t>H2</t>
  </si>
  <si>
    <t>H02</t>
  </si>
  <si>
    <t>D0552433:H02</t>
  </si>
  <si>
    <t>TR01492881-004</t>
  </si>
  <si>
    <t>F22</t>
  </si>
  <si>
    <t>D0552433:F22</t>
  </si>
  <si>
    <t>TR01663732-002</t>
  </si>
  <si>
    <t>D0554055:P14</t>
  </si>
  <si>
    <t>M2</t>
  </si>
  <si>
    <t>M02</t>
  </si>
  <si>
    <t>D0552436:M02</t>
  </si>
  <si>
    <t>TR06413364-002</t>
  </si>
  <si>
    <t>O13</t>
  </si>
  <si>
    <t>D0552433:O13</t>
  </si>
  <si>
    <t>TR01584584-003</t>
  </si>
  <si>
    <t>D0552436:H01</t>
  </si>
  <si>
    <t>TR06412365-002</t>
  </si>
  <si>
    <t>G15</t>
  </si>
  <si>
    <t>D0554053:G15</t>
  </si>
  <si>
    <t>TR06502764-001</t>
  </si>
  <si>
    <t>A19</t>
  </si>
  <si>
    <t>D0552433:A19</t>
  </si>
  <si>
    <t>TR01630154-003</t>
  </si>
  <si>
    <t>D1</t>
  </si>
  <si>
    <t>D01</t>
  </si>
  <si>
    <t>D0554053:D01</t>
  </si>
  <si>
    <t>TR06483024-001</t>
  </si>
  <si>
    <t>P17</t>
  </si>
  <si>
    <t>D0552433:P17</t>
  </si>
  <si>
    <t>TR01620667-002</t>
  </si>
  <si>
    <t>K3</t>
  </si>
  <si>
    <t>K03</t>
  </si>
  <si>
    <t>D0552435:K03</t>
  </si>
  <si>
    <t>TR06120161-005</t>
  </si>
  <si>
    <t>D0552431:P02</t>
  </si>
  <si>
    <t>TR01076174-006</t>
  </si>
  <si>
    <t>H21</t>
  </si>
  <si>
    <t>D0552435:H21</t>
  </si>
  <si>
    <t>TR06406079-001</t>
  </si>
  <si>
    <t>N23</t>
  </si>
  <si>
    <t>D0554053:N23</t>
  </si>
  <si>
    <t>TR06512269-001</t>
  </si>
  <si>
    <t>D0552432:A24</t>
  </si>
  <si>
    <t>TR01475415-003</t>
  </si>
  <si>
    <t>B23</t>
  </si>
  <si>
    <t>D0554053:B23</t>
  </si>
  <si>
    <t>TR06511593-001</t>
  </si>
  <si>
    <t>C23</t>
  </si>
  <si>
    <t>D0552432:C23</t>
  </si>
  <si>
    <t>TR01460756-002</t>
  </si>
  <si>
    <t>E12</t>
  </si>
  <si>
    <t>D0552433:E12</t>
  </si>
  <si>
    <t>TR01567575-002</t>
  </si>
  <si>
    <t>D0554054:H02</t>
  </si>
  <si>
    <t>TR06516514-001</t>
  </si>
  <si>
    <t>P16</t>
  </si>
  <si>
    <t>D0552436:P16</t>
  </si>
  <si>
    <t>TR06424899-001</t>
  </si>
  <si>
    <t>D0552432:A19</t>
  </si>
  <si>
    <t>TR01419570-003</t>
  </si>
  <si>
    <t>P7</t>
  </si>
  <si>
    <t>P07</t>
  </si>
  <si>
    <t>D0554054:P07</t>
  </si>
  <si>
    <t>TR06525876-001</t>
  </si>
  <si>
    <t>O11</t>
  </si>
  <si>
    <t>D0552436:O11</t>
  </si>
  <si>
    <t>TR06422370-001</t>
  </si>
  <si>
    <t>C21</t>
  </si>
  <si>
    <t>D0554054:C21</t>
  </si>
  <si>
    <t>TR06548075-001</t>
  </si>
  <si>
    <t>D0552431:B23</t>
  </si>
  <si>
    <t>TR01274469-003</t>
  </si>
  <si>
    <t>C10</t>
  </si>
  <si>
    <t>D0554053:C10</t>
  </si>
  <si>
    <t>TR06498106-002</t>
  </si>
  <si>
    <t>B11</t>
  </si>
  <si>
    <t>D0552433:B11</t>
  </si>
  <si>
    <t>TR01559853-004</t>
  </si>
  <si>
    <t>D0552431:E01</t>
  </si>
  <si>
    <t>TR00986486-007</t>
  </si>
  <si>
    <t>K23</t>
  </si>
  <si>
    <t>D0552432:K23</t>
  </si>
  <si>
    <t>TR01467268-002</t>
  </si>
  <si>
    <t>A10</t>
  </si>
  <si>
    <t>D0554053:A10</t>
  </si>
  <si>
    <t>TR06498069-002</t>
  </si>
  <si>
    <t>D0552433:B04</t>
  </si>
  <si>
    <t>TR01509232-003</t>
  </si>
  <si>
    <t>D0554054:H24</t>
  </si>
  <si>
    <t>TR06556700-001</t>
  </si>
  <si>
    <t>F19</t>
  </si>
  <si>
    <t>D0554054:F19</t>
  </si>
  <si>
    <t>TR06547751-001</t>
  </si>
  <si>
    <t>D0554054:A19</t>
  </si>
  <si>
    <t>TR06547725-001</t>
  </si>
  <si>
    <t>D0552433:L01</t>
  </si>
  <si>
    <t>TR01484901-004</t>
  </si>
  <si>
    <t>O3</t>
  </si>
  <si>
    <t>O03</t>
  </si>
  <si>
    <t>D0554055:O03</t>
  </si>
  <si>
    <t>TR06575087-008</t>
  </si>
  <si>
    <t>L22</t>
  </si>
  <si>
    <t>D0554053:L22</t>
  </si>
  <si>
    <t>TR06511408-002</t>
  </si>
  <si>
    <t>D0552433:B24</t>
  </si>
  <si>
    <t>TR01686828-003</t>
  </si>
  <si>
    <t>B3</t>
  </si>
  <si>
    <t>B03</t>
  </si>
  <si>
    <t>D0552432:B03</t>
  </si>
  <si>
    <t>TR01294650-003</t>
  </si>
  <si>
    <t>M14</t>
  </si>
  <si>
    <t>D0554053:M14</t>
  </si>
  <si>
    <t>TR06502683-001</t>
  </si>
  <si>
    <t>G11</t>
  </si>
  <si>
    <t>D0552433:G11</t>
  </si>
  <si>
    <t>TR01561088-004</t>
  </si>
  <si>
    <t>D7</t>
  </si>
  <si>
    <t>D07</t>
  </si>
  <si>
    <t>D0554055:D07</t>
  </si>
  <si>
    <t>C2</t>
  </si>
  <si>
    <t>C02</t>
  </si>
  <si>
    <t>D0552433:C02</t>
  </si>
  <si>
    <t>TR01490431-003</t>
  </si>
  <si>
    <t>O22</t>
  </si>
  <si>
    <t>D0554054:O22</t>
  </si>
  <si>
    <t>TR06554060-001</t>
  </si>
  <si>
    <t>D9</t>
  </si>
  <si>
    <t>D09</t>
  </si>
  <si>
    <t>D0554053:D09</t>
  </si>
  <si>
    <t>TR06496782-001</t>
  </si>
  <si>
    <t>D0554054:B23</t>
  </si>
  <si>
    <t>TR06555096-001</t>
  </si>
  <si>
    <t>D0554055:B24</t>
  </si>
  <si>
    <t>H4</t>
  </si>
  <si>
    <t>H04</t>
  </si>
  <si>
    <t>D0554054:H04</t>
  </si>
  <si>
    <t>TR06521940-001</t>
  </si>
  <si>
    <t>G20</t>
  </si>
  <si>
    <t>D0554054:G20</t>
  </si>
  <si>
    <t>TR06547979-001</t>
  </si>
  <si>
    <t>B8</t>
  </si>
  <si>
    <t>B08</t>
  </si>
  <si>
    <t>D0552433:B08</t>
  </si>
  <si>
    <t>TR01537285-003</t>
  </si>
  <si>
    <t>D0554055:P17</t>
  </si>
  <si>
    <t>N22</t>
  </si>
  <si>
    <t>D0554054:N22</t>
  </si>
  <si>
    <t>TR06553972-001</t>
  </si>
  <si>
    <t>D0552435:H24</t>
  </si>
  <si>
    <t>TR06412255-002</t>
  </si>
  <si>
    <t>D0552436:I01</t>
  </si>
  <si>
    <t>TR06412898-003</t>
  </si>
  <si>
    <t>A12</t>
  </si>
  <si>
    <t>D0552436:A12</t>
  </si>
  <si>
    <t>TR06422457-001</t>
  </si>
  <si>
    <t>D0552433:D02</t>
  </si>
  <si>
    <t>TR01490595-003</t>
  </si>
  <si>
    <t>K15</t>
  </si>
  <si>
    <t>D0554054:K15</t>
  </si>
  <si>
    <t>TR06544336-001</t>
  </si>
  <si>
    <t>O8</t>
  </si>
  <si>
    <t>O08</t>
  </si>
  <si>
    <t>D0554054:O08</t>
  </si>
  <si>
    <t>TR06526462-001</t>
  </si>
  <si>
    <t>D0554054:D24</t>
  </si>
  <si>
    <t>TR06556529-001</t>
  </si>
  <si>
    <t>F15</t>
  </si>
  <si>
    <t>D0552433:F15</t>
  </si>
  <si>
    <t>TR01599490-005</t>
  </si>
  <si>
    <t>B5</t>
  </si>
  <si>
    <t>B05</t>
  </si>
  <si>
    <t>D0554053:B05</t>
  </si>
  <si>
    <t>TR06486717-001</t>
  </si>
  <si>
    <t>D0552433:D13</t>
  </si>
  <si>
    <t>TR01575322-003</t>
  </si>
  <si>
    <t>J9</t>
  </si>
  <si>
    <t>J09</t>
  </si>
  <si>
    <t>D0552436:J09</t>
  </si>
  <si>
    <t>TR06420539-001</t>
  </si>
  <si>
    <t>G12</t>
  </si>
  <si>
    <t>D0552431:G12</t>
  </si>
  <si>
    <t>TR01203196-002</t>
  </si>
  <si>
    <t>A5</t>
  </si>
  <si>
    <t>A05</t>
  </si>
  <si>
    <t>D0552433:A05</t>
  </si>
  <si>
    <t>TR01513450-003</t>
  </si>
  <si>
    <t>L21</t>
  </si>
  <si>
    <t>D0554053:L21</t>
  </si>
  <si>
    <t>TR06510737-001</t>
  </si>
  <si>
    <t>D0552433:L21</t>
  </si>
  <si>
    <t>TR01658063-003</t>
  </si>
  <si>
    <t>B13</t>
  </si>
  <si>
    <t>D0552432:B10</t>
  </si>
  <si>
    <t>TR01342413-006</t>
  </si>
  <si>
    <t>G18</t>
  </si>
  <si>
    <t>D0554054:G18</t>
  </si>
  <si>
    <t>TR06547107-001</t>
  </si>
  <si>
    <t>E15</t>
  </si>
  <si>
    <t>D0552435:E15</t>
  </si>
  <si>
    <t>TR06395241-003</t>
  </si>
  <si>
    <t>D0552431:A02</t>
  </si>
  <si>
    <t>TR01059609-006</t>
  </si>
  <si>
    <t>D0554054:A16</t>
  </si>
  <si>
    <t>TR06546134-001</t>
  </si>
  <si>
    <t>G22</t>
  </si>
  <si>
    <t>D0554054:G22</t>
  </si>
  <si>
    <t>TR06553587-001</t>
  </si>
  <si>
    <t>D0552432:P01</t>
  </si>
  <si>
    <t>TR01284882-005</t>
  </si>
  <si>
    <t>P22</t>
  </si>
  <si>
    <t>D0554053:P22</t>
  </si>
  <si>
    <t>TR06511591-002</t>
  </si>
  <si>
    <t>P8</t>
  </si>
  <si>
    <t>P08</t>
  </si>
  <si>
    <t>D0554054:P08</t>
  </si>
  <si>
    <t>TR06526487-001</t>
  </si>
  <si>
    <t>O1</t>
  </si>
  <si>
    <t>O01</t>
  </si>
  <si>
    <t>D0552433:O01</t>
  </si>
  <si>
    <t>TR01487669-006</t>
  </si>
  <si>
    <t>D0554054:A20</t>
  </si>
  <si>
    <t>TR06547918-001</t>
  </si>
  <si>
    <t>N5</t>
  </si>
  <si>
    <t>N05</t>
  </si>
  <si>
    <t>D0552433:N05</t>
  </si>
  <si>
    <t>TR01522697-003</t>
  </si>
  <si>
    <t>P11</t>
  </si>
  <si>
    <t>D0552432:B23</t>
  </si>
  <si>
    <t>TR01460569-007</t>
  </si>
  <si>
    <t>P3</t>
  </si>
  <si>
    <t>P03</t>
  </si>
  <si>
    <t>D0552433:P03</t>
  </si>
  <si>
    <t>TR01507257-006</t>
  </si>
  <si>
    <t>D0552434:P07</t>
  </si>
  <si>
    <t>TR01803398-002</t>
  </si>
  <si>
    <t>P13</t>
  </si>
  <si>
    <t>D0554053:P13</t>
  </si>
  <si>
    <t>TR06501095-001</t>
  </si>
  <si>
    <t>P9</t>
  </si>
  <si>
    <t>P09</t>
  </si>
  <si>
    <t>D0554053:P02</t>
  </si>
  <si>
    <t>TR06486411-002</t>
  </si>
  <si>
    <t>F24</t>
  </si>
  <si>
    <t>D0554053:F24</t>
  </si>
  <si>
    <t>TR06512609-001</t>
  </si>
  <si>
    <t>D0554054:B21</t>
  </si>
  <si>
    <t>TR06548074-002</t>
  </si>
  <si>
    <t>C13</t>
  </si>
  <si>
    <t>D0554055:C13</t>
  </si>
  <si>
    <t>E20</t>
  </si>
  <si>
    <t>D0552433:E20</t>
  </si>
  <si>
    <t>TR01643946-002</t>
  </si>
  <si>
    <t>J1</t>
  </si>
  <si>
    <t>J01</t>
  </si>
  <si>
    <t>D0552434:J01</t>
  </si>
  <si>
    <t>TR01701380-005</t>
  </si>
  <si>
    <t>D0552433:A03</t>
  </si>
  <si>
    <t>TR01496499-004</t>
  </si>
  <si>
    <t>D23</t>
  </si>
  <si>
    <t>D0554054:D23</t>
  </si>
  <si>
    <t>TR06555179-001</t>
  </si>
  <si>
    <t>D0552435:P13</t>
  </si>
  <si>
    <t>TR06389763-020</t>
  </si>
  <si>
    <t>D0552436:N22</t>
  </si>
  <si>
    <t>TR06444309-001</t>
  </si>
  <si>
    <t>D0554053:K23</t>
  </si>
  <si>
    <t>TR06512237-001</t>
  </si>
  <si>
    <t>K9</t>
  </si>
  <si>
    <t>K09</t>
  </si>
  <si>
    <t>D0552431:K09</t>
  </si>
  <si>
    <t>TR01185173-004</t>
  </si>
  <si>
    <t>D0554053:D24</t>
  </si>
  <si>
    <t>TR06512467-001</t>
  </si>
  <si>
    <t>C22</t>
  </si>
  <si>
    <t>D0554053:C22</t>
  </si>
  <si>
    <t>TR06511098-002</t>
  </si>
  <si>
    <t>D0552433:C22</t>
  </si>
  <si>
    <t>TR01661887-009</t>
  </si>
  <si>
    <t>L8</t>
  </si>
  <si>
    <t>L08</t>
  </si>
  <si>
    <t>D0554054:L08</t>
  </si>
  <si>
    <t>TR06526431-001</t>
  </si>
  <si>
    <t>M18</t>
  </si>
  <si>
    <t>D0552433:M18</t>
  </si>
  <si>
    <t>TR01627900-004</t>
  </si>
  <si>
    <t>O9</t>
  </si>
  <si>
    <t>O09</t>
  </si>
  <si>
    <t>D0552435:O09</t>
  </si>
  <si>
    <t>TR06376069-006</t>
  </si>
  <si>
    <t>D0552431:C19</t>
  </si>
  <si>
    <t>TR01245276-005</t>
  </si>
  <si>
    <t>O17</t>
  </si>
  <si>
    <t>D0554054:O17</t>
  </si>
  <si>
    <t>TR06546991-001</t>
  </si>
  <si>
    <t>B22</t>
  </si>
  <si>
    <t>D0552433:B22</t>
  </si>
  <si>
    <t>TR01661822-003</t>
  </si>
  <si>
    <t>P10</t>
  </si>
  <si>
    <t>D0552435:P10</t>
  </si>
  <si>
    <t>TR06376766-002</t>
  </si>
  <si>
    <t>A11</t>
  </si>
  <si>
    <t>D0554053:B01</t>
  </si>
  <si>
    <t>TR06482962-001</t>
  </si>
  <si>
    <t>D0552433:H24</t>
  </si>
  <si>
    <t>TR01694095-005</t>
  </si>
  <si>
    <t>D0554053:D14</t>
  </si>
  <si>
    <t>TR06501136-001</t>
  </si>
  <si>
    <t>F18</t>
  </si>
  <si>
    <t>D0552433:F18</t>
  </si>
  <si>
    <t>TR01624368-004</t>
  </si>
  <si>
    <t>D0552433:P02</t>
  </si>
  <si>
    <t>TR01496201-003</t>
  </si>
  <si>
    <t>E19</t>
  </si>
  <si>
    <t>D0554054:E19</t>
  </si>
  <si>
    <t>TR06547741-002</t>
  </si>
  <si>
    <t>D0554054:H01</t>
  </si>
  <si>
    <t>TR06516312-001</t>
  </si>
  <si>
    <t>D0552433:E01</t>
  </si>
  <si>
    <t>TR01479940-002</t>
  </si>
  <si>
    <t>K11</t>
  </si>
  <si>
    <t>O12</t>
  </si>
  <si>
    <t>D0552435:O12</t>
  </si>
  <si>
    <t>TR06387727-008</t>
  </si>
  <si>
    <t>D0554054:C24</t>
  </si>
  <si>
    <t>TR06556490-001</t>
  </si>
  <si>
    <t>I9</t>
  </si>
  <si>
    <t>I09</t>
  </si>
  <si>
    <t>D0552436:I09</t>
  </si>
  <si>
    <t>TR06420538-002</t>
  </si>
  <si>
    <t>D0554054:A24</t>
  </si>
  <si>
    <t>TR06555440-001</t>
  </si>
  <si>
    <t>G24</t>
  </si>
  <si>
    <t>D0552433:G24</t>
  </si>
  <si>
    <t>TR01693757-003</t>
  </si>
  <si>
    <t>D0552434:A03</t>
  </si>
  <si>
    <t>TR01720806-003</t>
  </si>
  <si>
    <t>D0554053:A19</t>
  </si>
  <si>
    <t>TR06509723-001</t>
  </si>
  <si>
    <t>A15</t>
  </si>
  <si>
    <t>D0554053:A15</t>
  </si>
  <si>
    <t>TR06502723-001</t>
  </si>
  <si>
    <t>D0554055:I01</t>
  </si>
  <si>
    <t>TR06557960-001</t>
  </si>
  <si>
    <t>G21</t>
  </si>
  <si>
    <t>D0554054:G21</t>
  </si>
  <si>
    <t>TR06548112-001</t>
  </si>
  <si>
    <t>N6</t>
  </si>
  <si>
    <t>N06</t>
  </si>
  <si>
    <t>D0554054:N06</t>
  </si>
  <si>
    <t>TR06525473-001</t>
  </si>
  <si>
    <t>D0552434:D01</t>
  </si>
  <si>
    <t>TR01695849-006</t>
  </si>
  <si>
    <t>D0552433:P12</t>
  </si>
  <si>
    <t>TR01572789-003</t>
  </si>
  <si>
    <t>D0554054:A07</t>
  </si>
  <si>
    <t>TR06525524-001</t>
  </si>
  <si>
    <t>D5</t>
  </si>
  <si>
    <t>D05</t>
  </si>
  <si>
    <t>D0552433:D05</t>
  </si>
  <si>
    <t>TR01514059-007</t>
  </si>
  <si>
    <t>D0554054:J01</t>
  </si>
  <si>
    <t>TR06516323-001</t>
  </si>
  <si>
    <t>N9</t>
  </si>
  <si>
    <t>N09</t>
  </si>
  <si>
    <t>L5</t>
  </si>
  <si>
    <t>L05</t>
  </si>
  <si>
    <t>D0552432:L05</t>
  </si>
  <si>
    <t>TR01309428-004</t>
  </si>
  <si>
    <t>E22</t>
  </si>
  <si>
    <t>D0552433:E22</t>
  </si>
  <si>
    <t>TR01663442-004</t>
  </si>
  <si>
    <t>D0554055:A05</t>
  </si>
  <si>
    <t>J3</t>
  </si>
  <si>
    <t>J03</t>
  </si>
  <si>
    <t>D0552434:J03</t>
  </si>
  <si>
    <t>TR01733398-004</t>
  </si>
  <si>
    <t>D0552431:A23</t>
  </si>
  <si>
    <t>TR01274278-007</t>
  </si>
  <si>
    <t>F8</t>
  </si>
  <si>
    <t>F08</t>
  </si>
  <si>
    <t>D0554054:F08</t>
  </si>
  <si>
    <t>TR06526347-001</t>
  </si>
  <si>
    <t>D0554053:O09</t>
  </si>
  <si>
    <t>TR06498029-001</t>
  </si>
  <si>
    <t>P20</t>
  </si>
  <si>
    <t>D0552435:P20</t>
  </si>
  <si>
    <t>TR06405966-001</t>
  </si>
  <si>
    <t>D0552436:D14</t>
  </si>
  <si>
    <t>TR06423830-002</t>
  </si>
  <si>
    <t>G5</t>
  </si>
  <si>
    <t>G05</t>
  </si>
  <si>
    <t>D0554054:G05</t>
  </si>
  <si>
    <t>TR06524784-001</t>
  </si>
  <si>
    <t>F14</t>
  </si>
  <si>
    <t>D0552435:C24</t>
  </si>
  <si>
    <t>TR06412205-001</t>
  </si>
  <si>
    <t>D0552435:E23</t>
  </si>
  <si>
    <t>TR06411988-002</t>
  </si>
  <si>
    <t>D0554054:P06</t>
  </si>
  <si>
    <t>TR06525500-002</t>
  </si>
  <si>
    <t>D0554053:N01</t>
  </si>
  <si>
    <t>TR06483263-001</t>
  </si>
  <si>
    <t>J23</t>
  </si>
  <si>
    <t>D0552436:J23</t>
  </si>
  <si>
    <t>TR06444553-001</t>
  </si>
  <si>
    <t>K4</t>
  </si>
  <si>
    <t>K04</t>
  </si>
  <si>
    <t>D0554053:K04</t>
  </si>
  <si>
    <t>TR06486652-001</t>
  </si>
  <si>
    <t>D0554053:J23</t>
  </si>
  <si>
    <t>TR06512236-001</t>
  </si>
  <si>
    <t>B15</t>
  </si>
  <si>
    <t>D0552433:B15</t>
  </si>
  <si>
    <t>TR01595823-003</t>
  </si>
  <si>
    <t>D0552433:B03</t>
  </si>
  <si>
    <t>TR01496616-003</t>
  </si>
  <si>
    <t>K17</t>
  </si>
  <si>
    <t>D0552433:K17</t>
  </si>
  <si>
    <t>TR01617293-003</t>
  </si>
  <si>
    <t>D0554054:D18</t>
  </si>
  <si>
    <t>TR06547103-001</t>
  </si>
  <si>
    <t>O19</t>
  </si>
  <si>
    <t>D0554054:O19</t>
  </si>
  <si>
    <t>TR06547890-001</t>
  </si>
  <si>
    <t>K13</t>
  </si>
  <si>
    <t>D0554055:K13</t>
  </si>
  <si>
    <t>D0554054:D02</t>
  </si>
  <si>
    <t>TR06516465-001</t>
  </si>
  <si>
    <t>L10</t>
  </si>
  <si>
    <t>D0554053:L10</t>
  </si>
  <si>
    <t>TR06498367-001</t>
  </si>
  <si>
    <t>I23</t>
  </si>
  <si>
    <t>D0552434:I23</t>
  </si>
  <si>
    <t>TR02456208-002</t>
  </si>
  <si>
    <t>D4</t>
  </si>
  <si>
    <t>D04</t>
  </si>
  <si>
    <t>D0554054:D04</t>
  </si>
  <si>
    <t>TR06516873-001</t>
  </si>
  <si>
    <t>D0552436:P06</t>
  </si>
  <si>
    <t>TR06419913-001</t>
  </si>
  <si>
    <t>C4</t>
  </si>
  <si>
    <t>C04</t>
  </si>
  <si>
    <t>D0552434:C04</t>
  </si>
  <si>
    <t>TR01740027-002</t>
  </si>
  <si>
    <t>L12</t>
  </si>
  <si>
    <t>D0552433:L12</t>
  </si>
  <si>
    <t>TR01570793-003</t>
  </si>
  <si>
    <t>P18</t>
  </si>
  <si>
    <t>D0552433:P18</t>
  </si>
  <si>
    <t>TR01629898-003</t>
  </si>
  <si>
    <t>B2</t>
  </si>
  <si>
    <t>B02</t>
  </si>
  <si>
    <t>D0552436:B02</t>
  </si>
  <si>
    <t>TR06413162-001</t>
  </si>
  <si>
    <t>C8</t>
  </si>
  <si>
    <t>C08</t>
  </si>
  <si>
    <t>D0554054:C08</t>
  </si>
  <si>
    <t>TR06525905-001</t>
  </si>
  <si>
    <t>D0552436:A24</t>
  </si>
  <si>
    <t>TR06445365-002</t>
  </si>
  <si>
    <t>D0552434:C22</t>
  </si>
  <si>
    <t>TR02344757-002</t>
  </si>
  <si>
    <t>D0554055:B10</t>
  </si>
  <si>
    <t>H13</t>
  </si>
  <si>
    <t>D0554055:H13</t>
  </si>
  <si>
    <t>D0554053:O22</t>
  </si>
  <si>
    <t>TR06511548-001</t>
  </si>
  <si>
    <t>F5</t>
  </si>
  <si>
    <t>F05</t>
  </si>
  <si>
    <t>D0554053:F05</t>
  </si>
  <si>
    <t>TR06488809-001</t>
  </si>
  <si>
    <t>A13</t>
  </si>
  <si>
    <t>D0552436:A13</t>
  </si>
  <si>
    <t>TR06423609-001</t>
  </si>
  <si>
    <t>D0554053:D18</t>
  </si>
  <si>
    <t>TR06506306-001</t>
  </si>
  <si>
    <t>L23</t>
  </si>
  <si>
    <t>D0552435:L23</t>
  </si>
  <si>
    <t>TR06412088-004</t>
  </si>
  <si>
    <t>A18</t>
  </si>
  <si>
    <t>D0552434:A18</t>
  </si>
  <si>
    <t>TR02094054-002</t>
  </si>
  <si>
    <t>E14</t>
  </si>
  <si>
    <t>D0552433:H01</t>
  </si>
  <si>
    <t>TR01480124-002</t>
  </si>
  <si>
    <t>D0554055:D01</t>
  </si>
  <si>
    <t>TR06556913-001</t>
  </si>
  <si>
    <t>J7</t>
  </si>
  <si>
    <t>J07</t>
  </si>
  <si>
    <t>D0552433:J07</t>
  </si>
  <si>
    <t>TR01535367-002</t>
  </si>
  <si>
    <t>D0552435:G21</t>
  </si>
  <si>
    <t>TR06406078-002</t>
  </si>
  <si>
    <t>D0552433:A22</t>
  </si>
  <si>
    <t>TR01661196-004</t>
  </si>
  <si>
    <t>O20</t>
  </si>
  <si>
    <t>D0552433:O20</t>
  </si>
  <si>
    <t>TR01650469-004</t>
  </si>
  <si>
    <t>D0554055:A24</t>
  </si>
  <si>
    <t>D0554054:O05</t>
  </si>
  <si>
    <t>TR06524972-002</t>
  </si>
  <si>
    <t>D0554054:K17</t>
  </si>
  <si>
    <t>TR06546851-001</t>
  </si>
  <si>
    <t>D0554053:P09</t>
  </si>
  <si>
    <t>TR06498049-002</t>
  </si>
  <si>
    <t>D0552435:L12</t>
  </si>
  <si>
    <t>TR06387721-003</t>
  </si>
  <si>
    <t>F21</t>
  </si>
  <si>
    <t>D0552436:F21</t>
  </si>
  <si>
    <t>TR06439701-001</t>
  </si>
  <si>
    <t>D0554053:C02</t>
  </si>
  <si>
    <t>TR06486299-001</t>
  </si>
  <si>
    <t>D0554053:B24</t>
  </si>
  <si>
    <t>TR06512304-001</t>
  </si>
  <si>
    <t>P5</t>
  </si>
  <si>
    <t>P05</t>
  </si>
  <si>
    <t>D0552436:P05</t>
  </si>
  <si>
    <t>TR06417172-002</t>
  </si>
  <si>
    <t>D0552436:B23</t>
  </si>
  <si>
    <t>TR06444402-004</t>
  </si>
  <si>
    <t>D0554055:G24</t>
  </si>
  <si>
    <t>L9</t>
  </si>
  <si>
    <t>L09</t>
  </si>
  <si>
    <t>D0554055:L09</t>
  </si>
  <si>
    <t>D0552431:B10</t>
  </si>
  <si>
    <t>TR01188958-004</t>
  </si>
  <si>
    <t>D0552436:A23</t>
  </si>
  <si>
    <t>TR06444355-001</t>
  </si>
  <si>
    <t>K5</t>
  </si>
  <si>
    <t>K05</t>
  </si>
  <si>
    <t>D0554054:K05</t>
  </si>
  <si>
    <t>TR06524888-001</t>
  </si>
  <si>
    <t>D0552436:C23</t>
  </si>
  <si>
    <t>TR06444403-001</t>
  </si>
  <si>
    <t>J19</t>
  </si>
  <si>
    <t>D0554054:J19</t>
  </si>
  <si>
    <t>TR06547816-001</t>
  </si>
  <si>
    <t>D0552433:A18</t>
  </si>
  <si>
    <t>TR01621147-004</t>
  </si>
  <si>
    <t>D0552431:A03</t>
  </si>
  <si>
    <t>TR01076853-004</t>
  </si>
  <si>
    <t>D0552435:P11</t>
  </si>
  <si>
    <t>TR06387645-005</t>
  </si>
  <si>
    <t>J4</t>
  </si>
  <si>
    <t>J04</t>
  </si>
  <si>
    <t>D0554055:J04</t>
  </si>
  <si>
    <t>D0554055:P16</t>
  </si>
  <si>
    <t>D0554055:H03</t>
  </si>
  <si>
    <t>TR06562794-002</t>
  </si>
  <si>
    <t>D0554053:B09</t>
  </si>
  <si>
    <t>TR06496749-001</t>
  </si>
  <si>
    <t>D0552434:O22</t>
  </si>
  <si>
    <t>TR02409560-004</t>
  </si>
  <si>
    <t>D0554053:F22</t>
  </si>
  <si>
    <t>TR06511273-001</t>
  </si>
  <si>
    <t>B19</t>
  </si>
  <si>
    <t>D0552431:B19</t>
  </si>
  <si>
    <t>TR01244276-007</t>
  </si>
  <si>
    <t>E17</t>
  </si>
  <si>
    <t>D0554054:E17</t>
  </si>
  <si>
    <t>TR06546539-001</t>
  </si>
  <si>
    <t>D0552434:O13</t>
  </si>
  <si>
    <t>TR01975928-005</t>
  </si>
  <si>
    <t>D0554055:B22</t>
  </si>
  <si>
    <t>H16</t>
  </si>
  <si>
    <t>D0552433:H16</t>
  </si>
  <si>
    <t>TR01607456-003</t>
  </si>
  <si>
    <t>E21</t>
  </si>
  <si>
    <t>D0554055:E21</t>
  </si>
  <si>
    <t>B18</t>
  </si>
  <si>
    <t>D0554053:B18</t>
  </si>
  <si>
    <t>TR06506136-002</t>
  </si>
  <si>
    <t>D0554054:J23</t>
  </si>
  <si>
    <t>TR06555315-002</t>
  </si>
  <si>
    <t>D0554055:E20</t>
  </si>
  <si>
    <t>D0554055:C24</t>
  </si>
  <si>
    <t>E2</t>
  </si>
  <si>
    <t>E02</t>
  </si>
  <si>
    <t>D0552431:E02</t>
  </si>
  <si>
    <t>TR01061571-003</t>
  </si>
  <si>
    <t>D0552433:P22</t>
  </si>
  <si>
    <t>TR01677270-002</t>
  </si>
  <si>
    <t>K19</t>
  </si>
  <si>
    <t>D0554055:K19</t>
  </si>
  <si>
    <t>O10</t>
  </si>
  <si>
    <t>D0554054:O20</t>
  </si>
  <si>
    <t>TR06548044-001</t>
  </si>
  <si>
    <t>H23</t>
  </si>
  <si>
    <t>D0552434:H23</t>
  </si>
  <si>
    <t>TR02456155-002</t>
  </si>
  <si>
    <t>D0552432:P16</t>
  </si>
  <si>
    <t>TR01399727-005</t>
  </si>
  <si>
    <t>D0552433:P01</t>
  </si>
  <si>
    <t>TR01488317-002</t>
  </si>
  <si>
    <t>K22</t>
  </si>
  <si>
    <t>D0554054:K22</t>
  </si>
  <si>
    <t>TR06553694-001</t>
  </si>
  <si>
    <t>D0554054:P05</t>
  </si>
  <si>
    <t>TR06524973-001</t>
  </si>
  <si>
    <t>J17</t>
  </si>
  <si>
    <t>D0554054:J17</t>
  </si>
  <si>
    <t>TR06546823-002</t>
  </si>
  <si>
    <t>D0552434:N02</t>
  </si>
  <si>
    <t>TR01713682-006</t>
  </si>
  <si>
    <t>G19</t>
  </si>
  <si>
    <t>D0552431:G19</t>
  </si>
  <si>
    <t>TR01248081-004</t>
  </si>
  <si>
    <t>C12</t>
  </si>
  <si>
    <t>D0554054:N23</t>
  </si>
  <si>
    <t>TR06555377-001</t>
  </si>
  <si>
    <t>H18</t>
  </si>
  <si>
    <t>D0554053:H18</t>
  </si>
  <si>
    <t>TR06506502-001</t>
  </si>
  <si>
    <t>D0554053:A02</t>
  </si>
  <si>
    <t>TR06486288-001</t>
  </si>
  <si>
    <t>D0552435:A17</t>
  </si>
  <si>
    <t>TR06400837-001</t>
  </si>
  <si>
    <t>D0552433:A11</t>
  </si>
  <si>
    <t>TR01559849-004</t>
  </si>
  <si>
    <t>F12</t>
  </si>
  <si>
    <t>D0552432:A02</t>
  </si>
  <si>
    <t>TR01284924-002</t>
  </si>
  <si>
    <t>H7</t>
  </si>
  <si>
    <t>H07</t>
  </si>
  <si>
    <t>D0552435:H07</t>
  </si>
  <si>
    <t>TR06375483-012</t>
  </si>
  <si>
    <t>N16</t>
  </si>
  <si>
    <t>D0552433:N16</t>
  </si>
  <si>
    <t>TR01609207-003</t>
  </si>
  <si>
    <t>D0554054:M02</t>
  </si>
  <si>
    <t>TR06516589-001</t>
  </si>
  <si>
    <t>O15</t>
  </si>
  <si>
    <t>D0554054:O15</t>
  </si>
  <si>
    <t>TR06546102-001</t>
  </si>
  <si>
    <t>D0552433:O11</t>
  </si>
  <si>
    <t>TR01564763-003</t>
  </si>
  <si>
    <t>D0552435:O08</t>
  </si>
  <si>
    <t>TR06375779-004</t>
  </si>
  <si>
    <t>B20</t>
  </si>
  <si>
    <t>D0554054:B20</t>
  </si>
  <si>
    <t>TR06547926-001</t>
  </si>
  <si>
    <t>D0552434:J23</t>
  </si>
  <si>
    <t>TR02456552-003</t>
  </si>
  <si>
    <t>N7</t>
  </si>
  <si>
    <t>N07</t>
  </si>
  <si>
    <t>D0554054:N07</t>
  </si>
  <si>
    <t>TR06525851-002</t>
  </si>
  <si>
    <t>I17</t>
  </si>
  <si>
    <t>D0552431:I17</t>
  </si>
  <si>
    <t>TR01233947-004</t>
  </si>
  <si>
    <t>D0554054:E21</t>
  </si>
  <si>
    <t>TR06548099-001</t>
  </si>
  <si>
    <t>M5</t>
  </si>
  <si>
    <t>M05</t>
  </si>
  <si>
    <t>D0554054:M05</t>
  </si>
  <si>
    <t>TR06524930-001</t>
  </si>
  <si>
    <t>D0552435:A20</t>
  </si>
  <si>
    <t>TR06405671-002</t>
  </si>
  <si>
    <t>D0554053:K22</t>
  </si>
  <si>
    <t>TR06511407-001</t>
  </si>
  <si>
    <t>D12</t>
  </si>
  <si>
    <t>D0554053:A11</t>
  </si>
  <si>
    <t>TR06500138-001</t>
  </si>
  <si>
    <t>O16</t>
  </si>
  <si>
    <t>D0554055:O16</t>
  </si>
  <si>
    <t>D0552434:H22</t>
  </si>
  <si>
    <t>TR02362981-002</t>
  </si>
  <si>
    <t>D0552431:B01</t>
  </si>
  <si>
    <t>TR00968816-007</t>
  </si>
  <si>
    <t>D0554055:C21</t>
  </si>
  <si>
    <t>D20</t>
  </si>
  <si>
    <t>D0552436:D20</t>
  </si>
  <si>
    <t>TR06431063-002</t>
  </si>
  <si>
    <t>N13</t>
  </si>
  <si>
    <t>D0552433:N13</t>
  </si>
  <si>
    <t>TR01583764-005</t>
  </si>
  <si>
    <t>C14</t>
  </si>
  <si>
    <t>D0552435:C14</t>
  </si>
  <si>
    <t>TR06390018-011</t>
  </si>
  <si>
    <t>D0552433:G22</t>
  </si>
  <si>
    <t>TR01663883-004</t>
  </si>
  <si>
    <t>D0552435:M04</t>
  </si>
  <si>
    <t>TR06135966-016</t>
  </si>
  <si>
    <t>D0552434:O16</t>
  </si>
  <si>
    <t>TR02056385-002</t>
  </si>
  <si>
    <t>N19</t>
  </si>
  <si>
    <t>D0552432:N19</t>
  </si>
  <si>
    <t>TR01427973-005</t>
  </si>
  <si>
    <t>C6</t>
  </si>
  <si>
    <t>C06</t>
  </si>
  <si>
    <t>D0554054:C06</t>
  </si>
  <si>
    <t>TR06525096-001</t>
  </si>
  <si>
    <t>D0554053:M01</t>
  </si>
  <si>
    <t>TR06483233-001</t>
  </si>
  <si>
    <t>D0554054:L21</t>
  </si>
  <si>
    <t>TR06548161-001</t>
  </si>
  <si>
    <t>D0552432:C13</t>
  </si>
  <si>
    <t>TR01368471-002</t>
  </si>
  <si>
    <t>D0552434:I01</t>
  </si>
  <si>
    <t>TR01699029-006</t>
  </si>
  <si>
    <t>D0552433:F19</t>
  </si>
  <si>
    <t>TR01634414-002</t>
  </si>
  <si>
    <t>D0552431:F24</t>
  </si>
  <si>
    <t>TR01280840-005</t>
  </si>
  <si>
    <t>D0552436:H04</t>
  </si>
  <si>
    <t>TR06416673-003</t>
  </si>
  <si>
    <t>G13</t>
  </si>
  <si>
    <t>D0552436:G13</t>
  </si>
  <si>
    <t>TR06423663-001</t>
  </si>
  <si>
    <t>D0552432:O11</t>
  </si>
  <si>
    <t>TR01357037-002</t>
  </si>
  <si>
    <t>D0552432:A03</t>
  </si>
  <si>
    <t>TR01294634-006</t>
  </si>
  <si>
    <t>D0552432:M02</t>
  </si>
  <si>
    <t>TR01290163-005</t>
  </si>
  <si>
    <t>D0554055:P18</t>
  </si>
  <si>
    <t>D0552433:K14</t>
  </si>
  <si>
    <t>TR01593817-011</t>
  </si>
  <si>
    <t>D0552433:N22</t>
  </si>
  <si>
    <t>TR01673317-002</t>
  </si>
  <si>
    <t>D0554054:B09</t>
  </si>
  <si>
    <t>TR06526516-001</t>
  </si>
  <si>
    <t>D0554054:K19</t>
  </si>
  <si>
    <t>TR06547818-001</t>
  </si>
  <si>
    <t>P23</t>
  </si>
  <si>
    <t>D0552431:P23</t>
  </si>
  <si>
    <t>TR01278821-004</t>
  </si>
  <si>
    <t>I19</t>
  </si>
  <si>
    <t>D0554054:I19</t>
  </si>
  <si>
    <t>TR06547805-001</t>
  </si>
  <si>
    <t>N11</t>
  </si>
  <si>
    <t>D0552432:N11</t>
  </si>
  <si>
    <t>TR01356893-003</t>
  </si>
  <si>
    <t>L6</t>
  </si>
  <si>
    <t>L06</t>
  </si>
  <si>
    <t>D0554053:L06</t>
  </si>
  <si>
    <t>TR06489356-001</t>
  </si>
  <si>
    <t>F17</t>
  </si>
  <si>
    <t>D0552433:F17</t>
  </si>
  <si>
    <t>TR01612406-002</t>
  </si>
  <si>
    <t>G7</t>
  </si>
  <si>
    <t>G07</t>
  </si>
  <si>
    <t>D0554054:G07</t>
  </si>
  <si>
    <t>TR06525636-001</t>
  </si>
  <si>
    <t>I6</t>
  </si>
  <si>
    <t>I06</t>
  </si>
  <si>
    <t>D0552433:I06</t>
  </si>
  <si>
    <t>TR01527343-003</t>
  </si>
  <si>
    <t>J18</t>
  </si>
  <si>
    <t>D0552433:J18</t>
  </si>
  <si>
    <t>TR01626999-002</t>
  </si>
  <si>
    <t>E7</t>
  </si>
  <si>
    <t>E07</t>
  </si>
  <si>
    <t>D0554054:E07</t>
  </si>
  <si>
    <t>TR06525603-001</t>
  </si>
  <si>
    <t>D0552436:P17</t>
  </si>
  <si>
    <t>TR06428587-001</t>
  </si>
  <si>
    <t>J21</t>
  </si>
  <si>
    <t>D0554054:J21</t>
  </si>
  <si>
    <t>TR06548137-001</t>
  </si>
  <si>
    <t>D0552432:E01</t>
  </si>
  <si>
    <t>TR01282059-004</t>
  </si>
  <si>
    <t>D0552431:G24</t>
  </si>
  <si>
    <t>TR01281197-003</t>
  </si>
  <si>
    <t>K21</t>
  </si>
  <si>
    <t>D0552433:K21</t>
  </si>
  <si>
    <t>TR01657591-002</t>
  </si>
  <si>
    <t>N20</t>
  </si>
  <si>
    <t>D0554054:N20</t>
  </si>
  <si>
    <t>TR06548034-001</t>
  </si>
  <si>
    <t>E4</t>
  </si>
  <si>
    <t>E04</t>
  </si>
  <si>
    <t>D0552433:E04</t>
  </si>
  <si>
    <t>TR01510708-007</t>
  </si>
  <si>
    <t>D0552435:L22</t>
  </si>
  <si>
    <t>TR06408581-004</t>
  </si>
  <si>
    <t>L14</t>
  </si>
  <si>
    <t>D0554053:L14</t>
  </si>
  <si>
    <t>TR06502682-001</t>
  </si>
  <si>
    <t>G2</t>
  </si>
  <si>
    <t>G02</t>
  </si>
  <si>
    <t>D0554053:G02</t>
  </si>
  <si>
    <t>TR06486349-002</t>
  </si>
  <si>
    <t>E3</t>
  </si>
  <si>
    <t>E03</t>
  </si>
  <si>
    <t>D0554054:E03</t>
  </si>
  <si>
    <t>TR06516661-001</t>
  </si>
  <si>
    <t>F23</t>
  </si>
  <si>
    <t>D0554055:F23</t>
  </si>
  <si>
    <t>D0552431:B17</t>
  </si>
  <si>
    <t>TR01232117-002</t>
  </si>
  <si>
    <t>D0552431:P17</t>
  </si>
  <si>
    <t>TR01235779-009</t>
  </si>
  <si>
    <t>F13</t>
  </si>
  <si>
    <t>M9</t>
  </si>
  <si>
    <t>M09</t>
  </si>
  <si>
    <t>D0554053:M09</t>
  </si>
  <si>
    <t>TR06498014-001</t>
  </si>
  <si>
    <t>K16</t>
  </si>
  <si>
    <t>D0552433:K16</t>
  </si>
  <si>
    <t>TR01609066-002</t>
  </si>
  <si>
    <t>N10</t>
  </si>
  <si>
    <t>D0552431:A07</t>
  </si>
  <si>
    <t>TR01149275-006</t>
  </si>
  <si>
    <t>D0554054:A18</t>
  </si>
  <si>
    <t>TR06547064-001</t>
  </si>
  <si>
    <t>D0552436:D12</t>
  </si>
  <si>
    <t>TR06422513-001</t>
  </si>
  <si>
    <t>D8</t>
  </si>
  <si>
    <t>D08</t>
  </si>
  <si>
    <t>D0554054:D08</t>
  </si>
  <si>
    <t>TR06526336-001</t>
  </si>
  <si>
    <t>I18</t>
  </si>
  <si>
    <t>D0552435:I18</t>
  </si>
  <si>
    <t>TR06404007-003</t>
  </si>
  <si>
    <t>I4</t>
  </si>
  <si>
    <t>I04</t>
  </si>
  <si>
    <t>D0554054:I04</t>
  </si>
  <si>
    <t>TR06521993-001</t>
  </si>
  <si>
    <t>O7</t>
  </si>
  <si>
    <t>O07</t>
  </si>
  <si>
    <t>D0552433:O07</t>
  </si>
  <si>
    <t>TR01535871-002</t>
  </si>
  <si>
    <t>D0552433:H23</t>
  </si>
  <si>
    <t>TR01680810-004</t>
  </si>
  <si>
    <t>C16</t>
  </si>
  <si>
    <t>D0552433:C16</t>
  </si>
  <si>
    <t>TR01603559-003</t>
  </si>
  <si>
    <t>D0554053:C11</t>
  </si>
  <si>
    <t>TR06500182-002</t>
  </si>
  <si>
    <t>N8</t>
  </si>
  <si>
    <t>N08</t>
  </si>
  <si>
    <t>D0554054:N08</t>
  </si>
  <si>
    <t>TR06526450-001</t>
  </si>
  <si>
    <t>D0554055:O05</t>
  </si>
  <si>
    <t>D22</t>
  </si>
  <si>
    <t>D0552433:D22</t>
  </si>
  <si>
    <t>TR01662629-002</t>
  </si>
  <si>
    <t>A6</t>
  </si>
  <si>
    <t>A06</t>
  </si>
  <si>
    <t>D0552436:A06</t>
  </si>
  <si>
    <t>TR06417174-002</t>
  </si>
  <si>
    <t>C5</t>
  </si>
  <si>
    <t>C05</t>
  </si>
  <si>
    <t>D0554054:C05</t>
  </si>
  <si>
    <t>TR06524235-002</t>
  </si>
  <si>
    <t>D0554055:B04</t>
  </si>
  <si>
    <t>D0554055:K03</t>
  </si>
  <si>
    <t>TR06562797-001</t>
  </si>
  <si>
    <t>I16</t>
  </si>
  <si>
    <t>D0554054:I16</t>
  </si>
  <si>
    <t>TR06546292-001</t>
  </si>
  <si>
    <t>D0552435:K23</t>
  </si>
  <si>
    <t>TR06412087-002</t>
  </si>
  <si>
    <t>D0554054:O07</t>
  </si>
  <si>
    <t>TR06525852-001</t>
  </si>
  <si>
    <t>G23</t>
  </si>
  <si>
    <t>D0554053:G23</t>
  </si>
  <si>
    <t>TR06512200-001</t>
  </si>
  <si>
    <t>D0552432:A04</t>
  </si>
  <si>
    <t>TR01299482-003</t>
  </si>
  <si>
    <t>D0552436:E15</t>
  </si>
  <si>
    <t>TR06424325-002</t>
  </si>
  <si>
    <t>D0552435:E17</t>
  </si>
  <si>
    <t>TR06400943-001</t>
  </si>
  <si>
    <t>H17</t>
  </si>
  <si>
    <t>D0552433:H17</t>
  </si>
  <si>
    <t>TR01613128-003</t>
  </si>
  <si>
    <t>D0554053:L23</t>
  </si>
  <si>
    <t>TR06512238-001</t>
  </si>
  <si>
    <t>D0552434:M03</t>
  </si>
  <si>
    <t>TR01733888-002</t>
  </si>
  <si>
    <t>D0554055:K23</t>
  </si>
  <si>
    <t>F2</t>
  </si>
  <si>
    <t>F02</t>
  </si>
  <si>
    <t>D0554054:F02</t>
  </si>
  <si>
    <t>TR06516505-001</t>
  </si>
  <si>
    <t>D0552435:A07</t>
  </si>
  <si>
    <t>TR06375258-013</t>
  </si>
  <si>
    <t>D0552433:P13</t>
  </si>
  <si>
    <t>TR01586654-006</t>
  </si>
  <si>
    <t>D0554054:L06</t>
  </si>
  <si>
    <t>TR06525426-001</t>
  </si>
  <si>
    <t>H15</t>
  </si>
  <si>
    <t>D0554053:H15</t>
  </si>
  <si>
    <t>TR06502802-001</t>
  </si>
  <si>
    <t>D0554053:O16</t>
  </si>
  <si>
    <t>TR06505526-001</t>
  </si>
  <si>
    <t>D0554054:B18</t>
  </si>
  <si>
    <t>TR06547065-001</t>
  </si>
  <si>
    <t>N18</t>
  </si>
  <si>
    <t>D0554054:N18</t>
  </si>
  <si>
    <t>TR06547184-001</t>
  </si>
  <si>
    <t>D0554055:P12</t>
  </si>
  <si>
    <t>D0554055:M17</t>
  </si>
  <si>
    <t>D0552433:O02</t>
  </si>
  <si>
    <t>TR01495925-003</t>
  </si>
  <si>
    <t>D3</t>
  </si>
  <si>
    <t>D03</t>
  </si>
  <si>
    <t>D0552433:D03</t>
  </si>
  <si>
    <t>TR01500770-003</t>
  </si>
  <si>
    <t>D0554055:O08</t>
  </si>
  <si>
    <t>D0552435:P23</t>
  </si>
  <si>
    <t>TR06412146-001</t>
  </si>
  <si>
    <t>D0554055:C22</t>
  </si>
  <si>
    <t>D0554055:N13</t>
  </si>
  <si>
    <t>I21</t>
  </si>
  <si>
    <t>D0554053:I21</t>
  </si>
  <si>
    <t>TR06510645-002</t>
  </si>
  <si>
    <t>D0552431:M01</t>
  </si>
  <si>
    <t>TR01038740-004</t>
  </si>
  <si>
    <t>D0552432:A16</t>
  </si>
  <si>
    <t>TR01391296-007</t>
  </si>
  <si>
    <t>D0552433:A12</t>
  </si>
  <si>
    <t>TR01565459-006</t>
  </si>
  <si>
    <t>D0554055:G20</t>
  </si>
  <si>
    <t>D0552433:C17</t>
  </si>
  <si>
    <t>TR01610475-003</t>
  </si>
  <si>
    <t>D0554053:C23</t>
  </si>
  <si>
    <t>TR06511630-001</t>
  </si>
  <si>
    <t>D0552435:M02</t>
  </si>
  <si>
    <t>TR06111521-013</t>
  </si>
  <si>
    <t>D0552436:C21</t>
  </si>
  <si>
    <t>TR06439662-001</t>
  </si>
  <si>
    <t>D0552433:K03</t>
  </si>
  <si>
    <t>TR01505854-002</t>
  </si>
  <si>
    <t>D17</t>
  </si>
  <si>
    <t>D0552433:D17</t>
  </si>
  <si>
    <t>TR01612006-003</t>
  </si>
  <si>
    <t>D0554053:I18</t>
  </si>
  <si>
    <t>TR06507081-001</t>
  </si>
  <si>
    <t>K7</t>
  </si>
  <si>
    <t>K07</t>
  </si>
  <si>
    <t>D0554053:K07</t>
  </si>
  <si>
    <t>TR06496440-001</t>
  </si>
  <si>
    <t>M19</t>
  </si>
  <si>
    <t>D0552431:M19</t>
  </si>
  <si>
    <t>TR01251340-002</t>
  </si>
  <si>
    <t>L7</t>
  </si>
  <si>
    <t>L07</t>
  </si>
  <si>
    <t>D0552433:L07</t>
  </si>
  <si>
    <t>TR01535516-010</t>
  </si>
  <si>
    <t>D0552431:A20</t>
  </si>
  <si>
    <t>TR01253202-011</t>
  </si>
  <si>
    <t>F11</t>
  </si>
  <si>
    <t>D0552433:M17</t>
  </si>
  <si>
    <t>TR01617845-003</t>
  </si>
  <si>
    <t>D0554055:P11</t>
  </si>
  <si>
    <t>D0552435:A13</t>
  </si>
  <si>
    <t>TR06387765-004</t>
  </si>
  <si>
    <t>I5</t>
  </si>
  <si>
    <t>I05</t>
  </si>
  <si>
    <t>D0552433:I05</t>
  </si>
  <si>
    <t>TR01517652-002</t>
  </si>
  <si>
    <t>D0552433:I18</t>
  </si>
  <si>
    <t>TR01625671-007</t>
  </si>
  <si>
    <t>D0554055:E23</t>
  </si>
  <si>
    <t>D0552433:P11</t>
  </si>
  <si>
    <t>TR01565361-004</t>
  </si>
  <si>
    <t>D0552432:P11</t>
  </si>
  <si>
    <t>TR01357116-008</t>
  </si>
  <si>
    <t>D0554054:L09</t>
  </si>
  <si>
    <t>TR06532493-001</t>
  </si>
  <si>
    <t>D0552433:D07</t>
  </si>
  <si>
    <t>TR01533403-003</t>
  </si>
  <si>
    <t>F7</t>
  </si>
  <si>
    <t>F07</t>
  </si>
  <si>
    <t>D0552435:F07</t>
  </si>
  <si>
    <t>TR06375418-014</t>
  </si>
  <si>
    <t>D0554055:L23</t>
  </si>
  <si>
    <t>H5</t>
  </si>
  <si>
    <t>H05</t>
  </si>
  <si>
    <t>D0554054:H05</t>
  </si>
  <si>
    <t>TR06524843-001</t>
  </si>
  <si>
    <t>D0554053:K15</t>
  </si>
  <si>
    <t>TR06502840-001</t>
  </si>
  <si>
    <t>D0552434:C15</t>
  </si>
  <si>
    <t>TR02004393-002</t>
  </si>
  <si>
    <t>D0552432:P17</t>
  </si>
  <si>
    <t>TR01412962-006</t>
  </si>
  <si>
    <t>D0552431:H18</t>
  </si>
  <si>
    <t>TR01241540-006</t>
  </si>
  <si>
    <t>D0554053:P05</t>
  </si>
  <si>
    <t>TR06489254-002</t>
  </si>
  <si>
    <t>H20</t>
  </si>
  <si>
    <t>D0554054:H20</t>
  </si>
  <si>
    <t>TR06547980-001</t>
  </si>
  <si>
    <t>D0552431:G15</t>
  </si>
  <si>
    <t>TR01224063-007</t>
  </si>
  <si>
    <t>D0552434:D24</t>
  </si>
  <si>
    <t>TR02685361-003</t>
  </si>
  <si>
    <t>D0552432:N02</t>
  </si>
  <si>
    <t>TR01291819-004</t>
  </si>
  <si>
    <t>K20</t>
  </si>
  <si>
    <t>D0552436:K20</t>
  </si>
  <si>
    <t>TR06439515-002</t>
  </si>
  <si>
    <t>J15</t>
  </si>
  <si>
    <t>D0552433:J15</t>
  </si>
  <si>
    <t>TR01600197-004</t>
  </si>
  <si>
    <t>D0552431:C02</t>
  </si>
  <si>
    <t>TR01060254-004</t>
  </si>
  <si>
    <t>D0554053:H23</t>
  </si>
  <si>
    <t>TR06512202-001</t>
  </si>
  <si>
    <t>D0554054:G24</t>
  </si>
  <si>
    <t>TR06556613-001</t>
  </si>
  <si>
    <t>M23</t>
  </si>
  <si>
    <t>D0552433:M23</t>
  </si>
  <si>
    <t>TR01683989-007</t>
  </si>
  <si>
    <t>D0552431:O03</t>
  </si>
  <si>
    <t>TR01111539-004</t>
  </si>
  <si>
    <t>M12</t>
  </si>
  <si>
    <t>M15</t>
  </si>
  <si>
    <t>D0552431:M15</t>
  </si>
  <si>
    <t>TR01225823-005</t>
  </si>
  <si>
    <t>D0554053:B17</t>
  </si>
  <si>
    <t>TR06505583-001</t>
  </si>
  <si>
    <t>D0554054:K16</t>
  </si>
  <si>
    <t>TR06546366-001</t>
  </si>
  <si>
    <t>I7</t>
  </si>
  <si>
    <t>I07</t>
  </si>
  <si>
    <t>D0552435:I07</t>
  </si>
  <si>
    <t>TR06375531-004</t>
  </si>
  <si>
    <t>D0554053:K21</t>
  </si>
  <si>
    <t>TR06510661-001</t>
  </si>
  <si>
    <t>B6</t>
  </si>
  <si>
    <t>B06</t>
  </si>
  <si>
    <t>D0552436:B06</t>
  </si>
  <si>
    <t>TR06419167-004</t>
  </si>
  <si>
    <t>D0552435:A22</t>
  </si>
  <si>
    <t>TR06408158-002</t>
  </si>
  <si>
    <t>D0554055:F24</t>
  </si>
  <si>
    <t>H19</t>
  </si>
  <si>
    <t>D0552431:H19</t>
  </si>
  <si>
    <t>TR01249355-004</t>
  </si>
  <si>
    <t>D0554054:H18</t>
  </si>
  <si>
    <t>TR06547111-001</t>
  </si>
  <si>
    <t>D0554055:A06</t>
  </si>
  <si>
    <t>J22</t>
  </si>
  <si>
    <t>D0552433:J22</t>
  </si>
  <si>
    <t>TR01669649-002</t>
  </si>
  <si>
    <t>N21</t>
  </si>
  <si>
    <t>D0552433:N21</t>
  </si>
  <si>
    <t>TR01658780-003</t>
  </si>
  <si>
    <t>G16</t>
  </si>
  <si>
    <t>D0554054:G16</t>
  </si>
  <si>
    <t>TR06546260-001</t>
  </si>
  <si>
    <t>D0554053:D02</t>
  </si>
  <si>
    <t>TR06486319-001</t>
  </si>
  <si>
    <t>E10</t>
  </si>
  <si>
    <t>D0552433:E10</t>
  </si>
  <si>
    <t>TR01555860-003</t>
  </si>
  <si>
    <t>D0554055:J07</t>
  </si>
  <si>
    <t>D0554053:E22</t>
  </si>
  <si>
    <t>TR06511188-001</t>
  </si>
  <si>
    <t>D0552433:I23</t>
  </si>
  <si>
    <t>TR01681469-002</t>
  </si>
  <si>
    <t>D0552433:I17</t>
  </si>
  <si>
    <t>TR01613142-004</t>
  </si>
  <si>
    <t>G6</t>
  </si>
  <si>
    <t>G06</t>
  </si>
  <si>
    <t>D0554054:G06</t>
  </si>
  <si>
    <t>TR06525305-001</t>
  </si>
  <si>
    <t>D0552435:A23</t>
  </si>
  <si>
    <t>TR06411635-002</t>
  </si>
  <si>
    <t>D0554053:N08</t>
  </si>
  <si>
    <t>TR06496582-001</t>
  </si>
  <si>
    <t>I12</t>
  </si>
  <si>
    <t>D0552434:C23</t>
  </si>
  <si>
    <t>TR02430371-002</t>
  </si>
  <si>
    <t>B16</t>
  </si>
  <si>
    <t>D0552436:B16</t>
  </si>
  <si>
    <t>TR06424607-002</t>
  </si>
  <si>
    <t>D0552436:J17</t>
  </si>
  <si>
    <t>TR06428543-002</t>
  </si>
  <si>
    <t>D0554053:E20</t>
  </si>
  <si>
    <t>TR06509934-001</t>
  </si>
  <si>
    <t>D0554055:I23</t>
  </si>
  <si>
    <t>D0554055:A19</t>
  </si>
  <si>
    <t>D0552435:D04</t>
  </si>
  <si>
    <t>TR06127182-010</t>
  </si>
  <si>
    <t>D0554053:B16</t>
  </si>
  <si>
    <t>TR06504954-002</t>
  </si>
  <si>
    <t>D0552433:O12</t>
  </si>
  <si>
    <t>TR01572721-005</t>
  </si>
  <si>
    <t>J6</t>
  </si>
  <si>
    <t>J06</t>
  </si>
  <si>
    <t>D0554054:J06</t>
  </si>
  <si>
    <t>TR06525344-001</t>
  </si>
  <si>
    <t>E18</t>
  </si>
  <si>
    <t>D0554055:E18</t>
  </si>
  <si>
    <t>K12</t>
  </si>
  <si>
    <t>D0554053:K12</t>
  </si>
  <si>
    <t>TR06500881-002</t>
  </si>
  <si>
    <t>D0552432:L02</t>
  </si>
  <si>
    <t>TR01288959-005</t>
  </si>
  <si>
    <t>D0554054:F17</t>
  </si>
  <si>
    <t>TR06546540-001</t>
  </si>
  <si>
    <t>G4</t>
  </si>
  <si>
    <t>G04</t>
  </si>
  <si>
    <t>D0554054:G04</t>
  </si>
  <si>
    <t>TR06516903-001</t>
  </si>
  <si>
    <t>D15</t>
  </si>
  <si>
    <t>D0552433:D15</t>
  </si>
  <si>
    <t>TR01597728-003</t>
  </si>
  <si>
    <t>D0554054:A06</t>
  </si>
  <si>
    <t>TR06525016-001</t>
  </si>
  <si>
    <t>J11</t>
  </si>
  <si>
    <t>D0552433:J11</t>
  </si>
  <si>
    <t>TR01562096-003</t>
  </si>
  <si>
    <t>D0552435:C19</t>
  </si>
  <si>
    <t>TR06404145-001</t>
  </si>
  <si>
    <t>D6</t>
  </si>
  <si>
    <t>D06</t>
  </si>
  <si>
    <t>D0552435:D06</t>
  </si>
  <si>
    <t>TR06202348-005</t>
  </si>
  <si>
    <t>D0552431:I12</t>
  </si>
  <si>
    <t>TR01203819-003</t>
  </si>
  <si>
    <t>D0552433:N14</t>
  </si>
  <si>
    <t>TR01594393-002</t>
  </si>
  <si>
    <t>D0552432:B06</t>
  </si>
  <si>
    <t>TR01312291-003</t>
  </si>
  <si>
    <t>D0552436:N09</t>
  </si>
  <si>
    <t>TR06420662-001</t>
  </si>
  <si>
    <t>D0552432:J22</t>
  </si>
  <si>
    <t>TR01452843-003</t>
  </si>
  <si>
    <t>D0552431:P06</t>
  </si>
  <si>
    <t>TR01149272-005</t>
  </si>
  <si>
    <t>D0552436:M09</t>
  </si>
  <si>
    <t>TR06420661-001</t>
  </si>
  <si>
    <t>D0554053:F17</t>
  </si>
  <si>
    <t>TR06505658-002</t>
  </si>
  <si>
    <t>C7</t>
  </si>
  <si>
    <t>C07</t>
  </si>
  <si>
    <t>D0554055:C07</t>
  </si>
  <si>
    <t>D0554054:M19</t>
  </si>
  <si>
    <t>TR06547852-001</t>
  </si>
  <si>
    <t>A21</t>
  </si>
  <si>
    <t>D0552432:A21</t>
  </si>
  <si>
    <t>TR01439529-004</t>
  </si>
  <si>
    <t>D0554053:D17</t>
  </si>
  <si>
    <t>TR06505605-001</t>
  </si>
  <si>
    <t>D0552436:E04</t>
  </si>
  <si>
    <t>TR06416628-002</t>
  </si>
  <si>
    <t>D0554053:H21</t>
  </si>
  <si>
    <t>TR06510620-001</t>
  </si>
  <si>
    <t>D0554055:I22</t>
  </si>
  <si>
    <t>D0554053:A14</t>
  </si>
  <si>
    <t>TR06501097-001</t>
  </si>
  <si>
    <t>D0554055:A21</t>
  </si>
  <si>
    <t>D0552433:M09</t>
  </si>
  <si>
    <t>TR01549808-004</t>
  </si>
  <si>
    <t>D0552431:M05</t>
  </si>
  <si>
    <t>TR01135911-002</t>
  </si>
  <si>
    <t>D0554054:I07</t>
  </si>
  <si>
    <t>TR06525690-001</t>
  </si>
  <si>
    <t>D0554053:C03</t>
  </si>
  <si>
    <t>TR06486442-001</t>
  </si>
  <si>
    <t>D0552431:O02</t>
  </si>
  <si>
    <t>TR01074979-008</t>
  </si>
  <si>
    <t>E16</t>
  </si>
  <si>
    <t>D0554054:E16</t>
  </si>
  <si>
    <t>TR06546225-001</t>
  </si>
  <si>
    <t>D0552431:A18</t>
  </si>
  <si>
    <t>TR01236938-004</t>
  </si>
  <si>
    <t>D0552433:C05</t>
  </si>
  <si>
    <t>TR01514022-005</t>
  </si>
  <si>
    <t>P15</t>
  </si>
  <si>
    <t>D0552435:P15</t>
  </si>
  <si>
    <t>TR06395369-001</t>
  </si>
  <si>
    <t>J12</t>
  </si>
  <si>
    <t>D0552435:J12</t>
  </si>
  <si>
    <t>TR06387705-008</t>
  </si>
  <si>
    <t>D0554055:A12</t>
  </si>
  <si>
    <t>L17</t>
  </si>
  <si>
    <t>D0552431:L17</t>
  </si>
  <si>
    <t>TR01234407-005</t>
  </si>
  <si>
    <t>D0552433:F07</t>
  </si>
  <si>
    <t>TR01534507-006</t>
  </si>
  <si>
    <t>D0552433:J19</t>
  </si>
  <si>
    <t>TR01636098-004</t>
  </si>
  <si>
    <t>D0552432:F20</t>
  </si>
  <si>
    <t>TR01432744-002</t>
  </si>
  <si>
    <t>D0552434:G23</t>
  </si>
  <si>
    <t>TR02455182-002</t>
  </si>
  <si>
    <t>D0554054:K07</t>
  </si>
  <si>
    <t>TR06525719-001</t>
  </si>
  <si>
    <t>N4</t>
  </si>
  <si>
    <t>N04</t>
  </si>
  <si>
    <t>D0552435:N04</t>
  </si>
  <si>
    <t>TR06135967-017</t>
  </si>
  <si>
    <t>D0554055:H24</t>
  </si>
  <si>
    <t>D0554053:L01</t>
  </si>
  <si>
    <t>TR06483202-001</t>
  </si>
  <si>
    <t>D0552434:D15</t>
  </si>
  <si>
    <t>TR02004979-003</t>
  </si>
  <si>
    <t>D0554055:B11</t>
  </si>
  <si>
    <t>H10</t>
  </si>
  <si>
    <t>D0552433:H10</t>
  </si>
  <si>
    <t>TR01556477-005</t>
  </si>
  <si>
    <t>D0552431:E23</t>
  </si>
  <si>
    <t>TR01275318-008</t>
  </si>
  <si>
    <t>D0552433:D14</t>
  </si>
  <si>
    <t>TR01587783-004</t>
  </si>
  <si>
    <t>D0552434:B06</t>
  </si>
  <si>
    <t>TR01770354-003</t>
  </si>
  <si>
    <t>D0552433:N07</t>
  </si>
  <si>
    <t>TR01535798-004</t>
  </si>
  <si>
    <t>D0552436:P22</t>
  </si>
  <si>
    <t>TR06444312-001</t>
  </si>
  <si>
    <t>D0554055:P06</t>
  </si>
  <si>
    <t>D19</t>
  </si>
  <si>
    <t>D0552435:D19</t>
  </si>
  <si>
    <t>TR06404146-001</t>
  </si>
  <si>
    <t>D0552432:I07</t>
  </si>
  <si>
    <t>TR01322418-003</t>
  </si>
  <si>
    <t>D0552431:A19</t>
  </si>
  <si>
    <t>TR01244186-004</t>
  </si>
  <si>
    <t>D0552435:G23</t>
  </si>
  <si>
    <t>TR06412011-001</t>
  </si>
  <si>
    <t>F6</t>
  </si>
  <si>
    <t>F06</t>
  </si>
  <si>
    <t>D0552432:F06</t>
  </si>
  <si>
    <t>TR01315487-007</t>
  </si>
  <si>
    <t>D0554055:C03</t>
  </si>
  <si>
    <t>TR06562789-001</t>
  </si>
  <si>
    <t>O14</t>
  </si>
  <si>
    <t>D0552434:O14</t>
  </si>
  <si>
    <t>TR01993810-003</t>
  </si>
  <si>
    <t>D0552433:N02</t>
  </si>
  <si>
    <t>TR01494665-005</t>
  </si>
  <si>
    <t>D0554053:J03</t>
  </si>
  <si>
    <t>TR06486499-001</t>
  </si>
  <si>
    <t>D0552436:B17</t>
  </si>
  <si>
    <t>TR06426702-001</t>
  </si>
  <si>
    <t>D0554055:A04</t>
  </si>
  <si>
    <t>D0554054:P16</t>
  </si>
  <si>
    <t>TR06546441-001</t>
  </si>
  <si>
    <t>D0552433:G19</t>
  </si>
  <si>
    <t>TR01634958-003</t>
  </si>
  <si>
    <t>D0552433:G12</t>
  </si>
  <si>
    <t>TR01567812-002</t>
  </si>
  <si>
    <t>D0552435:C16</t>
  </si>
  <si>
    <t>TR06395457-002</t>
  </si>
  <si>
    <t>D0552435:O22</t>
  </si>
  <si>
    <t>TR06410156-002</t>
  </si>
  <si>
    <t>D0552432:B17</t>
  </si>
  <si>
    <t>TR01401776-003</t>
  </si>
  <si>
    <t>D0552433:K04</t>
  </si>
  <si>
    <t>TR01511401-004</t>
  </si>
  <si>
    <t>D0552431:N18</t>
  </si>
  <si>
    <t>TR01243459-004</t>
  </si>
  <si>
    <t>D0552432:H17</t>
  </si>
  <si>
    <t>TR01405169-007</t>
  </si>
  <si>
    <t>D0554053:E03</t>
  </si>
  <si>
    <t>TR06486453-001</t>
  </si>
  <si>
    <t>D0554053:P23</t>
  </si>
  <si>
    <t>TR06512302-001</t>
  </si>
  <si>
    <t>C9</t>
  </si>
  <si>
    <t>C09</t>
  </si>
  <si>
    <t>D0554054:C09</t>
  </si>
  <si>
    <t>TR06526517-001</t>
  </si>
  <si>
    <t>D0554055:D24</t>
  </si>
  <si>
    <t>D0552431:J21</t>
  </si>
  <si>
    <t>TR01264145-007</t>
  </si>
  <si>
    <t>D0552431:I22</t>
  </si>
  <si>
    <t>TR01270207-006</t>
  </si>
  <si>
    <t>D0552436:B24</t>
  </si>
  <si>
    <t>TR06445368-001</t>
  </si>
  <si>
    <t>B14</t>
  </si>
  <si>
    <t>D0554055:O19</t>
  </si>
  <si>
    <t>O23</t>
  </si>
  <si>
    <t>D0554054:O23</t>
  </si>
  <si>
    <t>TR06555406-001</t>
  </si>
  <si>
    <t>N17</t>
  </si>
  <si>
    <t>D0552433:N17</t>
  </si>
  <si>
    <t>TR01618033-003</t>
  </si>
  <si>
    <t>D0552433:L22</t>
  </si>
  <si>
    <t>TR01670307-002</t>
  </si>
  <si>
    <t>D0552435:E12</t>
  </si>
  <si>
    <t>TR06387678-004</t>
  </si>
  <si>
    <t>D0554055:I18</t>
  </si>
  <si>
    <t>D0552434:B19</t>
  </si>
  <si>
    <t>TR02143686-002</t>
  </si>
  <si>
    <t>D0554055:G11</t>
  </si>
  <si>
    <t>D0552436:G04</t>
  </si>
  <si>
    <t>TR06416672-001</t>
  </si>
  <si>
    <t>D0554055:M03</t>
  </si>
  <si>
    <t>TR06562799-001</t>
  </si>
  <si>
    <t>D0552434:K01</t>
  </si>
  <si>
    <t>TR01703374-002</t>
  </si>
  <si>
    <t>D0552433:P09</t>
  </si>
  <si>
    <t>TR01551657-006</t>
  </si>
  <si>
    <t>J16</t>
  </si>
  <si>
    <t>D0552433:J16</t>
  </si>
  <si>
    <t>TR01608632-003</t>
  </si>
  <si>
    <t>L18</t>
  </si>
  <si>
    <t>D0554054:L18</t>
  </si>
  <si>
    <t>TR06547180-001</t>
  </si>
  <si>
    <t>D0554055:G22</t>
  </si>
  <si>
    <t>D0554053:B06</t>
  </si>
  <si>
    <t>TR06489299-002</t>
  </si>
  <si>
    <t>D0554055:E16</t>
  </si>
  <si>
    <t>D0552432:J08</t>
  </si>
  <si>
    <t>TR01331577-005</t>
  </si>
  <si>
    <t>D0554055:D23</t>
  </si>
  <si>
    <t>D0554054:O16</t>
  </si>
  <si>
    <t>TR06546440-001</t>
  </si>
  <si>
    <t>D0552433:B23</t>
  </si>
  <si>
    <t>TR01678299-003</t>
  </si>
  <si>
    <t>D0552434:L01</t>
  </si>
  <si>
    <t>TR01704789-002</t>
  </si>
  <si>
    <t>D0554053:J01</t>
  </si>
  <si>
    <t>TR06483170-001</t>
  </si>
  <si>
    <t>D0552433:N23</t>
  </si>
  <si>
    <t>TR01684722-003</t>
  </si>
  <si>
    <t>D0552433:E19</t>
  </si>
  <si>
    <t>TR01633820-006</t>
  </si>
  <si>
    <t>D0554054:M18</t>
  </si>
  <si>
    <t>TR06547182-001</t>
  </si>
  <si>
    <t>D0554055:A07</t>
  </si>
  <si>
    <t>D0552433:F02</t>
  </si>
  <si>
    <t>TR01491101-012</t>
  </si>
  <si>
    <t>D0552433:H04</t>
  </si>
  <si>
    <t>TR01510962-006</t>
  </si>
  <si>
    <t>D0552431:F15</t>
  </si>
  <si>
    <t>TR01223897-009</t>
  </si>
  <si>
    <t>D0554053:C24</t>
  </si>
  <si>
    <t>TR06512434-001</t>
  </si>
  <si>
    <t>D0552432:N21</t>
  </si>
  <si>
    <t>TR01446106-005</t>
  </si>
  <si>
    <t>D0554054:B08</t>
  </si>
  <si>
    <t>TR06525904-002</t>
  </si>
  <si>
    <t>D0552431:F20</t>
  </si>
  <si>
    <t>TR01254881-002</t>
  </si>
  <si>
    <t>K8</t>
  </si>
  <si>
    <t>K08</t>
  </si>
  <si>
    <t>D0554053:K08</t>
  </si>
  <si>
    <t>TR06496550-001</t>
  </si>
  <si>
    <t>D0554055:N23</t>
  </si>
  <si>
    <t>D0554053:A13</t>
  </si>
  <si>
    <t>TR06500949-002</t>
  </si>
  <si>
    <t>D0552433:F06</t>
  </si>
  <si>
    <t>TR01525327-002</t>
  </si>
  <si>
    <t>M10</t>
  </si>
  <si>
    <t>D0554053:M10</t>
  </si>
  <si>
    <t>TR06499625-001</t>
  </si>
  <si>
    <t>D0552431:E16</t>
  </si>
  <si>
    <t>TR01228336-003</t>
  </si>
  <si>
    <t>D0552431:K11</t>
  </si>
  <si>
    <t>TR01197893-010</t>
  </si>
  <si>
    <t>M21</t>
  </si>
  <si>
    <t>D0552433:M21</t>
  </si>
  <si>
    <t>TR01658552-003</t>
  </si>
  <si>
    <t>D0554053:M15</t>
  </si>
  <si>
    <t>TR06502878-001</t>
  </si>
  <si>
    <t>D0554055:P15</t>
  </si>
  <si>
    <t>D0552435:C04</t>
  </si>
  <si>
    <t>TR06127111-004</t>
  </si>
  <si>
    <t>M16</t>
  </si>
  <si>
    <t>D0552434:M16</t>
  </si>
  <si>
    <t>TR02048725-002</t>
  </si>
  <si>
    <t>D0552433:H20</t>
  </si>
  <si>
    <t>TR01646317-004</t>
  </si>
  <si>
    <t>M22</t>
  </si>
  <si>
    <t>D0554055:M22</t>
  </si>
  <si>
    <t>D0552435:H13</t>
  </si>
  <si>
    <t>TR06387841-007</t>
  </si>
  <si>
    <t>D0554053:C09</t>
  </si>
  <si>
    <t>TR06496781-001</t>
  </si>
  <si>
    <t>D0552431:B06</t>
  </si>
  <si>
    <t>TR01139702-002</t>
  </si>
  <si>
    <t>D0552433:N08</t>
  </si>
  <si>
    <t>TR01544414-004</t>
  </si>
  <si>
    <t>H11</t>
  </si>
  <si>
    <t>D0554055:G02</t>
  </si>
  <si>
    <t>TR06561464-015</t>
  </si>
  <si>
    <t>D0552432:K08</t>
  </si>
  <si>
    <t>TR01331935-006</t>
  </si>
  <si>
    <t>P21</t>
  </si>
  <si>
    <t>D0552431:P21</t>
  </si>
  <si>
    <t>TR01265505-003</t>
  </si>
  <si>
    <t>D0552434:D03</t>
  </si>
  <si>
    <t>TR01726182-004</t>
  </si>
  <si>
    <t>D0554054:D01</t>
  </si>
  <si>
    <t>TR06514817-002</t>
  </si>
  <si>
    <t>D0552433:O03</t>
  </si>
  <si>
    <t>TR01507176-003</t>
  </si>
  <si>
    <t>D0552434:P02</t>
  </si>
  <si>
    <t>TR01716673-006</t>
  </si>
  <si>
    <t>M7</t>
  </si>
  <si>
    <t>M07</t>
  </si>
  <si>
    <t>D0552433:M07</t>
  </si>
  <si>
    <t>TR01535714-002</t>
  </si>
  <si>
    <t>D0552431:L22</t>
  </si>
  <si>
    <t>TR01271367-002</t>
  </si>
  <si>
    <t>D0552432:G24</t>
  </si>
  <si>
    <t>TR01478468-005</t>
  </si>
  <si>
    <t>D0552432:J11</t>
  </si>
  <si>
    <t>TR01354778-002</t>
  </si>
  <si>
    <t>D0552433:H15</t>
  </si>
  <si>
    <t>TR01599722-004</t>
  </si>
  <si>
    <t>D0554053:E10</t>
  </si>
  <si>
    <t>TR06498134-002</t>
  </si>
  <si>
    <t>D0554055:M18</t>
  </si>
  <si>
    <t>D16</t>
  </si>
  <si>
    <t>D0554054:D16</t>
  </si>
  <si>
    <t>TR06546224-001</t>
  </si>
  <si>
    <t>D0554055:K21</t>
  </si>
  <si>
    <t>D0552431:C17</t>
  </si>
  <si>
    <t>TR01232206-007</t>
  </si>
  <si>
    <t>D0554055:C14</t>
  </si>
  <si>
    <t>F16</t>
  </si>
  <si>
    <t>D0552432:F16</t>
  </si>
  <si>
    <t>TR01392480-004</t>
  </si>
  <si>
    <t>I10</t>
  </si>
  <si>
    <t>D0552433:I10</t>
  </si>
  <si>
    <t>TR01557371-003</t>
  </si>
  <si>
    <t>D0552431:H01</t>
  </si>
  <si>
    <t>TR00987893-003</t>
  </si>
  <si>
    <t>D0554055:O10</t>
  </si>
  <si>
    <t>D0552436:K05</t>
  </si>
  <si>
    <t>TR06417083-001</t>
  </si>
  <si>
    <t>L13</t>
  </si>
  <si>
    <t>D0552433:L13</t>
  </si>
  <si>
    <t>TR01581456-003</t>
  </si>
  <si>
    <t>D0554054:O03</t>
  </si>
  <si>
    <t>TR06516833-002</t>
  </si>
  <si>
    <t>D0554053:H05</t>
  </si>
  <si>
    <t>TR06489150-001</t>
  </si>
  <si>
    <t>D0552435:N07</t>
  </si>
  <si>
    <t>TR06375560-002</t>
  </si>
  <si>
    <t>D0552433:C23</t>
  </si>
  <si>
    <t>TR01678608-002</t>
  </si>
  <si>
    <t>D0552432:C07</t>
  </si>
  <si>
    <t>TR01320550-003</t>
  </si>
  <si>
    <t>D0552431:A16</t>
  </si>
  <si>
    <t>TR01227134-004</t>
  </si>
  <si>
    <t>D0552432:G16</t>
  </si>
  <si>
    <t>TR01392544-003</t>
  </si>
  <si>
    <t>J20</t>
  </si>
  <si>
    <t>D0554054:J20</t>
  </si>
  <si>
    <t>TR06548009-001</t>
  </si>
  <si>
    <t>D0552432:N04</t>
  </si>
  <si>
    <t>TR01302877-006</t>
  </si>
  <si>
    <t>D0552431:G01</t>
  </si>
  <si>
    <t>TR00987460-006</t>
  </si>
  <si>
    <t>D0552433:G07</t>
  </si>
  <si>
    <t>TR01534645-002</t>
  </si>
  <si>
    <t>N15</t>
  </si>
  <si>
    <t>D0552433:N15</t>
  </si>
  <si>
    <t>TR01601413-004</t>
  </si>
  <si>
    <t>D0554054:P17</t>
  </si>
  <si>
    <t>TR06547063-002</t>
  </si>
  <si>
    <t>O21</t>
  </si>
  <si>
    <t>D0552431:O21</t>
  </si>
  <si>
    <t>TR01265436-002</t>
  </si>
  <si>
    <t>D0552432:P23</t>
  </si>
  <si>
    <t>TR01473892-003</t>
  </si>
  <si>
    <t>M11</t>
  </si>
  <si>
    <t>D0554053:M11</t>
  </si>
  <si>
    <t>TR06500700-001</t>
  </si>
  <si>
    <t>D0552432:P02</t>
  </si>
  <si>
    <t>TR01294232-003</t>
  </si>
  <si>
    <t>G10</t>
  </si>
  <si>
    <t>D0552436:G10</t>
  </si>
  <si>
    <t>TR06420787-002</t>
  </si>
  <si>
    <t>D0552432:M15</t>
  </si>
  <si>
    <t>TR01390599-004</t>
  </si>
  <si>
    <t>D0554055:A22</t>
  </si>
  <si>
    <t>J13</t>
  </si>
  <si>
    <t>D0554053:J13</t>
  </si>
  <si>
    <t>TR06501038-001</t>
  </si>
  <si>
    <t>D0552434:O03</t>
  </si>
  <si>
    <t>TR01735869-005</t>
  </si>
  <si>
    <t>D0554055:B18</t>
  </si>
  <si>
    <t>D0554053:P18</t>
  </si>
  <si>
    <t>TR06509722-001</t>
  </si>
  <si>
    <t>D0554054:K09</t>
  </si>
  <si>
    <t>TR06532492-002</t>
  </si>
  <si>
    <t>D0552435:K12</t>
  </si>
  <si>
    <t>TR06387712-005</t>
  </si>
  <si>
    <t>D0552434:O15</t>
  </si>
  <si>
    <t>TR02020573-002</t>
  </si>
  <si>
    <t>D0552432:N17</t>
  </si>
  <si>
    <t>TR01406456-005</t>
  </si>
  <si>
    <t>D0554055:N16</t>
  </si>
  <si>
    <t>I15</t>
  </si>
  <si>
    <t>D0552436:I15</t>
  </si>
  <si>
    <t>TR06424440-001</t>
  </si>
  <si>
    <t>D0554053:D06</t>
  </si>
  <si>
    <t>TR06489301-001</t>
  </si>
  <si>
    <t>D0552431:G05</t>
  </si>
  <si>
    <t>TR01127528-002</t>
  </si>
  <si>
    <t>D0554055:K10</t>
  </si>
  <si>
    <t>D0552435:A21</t>
  </si>
  <si>
    <t>TR06405967-001</t>
  </si>
  <si>
    <t>D0552435:N09</t>
  </si>
  <si>
    <t>TR06376035-008</t>
  </si>
  <si>
    <t>D0552436:B10</t>
  </si>
  <si>
    <t>TR06420708-001</t>
  </si>
  <si>
    <t>G9</t>
  </si>
  <si>
    <t>G09</t>
  </si>
  <si>
    <t>D0552433:G09</t>
  </si>
  <si>
    <t>TR01547615-005</t>
  </si>
  <si>
    <t>D0552434:G02</t>
  </si>
  <si>
    <t>TR01709693-006</t>
  </si>
  <si>
    <t>D0552431:P05</t>
  </si>
  <si>
    <t>TR01139056-008</t>
  </si>
  <si>
    <t>D0554055:K07</t>
  </si>
  <si>
    <t>D0554055:H22</t>
  </si>
  <si>
    <t>D0554054:K20</t>
  </si>
  <si>
    <t>TR06548010-001</t>
  </si>
  <si>
    <t>D0552431:F02</t>
  </si>
  <si>
    <t>TR01062130-003</t>
  </si>
  <si>
    <t>D0552433:L09</t>
  </si>
  <si>
    <t>TR01549260-004</t>
  </si>
  <si>
    <t>D0552432:M03</t>
  </si>
  <si>
    <t>TR01297496-005</t>
  </si>
  <si>
    <t>D0552431:A21</t>
  </si>
  <si>
    <t>TR01260298-005</t>
  </si>
  <si>
    <t>D0552432:A08</t>
  </si>
  <si>
    <t>TR01326149-003</t>
  </si>
  <si>
    <t>D0552435:P22</t>
  </si>
  <si>
    <t>TR06410280-003</t>
  </si>
  <si>
    <t>D0554053:N22</t>
  </si>
  <si>
    <t>TR06511547-001</t>
  </si>
  <si>
    <t>D0552434:K21</t>
  </si>
  <si>
    <t>TR02305941-002</t>
  </si>
  <si>
    <t>D0552436:K23</t>
  </si>
  <si>
    <t>TR06444555-001</t>
  </si>
  <si>
    <t>D0554055:P04</t>
  </si>
  <si>
    <t>D0554055:G15</t>
  </si>
  <si>
    <t>O6</t>
  </si>
  <si>
    <t>O06</t>
  </si>
  <si>
    <t>D0554055:O06</t>
  </si>
  <si>
    <t>D0552435:G15</t>
  </si>
  <si>
    <t>TR06395262-002</t>
  </si>
  <si>
    <t>D0552433:J23</t>
  </si>
  <si>
    <t>TR01682330-003</t>
  </si>
  <si>
    <t>D0554053:P15</t>
  </si>
  <si>
    <t>TR06504928-001</t>
  </si>
  <si>
    <t>D0552436:P10</t>
  </si>
  <si>
    <t>TR06420915-002</t>
  </si>
  <si>
    <t>D0552431:P15</t>
  </si>
  <si>
    <t>TR01226879-003</t>
  </si>
  <si>
    <t>D0552431:N01</t>
  </si>
  <si>
    <t>TR01047624-007</t>
  </si>
  <si>
    <t>D0554054:E15</t>
  </si>
  <si>
    <t>TR06544021-001</t>
  </si>
  <si>
    <t>D0554053:B14</t>
  </si>
  <si>
    <t>TR06501124-001</t>
  </si>
  <si>
    <t>D0554053:L08</t>
  </si>
  <si>
    <t>TR06496552-001</t>
  </si>
  <si>
    <t>D0552433:H13</t>
  </si>
  <si>
    <t>TR01578469-002</t>
  </si>
  <si>
    <t>D0554053:P21</t>
  </si>
  <si>
    <t>TR06510999-001</t>
  </si>
  <si>
    <t>C20</t>
  </si>
  <si>
    <t>D0554054:C20</t>
  </si>
  <si>
    <t>TR06547952-002</t>
  </si>
  <si>
    <t>D0552435:B18</t>
  </si>
  <si>
    <t>TR06403947-003</t>
  </si>
  <si>
    <t>D0554053:G05</t>
  </si>
  <si>
    <t>TR06488920-001</t>
  </si>
  <si>
    <t>D0554055:N01</t>
  </si>
  <si>
    <t>TR06558033-001</t>
  </si>
  <si>
    <t>D0554054:D06</t>
  </si>
  <si>
    <t>TR06525138-002</t>
  </si>
  <si>
    <t>D0552435:P07</t>
  </si>
  <si>
    <t>TR06375564-010</t>
  </si>
  <si>
    <t>D0554053:B02</t>
  </si>
  <si>
    <t>TR06486298-002</t>
  </si>
  <si>
    <t>I14</t>
  </si>
  <si>
    <t>D0552434:I14</t>
  </si>
  <si>
    <t>TR01992225-002</t>
  </si>
  <si>
    <t>D0552431:A04</t>
  </si>
  <si>
    <t>TR01112082-009</t>
  </si>
  <si>
    <t>D0552433:C12</t>
  </si>
  <si>
    <t>TR01565676-004</t>
  </si>
  <si>
    <t>D0552434:A02</t>
  </si>
  <si>
    <t>TR01708117-003</t>
  </si>
  <si>
    <t>D0552432:H18</t>
  </si>
  <si>
    <t>TR01416420-007</t>
  </si>
  <si>
    <t>D0554053:D16</t>
  </si>
  <si>
    <t>TR06504982-001</t>
  </si>
  <si>
    <t>D0554055:C23</t>
  </si>
  <si>
    <t>D0554054:P15</t>
  </si>
  <si>
    <t>TR06546133-001</t>
  </si>
  <si>
    <t>D0552431:C18</t>
  </si>
  <si>
    <t>TR01237861-004</t>
  </si>
  <si>
    <t>D0552431:D24</t>
  </si>
  <si>
    <t>TR01279355-003</t>
  </si>
  <si>
    <t>D0552433:D18</t>
  </si>
  <si>
    <t>TR01622867-003</t>
  </si>
  <si>
    <t>D0554055:N04</t>
  </si>
  <si>
    <t>D0554053:G12</t>
  </si>
  <si>
    <t>TR06500833-001</t>
  </si>
  <si>
    <t>D0552436:B19</t>
  </si>
  <si>
    <t>TR06430695-001</t>
  </si>
  <si>
    <t>D0552434:K23</t>
  </si>
  <si>
    <t>TR02469169-004</t>
  </si>
  <si>
    <t>D0554053:C16</t>
  </si>
  <si>
    <t>TR06504977-001</t>
  </si>
  <si>
    <t>D0554053:P06</t>
  </si>
  <si>
    <t>TR06489404-001</t>
  </si>
  <si>
    <t>D0554053:M19</t>
  </si>
  <si>
    <t>TR06509866-001</t>
  </si>
  <si>
    <t>D0552434:B11</t>
  </si>
  <si>
    <t>TR01882677-003</t>
  </si>
  <si>
    <t>D0554055:N03</t>
  </si>
  <si>
    <t>TR06562800-001</t>
  </si>
  <si>
    <t>D0554055:J06</t>
  </si>
  <si>
    <t>D0552436:A07</t>
  </si>
  <si>
    <t>TR06419914-001</t>
  </si>
  <si>
    <t>P19</t>
  </si>
  <si>
    <t>D0552435:P19</t>
  </si>
  <si>
    <t>TR06405670-001</t>
  </si>
  <si>
    <t>D0554054:M22</t>
  </si>
  <si>
    <t>TR06553906-001</t>
  </si>
  <si>
    <t>D0552431:A08</t>
  </si>
  <si>
    <t>TR01167001-005</t>
  </si>
  <si>
    <t>D0554055:J18</t>
  </si>
  <si>
    <t>D0552431:N22</t>
  </si>
  <si>
    <t>TR01272238-013</t>
  </si>
  <si>
    <t>D0554055:F15</t>
  </si>
  <si>
    <t>D0552434:B01</t>
  </si>
  <si>
    <t>TR01694215-002</t>
  </si>
  <si>
    <t>D0552433:J17</t>
  </si>
  <si>
    <t>TR01613896-003</t>
  </si>
  <si>
    <t>A1</t>
  </si>
  <si>
    <t>A01</t>
  </si>
  <si>
    <t>D0554053:A01</t>
  </si>
  <si>
    <t>TR06482926-002</t>
  </si>
  <si>
    <t>D0554054:M14</t>
  </si>
  <si>
    <t>TR06543849-001</t>
  </si>
  <si>
    <t>D0552433:H11</t>
  </si>
  <si>
    <t>TR01561268-004</t>
  </si>
  <si>
    <t>D0554055:A11</t>
  </si>
  <si>
    <t>B12</t>
  </si>
  <si>
    <t>D0552431:B12</t>
  </si>
  <si>
    <t>TR01201795-007</t>
  </si>
  <si>
    <t>D0554054:J18</t>
  </si>
  <si>
    <t>TR06547142-001</t>
  </si>
  <si>
    <t>D0552432:P15</t>
  </si>
  <si>
    <t>TR01391031-002</t>
  </si>
  <si>
    <t>D0554055:H17</t>
  </si>
  <si>
    <t>J10</t>
  </si>
  <si>
    <t>D0552432:J10</t>
  </si>
  <si>
    <t>TR01347921-003</t>
  </si>
  <si>
    <t>D0552431:I18</t>
  </si>
  <si>
    <t>TR01241941-002</t>
  </si>
  <si>
    <t>D0552436:N16</t>
  </si>
  <si>
    <t>TR06424828-001</t>
  </si>
  <si>
    <t>D0552433:H18</t>
  </si>
  <si>
    <t>TR01624694-002</t>
  </si>
  <si>
    <t>D0552434:D12</t>
  </si>
  <si>
    <t>TR01915368-004</t>
  </si>
  <si>
    <t>D0552436:F14</t>
  </si>
  <si>
    <t>TR06423859-001</t>
  </si>
  <si>
    <t>D0552433:C09</t>
  </si>
  <si>
    <t>TR01545947-002</t>
  </si>
  <si>
    <t>E11</t>
  </si>
  <si>
    <t>D0552433:E11</t>
  </si>
  <si>
    <t>TR01560930-003</t>
  </si>
  <si>
    <t>H9</t>
  </si>
  <si>
    <t>H09</t>
  </si>
  <si>
    <t>D0554055:H09</t>
  </si>
  <si>
    <t>D0552431:K23</t>
  </si>
  <si>
    <t>TR01277626-003</t>
  </si>
  <si>
    <t>D0552431:E07</t>
  </si>
  <si>
    <t>TR01152097-004</t>
  </si>
  <si>
    <t>D0554054:F06</t>
  </si>
  <si>
    <t>TR06525260-001</t>
  </si>
  <si>
    <t>D0552434:B17</t>
  </si>
  <si>
    <t>TR02059929-003</t>
  </si>
  <si>
    <t>D0554055:L05</t>
  </si>
  <si>
    <t>D0552433:O16</t>
  </si>
  <si>
    <t>TR01609396-002</t>
  </si>
  <si>
    <t>D0552435:J18</t>
  </si>
  <si>
    <t>TR06404034-001</t>
  </si>
  <si>
    <t>D0554053:K11</t>
  </si>
  <si>
    <t>TR06500696-001</t>
  </si>
  <si>
    <t>D0552432:N03</t>
  </si>
  <si>
    <t>TR01297616-007</t>
  </si>
  <si>
    <t>D0554054:I15</t>
  </si>
  <si>
    <t>TR06544297-001</t>
  </si>
  <si>
    <t>D0552434:P05</t>
  </si>
  <si>
    <t>TR01767005-004</t>
  </si>
  <si>
    <t>D0554054:N16</t>
  </si>
  <si>
    <t>TR06546439-001</t>
  </si>
  <si>
    <t>D0552435:E01</t>
  </si>
  <si>
    <t>TR06096935-007</t>
  </si>
  <si>
    <t>D0552434:N23</t>
  </si>
  <si>
    <t>TR02489075-002</t>
  </si>
  <si>
    <t>D0554055:C04</t>
  </si>
  <si>
    <t>D0554054:O02</t>
  </si>
  <si>
    <t>TR06516591-001</t>
  </si>
  <si>
    <t>D0552433:K15</t>
  </si>
  <si>
    <t>TR01600932-002</t>
  </si>
  <si>
    <t>D0552434:B23</t>
  </si>
  <si>
    <t>TR02426893-002</t>
  </si>
  <si>
    <t>D0552432:O23</t>
  </si>
  <si>
    <t>TR01473255-005</t>
  </si>
  <si>
    <t>F10</t>
  </si>
  <si>
    <t>D0554053:F10</t>
  </si>
  <si>
    <t>TR06498148-001</t>
  </si>
  <si>
    <t>F3</t>
  </si>
  <si>
    <t>F03</t>
  </si>
  <si>
    <t>D0552431:F03</t>
  </si>
  <si>
    <t>TR01094349-007</t>
  </si>
  <si>
    <t>J14</t>
  </si>
  <si>
    <t>D0552433:J14</t>
  </si>
  <si>
    <t>TR01593020-005</t>
  </si>
  <si>
    <t>D0552433:G04</t>
  </si>
  <si>
    <t>TR01510907-005</t>
  </si>
  <si>
    <t>K18</t>
  </si>
  <si>
    <t>D0552434:K18</t>
  </si>
  <si>
    <t>TR02128418-002</t>
  </si>
  <si>
    <t>D0552432:M18</t>
  </si>
  <si>
    <t>TR01417828-007</t>
  </si>
  <si>
    <t>D0552433:P10</t>
  </si>
  <si>
    <t>TR01559727-004</t>
  </si>
  <si>
    <t>D0554054:B03</t>
  </si>
  <si>
    <t>TR06516621-001</t>
  </si>
  <si>
    <t>D0554053:J21</t>
  </si>
  <si>
    <t>TR06510646-001</t>
  </si>
  <si>
    <t>D0552431:D17</t>
  </si>
  <si>
    <t>TR01232217-002</t>
  </si>
  <si>
    <t>D0554055:J23</t>
  </si>
  <si>
    <t>L15</t>
  </si>
  <si>
    <t>D0554053:L15</t>
  </si>
  <si>
    <t>TR06502841-001</t>
  </si>
  <si>
    <t>D0552435:C07</t>
  </si>
  <si>
    <t>TR06375274-014</t>
  </si>
  <si>
    <t>D0554053:D08</t>
  </si>
  <si>
    <t>TR06496479-001</t>
  </si>
  <si>
    <t>D0552433:M22</t>
  </si>
  <si>
    <t>TR01671560-002</t>
  </si>
  <si>
    <t>D0554054:H07</t>
  </si>
  <si>
    <t>TR06525664-001</t>
  </si>
  <si>
    <t>D0554054:L23</t>
  </si>
  <si>
    <t>TR06555322-001</t>
  </si>
  <si>
    <t>D0552433:J20</t>
  </si>
  <si>
    <t>TR01646906-004</t>
  </si>
  <si>
    <t>D0552433:J03</t>
  </si>
  <si>
    <t>TR01505791-005</t>
  </si>
  <si>
    <t>D0554053:D05</t>
  </si>
  <si>
    <t>TR06486730-001</t>
  </si>
  <si>
    <t>I2</t>
  </si>
  <si>
    <t>I02</t>
  </si>
  <si>
    <t>D0552431:I02</t>
  </si>
  <si>
    <t>TR01062632-006</t>
  </si>
  <si>
    <t>M20</t>
  </si>
  <si>
    <t>D0554054:M20</t>
  </si>
  <si>
    <t>TR06548033-001</t>
  </si>
  <si>
    <t>N12</t>
  </si>
  <si>
    <t>D0552436:N12</t>
  </si>
  <si>
    <t>TR06423276-001</t>
  </si>
  <si>
    <t>D0552433:K05</t>
  </si>
  <si>
    <t>TR01519090-003</t>
  </si>
  <si>
    <t>D0552433:M20</t>
  </si>
  <si>
    <t>TR01648508-003</t>
  </si>
  <si>
    <t>D0552431:D12</t>
  </si>
  <si>
    <t>TR01202166-009</t>
  </si>
  <si>
    <t>I3</t>
  </si>
  <si>
    <t>I03</t>
  </si>
  <si>
    <t>D0552432:I03</t>
  </si>
  <si>
    <t>TR01295883-005</t>
  </si>
  <si>
    <t>D0554055:A15</t>
  </si>
  <si>
    <t>D0552432:A10</t>
  </si>
  <si>
    <t>TR01342310-007</t>
  </si>
  <si>
    <t>D0552435:I16</t>
  </si>
  <si>
    <t>TR06400570-002</t>
  </si>
  <si>
    <t>D0552433:G13</t>
  </si>
  <si>
    <t>TR01577342-006</t>
  </si>
  <si>
    <t>D0552436:G19</t>
  </si>
  <si>
    <t>TR06430785-002</t>
  </si>
  <si>
    <t>D0552436:G23</t>
  </si>
  <si>
    <t>TR06444502-002</t>
  </si>
  <si>
    <t>D0552434:D23</t>
  </si>
  <si>
    <t>TR02438518-002</t>
  </si>
  <si>
    <t>D0552433:F21</t>
  </si>
  <si>
    <t>TR01653143-004</t>
  </si>
  <si>
    <t>G17</t>
  </si>
  <si>
    <t>D0554054:G17</t>
  </si>
  <si>
    <t>TR06546620-001</t>
  </si>
  <si>
    <t>D0554053:N03</t>
  </si>
  <si>
    <t>TR06486534-001</t>
  </si>
  <si>
    <t>D0554054:B04</t>
  </si>
  <si>
    <t>TR06516861-001</t>
  </si>
  <si>
    <t>D0554054:P23</t>
  </si>
  <si>
    <t>TR06555407-001</t>
  </si>
  <si>
    <t>D0554055:J08</t>
  </si>
  <si>
    <t>O4</t>
  </si>
  <si>
    <t>O04</t>
  </si>
  <si>
    <t>D0552434:O04</t>
  </si>
  <si>
    <t>TR01750507-002</t>
  </si>
  <si>
    <t>D0554053:D20</t>
  </si>
  <si>
    <t>TR06509933-001</t>
  </si>
  <si>
    <t>D0554055:D16</t>
  </si>
  <si>
    <t>D0554053:E02</t>
  </si>
  <si>
    <t>TR06486329-002</t>
  </si>
  <si>
    <t>D0554053:F12</t>
  </si>
  <si>
    <t>TR06500832-001</t>
  </si>
  <si>
    <t>D0552433:O17</t>
  </si>
  <si>
    <t>TR01619495-007</t>
  </si>
  <si>
    <t>D0552435:F18</t>
  </si>
  <si>
    <t>TR06403976-001</t>
  </si>
  <si>
    <t>D0552432:G11</t>
  </si>
  <si>
    <t>TR01353592-006</t>
  </si>
  <si>
    <t>D0552432:C09</t>
  </si>
  <si>
    <t>TR01337948-003</t>
  </si>
  <si>
    <t>D0552433:I07</t>
  </si>
  <si>
    <t>TR01534989-005</t>
  </si>
  <si>
    <t>F1</t>
  </si>
  <si>
    <t>F01</t>
  </si>
  <si>
    <t>D0552431:F01</t>
  </si>
  <si>
    <t>TR00987457-005</t>
  </si>
  <si>
    <t>D0552432:A22</t>
  </si>
  <si>
    <t>TR01446975-003</t>
  </si>
  <si>
    <t>D0552431:K10</t>
  </si>
  <si>
    <t>TR01193085-004</t>
  </si>
  <si>
    <t>D0554053:D22</t>
  </si>
  <si>
    <t>TR06511143-001</t>
  </si>
  <si>
    <t>I13</t>
  </si>
  <si>
    <t>D0554055:I13</t>
  </si>
  <si>
    <t>D0554053:C18</t>
  </si>
  <si>
    <t>TR06506222-002</t>
  </si>
  <si>
    <t>D0554055:H04</t>
  </si>
  <si>
    <t>D0554053:P11</t>
  </si>
  <si>
    <t>TR06500762-002</t>
  </si>
  <si>
    <t>D0554055:A13</t>
  </si>
  <si>
    <t>D0554055:N14</t>
  </si>
  <si>
    <t>D0554055:N11</t>
  </si>
  <si>
    <t>D0552435:E20</t>
  </si>
  <si>
    <t>TR06405816-001</t>
  </si>
  <si>
    <t>D0554053:E07</t>
  </si>
  <si>
    <t>TR06489452-001</t>
  </si>
  <si>
    <t>D0554053:G01</t>
  </si>
  <si>
    <t>TR06483064-001</t>
  </si>
  <si>
    <t>D0552431:L15</t>
  </si>
  <si>
    <t>TR01225403-005</t>
  </si>
  <si>
    <t>G8</t>
  </si>
  <si>
    <t>G08</t>
  </si>
  <si>
    <t>D0554054:G08</t>
  </si>
  <si>
    <t>TR06526359-001</t>
  </si>
  <si>
    <t>D0552431:N02</t>
  </si>
  <si>
    <t>TR01072105-002</t>
  </si>
  <si>
    <t>D0554054:J07</t>
  </si>
  <si>
    <t>TR06525691-001</t>
  </si>
  <si>
    <t>D0552436:N02</t>
  </si>
  <si>
    <t>TR06413365-002</t>
  </si>
  <si>
    <t>D0552432:L23</t>
  </si>
  <si>
    <t>TR01468668-003</t>
  </si>
  <si>
    <t>D0552432:F10</t>
  </si>
  <si>
    <t>TR01345434-004</t>
  </si>
  <si>
    <t>D0552435:A16</t>
  </si>
  <si>
    <t>TR06395398-001</t>
  </si>
  <si>
    <t>D0554055:E07</t>
  </si>
  <si>
    <t>D0552433:C13</t>
  </si>
  <si>
    <t>TR01575200-005</t>
  </si>
  <si>
    <t>D0552433:D19</t>
  </si>
  <si>
    <t>TR01633665-002</t>
  </si>
  <si>
    <t>D11</t>
  </si>
  <si>
    <t>D0552436:D11</t>
  </si>
  <si>
    <t>TR06422231-001</t>
  </si>
  <si>
    <t>D0552431:K15</t>
  </si>
  <si>
    <t>TR01225232-003</t>
  </si>
  <si>
    <t>D0554055:O17</t>
  </si>
  <si>
    <t>D0554055:N12</t>
  </si>
  <si>
    <t>D0552436:E20</t>
  </si>
  <si>
    <t>TR06431097-001</t>
  </si>
  <si>
    <t>D0552435:C22</t>
  </si>
  <si>
    <t>TR06408218-004</t>
  </si>
  <si>
    <t>D0552432:K14</t>
  </si>
  <si>
    <t>TR01380540-005</t>
  </si>
  <si>
    <t>D0552435:H23</t>
  </si>
  <si>
    <t>TR06412036-001</t>
  </si>
  <si>
    <t>D0554055:N10</t>
  </si>
  <si>
    <t>D0552432:C02</t>
  </si>
  <si>
    <t>TR01285552-007</t>
  </si>
  <si>
    <t>G3</t>
  </si>
  <si>
    <t>G03</t>
  </si>
  <si>
    <t>D0554053:G03</t>
  </si>
  <si>
    <t>TR06486473-001</t>
  </si>
  <si>
    <t>D0554055:K11</t>
  </si>
  <si>
    <t>D0552435:I21</t>
  </si>
  <si>
    <t>TR06406083-001</t>
  </si>
  <si>
    <t>D0552433:M02</t>
  </si>
  <si>
    <t>TR01494240-006</t>
  </si>
  <si>
    <t>D0552433:G06</t>
  </si>
  <si>
    <t>TR01526017-005</t>
  </si>
  <si>
    <t>D0554054:B15</t>
  </si>
  <si>
    <t>TR06544008-001</t>
  </si>
  <si>
    <t>D0554055:B20</t>
  </si>
  <si>
    <t>D0552433:G16</t>
  </si>
  <si>
    <t>TR01606577-005</t>
  </si>
  <si>
    <t>D0552434:P12</t>
  </si>
  <si>
    <t>TR01934353-003</t>
  </si>
  <si>
    <t>O18</t>
  </si>
  <si>
    <t>D0554053:O18</t>
  </si>
  <si>
    <t>TR06509721-001</t>
  </si>
  <si>
    <t>D0554055:O15</t>
  </si>
  <si>
    <t>D0552435:I04</t>
  </si>
  <si>
    <t>TR06135721-011</t>
  </si>
  <si>
    <t>J2</t>
  </si>
  <si>
    <t>J02</t>
  </si>
  <si>
    <t>D0554055:J02</t>
  </si>
  <si>
    <t>TR06561598-001</t>
  </si>
  <si>
    <t>D0554055:C08</t>
  </si>
  <si>
    <t>D0554055:C16</t>
  </si>
  <si>
    <t>D0552436:H02</t>
  </si>
  <si>
    <t>TR06413252-001</t>
  </si>
  <si>
    <t>D0554055:N07</t>
  </si>
  <si>
    <t>F9</t>
  </si>
  <si>
    <t>F09</t>
  </si>
  <si>
    <t>D0554055:F09</t>
  </si>
  <si>
    <t>D0552434:M10</t>
  </si>
  <si>
    <t>TR01870126-003</t>
  </si>
  <si>
    <t>D0554053:J06</t>
  </si>
  <si>
    <t>TR06489354-001</t>
  </si>
  <si>
    <t>D0552432:E22</t>
  </si>
  <si>
    <t>TR01449900-003</t>
  </si>
  <si>
    <t>D0554054:B06</t>
  </si>
  <si>
    <t>TR06525056-001</t>
  </si>
  <si>
    <t>D0554054:D09</t>
  </si>
  <si>
    <t>TR06526528-001</t>
  </si>
  <si>
    <t>F4</t>
  </si>
  <si>
    <t>F04</t>
  </si>
  <si>
    <t>D0552436:F04</t>
  </si>
  <si>
    <t>TR06416629-002</t>
  </si>
  <si>
    <t>D0554055:C05</t>
  </si>
  <si>
    <t>L16</t>
  </si>
  <si>
    <t>D0552436:L16</t>
  </si>
  <si>
    <t>TR06424785-001</t>
  </si>
  <si>
    <t>D0554055:G01</t>
  </si>
  <si>
    <t>TR06556966-001</t>
  </si>
  <si>
    <t>D0552434:A07</t>
  </si>
  <si>
    <t>TR01787688-002</t>
  </si>
  <si>
    <t>D0552433:J10</t>
  </si>
  <si>
    <t>TR01557381-005</t>
  </si>
  <si>
    <t>D0554054:D20</t>
  </si>
  <si>
    <t>TR06547957-001</t>
  </si>
  <si>
    <t>D0552433:N01</t>
  </si>
  <si>
    <t>TR01486546-003</t>
  </si>
  <si>
    <t>H8</t>
  </si>
  <si>
    <t>H08</t>
  </si>
  <si>
    <t>D0554054:H08</t>
  </si>
  <si>
    <t>TR06526360-001</t>
  </si>
  <si>
    <t>D0552432:J19</t>
  </si>
  <si>
    <t>TR01423983-005</t>
  </si>
  <si>
    <t>D0554054:H19</t>
  </si>
  <si>
    <t>TR06547780-001</t>
  </si>
  <si>
    <t>D0554053:A06</t>
  </si>
  <si>
    <t>TR06489298-001</t>
  </si>
  <si>
    <t>D0554054:D15</t>
  </si>
  <si>
    <t>TR06544019-001</t>
  </si>
  <si>
    <t>D0552434:K14</t>
  </si>
  <si>
    <t>TR01992459-003</t>
  </si>
  <si>
    <t>D0554055:O07</t>
  </si>
  <si>
    <t>D0552431:D01</t>
  </si>
  <si>
    <t>TR00986389-005</t>
  </si>
  <si>
    <t>D0552431:H09</t>
  </si>
  <si>
    <t>TR01184924-006</t>
  </si>
  <si>
    <t>D0554055:P07</t>
  </si>
  <si>
    <t>D0554053:F23</t>
  </si>
  <si>
    <t>TR06511713-001</t>
  </si>
  <si>
    <t>D0552431:O20</t>
  </si>
  <si>
    <t>TR01259566-011</t>
  </si>
  <si>
    <t>I20</t>
  </si>
  <si>
    <t>D0552431:I20</t>
  </si>
  <si>
    <t>TR01256017-009</t>
  </si>
  <si>
    <t>D0552435:I23</t>
  </si>
  <si>
    <t>TR06412039-002</t>
  </si>
  <si>
    <t>D0552432:A17</t>
  </si>
  <si>
    <t>TR01401762-004</t>
  </si>
  <si>
    <t>D0554054:I06</t>
  </si>
  <si>
    <t>TR06525343-001</t>
  </si>
  <si>
    <t>D0554053:E17</t>
  </si>
  <si>
    <t>TR06505635-001</t>
  </si>
  <si>
    <t>D0552431:J13</t>
  </si>
  <si>
    <t>TR01212635-006</t>
  </si>
  <si>
    <t>D0554054:I20</t>
  </si>
  <si>
    <t>TR06547998-001</t>
  </si>
  <si>
    <t>D0554054:F01</t>
  </si>
  <si>
    <t>TR06516285-001</t>
  </si>
  <si>
    <t>D0552433:I19</t>
  </si>
  <si>
    <t>TR01636088-003</t>
  </si>
  <si>
    <t>D0552433:M05</t>
  </si>
  <si>
    <t>TR01521858-005</t>
  </si>
  <si>
    <t>L4</t>
  </si>
  <si>
    <t>L04</t>
  </si>
  <si>
    <t>D0552433:L04</t>
  </si>
  <si>
    <t>TR01511936-004</t>
  </si>
  <si>
    <t>M8</t>
  </si>
  <si>
    <t>M08</t>
  </si>
  <si>
    <t>D0554053:M08</t>
  </si>
  <si>
    <t>TR06496579-001</t>
  </si>
  <si>
    <t>D0554055:D06</t>
  </si>
  <si>
    <t>D0552436:O01</t>
  </si>
  <si>
    <t>TR06413119-002</t>
  </si>
  <si>
    <t>D0552435:A03</t>
  </si>
  <si>
    <t>TR06113427-007</t>
  </si>
  <si>
    <t>D0552435:I19</t>
  </si>
  <si>
    <t>TR06404248-001</t>
  </si>
  <si>
    <t>D0554055:P23</t>
  </si>
  <si>
    <t>D0552431:P10</t>
  </si>
  <si>
    <t>TR01194421-006</t>
  </si>
  <si>
    <t>D0554055:P01</t>
  </si>
  <si>
    <t>TR06558074-001</t>
  </si>
  <si>
    <t>M13</t>
  </si>
  <si>
    <t>D0552432:M13</t>
  </si>
  <si>
    <t>TR01376613-003</t>
  </si>
  <si>
    <t>D0554055:C18</t>
  </si>
  <si>
    <t>D0552433:F12</t>
  </si>
  <si>
    <t>TR01567720-005</t>
  </si>
  <si>
    <t>H14</t>
  </si>
  <si>
    <t>D0552432:H14</t>
  </si>
  <si>
    <t>TR01379947-003</t>
  </si>
  <si>
    <t>D0552435:E21</t>
  </si>
  <si>
    <t>TR06406041-001</t>
  </si>
  <si>
    <t>D0552434:B12</t>
  </si>
  <si>
    <t>TR01910680-002</t>
  </si>
  <si>
    <t>L11</t>
  </si>
  <si>
    <t>D0554055:L11</t>
  </si>
  <si>
    <t>D0554053:P08</t>
  </si>
  <si>
    <t>TR06496584-001</t>
  </si>
  <si>
    <t>D0554055:M06</t>
  </si>
  <si>
    <t>D0552433:F03</t>
  </si>
  <si>
    <t>TR01501611-005</t>
  </si>
  <si>
    <t>D0554053:M05</t>
  </si>
  <si>
    <t>TR06489248-002</t>
  </si>
  <si>
    <t>D0552433:I20</t>
  </si>
  <si>
    <t>TR01646846-004</t>
  </si>
  <si>
    <t>D0552431:F21</t>
  </si>
  <si>
    <t>TR01262360-005</t>
  </si>
  <si>
    <t>D0552436:P12</t>
  </si>
  <si>
    <t>TR06423608-001</t>
  </si>
  <si>
    <t>D0552431:M17</t>
  </si>
  <si>
    <t>TR01234424-004</t>
  </si>
  <si>
    <t>D0552431:E03</t>
  </si>
  <si>
    <t>TR01090829-004</t>
  </si>
  <si>
    <t>D0552432:L17</t>
  </si>
  <si>
    <t>TR01406090-006</t>
  </si>
  <si>
    <t>D0554053:D15</t>
  </si>
  <si>
    <t>TR06502726-001</t>
  </si>
  <si>
    <t>D0552434:N04</t>
  </si>
  <si>
    <t>TR01749200-003</t>
  </si>
  <si>
    <t>D0552431:E13</t>
  </si>
  <si>
    <t>TR01209633-005</t>
  </si>
  <si>
    <t>D0552433:E16</t>
  </si>
  <si>
    <t>TR01605084-007</t>
  </si>
  <si>
    <t>D0554055:J14</t>
  </si>
  <si>
    <t>D0554053:L02</t>
  </si>
  <si>
    <t>TR06486390-001</t>
  </si>
  <si>
    <t>D0552433:G10</t>
  </si>
  <si>
    <t>TR01556330-006</t>
  </si>
  <si>
    <t>D0554055:B06</t>
  </si>
  <si>
    <t>D0552431:D03</t>
  </si>
  <si>
    <t>TR01088684-006</t>
  </si>
  <si>
    <t>L19</t>
  </si>
  <si>
    <t>D0552433:L19</t>
  </si>
  <si>
    <t>TR01636382-003</t>
  </si>
  <si>
    <t>D0554054:C07</t>
  </si>
  <si>
    <t>TR06525549-002</t>
  </si>
  <si>
    <t>D0554053:K19</t>
  </si>
  <si>
    <t>TR06509825-001</t>
  </si>
  <si>
    <t>D0552433:F20</t>
  </si>
  <si>
    <t>TR01644761-003</t>
  </si>
  <si>
    <t>D0552431:P04</t>
  </si>
  <si>
    <t>TR01122104-010</t>
  </si>
  <si>
    <t>D0552433:H03</t>
  </si>
  <si>
    <t>TR01504320-002</t>
  </si>
  <si>
    <t>D0552434:F15</t>
  </si>
  <si>
    <t>TR02008009-003</t>
  </si>
  <si>
    <t>D0552433:O04</t>
  </si>
  <si>
    <t>TR01512369-008</t>
  </si>
  <si>
    <t>D0552433:K12</t>
  </si>
  <si>
    <t>TR01570569-003</t>
  </si>
  <si>
    <t>D0552435:G07</t>
  </si>
  <si>
    <t>TR06375482-013</t>
  </si>
  <si>
    <t>D0554055:N02</t>
  </si>
  <si>
    <t>TR06562784-001</t>
  </si>
  <si>
    <t>D0554053:I05</t>
  </si>
  <si>
    <t>TR06489151-001</t>
  </si>
  <si>
    <t>D0552434:O20</t>
  </si>
  <si>
    <t>TR02220019-002</t>
  </si>
  <si>
    <t>G14</t>
  </si>
  <si>
    <t>D0552431:G14</t>
  </si>
  <si>
    <t>TR01217250-003</t>
  </si>
  <si>
    <t>D0552435:B17</t>
  </si>
  <si>
    <t>TR06400878-001</t>
  </si>
  <si>
    <t>D0554054:F18</t>
  </si>
  <si>
    <t>TR06547105-001</t>
  </si>
  <si>
    <t>D0552436:J10</t>
  </si>
  <si>
    <t>TR06420867-001</t>
  </si>
  <si>
    <t>I8</t>
  </si>
  <si>
    <t>I08</t>
  </si>
  <si>
    <t>D0554055:I08</t>
  </si>
  <si>
    <t>D0552436:M06</t>
  </si>
  <si>
    <t>TR06419842-003</t>
  </si>
  <si>
    <t>D0554055:O21</t>
  </si>
  <si>
    <t>D0554054:L04</t>
  </si>
  <si>
    <t>TR06522194-001</t>
  </si>
  <si>
    <t>D0552433:H07</t>
  </si>
  <si>
    <t>TR01534825-003</t>
  </si>
  <si>
    <t>D0552431:H03</t>
  </si>
  <si>
    <t>TR01103239-004</t>
  </si>
  <si>
    <t>D0554055:I03</t>
  </si>
  <si>
    <t>TR06562795-001</t>
  </si>
  <si>
    <t>D0554055:I06</t>
  </si>
  <si>
    <t>D0554053:N12</t>
  </si>
  <si>
    <t>TR06500910-001</t>
  </si>
  <si>
    <t>D0554053:H24</t>
  </si>
  <si>
    <t>TR06512691-001</t>
  </si>
  <si>
    <t>D0554055:B16</t>
  </si>
  <si>
    <t>D0554053:O21</t>
  </si>
  <si>
    <t>TR06510984-001</t>
  </si>
  <si>
    <t>C1</t>
  </si>
  <si>
    <t>C01</t>
  </si>
  <si>
    <t>D0552436:C01</t>
  </si>
  <si>
    <t>TR06412308-002</t>
  </si>
  <si>
    <t>D0554053:P01</t>
  </si>
  <si>
    <t>TR06486284-001</t>
  </si>
  <si>
    <t>D0552433:K09</t>
  </si>
  <si>
    <t>TR01548817-002</t>
  </si>
  <si>
    <t>D0554054:J15</t>
  </si>
  <si>
    <t>TR06544299-001</t>
  </si>
  <si>
    <t>L3</t>
  </si>
  <si>
    <t>L03</t>
  </si>
  <si>
    <t>D0554054:L03</t>
  </si>
  <si>
    <t>TR06516797-002</t>
  </si>
  <si>
    <t>J5</t>
  </si>
  <si>
    <t>J05</t>
  </si>
  <si>
    <t>D0554055:J05</t>
  </si>
  <si>
    <t>D0554053:B22</t>
  </si>
  <si>
    <t>TR06511053-001</t>
  </si>
  <si>
    <t>D0552432:J06</t>
  </si>
  <si>
    <t>TR01317580-005</t>
  </si>
  <si>
    <t>D0554055:N05</t>
  </si>
  <si>
    <t>D0554055:H11</t>
  </si>
  <si>
    <t>D0552433:L16</t>
  </si>
  <si>
    <t>TR01609075-002</t>
  </si>
  <si>
    <t>D0552433:O06</t>
  </si>
  <si>
    <t>TR01531239-002</t>
  </si>
  <si>
    <t>D0554055:E01</t>
  </si>
  <si>
    <t>TR06556956-001</t>
  </si>
  <si>
    <t>D0554055:F10</t>
  </si>
  <si>
    <t>D0552436:N21</t>
  </si>
  <si>
    <t>TR06439813-002</t>
  </si>
  <si>
    <t>D0552432:F12</t>
  </si>
  <si>
    <t>TR01360964-007</t>
  </si>
  <si>
    <t>D0552434:L02</t>
  </si>
  <si>
    <t>TR01712672-004</t>
  </si>
  <si>
    <t>D0554055:L13</t>
  </si>
  <si>
    <t>D0554053:G19</t>
  </si>
  <si>
    <t>TR06509780-001</t>
  </si>
  <si>
    <t>D0552433:J21</t>
  </si>
  <si>
    <t>TR01657572-004</t>
  </si>
  <si>
    <t>D0552431:P01</t>
  </si>
  <si>
    <t>TR01057911-006</t>
  </si>
  <si>
    <t>D0554054:L16</t>
  </si>
  <si>
    <t>TR06546367-001</t>
  </si>
  <si>
    <t>D10</t>
  </si>
  <si>
    <t>D0554053:D10</t>
  </si>
  <si>
    <t>TR06498131-001</t>
  </si>
  <si>
    <t>D0552436:G06</t>
  </si>
  <si>
    <t>TR06419737-001</t>
  </si>
  <si>
    <t>D0554053:O20</t>
  </si>
  <si>
    <t>TR06510361-001</t>
  </si>
  <si>
    <t>D0552432:D22</t>
  </si>
  <si>
    <t>TR01449784-005</t>
  </si>
  <si>
    <t>D0552433:J05</t>
  </si>
  <si>
    <t>TR01518519-005</t>
  </si>
  <si>
    <t>E9</t>
  </si>
  <si>
    <t>E09</t>
  </si>
  <si>
    <t>D0552435:E09</t>
  </si>
  <si>
    <t>TR06375846-009</t>
  </si>
  <si>
    <t>D0554055:I17</t>
  </si>
  <si>
    <t>D0554053:J16</t>
  </si>
  <si>
    <t>TR06505369-001</t>
  </si>
  <si>
    <t>D0552431:N23</t>
  </si>
  <si>
    <t>TR01278067-003</t>
  </si>
  <si>
    <t>D0554053:F07</t>
  </si>
  <si>
    <t>TR06493644-002</t>
  </si>
  <si>
    <t>D0554055:D03</t>
  </si>
  <si>
    <t>TR06562790-001</t>
  </si>
  <si>
    <t>D0552436:D07</t>
  </si>
  <si>
    <t>TR06419950-002</t>
  </si>
  <si>
    <t>D0552431:H07</t>
  </si>
  <si>
    <t>TR01156448-003</t>
  </si>
  <si>
    <t>D0552431:K01</t>
  </si>
  <si>
    <t>TR00991471-007</t>
  </si>
  <si>
    <t>D0552435:M03</t>
  </si>
  <si>
    <t>TR06121128-019</t>
  </si>
  <si>
    <t>D0554053:K20</t>
  </si>
  <si>
    <t>TR06509985-001</t>
  </si>
  <si>
    <t>D0554055:L19</t>
  </si>
  <si>
    <t>D0552431:P09</t>
  </si>
  <si>
    <t>TR01188611-006</t>
  </si>
  <si>
    <t>D0554055:J11</t>
  </si>
  <si>
    <t>D0552436:P11</t>
  </si>
  <si>
    <t>TR06422400-002</t>
  </si>
  <si>
    <t>D0554055:E11</t>
  </si>
  <si>
    <t>D0552433:D01</t>
  </si>
  <si>
    <t>TR01479824-004</t>
  </si>
  <si>
    <t>D0552436:P20</t>
  </si>
  <si>
    <t>TR06439617-001</t>
  </si>
  <si>
    <t>D0554053:I16</t>
  </si>
  <si>
    <t>TR06505305-002</t>
  </si>
  <si>
    <t>D0552436:N14</t>
  </si>
  <si>
    <t>TR06423960-004</t>
  </si>
  <si>
    <t>D0552434:M08</t>
  </si>
  <si>
    <t>TR01815919-002</t>
  </si>
  <si>
    <t>D0554053:N09</t>
  </si>
  <si>
    <t>TR06498016-002</t>
  </si>
  <si>
    <t>D0554055:A23</t>
  </si>
  <si>
    <t>D0554053:I13</t>
  </si>
  <si>
    <t>TR06501036-001</t>
  </si>
  <si>
    <t>D0552436:P03</t>
  </si>
  <si>
    <t>TR06416531-002</t>
  </si>
  <si>
    <t>D0552431:O06</t>
  </si>
  <si>
    <t>TR01148644-008</t>
  </si>
  <si>
    <t>D0552431:G04</t>
  </si>
  <si>
    <t>TR01115993-004</t>
  </si>
  <si>
    <t>D0552435:P12</t>
  </si>
  <si>
    <t>TR06387734-005</t>
  </si>
  <si>
    <t>D0554055:I05</t>
  </si>
  <si>
    <t>D0552432:E23</t>
  </si>
  <si>
    <t>TR01462145-003</t>
  </si>
  <si>
    <t>D0552431:M10</t>
  </si>
  <si>
    <t>TR01193655-002</t>
  </si>
  <si>
    <t>D0554055:O18</t>
  </si>
  <si>
    <t>D0552435:E19</t>
  </si>
  <si>
    <t>TR06404172-001</t>
  </si>
  <si>
    <t>D0552433:O09</t>
  </si>
  <si>
    <t>TR01551479-004</t>
  </si>
  <si>
    <t>D0552432:O01</t>
  </si>
  <si>
    <t>TR01284536-004</t>
  </si>
  <si>
    <t>D0552433:L02</t>
  </si>
  <si>
    <t>TR01494217-004</t>
  </si>
  <si>
    <t>D0552431:I05</t>
  </si>
  <si>
    <t>TR01127751-003</t>
  </si>
  <si>
    <t>D0552431:D06</t>
  </si>
  <si>
    <t>TR01139795-005</t>
  </si>
  <si>
    <t>D0554055:H23</t>
  </si>
  <si>
    <t>D0552435:N05</t>
  </si>
  <si>
    <t>TR06184527-006</t>
  </si>
  <si>
    <t>D0554055:D12</t>
  </si>
  <si>
    <t>D0554053:B10</t>
  </si>
  <si>
    <t>TR06498085-001</t>
  </si>
  <si>
    <t>D0552435:K22</t>
  </si>
  <si>
    <t>TR06408579-001</t>
  </si>
  <si>
    <t>D0554054:H15</t>
  </si>
  <si>
    <t>TR06544260-001</t>
  </si>
  <si>
    <t>D0552436:J22</t>
  </si>
  <si>
    <t>TR06444164-001</t>
  </si>
  <si>
    <t>D0552431:H02</t>
  </si>
  <si>
    <t>TR01062427-005</t>
  </si>
  <si>
    <t>D0552433:F09</t>
  </si>
  <si>
    <t>TR01547607-003</t>
  </si>
  <si>
    <t>D0552432:H24</t>
  </si>
  <si>
    <t>TR01478538-003</t>
  </si>
  <si>
    <t>D0552431:E04</t>
  </si>
  <si>
    <t>TR01114294-002</t>
  </si>
  <si>
    <t>D0554055:O09</t>
  </si>
  <si>
    <t>D0554053:G17</t>
  </si>
  <si>
    <t>TR06505676-001</t>
  </si>
  <si>
    <t>D0552432:F23</t>
  </si>
  <si>
    <t>TR01462645-004</t>
  </si>
  <si>
    <t>D0552431:M12</t>
  </si>
  <si>
    <t>TR01206957-007</t>
  </si>
  <si>
    <t>D0554055:G23</t>
  </si>
  <si>
    <t>D0552435:K20</t>
  </si>
  <si>
    <t>TR06405889-001</t>
  </si>
  <si>
    <t>D0552434:O21</t>
  </si>
  <si>
    <t>TR02316206-004</t>
  </si>
  <si>
    <t>D0552435:N22</t>
  </si>
  <si>
    <t>TR06408607-004</t>
  </si>
  <si>
    <t>D0552433:B13</t>
  </si>
  <si>
    <t>TR01575193-004</t>
  </si>
  <si>
    <t>D0554055:K20</t>
  </si>
  <si>
    <t>D0552435:B08</t>
  </si>
  <si>
    <t>TR06375587-003</t>
  </si>
  <si>
    <t>D0552434:I18</t>
  </si>
  <si>
    <t>TR02126136-002</t>
  </si>
  <si>
    <t>D0552433:D08</t>
  </si>
  <si>
    <t>TR01538309-008</t>
  </si>
  <si>
    <t>D0552431:P18</t>
  </si>
  <si>
    <t>TR01243776-003</t>
  </si>
  <si>
    <t>D0554053:E18</t>
  </si>
  <si>
    <t>TR06506350-001</t>
  </si>
  <si>
    <t>D0554054:L22</t>
  </si>
  <si>
    <t>TR06553755-001</t>
  </si>
  <si>
    <t>D0552436:P14</t>
  </si>
  <si>
    <t>TR06423992-002</t>
  </si>
  <si>
    <t>D0552432:G03</t>
  </si>
  <si>
    <t>TR01295773-006</t>
  </si>
  <si>
    <t>D0554055:G18</t>
  </si>
  <si>
    <t>D0554055:P10</t>
  </si>
  <si>
    <t>D0554055:E05</t>
  </si>
  <si>
    <t>D0552431:O17</t>
  </si>
  <si>
    <t>TR01235713-003</t>
  </si>
  <si>
    <t>D0554055:H18</t>
  </si>
  <si>
    <t>D0554055:K18</t>
  </si>
  <si>
    <t>D0554053:O23</t>
  </si>
  <si>
    <t>TR06512301-001</t>
  </si>
  <si>
    <t>D0552434:O11</t>
  </si>
  <si>
    <t>TR01903121-002</t>
  </si>
  <si>
    <t>D0552436:A19</t>
  </si>
  <si>
    <t>TR06430692-001</t>
  </si>
  <si>
    <t>D0552432:N14</t>
  </si>
  <si>
    <t>TR01380875-003</t>
  </si>
  <si>
    <t>D0552435:L19</t>
  </si>
  <si>
    <t>TR06405603-002</t>
  </si>
  <si>
    <t>D0554053:M21</t>
  </si>
  <si>
    <t>TR06510942-002</t>
  </si>
  <si>
    <t>D0552431:I16</t>
  </si>
  <si>
    <t>TR01229422-002</t>
  </si>
  <si>
    <t>D0554055:J09</t>
  </si>
  <si>
    <t>D0552434:H15</t>
  </si>
  <si>
    <t>TR02012561-004</t>
  </si>
  <si>
    <t>D0552435:D05</t>
  </si>
  <si>
    <t>TR06150650-014</t>
  </si>
  <si>
    <t>D0554053:F19</t>
  </si>
  <si>
    <t>TR06509779-001</t>
  </si>
  <si>
    <t>D0554055:M08</t>
  </si>
  <si>
    <t>D0554055:H07</t>
  </si>
  <si>
    <t>D0552433:L14</t>
  </si>
  <si>
    <t>TR01594108-004</t>
  </si>
  <si>
    <t>D0552431:H05</t>
  </si>
  <si>
    <t>TR01127737-004</t>
  </si>
  <si>
    <t>E8</t>
  </si>
  <si>
    <t>E08</t>
  </si>
  <si>
    <t>D0552433:E08</t>
  </si>
  <si>
    <t>TR01539353-005</t>
  </si>
  <si>
    <t>D0554055:O14</t>
  </si>
  <si>
    <t>D0554053:J20</t>
  </si>
  <si>
    <t>TR06509958-002</t>
  </si>
  <si>
    <t>D0552433:K11</t>
  </si>
  <si>
    <t>TR01563241-002</t>
  </si>
  <si>
    <t>D0554054:N04</t>
  </si>
  <si>
    <t>TR06522480-001</t>
  </si>
  <si>
    <t>D0552434:A10</t>
  </si>
  <si>
    <t>TR01843427-002</t>
  </si>
  <si>
    <t>D0552436:D10</t>
  </si>
  <si>
    <t>TR06420750-001</t>
  </si>
  <si>
    <t>D0552431:I09</t>
  </si>
  <si>
    <t>TR01184981-003</t>
  </si>
  <si>
    <t>D0552434:P08</t>
  </si>
  <si>
    <t>TR01819442-004</t>
  </si>
  <si>
    <t>D0552435:M22</t>
  </si>
  <si>
    <t>TR06408606-002</t>
  </si>
  <si>
    <t>D0552432:B21</t>
  </si>
  <si>
    <t>TR01440641-003</t>
  </si>
  <si>
    <t>D0552432:A23</t>
  </si>
  <si>
    <t>TR01460215-005</t>
  </si>
  <si>
    <t>D0552431:G20</t>
  </si>
  <si>
    <t>TR01255629-006</t>
  </si>
  <si>
    <t>D0554055:N06</t>
  </si>
  <si>
    <t>D0554055:C06</t>
  </si>
  <si>
    <t>D0552435:A12</t>
  </si>
  <si>
    <t>TR06387652-007</t>
  </si>
  <si>
    <t>D0554055:M21</t>
  </si>
  <si>
    <t>D0552434:F17</t>
  </si>
  <si>
    <t>TR02071009-004</t>
  </si>
  <si>
    <t>D0552433:H08</t>
  </si>
  <si>
    <t>TR01540654-004</t>
  </si>
  <si>
    <t>D0552435:F21</t>
  </si>
  <si>
    <t>TR06406042-001</t>
  </si>
  <si>
    <t>D0552433:E17</t>
  </si>
  <si>
    <t>TR01612090-005</t>
  </si>
  <si>
    <t>D0554055:L02</t>
  </si>
  <si>
    <t>TR06561632-002</t>
  </si>
  <si>
    <t>D0554054:L07</t>
  </si>
  <si>
    <t>TR06525747-002</t>
  </si>
  <si>
    <t>D0554054:N05</t>
  </si>
  <si>
    <t>TR06524969-002</t>
  </si>
  <si>
    <t>D0552435:D03</t>
  </si>
  <si>
    <t>TR06115064-018</t>
  </si>
  <si>
    <t>D0554055:D10</t>
  </si>
  <si>
    <t>D0554055:M07</t>
  </si>
  <si>
    <t>D0552434:O09</t>
  </si>
  <si>
    <t>TR01840195-004</t>
  </si>
  <si>
    <t>D0552432:C14</t>
  </si>
  <si>
    <t>TR01377611-005</t>
  </si>
  <si>
    <t>D0554053:F03</t>
  </si>
  <si>
    <t>TR06486457-001</t>
  </si>
  <si>
    <t>D0552433:P08</t>
  </si>
  <si>
    <t>TR01544821-002</t>
  </si>
  <si>
    <t>D0552433:F14</t>
  </si>
  <si>
    <t>TR01590402-003</t>
  </si>
  <si>
    <t>D0554054:E02</t>
  </si>
  <si>
    <t>TR06516479-001</t>
  </si>
  <si>
    <t>D0552435:O21</t>
  </si>
  <si>
    <t>TR06406159-002</t>
  </si>
  <si>
    <t>D0554055:P13</t>
  </si>
  <si>
    <t>D0554055:E08</t>
  </si>
  <si>
    <t>D0554053:C20</t>
  </si>
  <si>
    <t>TR06509914-001</t>
  </si>
  <si>
    <t>D0554055:B19</t>
  </si>
  <si>
    <t>D0552431:P19</t>
  </si>
  <si>
    <t>TR01253118-004</t>
  </si>
  <si>
    <t>D0552436:L01</t>
  </si>
  <si>
    <t>TR06413041-002</t>
  </si>
  <si>
    <t>D0552434:M13</t>
  </si>
  <si>
    <t>TR01968215-002</t>
  </si>
  <si>
    <t>D0554055:J12</t>
  </si>
  <si>
    <t>D0554055:P03</t>
  </si>
  <si>
    <t>D0552431:L19</t>
  </si>
  <si>
    <t>TR01251246-004</t>
  </si>
  <si>
    <t>D0554054:N15</t>
  </si>
  <si>
    <t>TR06544610-002</t>
  </si>
  <si>
    <t>D0552433:B14</t>
  </si>
  <si>
    <t>TR01587099-003</t>
  </si>
  <si>
    <t>D0552436:C15</t>
  </si>
  <si>
    <t>TR06424023-002</t>
  </si>
  <si>
    <t>D0554053:I10</t>
  </si>
  <si>
    <t>TR06498175-001</t>
  </si>
  <si>
    <t>D0552435:J04</t>
  </si>
  <si>
    <t>TR06135758-013</t>
  </si>
  <si>
    <t>D0552431:C14</t>
  </si>
  <si>
    <t>TR01216726-002</t>
  </si>
  <si>
    <t>D0554055:K08</t>
  </si>
  <si>
    <t>D0552436:C06</t>
  </si>
  <si>
    <t>TR06419698-001</t>
  </si>
  <si>
    <t>D0552432:E10</t>
  </si>
  <si>
    <t>TR01344975-006</t>
  </si>
  <si>
    <t>D0552435:O02</t>
  </si>
  <si>
    <t>TR06112165-022</t>
  </si>
  <si>
    <t>D0552433:D16</t>
  </si>
  <si>
    <t>TR01603824-002</t>
  </si>
  <si>
    <t>D0552436:B03</t>
  </si>
  <si>
    <t>TR06413480-002</t>
  </si>
  <si>
    <t>D0552434:A11</t>
  </si>
  <si>
    <t>TR01882298-002</t>
  </si>
  <si>
    <t>D0554054:F04</t>
  </si>
  <si>
    <t>TR06516902-002</t>
  </si>
  <si>
    <t>D0554055:H08</t>
  </si>
  <si>
    <t>H12</t>
  </si>
  <si>
    <t>D0554055:H12</t>
  </si>
  <si>
    <t>D0552434:J15</t>
  </si>
  <si>
    <t>TR02014154-002</t>
  </si>
  <si>
    <t>D0554055:D05</t>
  </si>
  <si>
    <t>D0552432:G12</t>
  </si>
  <si>
    <t>TR01361284-004</t>
  </si>
  <si>
    <t>D0552431:G23</t>
  </si>
  <si>
    <t>TR01276772-004</t>
  </si>
  <si>
    <t>D0552432:E02</t>
  </si>
  <si>
    <t>TR01286233-006</t>
  </si>
  <si>
    <t>D0554053:B13</t>
  </si>
  <si>
    <t>TR06500950-002</t>
  </si>
  <si>
    <t>D0554055:L12</t>
  </si>
  <si>
    <t>D0554053:C08</t>
  </si>
  <si>
    <t>TR06496478-001</t>
  </si>
  <si>
    <t>D0554055:A10</t>
  </si>
  <si>
    <t>D0554055:P20</t>
  </si>
  <si>
    <t>D0554054:E05</t>
  </si>
  <si>
    <t>TR06524780-002</t>
  </si>
  <si>
    <t>D0554055:K17</t>
  </si>
  <si>
    <t>D0554054:C23</t>
  </si>
  <si>
    <t>TR06555151-001</t>
  </si>
  <si>
    <t>D0554053:M22</t>
  </si>
  <si>
    <t>TR06511501-001</t>
  </si>
  <si>
    <t>D0552432:N08</t>
  </si>
  <si>
    <t>TR01334230-002</t>
  </si>
  <si>
    <t>H6</t>
  </si>
  <si>
    <t>H06</t>
  </si>
  <si>
    <t>D0554055:H06</t>
  </si>
  <si>
    <t>D0554055:D04</t>
  </si>
  <si>
    <t>D0552434:D19</t>
  </si>
  <si>
    <t>TR02150824-003</t>
  </si>
  <si>
    <t>D0552432:O07</t>
  </si>
  <si>
    <t>TR01325526-006</t>
  </si>
  <si>
    <t>D0554055:O20</t>
  </si>
  <si>
    <t>D0552432:D18</t>
  </si>
  <si>
    <t>TR01414400-003</t>
  </si>
  <si>
    <t>D0554053:O13</t>
  </si>
  <si>
    <t>TR06501089-002</t>
  </si>
  <si>
    <t>D0552432:O18</t>
  </si>
  <si>
    <t>TR01418518-004</t>
  </si>
  <si>
    <t>D0552436:I23</t>
  </si>
  <si>
    <t>TR06444505-001</t>
  </si>
  <si>
    <t>D0552434:A14</t>
  </si>
  <si>
    <t>TR01977461-002</t>
  </si>
  <si>
    <t>D0552434:E11</t>
  </si>
  <si>
    <t>TR01886789-003</t>
  </si>
  <si>
    <t>D0552435:L06</t>
  </si>
  <si>
    <t>TR06286994-004</t>
  </si>
  <si>
    <t>D0552432:K17</t>
  </si>
  <si>
    <t>TR01405987-003</t>
  </si>
  <si>
    <t>D0552435:J21</t>
  </si>
  <si>
    <t>TR06406118-002</t>
  </si>
  <si>
    <t>D0552432:K03</t>
  </si>
  <si>
    <t>TR01297470-003</t>
  </si>
  <si>
    <t>D0554053:H16</t>
  </si>
  <si>
    <t>TR06505274-001</t>
  </si>
  <si>
    <t>D0554053:M16</t>
  </si>
  <si>
    <t>TR06505454-001</t>
  </si>
  <si>
    <t>D0552432:I21</t>
  </si>
  <si>
    <t>TR01443095-007</t>
  </si>
  <si>
    <t>D0552432:H01</t>
  </si>
  <si>
    <t>TR01282955-010</t>
  </si>
  <si>
    <t>D0552431:H08</t>
  </si>
  <si>
    <t>TR01174833-011</t>
  </si>
  <si>
    <t>D0552433:I08</t>
  </si>
  <si>
    <t>TR01540761-006</t>
  </si>
  <si>
    <t>D0554053:H03</t>
  </si>
  <si>
    <t>TR06486474-002</t>
  </si>
  <si>
    <t>D0554054:M23</t>
  </si>
  <si>
    <t>TR06555346-001</t>
  </si>
  <si>
    <t>D0552431:F14</t>
  </si>
  <si>
    <t>TR01217188-004</t>
  </si>
  <si>
    <t>D0552432:N23</t>
  </si>
  <si>
    <t>TR01472647-008</t>
  </si>
  <si>
    <t>D0552432:P06</t>
  </si>
  <si>
    <t>TR01319408-006</t>
  </si>
  <si>
    <t>D0554053:D19</t>
  </si>
  <si>
    <t>TR06509759-001</t>
  </si>
  <si>
    <t>D0552431:C12</t>
  </si>
  <si>
    <t>TR01201887-005</t>
  </si>
  <si>
    <t>D0552431:P08</t>
  </si>
  <si>
    <t>TR01182177-006</t>
  </si>
  <si>
    <t>D0552435:D16</t>
  </si>
  <si>
    <t>TR06395478-001</t>
  </si>
  <si>
    <t>D0552435:E07</t>
  </si>
  <si>
    <t>TR06375349-020</t>
  </si>
  <si>
    <t>D0552431:P16</t>
  </si>
  <si>
    <t>TR01231526-003</t>
  </si>
  <si>
    <t>D0552432:J20</t>
  </si>
  <si>
    <t>TR01436607-003</t>
  </si>
  <si>
    <t>D0552434:E23</t>
  </si>
  <si>
    <t>TR02446592-003</t>
  </si>
  <si>
    <t>D0554054:O04</t>
  </si>
  <si>
    <t>TR06522526-001</t>
  </si>
  <si>
    <t>D0554055:C19</t>
  </si>
  <si>
    <t>D0554055:I04</t>
  </si>
  <si>
    <t>D0554055:F12</t>
  </si>
  <si>
    <t>D0552435:G12</t>
  </si>
  <si>
    <t>TR06387693-003</t>
  </si>
  <si>
    <t>D0552431:O13</t>
  </si>
  <si>
    <t>TR01213804-003</t>
  </si>
  <si>
    <t>D0552431:K17</t>
  </si>
  <si>
    <t>TR01234278-003</t>
  </si>
  <si>
    <t>D0552436:C10</t>
  </si>
  <si>
    <t>TR06420749-002</t>
  </si>
  <si>
    <t>D21</t>
  </si>
  <si>
    <t>D0554055:D21</t>
  </si>
  <si>
    <t>D0552436:M15</t>
  </si>
  <si>
    <t>TR06424521-002</t>
  </si>
  <si>
    <t>D0554055:G21</t>
  </si>
  <si>
    <t>D0552435:M15</t>
  </si>
  <si>
    <t>TR06395339-002</t>
  </si>
  <si>
    <t>D0552433:N04</t>
  </si>
  <si>
    <t>TR01512014-003</t>
  </si>
  <si>
    <t>D0554055:D13</t>
  </si>
  <si>
    <t>D0552436:H23</t>
  </si>
  <si>
    <t>TR06444504-001</t>
  </si>
  <si>
    <t>D0552431:F10</t>
  </si>
  <si>
    <t>TR01190464-003</t>
  </si>
  <si>
    <t>I11</t>
  </si>
  <si>
    <t>D0552431:I11</t>
  </si>
  <si>
    <t>TR01197588-006</t>
  </si>
  <si>
    <t>D0554055:P19</t>
  </si>
  <si>
    <t>D0554054:G01</t>
  </si>
  <si>
    <t>TR06516310-001</t>
  </si>
  <si>
    <t>D0552433:G03</t>
  </si>
  <si>
    <t>TR01503591-003</t>
  </si>
  <si>
    <t>D0552435:K04</t>
  </si>
  <si>
    <t>TR06135791-010</t>
  </si>
  <si>
    <t>D0552431:O14</t>
  </si>
  <si>
    <t>TR01222226-005</t>
  </si>
  <si>
    <t>D0554054:K03</t>
  </si>
  <si>
    <t>TR06516796-001</t>
  </si>
  <si>
    <t>D0554055:L14</t>
  </si>
  <si>
    <t>D0552433:M15</t>
  </si>
  <si>
    <t>TR01601366-003</t>
  </si>
  <si>
    <t>E6</t>
  </si>
  <si>
    <t>E06</t>
  </si>
  <si>
    <t>D0554054:E06</t>
  </si>
  <si>
    <t>TR06525178-002</t>
  </si>
  <si>
    <t>D0554055:C12</t>
  </si>
  <si>
    <t>D0552434:B05</t>
  </si>
  <si>
    <t>TR01753892-003</t>
  </si>
  <si>
    <t>D0552434:C11</t>
  </si>
  <si>
    <t>TR01885870-002</t>
  </si>
  <si>
    <t>K6</t>
  </si>
  <si>
    <t>K06</t>
  </si>
  <si>
    <t>D0552435:K06</t>
  </si>
  <si>
    <t>TR06285174-008</t>
  </si>
  <si>
    <t>D0552431:C15</t>
  </si>
  <si>
    <t>TR01222834-004</t>
  </si>
  <si>
    <t>D0554053:G10</t>
  </si>
  <si>
    <t>TR06498164-001</t>
  </si>
  <si>
    <t>D0554054:N17</t>
  </si>
  <si>
    <t>TR06546945-001</t>
  </si>
  <si>
    <t>D0554055:O13</t>
  </si>
  <si>
    <t>D0552434:B16</t>
  </si>
  <si>
    <t>TR02026776-002</t>
  </si>
  <si>
    <t>D0554053:J11</t>
  </si>
  <si>
    <t>TR06500669-002</t>
  </si>
  <si>
    <t>D0554055:M09</t>
  </si>
  <si>
    <t>D0552431:J01</t>
  </si>
  <si>
    <t>TR00991373-009</t>
  </si>
  <si>
    <t>D0554053:N18</t>
  </si>
  <si>
    <t>TR06509720-001</t>
  </si>
  <si>
    <t>D0552434:D21</t>
  </si>
  <si>
    <t>TR02270191-002</t>
  </si>
  <si>
    <t>D0554055:J19</t>
  </si>
  <si>
    <t>D0552436:B13</t>
  </si>
  <si>
    <t>TR06423610-002</t>
  </si>
  <si>
    <t>D0552433:M16</t>
  </si>
  <si>
    <t>TR01609141-003</t>
  </si>
  <si>
    <t>D0552435:J15</t>
  </si>
  <si>
    <t>TR06395308-001</t>
  </si>
  <si>
    <t>D0554055:G13</t>
  </si>
  <si>
    <t>D0554053:F01</t>
  </si>
  <si>
    <t>TR06483063-002</t>
  </si>
  <si>
    <t>D0554053:H08</t>
  </si>
  <si>
    <t>TR06496547-001</t>
  </si>
  <si>
    <t>D0554054:M21</t>
  </si>
  <si>
    <t>TR06548174-001</t>
  </si>
  <si>
    <t>D0552432:E13</t>
  </si>
  <si>
    <t>TR01368949-008</t>
  </si>
  <si>
    <t>D0554055:G04</t>
  </si>
  <si>
    <t>D0552435:N17</t>
  </si>
  <si>
    <t>TR06403886-002</t>
  </si>
  <si>
    <t>D0552434:E24</t>
  </si>
  <si>
    <t>TR02699549-002</t>
  </si>
  <si>
    <t>D0554055:D08</t>
  </si>
  <si>
    <t>D0552434:M11</t>
  </si>
  <si>
    <t>TR01897898-002</t>
  </si>
  <si>
    <t>D0554055:I07</t>
  </si>
  <si>
    <t>D0554053:G22</t>
  </si>
  <si>
    <t>TR06511277-001</t>
  </si>
  <si>
    <t>B7</t>
  </si>
  <si>
    <t>B07</t>
  </si>
  <si>
    <t>D0552431:B07</t>
  </si>
  <si>
    <t>TR01149471-003</t>
  </si>
  <si>
    <t>D0554054:E08</t>
  </si>
  <si>
    <t>TR06526345-002</t>
  </si>
  <si>
    <t>D0552436:C22</t>
  </si>
  <si>
    <t>TR06443916-001</t>
  </si>
  <si>
    <t>D0552435:K18</t>
  </si>
  <si>
    <t>TR06404038-001</t>
  </si>
  <si>
    <t>D0552435:K19</t>
  </si>
  <si>
    <t>TR06405602-001</t>
  </si>
  <si>
    <t>D0554053:P04</t>
  </si>
  <si>
    <t>TR06486707-004</t>
  </si>
  <si>
    <t>D0554055:B23</t>
  </si>
  <si>
    <t>D0554055:M23</t>
  </si>
  <si>
    <t>D0554054:H22</t>
  </si>
  <si>
    <t>TR06553589-001</t>
  </si>
  <si>
    <t>D0552434:H01</t>
  </si>
  <si>
    <t>TR01698363-002</t>
  </si>
  <si>
    <t>D0552434:G01</t>
  </si>
  <si>
    <t>TR01697384-005</t>
  </si>
  <si>
    <t>D0554054:B19</t>
  </si>
  <si>
    <t>TR06547726-001</t>
  </si>
  <si>
    <t>D0552435:J22</t>
  </si>
  <si>
    <t>TR06408547-001</t>
  </si>
  <si>
    <t>D0554054:E22</t>
  </si>
  <si>
    <t>TR06548252-001</t>
  </si>
  <si>
    <t>D0554054:B07</t>
  </si>
  <si>
    <t>TR06525548-001</t>
  </si>
  <si>
    <t>D0552434:G07</t>
  </si>
  <si>
    <t>TR01793816-002</t>
  </si>
  <si>
    <t>D0554053:B04</t>
  </si>
  <si>
    <t>TR06486575-001</t>
  </si>
  <si>
    <t>D0554053:A16</t>
  </si>
  <si>
    <t>TR06504953-001</t>
  </si>
  <si>
    <t>D0552435:B24</t>
  </si>
  <si>
    <t>TR06412177-004</t>
  </si>
  <si>
    <t>D0552432:C11</t>
  </si>
  <si>
    <t>TR01351965-006</t>
  </si>
  <si>
    <t>D0554054:D19</t>
  </si>
  <si>
    <t>TR06547740-001</t>
  </si>
  <si>
    <t>D0552435:M07</t>
  </si>
  <si>
    <t>TR06375558-004</t>
  </si>
  <si>
    <t>D0552432:K20</t>
  </si>
  <si>
    <t>TR01437118-002</t>
  </si>
  <si>
    <t>D0554055:A20</t>
  </si>
  <si>
    <t>D0552435:O18</t>
  </si>
  <si>
    <t>TR06404089-001</t>
  </si>
  <si>
    <t>D0552435:O03</t>
  </si>
  <si>
    <t>TR06123022-007</t>
  </si>
  <si>
    <t>D0552435:O07</t>
  </si>
  <si>
    <t>TR06375563-002</t>
  </si>
  <si>
    <t>D0552436:K07</t>
  </si>
  <si>
    <t>TR06420026-001</t>
  </si>
  <si>
    <t>D0554053:J10</t>
  </si>
  <si>
    <t>TR06498176-002</t>
  </si>
  <si>
    <t>D0554054:M03</t>
  </si>
  <si>
    <t>TR06516823-002</t>
  </si>
  <si>
    <t>D0552431:E09</t>
  </si>
  <si>
    <t>TR01184299-004</t>
  </si>
  <si>
    <t>D0552434:E19</t>
  </si>
  <si>
    <t>TR02152609-002</t>
  </si>
  <si>
    <t>D0554055:F13</t>
  </si>
  <si>
    <t>D0554055:O11</t>
  </si>
  <si>
    <t>D0552433:B06</t>
  </si>
  <si>
    <t>TR01524395-003</t>
  </si>
  <si>
    <t>D0552432:N09</t>
  </si>
  <si>
    <t>TR01340414-004</t>
  </si>
  <si>
    <t>D0554055:N22</t>
  </si>
  <si>
    <t>D0552432:M19</t>
  </si>
  <si>
    <t>TR01426487-004</t>
  </si>
  <si>
    <t>D0554054:G15</t>
  </si>
  <si>
    <t>TR06544210-001</t>
  </si>
  <si>
    <t>D0552432:F09</t>
  </si>
  <si>
    <t>TR01338354-005</t>
  </si>
  <si>
    <t>D0552434:O12</t>
  </si>
  <si>
    <t>TR01931655-003</t>
  </si>
  <si>
    <t>D0554055:K04</t>
  </si>
  <si>
    <t>D0552436:I12</t>
  </si>
  <si>
    <t>TR06422606-001</t>
  </si>
  <si>
    <t>D0552433:E03</t>
  </si>
  <si>
    <t>TR01500873-007</t>
  </si>
  <si>
    <t>D0552435:F11</t>
  </si>
  <si>
    <t>TR06377346-016</t>
  </si>
  <si>
    <t>D0552431:B02</t>
  </si>
  <si>
    <t>TR01060253-007</t>
  </si>
  <si>
    <t>D0552433:I12</t>
  </si>
  <si>
    <t>TR01568686-003</t>
  </si>
  <si>
    <t>D0552434:D18</t>
  </si>
  <si>
    <t>TR02102623-002</t>
  </si>
  <si>
    <t>D0552436:J21</t>
  </si>
  <si>
    <t>TR06439751-001</t>
  </si>
  <si>
    <t>D0552435:D02</t>
  </si>
  <si>
    <t>TR06106764-015</t>
  </si>
  <si>
    <t>D0554055:O12</t>
  </si>
  <si>
    <t>D0552432:B14</t>
  </si>
  <si>
    <t>TR01377502-003</t>
  </si>
  <si>
    <t>D0552432:O21</t>
  </si>
  <si>
    <t>TR01446155-005</t>
  </si>
  <si>
    <t>D0554055:E03</t>
  </si>
  <si>
    <t>TR06562791-001</t>
  </si>
  <si>
    <t>D0554054:A08</t>
  </si>
  <si>
    <t>TR06525877-001</t>
  </si>
  <si>
    <t>D0554055:N20</t>
  </si>
  <si>
    <t>D0552431:D20</t>
  </si>
  <si>
    <t>TR01253963-007</t>
  </si>
  <si>
    <t>D0554055:F11</t>
  </si>
  <si>
    <t>D0552434:K17</t>
  </si>
  <si>
    <t>TR02083082-004</t>
  </si>
  <si>
    <t>D0554055:B13</t>
  </si>
  <si>
    <t>D0552436:L10</t>
  </si>
  <si>
    <t>TR06420869-001</t>
  </si>
  <si>
    <t>D0552434:H06</t>
  </si>
  <si>
    <t>TR01775887-003</t>
  </si>
  <si>
    <t>D0554055:E15</t>
  </si>
  <si>
    <t>D0554055:K09</t>
  </si>
  <si>
    <t>D0554055:L07</t>
  </si>
  <si>
    <t>D0554055:H05</t>
  </si>
  <si>
    <t>D0554053:C15</t>
  </si>
  <si>
    <t>TR06502725-001</t>
  </si>
  <si>
    <t>D0554055:A08</t>
  </si>
  <si>
    <t>D0552435:L11</t>
  </si>
  <si>
    <t>TR06387624-007</t>
  </si>
  <si>
    <t>D0554053:B15</t>
  </si>
  <si>
    <t>TR06502724-001</t>
  </si>
  <si>
    <t>D0552431:E17</t>
  </si>
  <si>
    <t>TR01232389-009</t>
  </si>
  <si>
    <t>D0552435:G02</t>
  </si>
  <si>
    <t>TR06107447-012</t>
  </si>
  <si>
    <t>D0552435:H15</t>
  </si>
  <si>
    <t>TR06395284-001</t>
  </si>
  <si>
    <t>D0552436:O07</t>
  </si>
  <si>
    <t>TR06420099-002</t>
  </si>
  <si>
    <t>D0552433:D12</t>
  </si>
  <si>
    <t>TR01567420-002</t>
  </si>
  <si>
    <t>D0554055:C15</t>
  </si>
  <si>
    <t>D0554055:F03</t>
  </si>
  <si>
    <t>TR06562792-001</t>
  </si>
  <si>
    <t>D0554055:P21</t>
  </si>
  <si>
    <t>D0552433:G21</t>
  </si>
  <si>
    <t>TR01654180-003</t>
  </si>
  <si>
    <t>D0552435:N08</t>
  </si>
  <si>
    <t>TR06375774-003</t>
  </si>
  <si>
    <t>D0552435:L20</t>
  </si>
  <si>
    <t>TR06405927-002</t>
  </si>
  <si>
    <t>D0552436:N05</t>
  </si>
  <si>
    <t>TR06417129-002</t>
  </si>
  <si>
    <t>D0552432:C03</t>
  </si>
  <si>
    <t>TR01294794-004</t>
  </si>
  <si>
    <t>D0554055:F20</t>
  </si>
  <si>
    <t>D0554055:C11</t>
  </si>
  <si>
    <t>D0552435:D23</t>
  </si>
  <si>
    <t>TR06411987-002</t>
  </si>
  <si>
    <t>D0552431:F16</t>
  </si>
  <si>
    <t>TR01228401-003</t>
  </si>
  <si>
    <t>D0554055:D14</t>
  </si>
  <si>
    <t>D0554055:B15</t>
  </si>
  <si>
    <t>D0552435:K21</t>
  </si>
  <si>
    <t>TR06406119-002</t>
  </si>
  <si>
    <t>D0552431:K12</t>
  </si>
  <si>
    <t>TR01205836-003</t>
  </si>
  <si>
    <t>D0554054:O01</t>
  </si>
  <si>
    <t>TR06516396-001</t>
  </si>
  <si>
    <t>D0552436:I22</t>
  </si>
  <si>
    <t>TR06444140-001</t>
  </si>
  <si>
    <t>D0552433:I11</t>
  </si>
  <si>
    <t>TR01561303-007</t>
  </si>
  <si>
    <t>D0552431:J15</t>
  </si>
  <si>
    <t>TR01225222-003</t>
  </si>
  <si>
    <t>D0552435:P06</t>
  </si>
  <si>
    <t>TR06375250-010</t>
  </si>
  <si>
    <t>D0554053:J15</t>
  </si>
  <si>
    <t>TR06502804-001</t>
  </si>
  <si>
    <t>D0552435:E03</t>
  </si>
  <si>
    <t>TR06115777-012</t>
  </si>
  <si>
    <t>D0554054:D03</t>
  </si>
  <si>
    <t>TR06516647-001</t>
  </si>
  <si>
    <t>D0554053:E08</t>
  </si>
  <si>
    <t>TR06496544-001</t>
  </si>
  <si>
    <t>D0552431:N21</t>
  </si>
  <si>
    <t>TR01264975-002</t>
  </si>
  <si>
    <t>D0552433:F16</t>
  </si>
  <si>
    <t>TR01605740-003</t>
  </si>
  <si>
    <t>D0552436:D06</t>
  </si>
  <si>
    <t>TR06419699-001</t>
  </si>
  <si>
    <t>D0552435:I03</t>
  </si>
  <si>
    <t>TR06118103-011</t>
  </si>
  <si>
    <t>D0554055:E06</t>
  </si>
  <si>
    <t>D0552431:L05</t>
  </si>
  <si>
    <t>TR01129686-006</t>
  </si>
  <si>
    <t>D0552436:D17</t>
  </si>
  <si>
    <t>TR06427998-001</t>
  </si>
  <si>
    <t>D0554055:G16</t>
  </si>
  <si>
    <t>D0552433:O08</t>
  </si>
  <si>
    <t>TR01544454-004</t>
  </si>
  <si>
    <t>D0552431:N07</t>
  </si>
  <si>
    <t>TR01161426-005</t>
  </si>
  <si>
    <t>D0552434:M02</t>
  </si>
  <si>
    <t>TR01713480-002</t>
  </si>
  <si>
    <t>D0552436:F18</t>
  </si>
  <si>
    <t>TR06428696-002</t>
  </si>
  <si>
    <t>D0552436:J15</t>
  </si>
  <si>
    <t>TR06424441-001</t>
  </si>
  <si>
    <t>A9</t>
  </si>
  <si>
    <t>A09</t>
  </si>
  <si>
    <t>D0554054:A09</t>
  </si>
  <si>
    <t>TR06526488-001</t>
  </si>
  <si>
    <t>D0554053:N02</t>
  </si>
  <si>
    <t>TR06486392-002</t>
  </si>
  <si>
    <t>D0554053:H13</t>
  </si>
  <si>
    <t>TR06501032-001</t>
  </si>
  <si>
    <t>D0554055:M10</t>
  </si>
  <si>
    <t>D0554053:P10</t>
  </si>
  <si>
    <t>TR06500117-002</t>
  </si>
  <si>
    <t>D0552435:P21</t>
  </si>
  <si>
    <t>TR06406201-001</t>
  </si>
  <si>
    <t>D0552431:J20</t>
  </si>
  <si>
    <t>TR01256308-006</t>
  </si>
  <si>
    <t>D0554053:F06</t>
  </si>
  <si>
    <t>TR06489303-001</t>
  </si>
  <si>
    <t>D0552431:L02</t>
  </si>
  <si>
    <t>TR01066740-005</t>
  </si>
  <si>
    <t>D0552436:F06</t>
  </si>
  <si>
    <t>TR06419736-001</t>
  </si>
  <si>
    <t>D0552432:H15</t>
  </si>
  <si>
    <t>TR01387289-008</t>
  </si>
  <si>
    <t>D0552435:F05</t>
  </si>
  <si>
    <t>TR06151105-005</t>
  </si>
  <si>
    <t>D0554055:I21</t>
  </si>
  <si>
    <t>D0552431:P12</t>
  </si>
  <si>
    <t>TR01207925-002</t>
  </si>
  <si>
    <t>D0554055:D18</t>
  </si>
  <si>
    <t>D0552434:H20</t>
  </si>
  <si>
    <t>TR02195328-002</t>
  </si>
  <si>
    <t>D0554055:C09</t>
  </si>
  <si>
    <t>D0552436:J03</t>
  </si>
  <si>
    <t>TR06413633-002</t>
  </si>
  <si>
    <t>D0554055:A14</t>
  </si>
  <si>
    <t>D0552435:A11</t>
  </si>
  <si>
    <t>TR06376812-004</t>
  </si>
  <si>
    <t>D0552434:L05</t>
  </si>
  <si>
    <t>TR01761927-002</t>
  </si>
  <si>
    <t>D0552435:B16</t>
  </si>
  <si>
    <t>TR06395430-002</t>
  </si>
  <si>
    <t>D0552435:L13</t>
  </si>
  <si>
    <t>TR06387975-017</t>
  </si>
  <si>
    <t>D0554055:M19</t>
  </si>
  <si>
    <t>D0552435:G22</t>
  </si>
  <si>
    <t>TR06408313-001</t>
  </si>
  <si>
    <t>D0554055:M14</t>
  </si>
  <si>
    <t>D0552434:P13</t>
  </si>
  <si>
    <t>TR01976043-004</t>
  </si>
  <si>
    <t>D0552432:C21</t>
  </si>
  <si>
    <t>TR01441211-003</t>
  </si>
  <si>
    <t>D0552431:G16</t>
  </si>
  <si>
    <t>TR01228960-007</t>
  </si>
  <si>
    <t>D0552433:F01</t>
  </si>
  <si>
    <t>TR01479949-002</t>
  </si>
  <si>
    <t>D0554055:B21</t>
  </si>
  <si>
    <t>D0552431:H15</t>
  </si>
  <si>
    <t>TR01224964-002</t>
  </si>
  <si>
    <t>D0554053:H10</t>
  </si>
  <si>
    <t>TR06498165-001</t>
  </si>
  <si>
    <t>D0554055:O04</t>
  </si>
  <si>
    <t>D0552432:H12</t>
  </si>
  <si>
    <t>TR01361360-006</t>
  </si>
  <si>
    <t>D0554055:A18</t>
  </si>
  <si>
    <t>D0552436:H08</t>
  </si>
  <si>
    <t>TR06420217-002</t>
  </si>
  <si>
    <t>D0554055:I15</t>
  </si>
  <si>
    <t>D0552433:I15</t>
  </si>
  <si>
    <t>TR01599896-002</t>
  </si>
  <si>
    <t>D0552434:M12</t>
  </si>
  <si>
    <t>TR01930355-003</t>
  </si>
  <si>
    <t>K2</t>
  </si>
  <si>
    <t>K02</t>
  </si>
  <si>
    <t>D0552431:K02</t>
  </si>
  <si>
    <t>TR01063201-014</t>
  </si>
  <si>
    <t>D0552433:H05</t>
  </si>
  <si>
    <t>TR01517330-004</t>
  </si>
  <si>
    <t>D0552435:D12</t>
  </si>
  <si>
    <t>TR06387670-009</t>
  </si>
  <si>
    <t>D0552431:G09</t>
  </si>
  <si>
    <t>TR01184643-003</t>
  </si>
  <si>
    <t>D0552435:P14</t>
  </si>
  <si>
    <t>TR06395190-002</t>
  </si>
  <si>
    <t>D0552434:F05</t>
  </si>
  <si>
    <t>TR01756274-003</t>
  </si>
  <si>
    <t>D0552435:J23</t>
  </si>
  <si>
    <t>TR06412062-002</t>
  </si>
  <si>
    <t>D0554055:E22</t>
  </si>
  <si>
    <t>D0554055:G07</t>
  </si>
  <si>
    <t>D0552434:A17</t>
  </si>
  <si>
    <t>TR02059418-002</t>
  </si>
  <si>
    <t>D0552434:K06</t>
  </si>
  <si>
    <t>TR01778174-003</t>
  </si>
  <si>
    <t>D0554055:N15</t>
  </si>
  <si>
    <t>D0552434:H04</t>
  </si>
  <si>
    <t>TR01746299-004</t>
  </si>
  <si>
    <t>D0552433:J08</t>
  </si>
  <si>
    <t>TR01541364-002</t>
  </si>
  <si>
    <t>D0554053:O03</t>
  </si>
  <si>
    <t>TR06486538-001</t>
  </si>
  <si>
    <t>D0554054:H09</t>
  </si>
  <si>
    <t>TR06532445-002</t>
  </si>
  <si>
    <t>D0552435:J17</t>
  </si>
  <si>
    <t>TR06402959-002</t>
  </si>
  <si>
    <t>D0552436:O02</t>
  </si>
  <si>
    <t>TR06413403-001</t>
  </si>
  <si>
    <t>D0554055:P05</t>
  </si>
  <si>
    <t>D0554053:G04</t>
  </si>
  <si>
    <t>TR06486621-001</t>
  </si>
  <si>
    <t>D0554053:B19</t>
  </si>
  <si>
    <t>TR06509742-001</t>
  </si>
  <si>
    <t>D0552434:A12</t>
  </si>
  <si>
    <t>TR01910281-003</t>
  </si>
  <si>
    <t>D0554055:P09</t>
  </si>
  <si>
    <t>D0554053:A04</t>
  </si>
  <si>
    <t>TR06486558-001</t>
  </si>
  <si>
    <t>D0552434:E07</t>
  </si>
  <si>
    <t>TR01792186-003</t>
  </si>
  <si>
    <t>D0552432:E08</t>
  </si>
  <si>
    <t>TR01328453-005</t>
  </si>
  <si>
    <t>D0554055:N17</t>
  </si>
  <si>
    <t>D0552432:D14</t>
  </si>
  <si>
    <t>TR01378409-003</t>
  </si>
  <si>
    <t>D0552433:G17</t>
  </si>
  <si>
    <t>TR01613069-004</t>
  </si>
  <si>
    <t>D0552435:B06</t>
  </si>
  <si>
    <t>TR06195729-003</t>
  </si>
  <si>
    <t>D0554053:E19</t>
  </si>
  <si>
    <t>TR06509778-001</t>
  </si>
  <si>
    <t>D0552436:K21</t>
  </si>
  <si>
    <t>TR06439752-001</t>
  </si>
  <si>
    <t>D0552434:E22</t>
  </si>
  <si>
    <t>TR02348734-002</t>
  </si>
  <si>
    <t>D0552433:C24</t>
  </si>
  <si>
    <t>TR01687475-006</t>
  </si>
  <si>
    <t>D0552434:B04</t>
  </si>
  <si>
    <t>TR01739489-002</t>
  </si>
  <si>
    <t>D0552432:F19</t>
  </si>
  <si>
    <t>TR01420890-007</t>
  </si>
  <si>
    <t>D0552434:I13</t>
  </si>
  <si>
    <t>TR01959092-002</t>
  </si>
  <si>
    <t>D0554053:J14</t>
  </si>
  <si>
    <t>TR06502680-001</t>
  </si>
  <si>
    <t>D0554053:J19</t>
  </si>
  <si>
    <t>TR06509804-001</t>
  </si>
  <si>
    <t>D0552431:I04</t>
  </si>
  <si>
    <t>TR01116938-003</t>
  </si>
  <si>
    <t>D0552434:B03</t>
  </si>
  <si>
    <t>TR01724797-003</t>
  </si>
  <si>
    <t>D0554055:M05</t>
  </si>
  <si>
    <t>D0552432:E24</t>
  </si>
  <si>
    <t>TR01478243-004</t>
  </si>
  <si>
    <t>D0552435:N11</t>
  </si>
  <si>
    <t>TR06387634-008</t>
  </si>
  <si>
    <t>D0552432:J02</t>
  </si>
  <si>
    <t>TR01288434-003</t>
  </si>
  <si>
    <t>D0552432:A05</t>
  </si>
  <si>
    <t>TR01303343-009</t>
  </si>
  <si>
    <t>D0554055:I11</t>
  </si>
  <si>
    <t>D0552433:K23</t>
  </si>
  <si>
    <t>TR01682347-005</t>
  </si>
  <si>
    <t>D0552433:D06</t>
  </si>
  <si>
    <t>TR01524600-005</t>
  </si>
  <si>
    <t>D0554055:E17</t>
  </si>
  <si>
    <t>D0554055:F22</t>
  </si>
  <si>
    <t>D0552434:C05</t>
  </si>
  <si>
    <t>TR01754765-002</t>
  </si>
  <si>
    <t>D0552434:N17</t>
  </si>
  <si>
    <t>TR02085772-002</t>
  </si>
  <si>
    <t>D0552432:K13</t>
  </si>
  <si>
    <t>TR01374423-006</t>
  </si>
  <si>
    <t>D0554055:D15</t>
  </si>
  <si>
    <t>D0554054:G03</t>
  </si>
  <si>
    <t>TR06516680-002</t>
  </si>
  <si>
    <t>D0552434:M23</t>
  </si>
  <si>
    <t>TR02486150-006</t>
  </si>
  <si>
    <t>D0554054:C02</t>
  </si>
  <si>
    <t>TR06516436-001</t>
  </si>
  <si>
    <t>D0552435:E22</t>
  </si>
  <si>
    <t>TR06408251-001</t>
  </si>
  <si>
    <t>D0552436:H20</t>
  </si>
  <si>
    <t>TR06432037-003</t>
  </si>
  <si>
    <t>D0552431:K19</t>
  </si>
  <si>
    <t>TR01250705-008</t>
  </si>
  <si>
    <t>D0554055:G19</t>
  </si>
  <si>
    <t>D0554055:L10</t>
  </si>
  <si>
    <t>D0552433:P04</t>
  </si>
  <si>
    <t>TR01513116-016</t>
  </si>
  <si>
    <t>D0552434:C03</t>
  </si>
  <si>
    <t>TR01725080-002</t>
  </si>
  <si>
    <t>D0552434:G08</t>
  </si>
  <si>
    <t>TR01809657-003</t>
  </si>
  <si>
    <t>D0552431:D10</t>
  </si>
  <si>
    <t>TR01190168-009</t>
  </si>
  <si>
    <t>D0552431:M16</t>
  </si>
  <si>
    <t>TR01230974-009</t>
  </si>
  <si>
    <t>D0552435:G08</t>
  </si>
  <si>
    <t>TR06375598-004</t>
  </si>
  <si>
    <t>D0552433:L11</t>
  </si>
  <si>
    <t>TR01563365-006</t>
  </si>
  <si>
    <t>D0554055:C10</t>
  </si>
  <si>
    <t>D0554055:I16</t>
  </si>
  <si>
    <t>D0554053:E16</t>
  </si>
  <si>
    <t>TR06505140-001</t>
  </si>
  <si>
    <t>D0552432:C17</t>
  </si>
  <si>
    <t>TR01403646-003</t>
  </si>
  <si>
    <t>D0552436:E10</t>
  </si>
  <si>
    <t>TR06420751-002</t>
  </si>
  <si>
    <t>D0552434:D16</t>
  </si>
  <si>
    <t>TR02035589-003</t>
  </si>
  <si>
    <t>D0552431:D04</t>
  </si>
  <si>
    <t>TR01113440-006</t>
  </si>
  <si>
    <t>D0554055:M15</t>
  </si>
  <si>
    <t>D0552431:K16</t>
  </si>
  <si>
    <t>TR01229688-006</t>
  </si>
  <si>
    <t>D0552431:H13</t>
  </si>
  <si>
    <t>TR01210901-006</t>
  </si>
  <si>
    <t>D0554055:B14</t>
  </si>
  <si>
    <t>D0554055:C20</t>
  </si>
  <si>
    <t>D0552431:M02</t>
  </si>
  <si>
    <t>TR01070972-005</t>
  </si>
  <si>
    <t>D0554053:F20</t>
  </si>
  <si>
    <t>TR06509935-001</t>
  </si>
  <si>
    <t>D0554055:E19</t>
  </si>
  <si>
    <t>D0554054:A01</t>
  </si>
  <si>
    <t>TR06512726-001</t>
  </si>
  <si>
    <t>D0552434:B15</t>
  </si>
  <si>
    <t>TR02002770-003</t>
  </si>
  <si>
    <t>D0552432:N05</t>
  </si>
  <si>
    <t>TR01310710-005</t>
  </si>
  <si>
    <t>D0554053:P19</t>
  </si>
  <si>
    <t>TR06509911-001</t>
  </si>
  <si>
    <t>D0552436:B05</t>
  </si>
  <si>
    <t>TR06416856-001</t>
  </si>
  <si>
    <t>D0552432:B02</t>
  </si>
  <si>
    <t>TR01285522-004</t>
  </si>
  <si>
    <t>D0552436:K04</t>
  </si>
  <si>
    <t>TR06416718-001</t>
  </si>
  <si>
    <t>D0552436:H11</t>
  </si>
  <si>
    <t>TR06422259-001</t>
  </si>
  <si>
    <t>D0554053:P12</t>
  </si>
  <si>
    <t>TR06500919-002</t>
  </si>
  <si>
    <t>D0552436:D03</t>
  </si>
  <si>
    <t>TR06413515-002</t>
  </si>
  <si>
    <t>D0554055:I09</t>
  </si>
  <si>
    <t>D0552434:C10</t>
  </si>
  <si>
    <t>TR01848984-003</t>
  </si>
  <si>
    <t>D0552432:J21</t>
  </si>
  <si>
    <t>TR01443175-004</t>
  </si>
  <si>
    <t>D0552431:G03</t>
  </si>
  <si>
    <t>TR01102055-004</t>
  </si>
  <si>
    <t>D0552431:E08</t>
  </si>
  <si>
    <t>TR01172971-002</t>
  </si>
  <si>
    <t>D0552431:M18</t>
  </si>
  <si>
    <t>TR01243105-003</t>
  </si>
  <si>
    <t>D0552435:J07</t>
  </si>
  <si>
    <t>TR06375541-005</t>
  </si>
  <si>
    <t>D0552436:J02</t>
  </si>
  <si>
    <t>TR06413292-004</t>
  </si>
  <si>
    <t>D0552436:N23</t>
  </si>
  <si>
    <t>TR06445289-001</t>
  </si>
  <si>
    <t>D0552434:D10</t>
  </si>
  <si>
    <t>TR01852577-002</t>
  </si>
  <si>
    <t>D0554055:L04</t>
  </si>
  <si>
    <t>D0552432:A11</t>
  </si>
  <si>
    <t>TR01351620-008</t>
  </si>
  <si>
    <t>D0554055:O23</t>
  </si>
  <si>
    <t>D0552434:L06</t>
  </si>
  <si>
    <t>TR01778590-002</t>
  </si>
  <si>
    <t>D0552432:J07</t>
  </si>
  <si>
    <t>TR01322717-006</t>
  </si>
  <si>
    <t>D0552434:K03</t>
  </si>
  <si>
    <t>TR01733471-005</t>
  </si>
  <si>
    <t>D0552436:G12</t>
  </si>
  <si>
    <t>TR06422545-001</t>
  </si>
  <si>
    <t>D0552436:O20</t>
  </si>
  <si>
    <t>TR06439616-001</t>
  </si>
  <si>
    <t>D0552431:B22</t>
  </si>
  <si>
    <t>TR01265732-007</t>
  </si>
  <si>
    <t>D0552431:E24</t>
  </si>
  <si>
    <t>TR01279359-003</t>
  </si>
  <si>
    <t>D0552431:H20</t>
  </si>
  <si>
    <t>TR01255917-003</t>
  </si>
  <si>
    <t>D0554053:L17</t>
  </si>
  <si>
    <t>TR06505801-001</t>
  </si>
  <si>
    <t>D0554055:J10</t>
  </si>
  <si>
    <t>D0552433:N18</t>
  </si>
  <si>
    <t>TR01628567-003</t>
  </si>
  <si>
    <t>D0554054:C16</t>
  </si>
  <si>
    <t>TR06546190-001</t>
  </si>
  <si>
    <t>D0552431:G13</t>
  </si>
  <si>
    <t>TR01210269-002</t>
  </si>
  <si>
    <t>D0552434:A19</t>
  </si>
  <si>
    <t>TR02142856-002</t>
  </si>
  <si>
    <t>D0554055:M20</t>
  </si>
  <si>
    <t>D0552435:B14</t>
  </si>
  <si>
    <t>TR06390010-009</t>
  </si>
  <si>
    <t>D0552436:I11</t>
  </si>
  <si>
    <t>TR06422285-001</t>
  </si>
  <si>
    <t>D0552435:J14</t>
  </si>
  <si>
    <t>TR06395127-001</t>
  </si>
  <si>
    <t>D0552431:C16</t>
  </si>
  <si>
    <t>TR01227715-002</t>
  </si>
  <si>
    <t>D0552435:D13</t>
  </si>
  <si>
    <t>TR06387784-002</t>
  </si>
  <si>
    <t>D0554053:M06</t>
  </si>
  <si>
    <t>TR06489358-002</t>
  </si>
  <si>
    <t>D0552431:E21</t>
  </si>
  <si>
    <t>TR01262331-007</t>
  </si>
  <si>
    <t>D0552434:K19</t>
  </si>
  <si>
    <t>TR02167099-003</t>
  </si>
  <si>
    <t>D0552431:C09</t>
  </si>
  <si>
    <t>TR01183197-003</t>
  </si>
  <si>
    <t>D0554055:F04</t>
  </si>
  <si>
    <t>D0554053:N20</t>
  </si>
  <si>
    <t>TR06510351-002</t>
  </si>
  <si>
    <t>D0552436:H19</t>
  </si>
  <si>
    <t>TR06430818-001</t>
  </si>
  <si>
    <t>D0552431:K08</t>
  </si>
  <si>
    <t>TR01177632-006</t>
  </si>
  <si>
    <t>D0552432:L20</t>
  </si>
  <si>
    <t>TR01437156-007</t>
  </si>
  <si>
    <t>D0554055:N21</t>
  </si>
  <si>
    <t>D0552435:J19</t>
  </si>
  <si>
    <t>TR06405601-002</t>
  </si>
  <si>
    <t>D0552434:L09</t>
  </si>
  <si>
    <t>TR01836494-002</t>
  </si>
  <si>
    <t>D0554055:G03</t>
  </si>
  <si>
    <t>TR06562793-001</t>
  </si>
  <si>
    <t>D0552432:J12</t>
  </si>
  <si>
    <t>TR01364693-007</t>
  </si>
  <si>
    <t>D0554055:J16</t>
  </si>
  <si>
    <t>D0552435:F14</t>
  </si>
  <si>
    <t>TR06390876-003</t>
  </si>
  <si>
    <t>D0552436:P07</t>
  </si>
  <si>
    <t>TR06420100-004</t>
  </si>
  <si>
    <t>D0552431:O22</t>
  </si>
  <si>
    <t>TR01272497-011</t>
  </si>
  <si>
    <t>D0554055:L22</t>
  </si>
  <si>
    <t>D0552434:G21</t>
  </si>
  <si>
    <t>TR02274185-002</t>
  </si>
  <si>
    <t>D0552436:L18</t>
  </si>
  <si>
    <t>TR06428950-002</t>
  </si>
  <si>
    <t>D0552434:J22</t>
  </si>
  <si>
    <t>TR02369970-003</t>
  </si>
  <si>
    <t>D0552433:B05</t>
  </si>
  <si>
    <t>TR01513717-008</t>
  </si>
  <si>
    <t>D0552435:I09</t>
  </si>
  <si>
    <t>TR06375902-004</t>
  </si>
  <si>
    <t>D0554055:J13</t>
  </si>
  <si>
    <t>D0552431:E06</t>
  </si>
  <si>
    <t>TR01140185-004</t>
  </si>
  <si>
    <t>D0554055:G17</t>
  </si>
  <si>
    <t>D0552431:I06</t>
  </si>
  <si>
    <t>TR01143459-007</t>
  </si>
  <si>
    <t>D0554055:H21</t>
  </si>
  <si>
    <t>D0552431:L09</t>
  </si>
  <si>
    <t>TR01185759-008</t>
  </si>
  <si>
    <t>D0552435:N19</t>
  </si>
  <si>
    <t>TR06405635-002</t>
  </si>
  <si>
    <t>D0552432:C04</t>
  </si>
  <si>
    <t>TR01299856-005</t>
  </si>
  <si>
    <t>D0554055:F21</t>
  </si>
  <si>
    <t>D0554055:P22</t>
  </si>
  <si>
    <t>D0552432:K19</t>
  </si>
  <si>
    <t>TR01424189-007</t>
  </si>
  <si>
    <t>D0554055:B05</t>
  </si>
  <si>
    <t>D0552436:K14</t>
  </si>
  <si>
    <t>TR06423925-002</t>
  </si>
  <si>
    <t>D0554055:P08</t>
  </si>
  <si>
    <t>D0552435:F13</t>
  </si>
  <si>
    <t>TR06387827-003</t>
  </si>
  <si>
    <t>D0552435:E16</t>
  </si>
  <si>
    <t>TR06395507-006</t>
  </si>
  <si>
    <t>D0552434:O06</t>
  </si>
  <si>
    <t>TR01783884-005</t>
  </si>
  <si>
    <t>D0552435:H14</t>
  </si>
  <si>
    <t>TR06390879-024</t>
  </si>
  <si>
    <t>D0552436:O03</t>
  </si>
  <si>
    <t>TR06416489-001</t>
  </si>
  <si>
    <t>D0552432:B07</t>
  </si>
  <si>
    <t>TR01319916-006</t>
  </si>
  <si>
    <t>D0554055:G12</t>
  </si>
  <si>
    <t>D0552432:I08</t>
  </si>
  <si>
    <t>TR01330683-004</t>
  </si>
  <si>
    <t>D0552433:L10</t>
  </si>
  <si>
    <t>TR01557577-002</t>
  </si>
  <si>
    <t>D0552434:I20</t>
  </si>
  <si>
    <t>TR02196445-002</t>
  </si>
  <si>
    <t>D0552434:L17</t>
  </si>
  <si>
    <t>TR02084830-003</t>
  </si>
  <si>
    <t>D0554054:F15</t>
  </si>
  <si>
    <t>TR06544050-001</t>
  </si>
  <si>
    <t>D0552434:L10</t>
  </si>
  <si>
    <t>TR01867225-002</t>
  </si>
  <si>
    <t>D0554055:L03</t>
  </si>
  <si>
    <t>TR06562798-001</t>
  </si>
  <si>
    <t>D0554055:A09</t>
  </si>
  <si>
    <t>D0552432:F22</t>
  </si>
  <si>
    <t>TR01450271-002</t>
  </si>
  <si>
    <t>D0552433:O23</t>
  </si>
  <si>
    <t>TR01686141-002</t>
  </si>
  <si>
    <t>D0552431:J17</t>
  </si>
  <si>
    <t>TR01234154-004</t>
  </si>
  <si>
    <t>D0554055:D09</t>
  </si>
  <si>
    <t>D0552431:C23</t>
  </si>
  <si>
    <t>TR01275093-005</t>
  </si>
  <si>
    <t>D0552431:B08</t>
  </si>
  <si>
    <t>TR01169014-012</t>
  </si>
  <si>
    <t>D0554054:C22</t>
  </si>
  <si>
    <t>TR06548249-001</t>
  </si>
  <si>
    <t>D0554055:N09</t>
  </si>
  <si>
    <t>D0552431:J05</t>
  </si>
  <si>
    <t>TR01128443-005</t>
  </si>
  <si>
    <t>D0552433:E21</t>
  </si>
  <si>
    <t>TR01652034-006</t>
  </si>
  <si>
    <t>D0552436:A21</t>
  </si>
  <si>
    <t>TR06439641-001</t>
  </si>
  <si>
    <t>D0552435:A02</t>
  </si>
  <si>
    <t>TR06103687-009</t>
  </si>
  <si>
    <t>D0552436:L20</t>
  </si>
  <si>
    <t>TR06439547-002</t>
  </si>
  <si>
    <t>D0554053:I12</t>
  </si>
  <si>
    <t>TR06500843-001</t>
  </si>
  <si>
    <t>D0552431:L11</t>
  </si>
  <si>
    <t>TR01198030-003</t>
  </si>
  <si>
    <t>D0552434:D13</t>
  </si>
  <si>
    <t>TR01944661-003</t>
  </si>
  <si>
    <t>D0554055:K22</t>
  </si>
  <si>
    <t>D0552435:M23</t>
  </si>
  <si>
    <t>TR06412114-002</t>
  </si>
  <si>
    <t>D0552432:L16</t>
  </si>
  <si>
    <t>TR01396859-002</t>
  </si>
  <si>
    <t>D0552432:H21</t>
  </si>
  <si>
    <t>TR01443073-004</t>
  </si>
  <si>
    <t>D0552433:M11</t>
  </si>
  <si>
    <t>TR01563415-003</t>
  </si>
  <si>
    <t>D0554053:N13</t>
  </si>
  <si>
    <t>TR06501069-001</t>
  </si>
  <si>
    <t>D0552432:G04</t>
  </si>
  <si>
    <t>TR01300129-005</t>
  </si>
  <si>
    <t>D0552431:O07</t>
  </si>
  <si>
    <t>TR01161614-003</t>
  </si>
  <si>
    <t>D0554055:B08</t>
  </si>
  <si>
    <t>D0552434:I19</t>
  </si>
  <si>
    <t>TR02165589-002</t>
  </si>
  <si>
    <t>D0554055:J20</t>
  </si>
  <si>
    <t>D0552431:H10</t>
  </si>
  <si>
    <t>TR01190772-007</t>
  </si>
  <si>
    <t>D0552436:G17</t>
  </si>
  <si>
    <t>TR06428465-002</t>
  </si>
  <si>
    <t>D0552434:H10</t>
  </si>
  <si>
    <t>TR01861694-002</t>
  </si>
  <si>
    <t>D0554055:I14</t>
  </si>
  <si>
    <t>D0552432:A06</t>
  </si>
  <si>
    <t>TR01312285-006</t>
  </si>
  <si>
    <t>D0552431:E05</t>
  </si>
  <si>
    <t>TR01126913-003</t>
  </si>
  <si>
    <t>D0552434:N08</t>
  </si>
  <si>
    <t>TR01817352-002</t>
  </si>
  <si>
    <t>D0552433:E05</t>
  </si>
  <si>
    <t>TR01514691-004</t>
  </si>
  <si>
    <t>D0552431:B13</t>
  </si>
  <si>
    <t>TR01208549-003</t>
  </si>
  <si>
    <t>D0552436:L13</t>
  </si>
  <si>
    <t>TR06423717-001</t>
  </si>
  <si>
    <t>D0552433:H19</t>
  </si>
  <si>
    <t>TR01635931-003</t>
  </si>
  <si>
    <t>D0552431:D07</t>
  </si>
  <si>
    <t>TR01151982-006</t>
  </si>
  <si>
    <t>D0552431:L08</t>
  </si>
  <si>
    <t>TR01178477-003</t>
  </si>
  <si>
    <t>D0552436:P08</t>
  </si>
  <si>
    <t>TR06420329-001</t>
  </si>
  <si>
    <t>D0552434:G17</t>
  </si>
  <si>
    <t>TR02072188-002</t>
  </si>
  <si>
    <t>D0552436:A05</t>
  </si>
  <si>
    <t>TR06416851-001</t>
  </si>
  <si>
    <t>D0552431:M09</t>
  </si>
  <si>
    <t>TR01185840-004</t>
  </si>
  <si>
    <t>D0552432:H20</t>
  </si>
  <si>
    <t>TR01433630-005</t>
  </si>
  <si>
    <t>D0552432:J04</t>
  </si>
  <si>
    <t>TR01301054-006</t>
  </si>
  <si>
    <t>D0554055:E09</t>
  </si>
  <si>
    <t>D0552435:O19</t>
  </si>
  <si>
    <t>TR06405636-001</t>
  </si>
  <si>
    <t>D0554055:L08</t>
  </si>
  <si>
    <t>D0552431:K20</t>
  </si>
  <si>
    <t>TR01256884-008</t>
  </si>
  <si>
    <t>D0552436:H10</t>
  </si>
  <si>
    <t>TR06420788-001</t>
  </si>
  <si>
    <t>D0554054:K23</t>
  </si>
  <si>
    <t>TR06555320-001</t>
  </si>
  <si>
    <t>D0554055:H16</t>
  </si>
  <si>
    <t>D0554055:J22</t>
  </si>
  <si>
    <t>D0554053:I03</t>
  </si>
  <si>
    <t>TR06486484-002</t>
  </si>
  <si>
    <t>D0552431:A12</t>
  </si>
  <si>
    <t>TR01200932-002</t>
  </si>
  <si>
    <t>D0552436:L11</t>
  </si>
  <si>
    <t>TR06422339-001</t>
  </si>
  <si>
    <t>D0552434:L13</t>
  </si>
  <si>
    <t>TR01967482-003</t>
  </si>
  <si>
    <t>D0552434:N13</t>
  </si>
  <si>
    <t>TR01974074-002</t>
  </si>
  <si>
    <t>D0552433:C14</t>
  </si>
  <si>
    <t>TR01587617-003</t>
  </si>
  <si>
    <t>D0552434:I07</t>
  </si>
  <si>
    <t>TR01795437-003</t>
  </si>
  <si>
    <t>D0552434:C12</t>
  </si>
  <si>
    <t>TR01913087-003</t>
  </si>
  <si>
    <t>D0552434:K09</t>
  </si>
  <si>
    <t>TR01836408-002</t>
  </si>
  <si>
    <t>D0552431:E14</t>
  </si>
  <si>
    <t>TR01217122-005</t>
  </si>
  <si>
    <t>D0552435:M16</t>
  </si>
  <si>
    <t>TR06400686-002</t>
  </si>
  <si>
    <t>D0552432:D13</t>
  </si>
  <si>
    <t>TR01368706-005</t>
  </si>
  <si>
    <t>D0554055:N18</t>
  </si>
  <si>
    <t>D0552435:G20</t>
  </si>
  <si>
    <t>TR06405851-002</t>
  </si>
  <si>
    <t>D0554055:N08</t>
  </si>
  <si>
    <t>D0554055:N19</t>
  </si>
  <si>
    <t>D0554055:G08</t>
  </si>
  <si>
    <t>D0552434:B13</t>
  </si>
  <si>
    <t>TR01937099-005</t>
  </si>
  <si>
    <t>D0552435:E04</t>
  </si>
  <si>
    <t>TR06128841-014</t>
  </si>
  <si>
    <t>D0552431:E10</t>
  </si>
  <si>
    <t>TR01190377-004</t>
  </si>
  <si>
    <t>D0552434:N09</t>
  </si>
  <si>
    <t>TR01839859-003</t>
  </si>
  <si>
    <t>D0552434:P03</t>
  </si>
  <si>
    <t>TR01736061-004</t>
  </si>
  <si>
    <t>D0552435:M05</t>
  </si>
  <si>
    <t>TR06179432-006</t>
  </si>
  <si>
    <t>D0554053:G14</t>
  </si>
  <si>
    <t>TR06502644-002</t>
  </si>
  <si>
    <t>D0552431:M11</t>
  </si>
  <si>
    <t>TR01199855-005</t>
  </si>
  <si>
    <t>D0554054:D22</t>
  </si>
  <si>
    <t>TR06548251-001</t>
  </si>
  <si>
    <t>D0554055:J17</t>
  </si>
  <si>
    <t>D0552433:J13</t>
  </si>
  <si>
    <t>TR01579078-002</t>
  </si>
  <si>
    <t>D0552435:C23</t>
  </si>
  <si>
    <t>TR06411964-001</t>
  </si>
  <si>
    <t>D0552435:D08</t>
  </si>
  <si>
    <t>TR06375592-003</t>
  </si>
  <si>
    <t>D0552432:C19</t>
  </si>
  <si>
    <t>TR01420129-004</t>
  </si>
  <si>
    <t>D0552436:H12</t>
  </si>
  <si>
    <t>TR06422572-001</t>
  </si>
  <si>
    <t>D0552436:M01</t>
  </si>
  <si>
    <t>TR06413077-002</t>
  </si>
  <si>
    <t>D0552435:G17</t>
  </si>
  <si>
    <t>TR06401013-001</t>
  </si>
  <si>
    <t>D0552435:G05</t>
  </si>
  <si>
    <t>TR06152745-011</t>
  </si>
  <si>
    <t>D0552432:F15</t>
  </si>
  <si>
    <t>TR01386477-002</t>
  </si>
  <si>
    <t>D0552435:D18</t>
  </si>
  <si>
    <t>TR06403973-001</t>
  </si>
  <si>
    <t>D0552433:F04</t>
  </si>
  <si>
    <t>TR01510776-004</t>
  </si>
  <si>
    <t>D0554055:L16</t>
  </si>
  <si>
    <t>D0552432:B19</t>
  </si>
  <si>
    <t>TR01419871-008</t>
  </si>
  <si>
    <t>D0552434:F04</t>
  </si>
  <si>
    <t>TR01745040-003</t>
  </si>
  <si>
    <t>D0552432:G14</t>
  </si>
  <si>
    <t>TR01379599-005</t>
  </si>
  <si>
    <t>D0552432:M04</t>
  </si>
  <si>
    <t>TR01302558-003</t>
  </si>
  <si>
    <t>D0554053:C01</t>
  </si>
  <si>
    <t>TR06482994-001</t>
  </si>
  <si>
    <t>D0552433:F24</t>
  </si>
  <si>
    <t>TR01692659-002</t>
  </si>
  <si>
    <t>D0552436:I17</t>
  </si>
  <si>
    <t>TR06428542-002</t>
  </si>
  <si>
    <t>D0554055:B07</t>
  </si>
  <si>
    <t>D0552436:L22</t>
  </si>
  <si>
    <t>TR06444260-002</t>
  </si>
  <si>
    <t>D0552434:J08</t>
  </si>
  <si>
    <t>TR01812559-004</t>
  </si>
  <si>
    <t>D0552433:M01</t>
  </si>
  <si>
    <t>TR01486414-002</t>
  </si>
  <si>
    <t>D0552433:B16</t>
  </si>
  <si>
    <t>TR01603318-002</t>
  </si>
  <si>
    <t>D0552434:D14</t>
  </si>
  <si>
    <t>TR01982342-002</t>
  </si>
  <si>
    <t>D0552431:D16</t>
  </si>
  <si>
    <t>TR01228248-007</t>
  </si>
  <si>
    <t>D0554055:I19</t>
  </si>
  <si>
    <t>D0552434:M05</t>
  </si>
  <si>
    <t>TR01764799-002</t>
  </si>
  <si>
    <t>D0554054:L05</t>
  </si>
  <si>
    <t>TR06524928-001</t>
  </si>
  <si>
    <t>D0552432:N16</t>
  </si>
  <si>
    <t>TR01397471-003</t>
  </si>
  <si>
    <t>D0552431:C10</t>
  </si>
  <si>
    <t>TR01189338-002</t>
  </si>
  <si>
    <t>D0552436:J05</t>
  </si>
  <si>
    <t>TR06417082-002</t>
  </si>
  <si>
    <t>D0554055:K05</t>
  </si>
  <si>
    <t>D0552431:G07</t>
  </si>
  <si>
    <t>TR01153279-006</t>
  </si>
  <si>
    <t>D0552435:I13</t>
  </si>
  <si>
    <t>TR06387854-003</t>
  </si>
  <si>
    <t>D0554055:M11</t>
  </si>
  <si>
    <t>D0552435:C08</t>
  </si>
  <si>
    <t>TR06375590-003</t>
  </si>
  <si>
    <t>D0552433:E07</t>
  </si>
  <si>
    <t>TR01533657-003</t>
  </si>
  <si>
    <t>D0552434:O19</t>
  </si>
  <si>
    <t>TR02183880-003</t>
  </si>
  <si>
    <t>D0552436:L19</t>
  </si>
  <si>
    <t>TR06430880-001</t>
  </si>
  <si>
    <t>D0554054:B17</t>
  </si>
  <si>
    <t>TR06546473-001</t>
  </si>
  <si>
    <t>D0552431:J11</t>
  </si>
  <si>
    <t>TR01197785-004</t>
  </si>
  <si>
    <t>D0554055:F14</t>
  </si>
  <si>
    <t>D0552435:G18</t>
  </si>
  <si>
    <t>TR06404003-004</t>
  </si>
  <si>
    <t>D0554055:B03</t>
  </si>
  <si>
    <t>TR06562788-001</t>
  </si>
  <si>
    <t>D0552431:N03</t>
  </si>
  <si>
    <t>TR01107726-002</t>
  </si>
  <si>
    <t>D0552435:B19</t>
  </si>
  <si>
    <t>TR06404143-001</t>
  </si>
  <si>
    <t>D0554055:F05</t>
  </si>
  <si>
    <t>D0552431:L06</t>
  </si>
  <si>
    <t>TR01145319-007</t>
  </si>
  <si>
    <t>D0552434:F06</t>
  </si>
  <si>
    <t>TR01775526-003</t>
  </si>
  <si>
    <t>D0552434:M04</t>
  </si>
  <si>
    <t>TR01748486-003</t>
  </si>
  <si>
    <t>D0552431:J16</t>
  </si>
  <si>
    <t>TR01229672-003</t>
  </si>
  <si>
    <t>D0554055:B17</t>
  </si>
  <si>
    <t>D0554055:E14</t>
  </si>
  <si>
    <t>D0552436:H13</t>
  </si>
  <si>
    <t>TR06423673-001</t>
  </si>
  <si>
    <t>D0552432:B01</t>
  </si>
  <si>
    <t>TR01281384-005</t>
  </si>
  <si>
    <t>D0552432:P04</t>
  </si>
  <si>
    <t>TR01302982-005</t>
  </si>
  <si>
    <t>D0554054:E20</t>
  </si>
  <si>
    <t>TR06547969-002</t>
  </si>
  <si>
    <t>D0554053:F14</t>
  </si>
  <si>
    <t>TR06502643-002</t>
  </si>
  <si>
    <t>D0552434:F16</t>
  </si>
  <si>
    <t>TR02037726-005</t>
  </si>
  <si>
    <t>D0554053:M12</t>
  </si>
  <si>
    <t>TR06500909-001</t>
  </si>
  <si>
    <t>D0552432:O14</t>
  </si>
  <si>
    <t>TR01382367-002</t>
  </si>
  <si>
    <t>D0554054:E09</t>
  </si>
  <si>
    <t>TR06526543-001</t>
  </si>
  <si>
    <t>D0552433:D10</t>
  </si>
  <si>
    <t>TR01554868-003</t>
  </si>
  <si>
    <t>D0552435:C05</t>
  </si>
  <si>
    <t>TR06141345-012</t>
  </si>
  <si>
    <t>D0552434:P10</t>
  </si>
  <si>
    <t>TR01881406-002</t>
  </si>
  <si>
    <t>D0554054:P03</t>
  </si>
  <si>
    <t>TR06516834-001</t>
  </si>
  <si>
    <t>D0552435:H19</t>
  </si>
  <si>
    <t>TR06404197-002</t>
  </si>
  <si>
    <t>D0554054:I08</t>
  </si>
  <si>
    <t>TR06526374-001</t>
  </si>
  <si>
    <t>D0552433:L17</t>
  </si>
  <si>
    <t>TR01617752-002</t>
  </si>
  <si>
    <t>D0552434:J05</t>
  </si>
  <si>
    <t>TR01759304-003</t>
  </si>
  <si>
    <t>D0552431:D14</t>
  </si>
  <si>
    <t>TR01217109-006</t>
  </si>
  <si>
    <t>D0554055:K12</t>
  </si>
  <si>
    <t>D0552434:C02</t>
  </si>
  <si>
    <t>TR01709259-002</t>
  </si>
  <si>
    <t>D0554055:E13</t>
  </si>
  <si>
    <t>D0554053:C06</t>
  </si>
  <si>
    <t>TR06489300-001</t>
  </si>
  <si>
    <t>D0552431:K06</t>
  </si>
  <si>
    <t>TR01145125-010</t>
  </si>
  <si>
    <t>D0554053:N11</t>
  </si>
  <si>
    <t>TR06500702-001</t>
  </si>
  <si>
    <t>D0552436:B22</t>
  </si>
  <si>
    <t>TR06443908-002</t>
  </si>
  <si>
    <t>D0552431:J03</t>
  </si>
  <si>
    <t>TR01104039-005</t>
  </si>
  <si>
    <t>D0552431:D21</t>
  </si>
  <si>
    <t>TR01261651-002</t>
  </si>
  <si>
    <t>D0552431:M04</t>
  </si>
  <si>
    <t>TR01119896-007</t>
  </si>
  <si>
    <t>D0552431:P22</t>
  </si>
  <si>
    <t>TR01273773-007</t>
  </si>
  <si>
    <t>D0552435:J08</t>
  </si>
  <si>
    <t>TR06375608-005</t>
  </si>
  <si>
    <t>D0552432:D05</t>
  </si>
  <si>
    <t>TR01304692-007</t>
  </si>
  <si>
    <t>D0554054:G02</t>
  </si>
  <si>
    <t>TR06516513-002</t>
  </si>
  <si>
    <t>D0552435:A01</t>
  </si>
  <si>
    <t>TR06095549-030</t>
  </si>
  <si>
    <t>D0554055:K15</t>
  </si>
  <si>
    <t>D0552435:C12</t>
  </si>
  <si>
    <t>TR06387661-003</t>
  </si>
  <si>
    <t>D0552434:G10</t>
  </si>
  <si>
    <t>TR01860998-002</t>
  </si>
  <si>
    <t>D0554054:I17</t>
  </si>
  <si>
    <t>TR06546687-001</t>
  </si>
  <si>
    <t>D0554055:K14</t>
  </si>
  <si>
    <t>D0554055:B12</t>
  </si>
  <si>
    <t>D0554055:C17</t>
  </si>
  <si>
    <t>D0552436:I14</t>
  </si>
  <si>
    <t>TR06423891-001</t>
  </si>
  <si>
    <t>D0552435:C15</t>
  </si>
  <si>
    <t>TR06395216-001</t>
  </si>
  <si>
    <t>D0554055:H15</t>
  </si>
  <si>
    <t>D0552436:A01</t>
  </si>
  <si>
    <t>TR06412281-001</t>
  </si>
  <si>
    <t>D0554055:I10</t>
  </si>
  <si>
    <t>D0554055:G14</t>
  </si>
  <si>
    <t>D0554053:G11</t>
  </si>
  <si>
    <t>TR06500636-001</t>
  </si>
  <si>
    <t>D0552432:K22</t>
  </si>
  <si>
    <t>TR01454186-004</t>
  </si>
  <si>
    <t>D0554054:E24</t>
  </si>
  <si>
    <t>TR06556531-001</t>
  </si>
  <si>
    <t>D0554055:F16</t>
  </si>
  <si>
    <t>D0554055:O22</t>
  </si>
  <si>
    <t>D0552435:J16</t>
  </si>
  <si>
    <t>TR06400611-001</t>
  </si>
  <si>
    <t>D0552431:L04</t>
  </si>
  <si>
    <t>TR01119438-005</t>
  </si>
  <si>
    <t>D0552436:K12</t>
  </si>
  <si>
    <t>TR06422637-001</t>
  </si>
  <si>
    <t>D0552433:J06</t>
  </si>
  <si>
    <t>TR01527702-005</t>
  </si>
  <si>
    <t>D0554055:D22</t>
  </si>
  <si>
    <t>D0552432:D17</t>
  </si>
  <si>
    <t>TR01404842-004</t>
  </si>
  <si>
    <t>D0554053:C13</t>
  </si>
  <si>
    <t>TR06500975-001</t>
  </si>
  <si>
    <t>D0552431:J04</t>
  </si>
  <si>
    <t>TR01117165-006</t>
  </si>
  <si>
    <t>D0552436:B09</t>
  </si>
  <si>
    <t>TR06420372-001</t>
  </si>
  <si>
    <t>D0552431:L20</t>
  </si>
  <si>
    <t>TR01257666-007</t>
  </si>
  <si>
    <t>D0552431:F08</t>
  </si>
  <si>
    <t>TR01173070-005</t>
  </si>
  <si>
    <t>D0552431:K07</t>
  </si>
  <si>
    <t>TR01160832-003</t>
  </si>
  <si>
    <t>D0554053:J12</t>
  </si>
  <si>
    <t>TR06500872-002</t>
  </si>
  <si>
    <t>D0554054:P21</t>
  </si>
  <si>
    <t>TR06548215-001</t>
  </si>
  <si>
    <t>D0552433:E14</t>
  </si>
  <si>
    <t>TR01589008-003</t>
  </si>
  <si>
    <t>D0554054:O14</t>
  </si>
  <si>
    <t>TR06543930-001</t>
  </si>
  <si>
    <t>D0552431:J10</t>
  </si>
  <si>
    <t>TR01191609-006</t>
  </si>
  <si>
    <t>D0552436:C08</t>
  </si>
  <si>
    <t>TR06420138-002</t>
  </si>
  <si>
    <t>D0554055:B02</t>
  </si>
  <si>
    <t>TR06558114-001</t>
  </si>
  <si>
    <t>D0552435:I17</t>
  </si>
  <si>
    <t>TR06402140-003</t>
  </si>
  <si>
    <t>D0552431:D23</t>
  </si>
  <si>
    <t>TR01275248-002</t>
  </si>
  <si>
    <t>D0552431:K04</t>
  </si>
  <si>
    <t>TR01118862-006</t>
  </si>
  <si>
    <t>D0554054:F05</t>
  </si>
  <si>
    <t>TR06524781-002</t>
  </si>
  <si>
    <t>D0554054:I02</t>
  </si>
  <si>
    <t>TR06516541-001</t>
  </si>
  <si>
    <t>D0554055:E10</t>
  </si>
  <si>
    <t>D0552433:G18</t>
  </si>
  <si>
    <t>TR01624375-006</t>
  </si>
  <si>
    <t>D0554055:H20</t>
  </si>
  <si>
    <t>D0552434:P19</t>
  </si>
  <si>
    <t>TR02185801-003</t>
  </si>
  <si>
    <t>D0552433:I22</t>
  </si>
  <si>
    <t>TR01667563-004</t>
  </si>
  <si>
    <t>D0554054:F09</t>
  </si>
  <si>
    <t>TR06532443-001</t>
  </si>
  <si>
    <t>D0554053:L04</t>
  </si>
  <si>
    <t>TR06486669-001</t>
  </si>
  <si>
    <t>D0552431:C11</t>
  </si>
  <si>
    <t>TR01194997-002</t>
  </si>
  <si>
    <t>D0552431:M14</t>
  </si>
  <si>
    <t>TR01220347-007</t>
  </si>
  <si>
    <t>D0554054:M17</t>
  </si>
  <si>
    <t>TR06546943-001</t>
  </si>
  <si>
    <t>D0554053:M03</t>
  </si>
  <si>
    <t>TR06486525-001</t>
  </si>
  <si>
    <t>D0554055:E04</t>
  </si>
  <si>
    <t>D0552434:L08</t>
  </si>
  <si>
    <t>TR01815456-002</t>
  </si>
  <si>
    <t>D0554054:N21</t>
  </si>
  <si>
    <t>TR06548185-001</t>
  </si>
  <si>
    <t>D0552432:J18</t>
  </si>
  <si>
    <t>TR01417123-004</t>
  </si>
  <si>
    <t>D0554055:F07</t>
  </si>
  <si>
    <t>D0552431:F17</t>
  </si>
  <si>
    <t>TR01232921-005</t>
  </si>
  <si>
    <t>D0552435:B11</t>
  </si>
  <si>
    <t>TR06376818-003</t>
  </si>
  <si>
    <t>D0554055:D19</t>
  </si>
  <si>
    <t>D0554055:J15</t>
  </si>
  <si>
    <t>D0552432:G19</t>
  </si>
  <si>
    <t>TR01423121-007</t>
  </si>
  <si>
    <t>D0552432:B16</t>
  </si>
  <si>
    <t>TR01391746-004</t>
  </si>
  <si>
    <t>D0552435:B20</t>
  </si>
  <si>
    <t>TR06405708-001</t>
  </si>
  <si>
    <t>D0552434:F09</t>
  </si>
  <si>
    <t>TR01827164-002</t>
  </si>
  <si>
    <t>D0554055:M16</t>
  </si>
  <si>
    <t>D0552433:D21</t>
  </si>
  <si>
    <t>TR01652008-004</t>
  </si>
  <si>
    <t>D0552434:I15</t>
  </si>
  <si>
    <t>TR02013346-003</t>
  </si>
  <si>
    <t>D0552435:G19</t>
  </si>
  <si>
    <t>TR06404174-002</t>
  </si>
  <si>
    <t>D0552435:C09</t>
  </si>
  <si>
    <t>TR06375821-014</t>
  </si>
  <si>
    <t>D0552434:M09</t>
  </si>
  <si>
    <t>TR01837031-004</t>
  </si>
  <si>
    <t>D0552434:D20</t>
  </si>
  <si>
    <t>TR02190416-002</t>
  </si>
  <si>
    <t>D0554054:P04</t>
  </si>
  <si>
    <t>TR06522571-001</t>
  </si>
  <si>
    <t>D0552432:G15</t>
  </si>
  <si>
    <t>TR01386894-002</t>
  </si>
  <si>
    <t>D0552435:P02</t>
  </si>
  <si>
    <t>TR06112878-008</t>
  </si>
  <si>
    <t>D0552434:G09</t>
  </si>
  <si>
    <t>TR01827508-003</t>
  </si>
  <si>
    <t>D0552435:M10</t>
  </si>
  <si>
    <t>TR06376646-002</t>
  </si>
  <si>
    <t>D0554053:O17</t>
  </si>
  <si>
    <t>TR06505875-001</t>
  </si>
  <si>
    <t>D0552435:O14</t>
  </si>
  <si>
    <t>TR06395188-002</t>
  </si>
  <si>
    <t>D0554054:P14</t>
  </si>
  <si>
    <t>TR06543967-001</t>
  </si>
  <si>
    <t>D0552432:E04</t>
  </si>
  <si>
    <t>TR01300031-003</t>
  </si>
  <si>
    <t>D0552435:I08</t>
  </si>
  <si>
    <t>TR06375601-003</t>
  </si>
  <si>
    <t>D0552432:F14</t>
  </si>
  <si>
    <t>TR01378901-003</t>
  </si>
  <si>
    <t>D0552431:C06</t>
  </si>
  <si>
    <t>TR01139714-008</t>
  </si>
  <si>
    <t>D0552431:A06</t>
  </si>
  <si>
    <t>TR01139422-007</t>
  </si>
  <si>
    <t>D0554054:K08</t>
  </si>
  <si>
    <t>TR06526419-001</t>
  </si>
  <si>
    <t>D0554054:P22</t>
  </si>
  <si>
    <t>TR06554090-001</t>
  </si>
  <si>
    <t>D0552433:E06</t>
  </si>
  <si>
    <t>TR01525085-004</t>
  </si>
  <si>
    <t>D0552431:M06</t>
  </si>
  <si>
    <t>TR01145391-004</t>
  </si>
  <si>
    <t>D0554054:D07</t>
  </si>
  <si>
    <t>TR06525576-001</t>
  </si>
  <si>
    <t>D0552434:F01</t>
  </si>
  <si>
    <t>TR01697332-003</t>
  </si>
  <si>
    <t>D0554055:M13</t>
  </si>
  <si>
    <t>D0552434:L22</t>
  </si>
  <si>
    <t>TR02384058-003</t>
  </si>
  <si>
    <t>D0554055:G05</t>
  </si>
  <si>
    <t>D0554054:F23</t>
  </si>
  <si>
    <t>TR06555239-001</t>
  </si>
  <si>
    <t>D0552436:F20</t>
  </si>
  <si>
    <t>TR06431164-002</t>
  </si>
  <si>
    <t>D0552432:M21</t>
  </si>
  <si>
    <t>TR01444437-005</t>
  </si>
  <si>
    <t>D0552433:G23</t>
  </si>
  <si>
    <t>TR01680205-002</t>
  </si>
  <si>
    <t>D0552436:E19</t>
  </si>
  <si>
    <t>TR06430759-002</t>
  </si>
  <si>
    <t>D0552432:O13</t>
  </si>
  <si>
    <t>TR01377084-008</t>
  </si>
  <si>
    <t>D0554054:D21</t>
  </si>
  <si>
    <t>TR06548077-001</t>
  </si>
  <si>
    <t>D0554054:P02</t>
  </si>
  <si>
    <t>TR06516609-001</t>
  </si>
  <si>
    <t>D0552431:A13</t>
  </si>
  <si>
    <t>TR01208381-004</t>
  </si>
  <si>
    <t>D0554053:I04</t>
  </si>
  <si>
    <t>TR06486639-001</t>
  </si>
  <si>
    <t>D0554055:F08</t>
  </si>
  <si>
    <t>D0552436:I10</t>
  </si>
  <si>
    <t>TR06420824-002</t>
  </si>
  <si>
    <t>D0554055:F18</t>
  </si>
  <si>
    <t>D0552433:B20</t>
  </si>
  <si>
    <t>TR01641358-003</t>
  </si>
  <si>
    <t>D0552436:I13</t>
  </si>
  <si>
    <t>TR06423675-002</t>
  </si>
  <si>
    <t>D0554055:E12</t>
  </si>
  <si>
    <t>D0554055:D17</t>
  </si>
  <si>
    <t>D0554054:K18</t>
  </si>
  <si>
    <t>TR06547143-001</t>
  </si>
  <si>
    <t>D0552435:P03</t>
  </si>
  <si>
    <t>TR06124827-007</t>
  </si>
  <si>
    <t>D0552431:G06</t>
  </si>
  <si>
    <t>TR01140515-007</t>
  </si>
  <si>
    <t>D0554055:L15</t>
  </si>
  <si>
    <t>D0554054:G23</t>
  </si>
  <si>
    <t>TR06555265-001</t>
  </si>
  <si>
    <t>D0552434:G05</t>
  </si>
  <si>
    <t>TR01758486-003</t>
  </si>
  <si>
    <t>D0552435:B05</t>
  </si>
  <si>
    <t>TR06138593-011</t>
  </si>
  <si>
    <t>D0552432:J17</t>
  </si>
  <si>
    <t>TR01405424-003</t>
  </si>
  <si>
    <t>D0554055:I12</t>
  </si>
  <si>
    <t>D0554054:O21</t>
  </si>
  <si>
    <t>TR06548214-001</t>
  </si>
  <si>
    <t>D0552431:L03</t>
  </si>
  <si>
    <t>TR01105805-004</t>
  </si>
  <si>
    <t>D0552434:J19</t>
  </si>
  <si>
    <t>TR02165983-002</t>
  </si>
  <si>
    <t>D0554054:L19</t>
  </si>
  <si>
    <t>TR06547851-001</t>
  </si>
  <si>
    <t>D0554055:G09</t>
  </si>
  <si>
    <t>D0554054:O18</t>
  </si>
  <si>
    <t>TR06547186-001</t>
  </si>
  <si>
    <t>D0552432:G09</t>
  </si>
  <si>
    <t>TR01338752-002</t>
  </si>
  <si>
    <t>D0554054:H17</t>
  </si>
  <si>
    <t>TR06546686-001</t>
  </si>
  <si>
    <t>D0552434:E05</t>
  </si>
  <si>
    <t>TR01755312-003</t>
  </si>
  <si>
    <t>D0554054:P20</t>
  </si>
  <si>
    <t>TR06548045-001</t>
  </si>
  <si>
    <t>D0552432:G17</t>
  </si>
  <si>
    <t>TR01405165-003</t>
  </si>
  <si>
    <t>D0554053:H14</t>
  </si>
  <si>
    <t>TR06502645-002</t>
  </si>
  <si>
    <t>D0554055:M12</t>
  </si>
  <si>
    <t>D0554054:M07</t>
  </si>
  <si>
    <t>TR06525823-002</t>
  </si>
  <si>
    <t>D0552432:M07</t>
  </si>
  <si>
    <t>TR01325044-011</t>
  </si>
  <si>
    <t>D0552436:C18</t>
  </si>
  <si>
    <t>TR06428692-002</t>
  </si>
  <si>
    <t>D0554055:A16</t>
  </si>
  <si>
    <t>D0552432:K15</t>
  </si>
  <si>
    <t>TR01390072-006</t>
  </si>
  <si>
    <t>D0554054:L17</t>
  </si>
  <si>
    <t>TR06546884-001</t>
  </si>
  <si>
    <t>D0554054:K04</t>
  </si>
  <si>
    <t>TR06522192-002</t>
  </si>
  <si>
    <t>D0552431:I10</t>
  </si>
  <si>
    <t>TR01191520-003</t>
  </si>
  <si>
    <t>D0552431:D08</t>
  </si>
  <si>
    <t>TR01171063-006</t>
  </si>
  <si>
    <t>D0552434:P14</t>
  </si>
  <si>
    <t>TR01996591-002</t>
  </si>
  <si>
    <t>D0554055:K02</t>
  </si>
  <si>
    <t>TR06561623-012</t>
  </si>
  <si>
    <t>D0552431:N13</t>
  </si>
  <si>
    <t>TR01213330-004</t>
  </si>
  <si>
    <t>D0554054:F24</t>
  </si>
  <si>
    <t>TR06556574-001</t>
  </si>
  <si>
    <t>D0554055:B09</t>
  </si>
  <si>
    <t>D0554054:I21</t>
  </si>
  <si>
    <t>TR06548135-001</t>
  </si>
  <si>
    <t>D0554054:K21</t>
  </si>
  <si>
    <t>TR06548147-001</t>
  </si>
  <si>
    <t>D0554054:P01</t>
  </si>
  <si>
    <t>TR06516398-001</t>
  </si>
  <si>
    <t>D0552434:D07</t>
  </si>
  <si>
    <t>TR01791839-003</t>
  </si>
  <si>
    <t>D0552435:B22</t>
  </si>
  <si>
    <t>TR06408187-002</t>
  </si>
  <si>
    <t>D0552434:E14</t>
  </si>
  <si>
    <t>TR01983633-002</t>
  </si>
  <si>
    <t>D0554054:I22</t>
  </si>
  <si>
    <t>TR06553621-001</t>
  </si>
  <si>
    <t>D0552436:M16</t>
  </si>
  <si>
    <t>TR06424826-002</t>
  </si>
  <si>
    <t>D0554054:M15</t>
  </si>
  <si>
    <t>TR06544415-001</t>
  </si>
  <si>
    <t>D0552436:E09</t>
  </si>
  <si>
    <t>TR06420455-001</t>
  </si>
  <si>
    <t>D0554053:G24</t>
  </si>
  <si>
    <t>TR06512649-001</t>
  </si>
  <si>
    <t>D0554054:N01</t>
  </si>
  <si>
    <t>TR06516387-001</t>
  </si>
  <si>
    <t>D0552431:E12</t>
  </si>
  <si>
    <t>TR01202800-003</t>
  </si>
  <si>
    <t>D0552434:J06</t>
  </si>
  <si>
    <t>TR01776152-002</t>
  </si>
  <si>
    <t>D0554055:L17</t>
  </si>
  <si>
    <t>D0554055:M04</t>
  </si>
  <si>
    <t>D0554055:F06</t>
  </si>
  <si>
    <t>D0552436:M17</t>
  </si>
  <si>
    <t>TR06428584-001</t>
  </si>
  <si>
    <t>D0554053:H01</t>
  </si>
  <si>
    <t>TR06483100-001</t>
  </si>
  <si>
    <t>D0554054:H21</t>
  </si>
  <si>
    <t>TR06548133-001</t>
  </si>
  <si>
    <t>D0554054:J04</t>
  </si>
  <si>
    <t>TR06522043-001</t>
  </si>
  <si>
    <t>D0554054:I18</t>
  </si>
  <si>
    <t>TR06547141-001</t>
  </si>
  <si>
    <t>D0554053:E15</t>
  </si>
  <si>
    <t>TR06502762-001</t>
  </si>
  <si>
    <t>D0552431:O18</t>
  </si>
  <si>
    <t>TR01243616-006</t>
  </si>
  <si>
    <t>D0554053:K13</t>
  </si>
  <si>
    <t>TR06501039-001</t>
  </si>
  <si>
    <t>D0554054:H06</t>
  </si>
  <si>
    <t>TR06525342-001</t>
  </si>
  <si>
    <t>D0552433:K19</t>
  </si>
  <si>
    <t>TR01636165-006</t>
  </si>
  <si>
    <t>D0552435:E08</t>
  </si>
  <si>
    <t>TR06375595-003</t>
  </si>
  <si>
    <t>D0552433:O22</t>
  </si>
  <si>
    <t>TR01676762-003</t>
  </si>
  <si>
    <t>D0554054:P18</t>
  </si>
  <si>
    <t>TR06547696-001</t>
  </si>
  <si>
    <t>D0552431:L14</t>
  </si>
  <si>
    <t>TR01220159-006</t>
  </si>
  <si>
    <t>D0554054:P19</t>
  </si>
  <si>
    <t>TR06547915-001</t>
  </si>
  <si>
    <t>D0554054:N19</t>
  </si>
  <si>
    <t>TR06547860-001</t>
  </si>
  <si>
    <t>D0554054:J05</t>
  </si>
  <si>
    <t>TR06524887-001</t>
  </si>
  <si>
    <t>D0554054:G09</t>
  </si>
  <si>
    <t>TR06532444-002</t>
  </si>
  <si>
    <t>D0552432:G23</t>
  </si>
  <si>
    <t>TR01463551-002</t>
  </si>
  <si>
    <t>D0552434:L23</t>
  </si>
  <si>
    <t>TR02478373-002</t>
  </si>
  <si>
    <t>D0552434:B07</t>
  </si>
  <si>
    <t>TR01788058-002</t>
  </si>
  <si>
    <t>D0552432:L19</t>
  </si>
  <si>
    <t>TR01424465-002</t>
  </si>
  <si>
    <t>D0554054:M04</t>
  </si>
  <si>
    <t>TR06522429-001</t>
  </si>
  <si>
    <t>D0552436:E17</t>
  </si>
  <si>
    <t>TR06428432-002</t>
  </si>
  <si>
    <t>D0552431:K03</t>
  </si>
  <si>
    <t>TR01104531-004</t>
  </si>
  <si>
    <t>D0552433:I02</t>
  </si>
  <si>
    <t>TR01493149-002</t>
  </si>
  <si>
    <t>D0554054:O06</t>
  </si>
  <si>
    <t>TR06525499-001</t>
  </si>
  <si>
    <t>D0554053:C14</t>
  </si>
  <si>
    <t>TR06501125-001</t>
  </si>
  <si>
    <t>D0554054:G19</t>
  </si>
  <si>
    <t>TR06547767-001</t>
  </si>
  <si>
    <t>D0552431:J06</t>
  </si>
  <si>
    <t>TR01143611-005</t>
  </si>
  <si>
    <t>D0554055:I20</t>
  </si>
  <si>
    <t>D0554054:F07</t>
  </si>
  <si>
    <t>TR06525604-001</t>
  </si>
  <si>
    <t>D0554054:I09</t>
  </si>
  <si>
    <t>TR06532490-002</t>
  </si>
  <si>
    <t>D0552436:C09</t>
  </si>
  <si>
    <t>TR06420415-001</t>
  </si>
  <si>
    <t>D0554054:K06</t>
  </si>
  <si>
    <t>TR06525385-002</t>
  </si>
  <si>
    <t>D0552433:G20</t>
  </si>
  <si>
    <t>TR01645260-004</t>
  </si>
  <si>
    <t>D0552432:E18</t>
  </si>
  <si>
    <t>TR01414633-005</t>
  </si>
  <si>
    <t>D0554053:G08</t>
  </si>
  <si>
    <t>TR06496546-001</t>
  </si>
  <si>
    <t>D0554054:K02</t>
  </si>
  <si>
    <t>TR06516580-001</t>
  </si>
  <si>
    <t>D0552434:I03</t>
  </si>
  <si>
    <t>TR01731556-002</t>
  </si>
  <si>
    <t>D0552431:K21</t>
  </si>
  <si>
    <t>TR01264225-009</t>
  </si>
  <si>
    <t>D0554054:J22</t>
  </si>
  <si>
    <t>TR06553660-001</t>
  </si>
  <si>
    <t>D0554054:I05</t>
  </si>
  <si>
    <t>TR06524844-001</t>
  </si>
  <si>
    <t>D0554054:J02</t>
  </si>
  <si>
    <t>TR06516553-001</t>
  </si>
  <si>
    <t>D0554054:L15</t>
  </si>
  <si>
    <t>TR06544380-001</t>
  </si>
  <si>
    <t>D0554055:J03</t>
  </si>
  <si>
    <t>TR06562796-001</t>
  </si>
  <si>
    <t>D0552435:K02</t>
  </si>
  <si>
    <t>TR06110757-007</t>
  </si>
  <si>
    <t>D0552432:E17</t>
  </si>
  <si>
    <t>TR01404872-005</t>
  </si>
  <si>
    <t>D0554054:A21</t>
  </si>
  <si>
    <t>TR06548065-001</t>
  </si>
  <si>
    <t>D0554054:F16</t>
  </si>
  <si>
    <t>TR06546256-001</t>
  </si>
  <si>
    <t>D0554054:M16</t>
  </si>
  <si>
    <t>TR06546404-001</t>
  </si>
  <si>
    <t>D0552434:M07</t>
  </si>
  <si>
    <t>TR01800428-003</t>
  </si>
  <si>
    <t>D0554054:M08</t>
  </si>
  <si>
    <t>TR06526447-001</t>
  </si>
  <si>
    <t>D0552433:K22</t>
  </si>
  <si>
    <t>TR01670210-006</t>
  </si>
  <si>
    <t>D0554054:E23</t>
  </si>
  <si>
    <t>TR06555208-001</t>
  </si>
  <si>
    <t>D0552436:H21</t>
  </si>
  <si>
    <t>TR06439717-001</t>
  </si>
  <si>
    <t>D0554054:J03</t>
  </si>
  <si>
    <t>TR06516758-001</t>
  </si>
  <si>
    <t>D0554054:I03</t>
  </si>
  <si>
    <t>TR06516744-001</t>
  </si>
  <si>
    <t>D0552431:N04</t>
  </si>
  <si>
    <t>TR01120490-007</t>
  </si>
  <si>
    <t>D0554054:I23</t>
  </si>
  <si>
    <t>TR06555290-001</t>
  </si>
  <si>
    <t>D0552434:L12</t>
  </si>
  <si>
    <t>TR01928000-002</t>
  </si>
  <si>
    <t>D0554054:H16</t>
  </si>
  <si>
    <t>TR06546290-001</t>
  </si>
  <si>
    <t>D0552433:K10</t>
  </si>
  <si>
    <t>TR01557389-002</t>
  </si>
  <si>
    <t>D0552434:J20</t>
  </si>
  <si>
    <t>TR02201225-002</t>
  </si>
  <si>
    <t>D0554054:A03</t>
  </si>
  <si>
    <t>TR06516620-002</t>
  </si>
  <si>
    <t>D0554054:J16</t>
  </si>
  <si>
    <t>TR06546328-001</t>
  </si>
  <si>
    <t>D0554054:A22</t>
  </si>
  <si>
    <t>TR06548216-001</t>
  </si>
  <si>
    <t>D0554054:K01</t>
  </si>
  <si>
    <t>TR06516348-001</t>
  </si>
  <si>
    <t>D0554055:G06</t>
  </si>
  <si>
    <t>D0552436:G15</t>
  </si>
  <si>
    <t>TR06424362-001</t>
  </si>
  <si>
    <t>D0554055:L18</t>
  </si>
  <si>
    <t>D0554054:H23</t>
  </si>
  <si>
    <t>TR06555266-001</t>
  </si>
  <si>
    <t>D0554055:J21</t>
  </si>
  <si>
    <t>D0554054:C03</t>
  </si>
  <si>
    <t>TR06516632-001</t>
  </si>
  <si>
    <t>D0552433:J12</t>
  </si>
  <si>
    <t>TR01568899-002</t>
  </si>
  <si>
    <t>D0554053:L09</t>
  </si>
  <si>
    <t>TR06498012-001</t>
  </si>
  <si>
    <t>D0554054:A05</t>
  </si>
  <si>
    <t>TR06522613-001</t>
  </si>
  <si>
    <t>D0554054:D05</t>
  </si>
  <si>
    <t>TR06524656-001</t>
  </si>
  <si>
    <t>D0552435:M11</t>
  </si>
  <si>
    <t>TR06387630-005</t>
  </si>
  <si>
    <t>D0552434:D02</t>
  </si>
  <si>
    <t>TR01709375-003</t>
  </si>
  <si>
    <t>D0552432:O08</t>
  </si>
  <si>
    <t>TR01334745-003</t>
  </si>
  <si>
    <t>D0554054:F21</t>
  </si>
  <si>
    <t>TR06548100-001</t>
  </si>
  <si>
    <t>D0552433:N10</t>
  </si>
  <si>
    <t>TR01559107-005</t>
  </si>
  <si>
    <t>D0552432:H22</t>
  </si>
  <si>
    <t>TR01450733-010</t>
  </si>
  <si>
    <t>D0552433:N20</t>
  </si>
  <si>
    <t>TR01648619-002</t>
  </si>
  <si>
    <t>D0552431:E22</t>
  </si>
  <si>
    <t>TR01268241-006</t>
  </si>
  <si>
    <t>D0552432:L12</t>
  </si>
  <si>
    <t>TR01365096-002</t>
  </si>
  <si>
    <t>D0552432:O10</t>
  </si>
  <si>
    <t>TR01351371-007</t>
  </si>
  <si>
    <t>D0554055:D11</t>
  </si>
  <si>
    <t>D0552434:L07</t>
  </si>
  <si>
    <t>TR01799462-004</t>
  </si>
  <si>
    <t>D0554055:L21</t>
  </si>
  <si>
    <t>D0552431:N20</t>
  </si>
  <si>
    <t>TR01258882-007</t>
  </si>
  <si>
    <t>D0552433:M14</t>
  </si>
  <si>
    <t>TR01594284-002</t>
  </si>
  <si>
    <t>D0554053:O06</t>
  </si>
  <si>
    <t>TR06489403-001</t>
  </si>
  <si>
    <t>D0554054:I01</t>
  </si>
  <si>
    <t>TR06516322-001</t>
  </si>
  <si>
    <t>D0552435:L17</t>
  </si>
  <si>
    <t>TR06403857-002</t>
  </si>
  <si>
    <t>D0554054:J09</t>
  </si>
  <si>
    <t>TR06532491-002</t>
  </si>
  <si>
    <t>D0554054:E01</t>
  </si>
  <si>
    <t>TR06516273-001</t>
  </si>
  <si>
    <t>D0554054:E18</t>
  </si>
  <si>
    <t>TR06547104-001</t>
  </si>
  <si>
    <t>D0554055:H10</t>
  </si>
  <si>
    <t>D0554054:B16</t>
  </si>
  <si>
    <t>TR06546161-001</t>
  </si>
  <si>
    <t>D0552434:A20</t>
  </si>
  <si>
    <t>TR02186140-002</t>
  </si>
  <si>
    <t>D0554054:F03</t>
  </si>
  <si>
    <t>TR06516673-001</t>
  </si>
  <si>
    <t>D0552434:H18</t>
  </si>
  <si>
    <t>TR02122415-003</t>
  </si>
  <si>
    <t>D0552431:F05</t>
  </si>
  <si>
    <t>TR01127010-007</t>
  </si>
  <si>
    <t>D0552431:N09</t>
  </si>
  <si>
    <t>TR01186502-003</t>
  </si>
  <si>
    <t>D0552434:F11</t>
  </si>
  <si>
    <t>TR01890477-003</t>
  </si>
  <si>
    <t>D0554054:D17</t>
  </si>
  <si>
    <t>TR06546505-001</t>
  </si>
  <si>
    <t>D0552435:L07</t>
  </si>
  <si>
    <t>TR06375550-005</t>
  </si>
  <si>
    <t>D0554054:E04</t>
  </si>
  <si>
    <t>TR06516901-001</t>
  </si>
  <si>
    <t>D0554054:J08</t>
  </si>
  <si>
    <t>TR06526386-002</t>
  </si>
  <si>
    <t>D0554053:G16</t>
  </si>
  <si>
    <t>TR06505184-002</t>
  </si>
  <si>
    <t>D0554053:P16</t>
  </si>
  <si>
    <t>TR06505549-002</t>
  </si>
  <si>
    <t>D0552434:L11</t>
  </si>
  <si>
    <t>TR01897840-003</t>
  </si>
  <si>
    <t>D0552434:H16</t>
  </si>
  <si>
    <t>TR02042295-002</t>
  </si>
  <si>
    <t>D0554054:B02</t>
  </si>
  <si>
    <t>TR06516424-001</t>
  </si>
  <si>
    <t>D0552433:C20</t>
  </si>
  <si>
    <t>TR01641536-002</t>
  </si>
  <si>
    <t>D0552431:O19</t>
  </si>
  <si>
    <t>TR01252581-005</t>
  </si>
  <si>
    <t>D0554055:H19</t>
  </si>
  <si>
    <t>D0552435:G04</t>
  </si>
  <si>
    <t>TR06129574-004</t>
  </si>
  <si>
    <t>D0552432:C18</t>
  </si>
  <si>
    <t>TR01414156-002</t>
  </si>
  <si>
    <t>D0552435:H17</t>
  </si>
  <si>
    <t>TR06401818-001</t>
  </si>
  <si>
    <t>D0552435:B23</t>
  </si>
  <si>
    <t>TR06411963-002</t>
  </si>
  <si>
    <t>D0554053:H12</t>
  </si>
  <si>
    <t>TR06500842-002</t>
  </si>
  <si>
    <t>D0552431:K18</t>
  </si>
  <si>
    <t>TR01242219-003</t>
  </si>
  <si>
    <t>D0552435:K07</t>
  </si>
  <si>
    <t>TR06375543-005</t>
  </si>
  <si>
    <t>D0554054:B05</t>
  </si>
  <si>
    <t>TR06522663-001</t>
  </si>
  <si>
    <t>D0552434:F08</t>
  </si>
  <si>
    <t>TR01809246-002</t>
  </si>
  <si>
    <t>D0554055:K16</t>
  </si>
  <si>
    <t>D0552431:I03</t>
  </si>
  <si>
    <t>TR01103339-003</t>
  </si>
  <si>
    <t>D0554054:C04</t>
  </si>
  <si>
    <t>TR06516872-001</t>
  </si>
  <si>
    <t>D0554054:B22</t>
  </si>
  <si>
    <t>TR06548228-001</t>
  </si>
  <si>
    <t>D0552435:B13</t>
  </si>
  <si>
    <t>TR06387767-004</t>
  </si>
  <si>
    <t>D0554055:L06</t>
  </si>
  <si>
    <t>D0552434:E01</t>
  </si>
  <si>
    <t>TR01696448-002</t>
  </si>
  <si>
    <t>D0552436:F17</t>
  </si>
  <si>
    <t>TR06428464-001</t>
  </si>
  <si>
    <t>D0554054:F22</t>
  </si>
  <si>
    <t>TR06548253-001</t>
  </si>
  <si>
    <t>D0552432:H08</t>
  </si>
  <si>
    <t>TR01329379-005</t>
  </si>
  <si>
    <t>D0552431:H21</t>
  </si>
  <si>
    <t>TR01262942-006</t>
  </si>
  <si>
    <t>D0552436:F13</t>
  </si>
  <si>
    <t>TR06423653-004</t>
  </si>
  <si>
    <t>D0552433:L18</t>
  </si>
  <si>
    <t>TR01627170-003</t>
  </si>
  <si>
    <t>D0552436:H15</t>
  </si>
  <si>
    <t>TR06424399-002</t>
  </si>
  <si>
    <t>D0552433:B19</t>
  </si>
  <si>
    <t>TR01630891-003</t>
  </si>
  <si>
    <t>D0552434:I21</t>
  </si>
  <si>
    <t>TR02285535-002</t>
  </si>
  <si>
    <t>D0554053:P07</t>
  </si>
  <si>
    <t>TR06496475-001</t>
  </si>
  <si>
    <t>D0552434:G19</t>
  </si>
  <si>
    <t>TR02160679-004</t>
  </si>
  <si>
    <t>D0554054:C01</t>
  </si>
  <si>
    <t>TR06513701-001</t>
  </si>
  <si>
    <t>D0552436:C03</t>
  </si>
  <si>
    <t>TR06413482-001</t>
  </si>
  <si>
    <t>D0554053:E09</t>
  </si>
  <si>
    <t>TR06496784-001</t>
  </si>
  <si>
    <t>D0552431:I07</t>
  </si>
  <si>
    <t>TR01158177-003</t>
  </si>
  <si>
    <t>D0552436:G18</t>
  </si>
  <si>
    <t>TR06428736-001</t>
  </si>
  <si>
    <t>D0554053:B08</t>
  </si>
  <si>
    <t>TR06496477-002</t>
  </si>
  <si>
    <t>D0552434:J10</t>
  </si>
  <si>
    <t>TR01865902-004</t>
  </si>
  <si>
    <t>D0552434:K15</t>
  </si>
  <si>
    <t>TR02014603-005</t>
  </si>
  <si>
    <t>D0554053:J22</t>
  </si>
  <si>
    <t>TR06511365-001</t>
  </si>
  <si>
    <t>D0554053:H07</t>
  </si>
  <si>
    <t>TR06496302-002</t>
  </si>
  <si>
    <t>D0554054:A15</t>
  </si>
  <si>
    <t>TR06543977-001</t>
  </si>
  <si>
    <t>D0552436:L08</t>
  </si>
  <si>
    <t>TR06420286-002</t>
  </si>
  <si>
    <t>D0552434:L14</t>
  </si>
  <si>
    <t>TR01993423-002</t>
  </si>
  <si>
    <t>D0552433:I09</t>
  </si>
  <si>
    <t>TR01548511-002</t>
  </si>
  <si>
    <t>D0552434:N14</t>
  </si>
  <si>
    <t>TR01993767-002</t>
  </si>
  <si>
    <t>D0554053:H19</t>
  </si>
  <si>
    <t>TR06509802-002</t>
  </si>
  <si>
    <t>D0552436:A15</t>
  </si>
  <si>
    <t>TR06423993-001</t>
  </si>
  <si>
    <t>D0554053:K16</t>
  </si>
  <si>
    <t>TR06505403-002</t>
  </si>
  <si>
    <t>D0552434:C17</t>
  </si>
  <si>
    <t>TR02065101-003</t>
  </si>
  <si>
    <t>D0552433:K07</t>
  </si>
  <si>
    <t>TR01535427-003</t>
  </si>
  <si>
    <t>D0552435:H08</t>
  </si>
  <si>
    <t>TR06375599-004</t>
  </si>
  <si>
    <t>D0552436:D09</t>
  </si>
  <si>
    <t>TR06420416-002</t>
  </si>
  <si>
    <t>D0552434:L16</t>
  </si>
  <si>
    <t>TR02047226-003</t>
  </si>
  <si>
    <t>D0554053:D07</t>
  </si>
  <si>
    <t>TR06489451-001</t>
  </si>
  <si>
    <t>D0552434:I12</t>
  </si>
  <si>
    <t>TR01923201-005</t>
  </si>
  <si>
    <t>D0552434:G20</t>
  </si>
  <si>
    <t>TR02193776-002</t>
  </si>
  <si>
    <t>D0552434:D17</t>
  </si>
  <si>
    <t>TR02070412-003</t>
  </si>
  <si>
    <t>D0552432:C24</t>
  </si>
  <si>
    <t>TR01476765-002</t>
  </si>
  <si>
    <t>D0552434:A16</t>
  </si>
  <si>
    <t>TR02024938-002</t>
  </si>
  <si>
    <t>D0552434:O18</t>
  </si>
  <si>
    <t>TR02141642-002</t>
  </si>
  <si>
    <t>D0552433:M06</t>
  </si>
  <si>
    <t>TR01530891-004</t>
  </si>
  <si>
    <t>D0552436:G02</t>
  </si>
  <si>
    <t>TR06413251-002</t>
  </si>
  <si>
    <t>D0552434:F10</t>
  </si>
  <si>
    <t>TR01858509-004</t>
  </si>
  <si>
    <t>D0552436:F11</t>
  </si>
  <si>
    <t>TR06422257-001</t>
  </si>
  <si>
    <t>D0552435:I12</t>
  </si>
  <si>
    <t>TR06387696-005</t>
  </si>
  <si>
    <t>D0552432:G22</t>
  </si>
  <si>
    <t>TR01450345-003</t>
  </si>
  <si>
    <t>D0554053:L19</t>
  </si>
  <si>
    <t>TR06509844-002</t>
  </si>
  <si>
    <t>D0552432:O06</t>
  </si>
  <si>
    <t>TR01319321-008</t>
  </si>
  <si>
    <t>D0552431:F19</t>
  </si>
  <si>
    <t>TR01247888-004</t>
  </si>
  <si>
    <t>D0554055:D20</t>
  </si>
  <si>
    <t>D0552431:O05</t>
  </si>
  <si>
    <t>TR01138014-005</t>
  </si>
  <si>
    <t>D0552434:C18</t>
  </si>
  <si>
    <t>TR02097963-004</t>
  </si>
  <si>
    <t>D0552432:F03</t>
  </si>
  <si>
    <t>TR01295506-010</t>
  </si>
  <si>
    <t>D0554055:H14</t>
  </si>
  <si>
    <t>D0552431:D15</t>
  </si>
  <si>
    <t>TR01223135-003</t>
  </si>
  <si>
    <t>D0552436:H17</t>
  </si>
  <si>
    <t>TR06428541-002</t>
  </si>
  <si>
    <t>D0552434:E09</t>
  </si>
  <si>
    <t>TR01826525-003</t>
  </si>
  <si>
    <t>D0554053:C19</t>
  </si>
  <si>
    <t>TR06509757-001</t>
  </si>
  <si>
    <t>D0554055:L20</t>
  </si>
  <si>
    <t>D0552435:F20</t>
  </si>
  <si>
    <t>TR06405817-001</t>
  </si>
  <si>
    <t>D0552431:M21</t>
  </si>
  <si>
    <t>TR01264706-004</t>
  </si>
  <si>
    <t>D0554053:F08</t>
  </si>
  <si>
    <t>TR06496545-002</t>
  </si>
  <si>
    <t>D0552431:N06</t>
  </si>
  <si>
    <t>TR01145443-004</t>
  </si>
  <si>
    <t>D0554053:M13</t>
  </si>
  <si>
    <t>TR06501067-002</t>
  </si>
  <si>
    <t>D0552433:H12</t>
  </si>
  <si>
    <t>TR01568308-005</t>
  </si>
  <si>
    <t>D0552436:M14</t>
  </si>
  <si>
    <t>TR06423959-002</t>
  </si>
  <si>
    <t>D0552435:J13</t>
  </si>
  <si>
    <t>TR06387864-003</t>
  </si>
  <si>
    <t>D0552432:D24</t>
  </si>
  <si>
    <t>TR01478148-006</t>
  </si>
  <si>
    <t>D0552433:O15</t>
  </si>
  <si>
    <t>TR01601636-004</t>
  </si>
  <si>
    <t>D0552435:O17</t>
  </si>
  <si>
    <t>TR06403917-002</t>
  </si>
  <si>
    <t>D0552432:J16</t>
  </si>
  <si>
    <t>TR01393727-004</t>
  </si>
  <si>
    <t>D0552433:I13</t>
  </si>
  <si>
    <t>TR01579013-005</t>
  </si>
  <si>
    <t>D0552432:D10</t>
  </si>
  <si>
    <t>TR01344526-007</t>
  </si>
  <si>
    <t>D0552432:M14</t>
  </si>
  <si>
    <t>TR01380738-004</t>
  </si>
  <si>
    <t>D0552436:E03</t>
  </si>
  <si>
    <t>TR06413517-001</t>
  </si>
  <si>
    <t>D0552435:O23</t>
  </si>
  <si>
    <t>TR06412145-001</t>
  </si>
  <si>
    <t>D0552435:M13</t>
  </si>
  <si>
    <t>TR06388447-025</t>
  </si>
  <si>
    <t>D0552434:E08</t>
  </si>
  <si>
    <t>TR01809048-005</t>
  </si>
  <si>
    <t>D0552434:B18</t>
  </si>
  <si>
    <t>TR02096507-003</t>
  </si>
  <si>
    <t>D0552433:H22</t>
  </si>
  <si>
    <t>TR01665494-002</t>
  </si>
  <si>
    <t>D0552435:F17</t>
  </si>
  <si>
    <t>TR06400976-001</t>
  </si>
  <si>
    <t>D0554053:N19</t>
  </si>
  <si>
    <t>TR06509886-002</t>
  </si>
  <si>
    <t>D0552436:O06</t>
  </si>
  <si>
    <t>TR06419878-002</t>
  </si>
  <si>
    <t>D0554053:E12</t>
  </si>
  <si>
    <t>TR06500805-001</t>
  </si>
  <si>
    <t>D0552436:O12</t>
  </si>
  <si>
    <t>TR06423607-001</t>
  </si>
  <si>
    <t>D0552435:D14</t>
  </si>
  <si>
    <t>TR06390153-010</t>
  </si>
  <si>
    <t>D0554053:K02</t>
  </si>
  <si>
    <t>TR06486380-001</t>
  </si>
  <si>
    <t>D0554055:J01</t>
  </si>
  <si>
    <t>TR06557978-001</t>
  </si>
  <si>
    <t>D0554053:O15</t>
  </si>
  <si>
    <t>TR06503300-001</t>
  </si>
  <si>
    <t>D0554055:A17</t>
  </si>
  <si>
    <t>D0554055:C01</t>
  </si>
  <si>
    <t>TR06556868-001</t>
  </si>
  <si>
    <t>D0554055:K06</t>
  </si>
  <si>
    <t>D0552433:M19</t>
  </si>
  <si>
    <t>TR01637383-004</t>
  </si>
  <si>
    <t>D0552433:L15</t>
  </si>
  <si>
    <t>TR01601355-004</t>
  </si>
  <si>
    <t>D0552431:I23</t>
  </si>
  <si>
    <t>TR01277388-004</t>
  </si>
  <si>
    <t>D0554055:F19</t>
  </si>
  <si>
    <t>D0552433:D11</t>
  </si>
  <si>
    <t>TR01560131-002</t>
  </si>
  <si>
    <t>D0552433:I16</t>
  </si>
  <si>
    <t>TR01607557-007</t>
  </si>
  <si>
    <t>D0552433:P05</t>
  </si>
  <si>
    <t>TR01524050-004</t>
  </si>
  <si>
    <t>D0552433:P16</t>
  </si>
  <si>
    <t>TR01609408-002</t>
  </si>
  <si>
    <t>D0552433:D23</t>
  </si>
  <si>
    <t>TR01678722-003</t>
  </si>
  <si>
    <t>D0552434:J04</t>
  </si>
  <si>
    <t>TR01747034-003</t>
  </si>
  <si>
    <t>D0552436:I19</t>
  </si>
  <si>
    <t>TR06430849-003</t>
  </si>
  <si>
    <t>D0552431:D22</t>
  </si>
  <si>
    <t>TR01266952-005</t>
  </si>
  <si>
    <t>D0552435:K08</t>
  </si>
  <si>
    <t>TR06375620-002</t>
  </si>
  <si>
    <t>D0552433:H06</t>
  </si>
  <si>
    <t>TR01526327-005</t>
  </si>
  <si>
    <t>D0554053:J04</t>
  </si>
  <si>
    <t>TR06486651-002</t>
  </si>
  <si>
    <t>D0552432:P07</t>
  </si>
  <si>
    <t>TR01325659-009</t>
  </si>
  <si>
    <t>D0552433:N09</t>
  </si>
  <si>
    <t>TR01551278-003</t>
  </si>
  <si>
    <t>D0554053:B07</t>
  </si>
  <si>
    <t>TR06489406-001</t>
  </si>
  <si>
    <t>D0554055:F17</t>
  </si>
  <si>
    <t>D0552433:K06</t>
  </si>
  <si>
    <t>TR01528117-003</t>
  </si>
  <si>
    <t>D0552432:M09</t>
  </si>
  <si>
    <t>TR01339774-005</t>
  </si>
  <si>
    <t>D0552433:J01</t>
  </si>
  <si>
    <t>TR01482384-003</t>
  </si>
  <si>
    <t>D0552434:I09</t>
  </si>
  <si>
    <t>TR01834780-005</t>
  </si>
  <si>
    <t>D0552432:J05</t>
  </si>
  <si>
    <t>TR01308606-006</t>
  </si>
  <si>
    <t>D0552431:L18</t>
  </si>
  <si>
    <t>TR01242932-005</t>
  </si>
  <si>
    <t>D0552434:P17</t>
  </si>
  <si>
    <t>TR02090940-002</t>
  </si>
  <si>
    <t>D0552433:P20</t>
  </si>
  <si>
    <t>TR01650647-002</t>
  </si>
  <si>
    <t>D0552431:O09</t>
  </si>
  <si>
    <t>TR01188367-003</t>
  </si>
  <si>
    <t>D0552433:L20</t>
  </si>
  <si>
    <t>TR01647127-003</t>
  </si>
  <si>
    <t>D0552432:D11</t>
  </si>
  <si>
    <t>TR01352318-003</t>
  </si>
  <si>
    <t>D0552432:I19</t>
  </si>
  <si>
    <t>TR01423738-002</t>
  </si>
  <si>
    <t>D0552433:O21</t>
  </si>
  <si>
    <t>TR01659312-004</t>
  </si>
  <si>
    <t>D0552432:I14</t>
  </si>
  <si>
    <t>TR01380004-005</t>
  </si>
  <si>
    <t>D0552436:E02</t>
  </si>
  <si>
    <t>TR06413205-002</t>
  </si>
  <si>
    <t>D0552435:K10</t>
  </si>
  <si>
    <t>TR06376574-003</t>
  </si>
  <si>
    <t>D0554053:I19</t>
  </si>
  <si>
    <t>TR06509803-001</t>
  </si>
  <si>
    <t>D0552433:O18</t>
  </si>
  <si>
    <t>TR01629359-003</t>
  </si>
  <si>
    <t>D0552433:L05</t>
  </si>
  <si>
    <t>TR01520493-007</t>
  </si>
  <si>
    <t>D0552436:F22</t>
  </si>
  <si>
    <t>TR06444040-001</t>
  </si>
  <si>
    <t>D0552433:G15</t>
  </si>
  <si>
    <t>TR01599503-004</t>
  </si>
  <si>
    <t>D0552433:O14</t>
  </si>
  <si>
    <t>TR01594800-004</t>
  </si>
  <si>
    <t>D0552436:K17</t>
  </si>
  <si>
    <t>TR06428544-001</t>
  </si>
  <si>
    <t>D0552433:O05</t>
  </si>
  <si>
    <t>TR01523572-007</t>
  </si>
  <si>
    <t>D0552433:J04</t>
  </si>
  <si>
    <t>TR01511340-003</t>
  </si>
  <si>
    <t>D0552433:J09</t>
  </si>
  <si>
    <t>TR01548804-006</t>
  </si>
  <si>
    <t>D0552433:I21</t>
  </si>
  <si>
    <t>TR01655957-004</t>
  </si>
  <si>
    <t>D0552433:J02</t>
  </si>
  <si>
    <t>TR01493387-004</t>
  </si>
  <si>
    <t>D0552432:L08</t>
  </si>
  <si>
    <t>TR01332647-006</t>
  </si>
  <si>
    <t>D0552433:L23</t>
  </si>
  <si>
    <t>TR01682573-002</t>
  </si>
  <si>
    <t>D0554053:H11</t>
  </si>
  <si>
    <t>TR06500664-001</t>
  </si>
  <si>
    <t>D0552436:D13</t>
  </si>
  <si>
    <t>TR06423629-001</t>
  </si>
  <si>
    <t>D0552434:F18</t>
  </si>
  <si>
    <t>TR02116194-002</t>
  </si>
  <si>
    <t>D0552435:N14</t>
  </si>
  <si>
    <t>TR06395187-002</t>
  </si>
  <si>
    <t>D0552433:P07</t>
  </si>
  <si>
    <t>TR01536341-003</t>
  </si>
  <si>
    <t>D0552435:O13</t>
  </si>
  <si>
    <t>TR06389567-011</t>
  </si>
  <si>
    <t>D0552432:H13</t>
  </si>
  <si>
    <t>TR01371324-003</t>
  </si>
  <si>
    <t>D0552433:C07</t>
  </si>
  <si>
    <t>TR01532811-006</t>
  </si>
  <si>
    <t>D0552436:I18</t>
  </si>
  <si>
    <t>TR06428947-002</t>
  </si>
  <si>
    <t>D0552433:N11</t>
  </si>
  <si>
    <t>TR01564639-005</t>
  </si>
  <si>
    <t>D0552432:N12</t>
  </si>
  <si>
    <t>TR01366878-003</t>
  </si>
  <si>
    <t>D0552433:K18</t>
  </si>
  <si>
    <t>TR01627116-003</t>
  </si>
  <si>
    <t>D0552434:N15</t>
  </si>
  <si>
    <t>TR02019190-005</t>
  </si>
  <si>
    <t>D0552431:I13</t>
  </si>
  <si>
    <t>TR01212192-004</t>
  </si>
  <si>
    <t>D0552435:F16</t>
  </si>
  <si>
    <t>TR06400524-002</t>
  </si>
  <si>
    <t>D0552434:H03</t>
  </si>
  <si>
    <t>TR01730686-003</t>
  </si>
  <si>
    <t>D0552433:N19</t>
  </si>
  <si>
    <t>TR01637412-004</t>
  </si>
  <si>
    <t>D0552433:E18</t>
  </si>
  <si>
    <t>TR01623834-002</t>
  </si>
  <si>
    <t>D0552436:E06</t>
  </si>
  <si>
    <t>TR06419735-001</t>
  </si>
  <si>
    <t>D0552433:M12</t>
  </si>
  <si>
    <t>TR01571032-005</t>
  </si>
  <si>
    <t>D0552434:C06</t>
  </si>
  <si>
    <t>TR01770361-002</t>
  </si>
  <si>
    <t>D0552433:K20</t>
  </si>
  <si>
    <t>TR01646977-003</t>
  </si>
  <si>
    <t>D0552434:C13</t>
  </si>
  <si>
    <t>TR01941431-002</t>
  </si>
  <si>
    <t>D0552435:E24</t>
  </si>
  <si>
    <t>TR06412230-002</t>
  </si>
  <si>
    <t>D0552431:P20</t>
  </si>
  <si>
    <t>TR01259656-002</t>
  </si>
  <si>
    <t>D0552433:D04</t>
  </si>
  <si>
    <t>TR01509991-004</t>
  </si>
  <si>
    <t>D0552434:N11</t>
  </si>
  <si>
    <t>TR01899889-002</t>
  </si>
  <si>
    <t>D0552431:G18</t>
  </si>
  <si>
    <t>TR01241330-003</t>
  </si>
  <si>
    <t>D0552433:H09</t>
  </si>
  <si>
    <t>TR01548049-005</t>
  </si>
  <si>
    <t>D0552436:I05</t>
  </si>
  <si>
    <t>TR06417035-001</t>
  </si>
  <si>
    <t>D0552434:F20</t>
  </si>
  <si>
    <t>TR02193466-003</t>
  </si>
  <si>
    <t>D0552433:N12</t>
  </si>
  <si>
    <t>TR01572137-009</t>
  </si>
  <si>
    <t>D0552432:I10</t>
  </si>
  <si>
    <t>TR01347749-007</t>
  </si>
  <si>
    <t>D0552433:F10</t>
  </si>
  <si>
    <t>TR01556042-002</t>
  </si>
  <si>
    <t>D0552433:I01</t>
  </si>
  <si>
    <t>TR01480571-004</t>
  </si>
  <si>
    <t>D0552434:D06</t>
  </si>
  <si>
    <t>TR01771837-004</t>
  </si>
  <si>
    <t>D0552434:J18</t>
  </si>
  <si>
    <t>TR02127677-002</t>
  </si>
  <si>
    <t>D0552432:P20</t>
  </si>
  <si>
    <t>TR01439423-002</t>
  </si>
  <si>
    <t>D0552432:D12</t>
  </si>
  <si>
    <t>TR01357784-005</t>
  </si>
  <si>
    <t>D0552436:E11</t>
  </si>
  <si>
    <t>TR06422256-001</t>
  </si>
  <si>
    <t>D0552433:P15</t>
  </si>
  <si>
    <t>TR01602236-003</t>
  </si>
  <si>
    <t>D0552433:A01</t>
  </si>
  <si>
    <t>TR01478840-003</t>
  </si>
  <si>
    <t>D0552433:N06</t>
  </si>
  <si>
    <t>TR01531173-011</t>
  </si>
  <si>
    <t>D0552434:M18</t>
  </si>
  <si>
    <t>TR02134212-002</t>
  </si>
  <si>
    <t>D0552435:D20</t>
  </si>
  <si>
    <t>TR06405744-002</t>
  </si>
  <si>
    <t>D0552433:C21</t>
  </si>
  <si>
    <t>TR01651625-003</t>
  </si>
  <si>
    <t>D0552433:P14</t>
  </si>
  <si>
    <t>TR01595693-002</t>
  </si>
  <si>
    <t>D0552434:N10</t>
  </si>
  <si>
    <t>TR01877338-006</t>
  </si>
  <si>
    <t>D0552432:D02</t>
  </si>
  <si>
    <t>TR01285821-003</t>
  </si>
  <si>
    <t>D0552433:O19</t>
  </si>
  <si>
    <t>TR01637684-002</t>
  </si>
  <si>
    <t>D0552435:F19</t>
  </si>
  <si>
    <t>TR06404173-001</t>
  </si>
  <si>
    <t>D0552433:G08</t>
  </si>
  <si>
    <t>TR01540652-003</t>
  </si>
  <si>
    <t>D0552433:C08</t>
  </si>
  <si>
    <t>TR01538066-007</t>
  </si>
  <si>
    <t>D0552433:C01</t>
  </si>
  <si>
    <t>TR01479561-004</t>
  </si>
  <si>
    <t>D0552432:M11</t>
  </si>
  <si>
    <t>TR01356476-005</t>
  </si>
  <si>
    <t>D0552433:I14</t>
  </si>
  <si>
    <t>TR01592676-002</t>
  </si>
  <si>
    <t>D0552433:E15</t>
  </si>
  <si>
    <t>TR01599274-002</t>
  </si>
  <si>
    <t>D0552435:K15</t>
  </si>
  <si>
    <t>TR06395309-001</t>
  </si>
  <si>
    <t>D0552433:E24</t>
  </si>
  <si>
    <t>TR01690687-005</t>
  </si>
  <si>
    <t>D0552434:P18</t>
  </si>
  <si>
    <t>TR02142129-008</t>
  </si>
  <si>
    <t>D0552436:O22</t>
  </si>
  <si>
    <t>TR06444311-002</t>
  </si>
  <si>
    <t>D0552431:A15</t>
  </si>
  <si>
    <t>TR01222409-009</t>
  </si>
  <si>
    <t>D0552436:C05</t>
  </si>
  <si>
    <t>TR06416857-001</t>
  </si>
  <si>
    <t>D0552436:M20</t>
  </si>
  <si>
    <t>TR06439569-001</t>
  </si>
  <si>
    <t>D0552433:H14</t>
  </si>
  <si>
    <t>TR01592544-011</t>
  </si>
  <si>
    <t>D0552434:O02</t>
  </si>
  <si>
    <t>TR01713812-005</t>
  </si>
  <si>
    <t>D0552434:M20</t>
  </si>
  <si>
    <t>TR02209380-003</t>
  </si>
  <si>
    <t>D0552433:I03</t>
  </si>
  <si>
    <t>TR01504883-013</t>
  </si>
  <si>
    <t>D0552433:A15</t>
  </si>
  <si>
    <t>TR01595738-004</t>
  </si>
  <si>
    <t>D0552433:B07</t>
  </si>
  <si>
    <t>TR01532532-002</t>
  </si>
  <si>
    <t>D0552433:P19</t>
  </si>
  <si>
    <t>TR01639461-002</t>
  </si>
  <si>
    <t>D0552434:I16</t>
  </si>
  <si>
    <t>TR02046378-002</t>
  </si>
  <si>
    <t>D0552433:M10</t>
  </si>
  <si>
    <t>TR01557640-006</t>
  </si>
  <si>
    <t>D0552433:L06</t>
  </si>
  <si>
    <t>TR01528463-004</t>
  </si>
  <si>
    <t>D0552433:M13</t>
  </si>
  <si>
    <t>TR01583691-004</t>
  </si>
  <si>
    <t>D0552436:E16</t>
  </si>
  <si>
    <t>TR06424656-002</t>
  </si>
  <si>
    <t>D0552433:F11</t>
  </si>
  <si>
    <t>TR01560956-004</t>
  </si>
  <si>
    <t>D0552433:O10</t>
  </si>
  <si>
    <t>TR01559618-007</t>
  </si>
  <si>
    <t>D0552432:H16</t>
  </si>
  <si>
    <t>TR01392553-006</t>
  </si>
  <si>
    <t>D0552433:B02</t>
  </si>
  <si>
    <t>TR01489555-005</t>
  </si>
  <si>
    <t>D0552433:E23</t>
  </si>
  <si>
    <t>TR01679639-002</t>
  </si>
  <si>
    <t>D0552434:G14</t>
  </si>
  <si>
    <t>TR01990367-002</t>
  </si>
  <si>
    <t>D0552434:M06</t>
  </si>
  <si>
    <t>TR01779317-003</t>
  </si>
  <si>
    <t>D0554053:G07</t>
  </si>
  <si>
    <t>TR06493663-003</t>
  </si>
  <si>
    <t>D0552433:F05</t>
  </si>
  <si>
    <t>TR01515082-004</t>
  </si>
  <si>
    <t>D0552433:N03</t>
  </si>
  <si>
    <t>TR01507140-007</t>
  </si>
  <si>
    <t>D0552433:P23</t>
  </si>
  <si>
    <t>TR01686691-003</t>
  </si>
  <si>
    <t>D0552432:M08</t>
  </si>
  <si>
    <t>TR01333015-003</t>
  </si>
  <si>
    <t>D0552433:P21</t>
  </si>
  <si>
    <t>TR01660734-004</t>
  </si>
  <si>
    <t>D0552432:I17</t>
  </si>
  <si>
    <t>TR01405285-006</t>
  </si>
  <si>
    <t>D0552433:C19</t>
  </si>
  <si>
    <t>TR01631755-007</t>
  </si>
  <si>
    <t>D0552433:K13</t>
  </si>
  <si>
    <t>TR01580850-005</t>
  </si>
  <si>
    <t>D0552433:K02</t>
  </si>
  <si>
    <t>TR01493682-005</t>
  </si>
  <si>
    <t>D0552433:M08</t>
  </si>
  <si>
    <t>TR01543270-003</t>
  </si>
  <si>
    <t>D0552435:N02</t>
  </si>
  <si>
    <t>TR06111813-020</t>
  </si>
  <si>
    <t>D0552433:G05</t>
  </si>
  <si>
    <t>TR01516036-004</t>
  </si>
  <si>
    <t>D0552433:L08</t>
  </si>
  <si>
    <t>TR01542854-002</t>
  </si>
  <si>
    <t>D0552436:I08</t>
  </si>
  <si>
    <t>TR06420257-001</t>
  </si>
  <si>
    <t>D0552433:L03</t>
  </si>
  <si>
    <t>TR01505883-008</t>
  </si>
  <si>
    <t>D0552433:C04</t>
  </si>
  <si>
    <t>TR01509384-003</t>
  </si>
  <si>
    <t>D0552431:I15</t>
  </si>
  <si>
    <t>TR01225184-003</t>
  </si>
  <si>
    <t>D0552433:C06</t>
  </si>
  <si>
    <t>TR01524504-008</t>
  </si>
  <si>
    <t>D0552433:F08</t>
  </si>
  <si>
    <t>TR01540561-002</t>
  </si>
  <si>
    <t>D0552433:I04</t>
  </si>
  <si>
    <t>TR01511216-004</t>
  </si>
  <si>
    <t>D0552433:G02</t>
  </si>
  <si>
    <t>TR01492615-015</t>
  </si>
  <si>
    <t>D0552431:J08</t>
  </si>
  <si>
    <t>TR01177051-003</t>
  </si>
  <si>
    <t>D0554053:E13</t>
  </si>
  <si>
    <t>TR06501006-001</t>
  </si>
  <si>
    <t>D0552436:L17</t>
  </si>
  <si>
    <t>TR06428583-001</t>
  </si>
  <si>
    <t>D0552433:F23</t>
  </si>
  <si>
    <t>TR01679764-004</t>
  </si>
  <si>
    <t>D0552433:G14</t>
  </si>
  <si>
    <t>TR01591313-003</t>
  </si>
  <si>
    <t>D0552432:M20</t>
  </si>
  <si>
    <t>TR01438508-002</t>
  </si>
  <si>
    <t>D0552433:F13</t>
  </si>
  <si>
    <t>TR01576554-004</t>
  </si>
  <si>
    <t>D0552433:K08</t>
  </si>
  <si>
    <t>TR01541478-004</t>
  </si>
  <si>
    <t>D0552433:D20</t>
  </si>
  <si>
    <t>TR01643654-010</t>
  </si>
  <si>
    <t>D0554053:H20</t>
  </si>
  <si>
    <t>TR06509937-001</t>
  </si>
  <si>
    <t>D0552433:D09</t>
  </si>
  <si>
    <t>TR01546952-004</t>
  </si>
  <si>
    <t>D0552431:B14</t>
  </si>
  <si>
    <t>TR01216470-005</t>
  </si>
  <si>
    <t>D0552433:C11</t>
  </si>
  <si>
    <t>TR01560055-004</t>
  </si>
  <si>
    <t>D0552435:N12</t>
  </si>
  <si>
    <t>TR06387724-003</t>
  </si>
  <si>
    <t>D0552434:H14</t>
  </si>
  <si>
    <t>TR01991019-005</t>
  </si>
  <si>
    <t>D0552433:C10</t>
  </si>
  <si>
    <t>TR01554083-002</t>
  </si>
  <si>
    <t>D0552431:H17</t>
  </si>
  <si>
    <t>TR01233807-008</t>
  </si>
  <si>
    <t>D0552434:J17</t>
  </si>
  <si>
    <t>TR02075100-003</t>
  </si>
  <si>
    <t>D0552433:H21</t>
  </si>
  <si>
    <t>TR01655377-004</t>
  </si>
  <si>
    <t>D0552433:B12</t>
  </si>
  <si>
    <t>TR01565623-003</t>
  </si>
  <si>
    <t>D0552432:I09</t>
  </si>
  <si>
    <t>TR01339172-005</t>
  </si>
  <si>
    <t>D0552431:P07</t>
  </si>
  <si>
    <t>TR01162900-007</t>
  </si>
  <si>
    <t>D0552433:A23</t>
  </si>
  <si>
    <t>TR01677339-002</t>
  </si>
  <si>
    <t>D0552433:B01</t>
  </si>
  <si>
    <t>TR01479389-004</t>
  </si>
  <si>
    <t>D0552436:F01</t>
  </si>
  <si>
    <t>TR06412363-001</t>
  </si>
  <si>
    <t>D0552435:K11</t>
  </si>
  <si>
    <t>TR06384073-001</t>
  </si>
  <si>
    <t>D0552436:F19</t>
  </si>
  <si>
    <t>TR06430782-001</t>
  </si>
  <si>
    <t>D0554053:G18</t>
  </si>
  <si>
    <t>TR06506423-001</t>
  </si>
  <si>
    <t>D0552431:D13</t>
  </si>
  <si>
    <t>TR01208669-005</t>
  </si>
  <si>
    <t>D0552431:G11</t>
  </si>
  <si>
    <t>TR01197306-003</t>
  </si>
  <si>
    <t>D0552431:F06</t>
  </si>
  <si>
    <t>TR01140409-002</t>
  </si>
  <si>
    <t>D0552436:I04</t>
  </si>
  <si>
    <t>TR06416716-002</t>
  </si>
  <si>
    <t>D0552434:G06</t>
  </si>
  <si>
    <t>TR01775658-002</t>
  </si>
  <si>
    <t>D0552433:E02</t>
  </si>
  <si>
    <t>TR01490694-003</t>
  </si>
  <si>
    <t>D0554053:I08</t>
  </si>
  <si>
    <t>TR06496548-002</t>
  </si>
  <si>
    <t>D0552433:E13</t>
  </si>
  <si>
    <t>TR01575410-003</t>
  </si>
  <si>
    <t>D0552436:J01</t>
  </si>
  <si>
    <t>TR06412955-002</t>
  </si>
  <si>
    <t>D0552435:N20</t>
  </si>
  <si>
    <t>TR06405929-004</t>
  </si>
  <si>
    <t>D0552436:N10</t>
  </si>
  <si>
    <t>TR06420913-001</t>
  </si>
  <si>
    <t>D0552435:C18</t>
  </si>
  <si>
    <t>TR06403956-002</t>
  </si>
  <si>
    <t>D0552434:K13</t>
  </si>
  <si>
    <t>TR01963475-002</t>
  </si>
  <si>
    <t>D0552433:E09</t>
  </si>
  <si>
    <t>TR01547571-010</t>
  </si>
  <si>
    <t>D0552435:F08</t>
  </si>
  <si>
    <t>TR06375597-002</t>
  </si>
  <si>
    <t>D0552436:F10</t>
  </si>
  <si>
    <t>TR06420785-001</t>
  </si>
  <si>
    <t>D0552434:M22</t>
  </si>
  <si>
    <t>TR02396453-003</t>
  </si>
  <si>
    <t>D0552433:B18</t>
  </si>
  <si>
    <t>TR01622504-002</t>
  </si>
  <si>
    <t>D0552435:M18</t>
  </si>
  <si>
    <t>TR06404063-001</t>
  </si>
  <si>
    <t>D0554053:O08</t>
  </si>
  <si>
    <t>TR06496583-001</t>
  </si>
  <si>
    <t>D0552433:C18</t>
  </si>
  <si>
    <t>TR01622701-004</t>
  </si>
  <si>
    <t>D0552431:O15</t>
  </si>
  <si>
    <t>TR01226445-007</t>
  </si>
  <si>
    <t>D0552432:D23</t>
  </si>
  <si>
    <t>TR01461242-004</t>
  </si>
  <si>
    <t>D0552433:A09</t>
  </si>
  <si>
    <t>TR01545672-008</t>
  </si>
  <si>
    <t>D0552433:A17</t>
  </si>
  <si>
    <t>TR01609560-002</t>
  </si>
  <si>
    <t>D0552433:A06</t>
  </si>
  <si>
    <t>TR01524135-003</t>
  </si>
  <si>
    <t>D0552433:C15</t>
  </si>
  <si>
    <t>TR01597255-002</t>
  </si>
  <si>
    <t>D0554053:L11</t>
  </si>
  <si>
    <t>TR06500699-002</t>
  </si>
  <si>
    <t>D0552435:H09</t>
  </si>
  <si>
    <t>TR06375901-007</t>
  </si>
  <si>
    <t>D0552435:M19</t>
  </si>
  <si>
    <t>TR06405606-002</t>
  </si>
  <si>
    <t>D0552433:A21</t>
  </si>
  <si>
    <t>TR01651076-002</t>
  </si>
  <si>
    <t>D0552433:A13</t>
  </si>
  <si>
    <t>TR01574373-003</t>
  </si>
  <si>
    <t>D0552433:A10</t>
  </si>
  <si>
    <t>TR01552179-002</t>
  </si>
  <si>
    <t>D0552431:L16</t>
  </si>
  <si>
    <t>TR01230170-003</t>
  </si>
  <si>
    <t>D0552431:N14</t>
  </si>
  <si>
    <t>TR01221366-002</t>
  </si>
  <si>
    <t>D0552434:M14</t>
  </si>
  <si>
    <t>TR01993760-002</t>
  </si>
  <si>
    <t>D0552435:E10</t>
  </si>
  <si>
    <t>TR06376265-003</t>
  </si>
  <si>
    <t>D0552434:A05</t>
  </si>
  <si>
    <t>TR01753513-002</t>
  </si>
  <si>
    <t>D0552434:J11</t>
  </si>
  <si>
    <t>TR01895168-003</t>
  </si>
  <si>
    <t>D0554055:G10</t>
  </si>
  <si>
    <t>D0554053:G20</t>
  </si>
  <si>
    <t>TR06509936-001</t>
  </si>
  <si>
    <t>D0552436:A02</t>
  </si>
  <si>
    <t>TR06413161-001</t>
  </si>
  <si>
    <t>D0552432:L03</t>
  </si>
  <si>
    <t>TR01297476-007</t>
  </si>
  <si>
    <t>D0552431:G10</t>
  </si>
  <si>
    <t>TR01190526-003</t>
  </si>
  <si>
    <t>D0552435:H20</t>
  </si>
  <si>
    <t>TR06405854-001</t>
  </si>
  <si>
    <t>D0552432:M01</t>
  </si>
  <si>
    <t>TR01284202-004</t>
  </si>
  <si>
    <t>D0552436:N11</t>
  </si>
  <si>
    <t>TR06422341-001</t>
  </si>
  <si>
    <t>D0552432:F02</t>
  </si>
  <si>
    <t>TR01286683-003</t>
  </si>
  <si>
    <t>D0552432:J14</t>
  </si>
  <si>
    <t>TR01380336-005</t>
  </si>
  <si>
    <t>D0554053:F15</t>
  </si>
  <si>
    <t>TR06502763-001</t>
  </si>
  <si>
    <t>D0554053:A03</t>
  </si>
  <si>
    <t>TR06486412-001</t>
  </si>
  <si>
    <t>D0552432:K02</t>
  </si>
  <si>
    <t>TR01288919-003</t>
  </si>
  <si>
    <t>D0552435:F22</t>
  </si>
  <si>
    <t>TR06408281-002</t>
  </si>
  <si>
    <t>D0552436:I06</t>
  </si>
  <si>
    <t>TR06419772-001</t>
  </si>
  <si>
    <t>D0552435:J05</t>
  </si>
  <si>
    <t>TR06168592-006</t>
  </si>
  <si>
    <t>D0552431:N10</t>
  </si>
  <si>
    <t>TR01194106-004</t>
  </si>
  <si>
    <t>D0552436:L23</t>
  </si>
  <si>
    <t>TR06444599-001</t>
  </si>
  <si>
    <t>D0552434:E12</t>
  </si>
  <si>
    <t>TR01917469-003</t>
  </si>
  <si>
    <t>D0554053:O07</t>
  </si>
  <si>
    <t>TR06496444-001</t>
  </si>
  <si>
    <t>D0552436:H09</t>
  </si>
  <si>
    <t>TR06420500-002</t>
  </si>
  <si>
    <t>D0552432:D04</t>
  </si>
  <si>
    <t>TR01300015-003</t>
  </si>
  <si>
    <t>D0552432:J13</t>
  </si>
  <si>
    <t>TR01373731-008</t>
  </si>
  <si>
    <t>D0552435:F01</t>
  </si>
  <si>
    <t>TR06097492-027</t>
  </si>
  <si>
    <t>D0552431:N12</t>
  </si>
  <si>
    <t>TR01207242-003</t>
  </si>
  <si>
    <t>D0552436:J07</t>
  </si>
  <si>
    <t>TR06420025-002</t>
  </si>
  <si>
    <t>D0552434:L18</t>
  </si>
  <si>
    <t>TR02129624-004</t>
  </si>
  <si>
    <t>D0552431:E15</t>
  </si>
  <si>
    <t>TR01223360-003</t>
  </si>
  <si>
    <t>D0552432:B15</t>
  </si>
  <si>
    <t>TR01385083-004</t>
  </si>
  <si>
    <t>D0552432:P21</t>
  </si>
  <si>
    <t>TR01446855-006</t>
  </si>
  <si>
    <t>D0552434:A22</t>
  </si>
  <si>
    <t>TR02322003-002</t>
  </si>
  <si>
    <t>D0552434:K12</t>
  </si>
  <si>
    <t>TR01925817-002</t>
  </si>
  <si>
    <t>D0552436:H07</t>
  </si>
  <si>
    <t>TR06419989-001</t>
  </si>
  <si>
    <t>D0554055:M01</t>
  </si>
  <si>
    <t>TR06558032-001</t>
  </si>
  <si>
    <t>D0552434:H09</t>
  </si>
  <si>
    <t>TR01833816-006</t>
  </si>
  <si>
    <t>D0554053:C12</t>
  </si>
  <si>
    <t>TR06500796-004</t>
  </si>
  <si>
    <t>D0552431:J02</t>
  </si>
  <si>
    <t>TR01063118-007</t>
  </si>
  <si>
    <t>D0554053:K14</t>
  </si>
  <si>
    <t>TR06502681-002</t>
  </si>
  <si>
    <t>D0552435:H16</t>
  </si>
  <si>
    <t>TR06400569-001</t>
  </si>
  <si>
    <t>D0552435:C01</t>
  </si>
  <si>
    <t>TR06096453-020</t>
  </si>
  <si>
    <t>D0552432:B18</t>
  </si>
  <si>
    <t>TR01414122-003</t>
  </si>
  <si>
    <t>D0554053:H09</t>
  </si>
  <si>
    <t>TR06497972-001</t>
  </si>
  <si>
    <t>D0552434:D11</t>
  </si>
  <si>
    <t>TR01886249-003</t>
  </si>
  <si>
    <t>D0552436:L21</t>
  </si>
  <si>
    <t>TR06439769-001</t>
  </si>
  <si>
    <t>D0552432:H07</t>
  </si>
  <si>
    <t>TR01322320-005</t>
  </si>
  <si>
    <t>D0552436:E08</t>
  </si>
  <si>
    <t>TR06420177-002</t>
  </si>
  <si>
    <t>D0552432:G06</t>
  </si>
  <si>
    <t>TR01315665-012</t>
  </si>
  <si>
    <t>D0554053:C17</t>
  </si>
  <si>
    <t>TR06505600-001</t>
  </si>
  <si>
    <t>D0552434:L04</t>
  </si>
  <si>
    <t>TR01748428-004</t>
  </si>
  <si>
    <t>D0552432:K16</t>
  </si>
  <si>
    <t>TR01396151-008</t>
  </si>
  <si>
    <t>D0552435:L15</t>
  </si>
  <si>
    <t>TR06395310-002</t>
  </si>
  <si>
    <t>D0552434:H11</t>
  </si>
  <si>
    <t>TR01892353-003</t>
  </si>
  <si>
    <t>D0552435:L18</t>
  </si>
  <si>
    <t>TR06404061-002</t>
  </si>
  <si>
    <t>D0552436:N20</t>
  </si>
  <si>
    <t>TR06439593-002</t>
  </si>
  <si>
    <t>D0552431:I19</t>
  </si>
  <si>
    <t>TR01250555-003</t>
  </si>
  <si>
    <t>D0552436:A18</t>
  </si>
  <si>
    <t>TR06428619-001</t>
  </si>
  <si>
    <t>D0552436:J14</t>
  </si>
  <si>
    <t>TR06423924-001</t>
  </si>
  <si>
    <t>D0552431:F11</t>
  </si>
  <si>
    <t>TR01196303-002</t>
  </si>
  <si>
    <t>D0552436:D19</t>
  </si>
  <si>
    <t>TR06430756-001</t>
  </si>
  <si>
    <t>D0552434:A13</t>
  </si>
  <si>
    <t>TR01934675-003</t>
  </si>
  <si>
    <t>D0554053:A05</t>
  </si>
  <si>
    <t>TR06486708-001</t>
  </si>
  <si>
    <t>D0552434:O17</t>
  </si>
  <si>
    <t>TR02087886-005</t>
  </si>
  <si>
    <t>D0554053:L12</t>
  </si>
  <si>
    <t>TR06500883-001</t>
  </si>
  <si>
    <t>D0552432:M22</t>
  </si>
  <si>
    <t>TR01455546-004</t>
  </si>
  <si>
    <t>D0552432:E11</t>
  </si>
  <si>
    <t>TR01352887-005</t>
  </si>
  <si>
    <t>D0552434:E17</t>
  </si>
  <si>
    <t>TR02070865-003</t>
  </si>
  <si>
    <t>D0552431:A11</t>
  </si>
  <si>
    <t>TR01194597-005</t>
  </si>
  <si>
    <t>D0552434:E20</t>
  </si>
  <si>
    <t>TR02191186-003</t>
  </si>
  <si>
    <t>D0554053:E04</t>
  </si>
  <si>
    <t>TR06486608-001</t>
  </si>
  <si>
    <t>D0554053:M20</t>
  </si>
  <si>
    <t>TR06510028-002</t>
  </si>
  <si>
    <t>D0552431:H22</t>
  </si>
  <si>
    <t>TR01269289-006</t>
  </si>
  <si>
    <t>D0554053:M23</t>
  </si>
  <si>
    <t>TR06512268-001</t>
  </si>
  <si>
    <t>D0552435:H03</t>
  </si>
  <si>
    <t>TR06116430-010</t>
  </si>
  <si>
    <t>D0554053:C21</t>
  </si>
  <si>
    <t>TR06510487-001</t>
  </si>
  <si>
    <t>D0552436:D05</t>
  </si>
  <si>
    <t>TR06416897-001</t>
  </si>
  <si>
    <t>D0552435:F12</t>
  </si>
  <si>
    <t>TR06387686-006</t>
  </si>
  <si>
    <t>D0552432:B08</t>
  </si>
  <si>
    <t>TR01326360-020</t>
  </si>
  <si>
    <t>D0552435:B12</t>
  </si>
  <si>
    <t>TR06387659-006</t>
  </si>
  <si>
    <t>D0552435:L21</t>
  </si>
  <si>
    <t>TR06406120-001</t>
  </si>
  <si>
    <t>D0554053:G13</t>
  </si>
  <si>
    <t>TR06501016-001</t>
  </si>
  <si>
    <t>D0552434:I10</t>
  </si>
  <si>
    <t>TR01865586-002</t>
  </si>
  <si>
    <t>D0552436:K10</t>
  </si>
  <si>
    <t>TR06420868-002</t>
  </si>
  <si>
    <t>D0554053:A08</t>
  </si>
  <si>
    <t>TR06496476-001</t>
  </si>
  <si>
    <t>D0552434:C20</t>
  </si>
  <si>
    <t>TR02189442-002</t>
  </si>
  <si>
    <t>D0552436:G16</t>
  </si>
  <si>
    <t>TR06424702-001</t>
  </si>
  <si>
    <t>D0552431:C22</t>
  </si>
  <si>
    <t>TR01265961-007</t>
  </si>
  <si>
    <t>D0552435:N16</t>
  </si>
  <si>
    <t>TR06400725-001</t>
  </si>
  <si>
    <t>D0554053:I23</t>
  </si>
  <si>
    <t>TR06512204-001</t>
  </si>
  <si>
    <t>D0554053:E05</t>
  </si>
  <si>
    <t>TR06488805-001</t>
  </si>
  <si>
    <t>D0552435:I02</t>
  </si>
  <si>
    <t>TR06109376-021</t>
  </si>
  <si>
    <t>D0552436:L04</t>
  </si>
  <si>
    <t>TR06416766-001</t>
  </si>
  <si>
    <t>D0554053:B03</t>
  </si>
  <si>
    <t>TR06486424-001</t>
  </si>
  <si>
    <t>D0552436:I02</t>
  </si>
  <si>
    <t>TR06413290-002</t>
  </si>
  <si>
    <t>D0552431:A05</t>
  </si>
  <si>
    <t>TR01122479-006</t>
  </si>
  <si>
    <t>D0552431:N08</t>
  </si>
  <si>
    <t>TR01181368-005</t>
  </si>
  <si>
    <t>D0552432:H19</t>
  </si>
  <si>
    <t>TR01423371-003</t>
  </si>
  <si>
    <t>D0554053:N06</t>
  </si>
  <si>
    <t>TR06489402-001</t>
  </si>
  <si>
    <t>D0554053:I14</t>
  </si>
  <si>
    <t>TR06502646-001</t>
  </si>
  <si>
    <t>D0554053:A09</t>
  </si>
  <si>
    <t>TR06496586-001</t>
  </si>
  <si>
    <t>D0554053:B20</t>
  </si>
  <si>
    <t>TR06509913-001</t>
  </si>
  <si>
    <t>D0552434:G16</t>
  </si>
  <si>
    <t>TR02040104-002</t>
  </si>
  <si>
    <t>D0554053:J09</t>
  </si>
  <si>
    <t>TR06497992-001</t>
  </si>
  <si>
    <t>D0552431:P03</t>
  </si>
  <si>
    <t>TR01111776-005</t>
  </si>
  <si>
    <t>D0554053:N21</t>
  </si>
  <si>
    <t>TR06510955-002</t>
  </si>
  <si>
    <t>D0554053:N15</t>
  </si>
  <si>
    <t>TR06502879-001</t>
  </si>
  <si>
    <t>D0552434:E15</t>
  </si>
  <si>
    <t>TR02007633-004</t>
  </si>
  <si>
    <t>D0554053:H17</t>
  </si>
  <si>
    <t>TR06505709-001</t>
  </si>
  <si>
    <t>D0554053:C05</t>
  </si>
  <si>
    <t>TR06486718-003</t>
  </si>
  <si>
    <t>D0552434:C16</t>
  </si>
  <si>
    <t>TR02033905-002</t>
  </si>
  <si>
    <t>D0552431:N05</t>
  </si>
  <si>
    <t>TR01136623-006</t>
  </si>
  <si>
    <t>D0554053:C04</t>
  </si>
  <si>
    <t>TR06486586-001</t>
  </si>
  <si>
    <t>D0554053:J07</t>
  </si>
  <si>
    <t>TR06496340-001</t>
  </si>
  <si>
    <t>D0554053:H04</t>
  </si>
  <si>
    <t>TR06486638-002</t>
  </si>
  <si>
    <t>D0554053:K01</t>
  </si>
  <si>
    <t>TR06483173-001</t>
  </si>
  <si>
    <t>D0552434:G12</t>
  </si>
  <si>
    <t>TR01919255-002</t>
  </si>
  <si>
    <t>D0554053:K09</t>
  </si>
  <si>
    <t>TR06497995-001</t>
  </si>
  <si>
    <t>D0554053:I20</t>
  </si>
  <si>
    <t>TR06509942-001</t>
  </si>
  <si>
    <t>D0554053:O12</t>
  </si>
  <si>
    <t>TR06500916-001</t>
  </si>
  <si>
    <t>D0554053:J18</t>
  </si>
  <si>
    <t>TR06508974-001</t>
  </si>
  <si>
    <t>D0552431:C21</t>
  </si>
  <si>
    <t>TR01260582-011</t>
  </si>
  <si>
    <t>D0552432:F01</t>
  </si>
  <si>
    <t>TR01282156-003</t>
  </si>
  <si>
    <t>D0554053:O14</t>
  </si>
  <si>
    <t>TR06502685-001</t>
  </si>
  <si>
    <t>D0554053:P03</t>
  </si>
  <si>
    <t>TR06486548-001</t>
  </si>
  <si>
    <t>D0554053:L05</t>
  </si>
  <si>
    <t>TR06489247-001</t>
  </si>
  <si>
    <t>D0552432:N15</t>
  </si>
  <si>
    <t>TR01390852-003</t>
  </si>
  <si>
    <t>D0554053:I22</t>
  </si>
  <si>
    <t>TR06511324-001</t>
  </si>
  <si>
    <t>D0554053:O19</t>
  </si>
  <si>
    <t>TR06509910-001</t>
  </si>
  <si>
    <t>D0552434:O08</t>
  </si>
  <si>
    <t>TR01818607-005</t>
  </si>
  <si>
    <t>D0554053:D11</t>
  </si>
  <si>
    <t>TR06500629-001</t>
  </si>
  <si>
    <t>D0554053:D12</t>
  </si>
  <si>
    <t>TR06500804-001</t>
  </si>
  <si>
    <t>D0552434:J12</t>
  </si>
  <si>
    <t>TR01923615-002</t>
  </si>
  <si>
    <t>D0552432:O05</t>
  </si>
  <si>
    <t>TR01311135-004</t>
  </si>
  <si>
    <t>D0554053:K17</t>
  </si>
  <si>
    <t>TR06505779-001</t>
  </si>
  <si>
    <t>D0552431:M22</t>
  </si>
  <si>
    <t>TR01271505-008</t>
  </si>
  <si>
    <t>D0554053:P20</t>
  </si>
  <si>
    <t>TR06510406-001</t>
  </si>
  <si>
    <t>D0554053:N16</t>
  </si>
  <si>
    <t>TR06505492-002</t>
  </si>
  <si>
    <t>D0554053:I06</t>
  </si>
  <si>
    <t>TR06489353-002</t>
  </si>
  <si>
    <t>D0552431:N11</t>
  </si>
  <si>
    <t>TR01200120-004</t>
  </si>
  <si>
    <t>D0554053:M02</t>
  </si>
  <si>
    <t>TR06486391-001</t>
  </si>
  <si>
    <t>D0552434:D08</t>
  </si>
  <si>
    <t>TR01806837-004</t>
  </si>
  <si>
    <t>D0554053:E01</t>
  </si>
  <si>
    <t>TR06483025-001</t>
  </si>
  <si>
    <t>D0552435:D24</t>
  </si>
  <si>
    <t>TR06412206-002</t>
  </si>
  <si>
    <t>D0554053:L16</t>
  </si>
  <si>
    <t>TR06505404-001</t>
  </si>
  <si>
    <t>D0554053:F04</t>
  </si>
  <si>
    <t>TR06486620-002</t>
  </si>
  <si>
    <t>D0554053:N07</t>
  </si>
  <si>
    <t>TR06496443-001</t>
  </si>
  <si>
    <t>D0554053:N14</t>
  </si>
  <si>
    <t>TR06502684-001</t>
  </si>
  <si>
    <t>D0554053:M17</t>
  </si>
  <si>
    <t>TR06505817-001</t>
  </si>
  <si>
    <t>D0554053:O11</t>
  </si>
  <si>
    <t>TR06500731-001</t>
  </si>
  <si>
    <t>D0552435:O20</t>
  </si>
  <si>
    <t>TR06405965-002</t>
  </si>
  <si>
    <t>D0552435:G06</t>
  </si>
  <si>
    <t>TR06232333-004</t>
  </si>
  <si>
    <t>D0552431:H06</t>
  </si>
  <si>
    <t>TR01142041-007</t>
  </si>
  <si>
    <t>D0554053:D23</t>
  </si>
  <si>
    <t>TR06511670-002</t>
  </si>
  <si>
    <t>D0554053:I15</t>
  </si>
  <si>
    <t>TR06502803-001</t>
  </si>
  <si>
    <t>D0554053:G21</t>
  </si>
  <si>
    <t>TR06510619-001</t>
  </si>
  <si>
    <t>D0554053:H06</t>
  </si>
  <si>
    <t>TR06489351-001</t>
  </si>
  <si>
    <t>D0552431:C20</t>
  </si>
  <si>
    <t>TR01253302-007</t>
  </si>
  <si>
    <t>D0552436:J13</t>
  </si>
  <si>
    <t>TR06423694-001</t>
  </si>
  <si>
    <t>D0554053:K06</t>
  </si>
  <si>
    <t>TR06489355-002</t>
  </si>
  <si>
    <t>D0554053:N17</t>
  </si>
  <si>
    <t>TR06505855-001</t>
  </si>
  <si>
    <t>D0552431:K13</t>
  </si>
  <si>
    <t>TR01212734-002</t>
  </si>
  <si>
    <t>D0552431:F09</t>
  </si>
  <si>
    <t>TR01184615-003</t>
  </si>
  <si>
    <t>D0554053:I17</t>
  </si>
  <si>
    <t>TR06505744-001</t>
  </si>
  <si>
    <t>D0552431:F04</t>
  </si>
  <si>
    <t>TR01114515-004</t>
  </si>
  <si>
    <t>D0554053:J05</t>
  </si>
  <si>
    <t>TR06489199-001</t>
  </si>
  <si>
    <t>D0554053:O10</t>
  </si>
  <si>
    <t>TR06500108-001</t>
  </si>
  <si>
    <t>D0554053:O01</t>
  </si>
  <si>
    <t>TR06485321-002</t>
  </si>
  <si>
    <t>D0554053:D03</t>
  </si>
  <si>
    <t>TR06486443-001</t>
  </si>
  <si>
    <t>D0552432:J01</t>
  </si>
  <si>
    <t>TR01283160-003</t>
  </si>
  <si>
    <t>D0554053:O04</t>
  </si>
  <si>
    <t>TR06486696-001</t>
  </si>
  <si>
    <t>D0552436:N04</t>
  </si>
  <si>
    <t>TR06416809-001</t>
  </si>
  <si>
    <t>D0554053:P17</t>
  </si>
  <si>
    <t>TR06505888-001</t>
  </si>
  <si>
    <t>D0552434:F14</t>
  </si>
  <si>
    <t>TR01988750-006</t>
  </si>
  <si>
    <t>D0552432:L04</t>
  </si>
  <si>
    <t>TR01302162-002</t>
  </si>
  <si>
    <t>D0554053:K05</t>
  </si>
  <si>
    <t>TR06489246-002</t>
  </si>
  <si>
    <t>D0554053:G09</t>
  </si>
  <si>
    <t>TR06497954-001</t>
  </si>
  <si>
    <t>D0554053:F16</t>
  </si>
  <si>
    <t>TR06505142-001</t>
  </si>
  <si>
    <t>D0552431:E11</t>
  </si>
  <si>
    <t>TR01196181-008</t>
  </si>
  <si>
    <t>D0552435:C13</t>
  </si>
  <si>
    <t>TR06387782-005</t>
  </si>
  <si>
    <t>D0552432:N22</t>
  </si>
  <si>
    <t>TR01455632-004</t>
  </si>
  <si>
    <t>D0552432:D15</t>
  </si>
  <si>
    <t>TR01385286-008</t>
  </si>
  <si>
    <t>D0554053:M07</t>
  </si>
  <si>
    <t>TR06496442-001</t>
  </si>
  <si>
    <t>D0554053:L18</t>
  </si>
  <si>
    <t>TR06509599-001</t>
  </si>
  <si>
    <t>D0552436:K19</t>
  </si>
  <si>
    <t>TR06430879-002</t>
  </si>
  <si>
    <t>D0552436:L02</t>
  </si>
  <si>
    <t>TR06413331-002</t>
  </si>
  <si>
    <t>D0554053:L13</t>
  </si>
  <si>
    <t>TR06501063-002</t>
  </si>
  <si>
    <t>D0554053:J17</t>
  </si>
  <si>
    <t>TR06505766-002</t>
  </si>
  <si>
    <t>D0554053:L07</t>
  </si>
  <si>
    <t>TR06496441-001</t>
  </si>
  <si>
    <t>D0554053:I11</t>
  </si>
  <si>
    <t>TR06500666-001</t>
  </si>
  <si>
    <t>D0552436:K13</t>
  </si>
  <si>
    <t>TR06423695-002</t>
  </si>
  <si>
    <t>D0554053:I07</t>
  </si>
  <si>
    <t>TR06496339-001</t>
  </si>
  <si>
    <t>D0554053:F18</t>
  </si>
  <si>
    <t>TR06506382-001</t>
  </si>
  <si>
    <t>D0554053:M18</t>
  </si>
  <si>
    <t>TR06509718-001</t>
  </si>
  <si>
    <t>D0552432:O04</t>
  </si>
  <si>
    <t>TR01302939-004</t>
  </si>
  <si>
    <t>D0554053:I09</t>
  </si>
  <si>
    <t>TR06497973-001</t>
  </si>
  <si>
    <t>D0552432:O12</t>
  </si>
  <si>
    <t>TR01367119-005</t>
  </si>
  <si>
    <t>D0552431:D11</t>
  </si>
  <si>
    <t>TR01196074-004</t>
  </si>
  <si>
    <t>D0554053:N04</t>
  </si>
  <si>
    <t>TR06486695-002</t>
  </si>
  <si>
    <t>D0552432:O15</t>
  </si>
  <si>
    <t>TR01390861-003</t>
  </si>
  <si>
    <t>D0554053:A20</t>
  </si>
  <si>
    <t>TR06509912-001</t>
  </si>
  <si>
    <t>D0554053:E11</t>
  </si>
  <si>
    <t>TR06500632-002</t>
  </si>
  <si>
    <t>D0554053:D21</t>
  </si>
  <si>
    <t>TR06510520-002</t>
  </si>
  <si>
    <t>D0554053:H22</t>
  </si>
  <si>
    <t>TR06511323-001</t>
  </si>
  <si>
    <t>D0554053:N05</t>
  </si>
  <si>
    <t>TR06489249-002</t>
  </si>
  <si>
    <t>D0554053:K18</t>
  </si>
  <si>
    <t>TR06508976-001</t>
  </si>
  <si>
    <t>D0552431:H12</t>
  </si>
  <si>
    <t>TR01203259-005</t>
  </si>
  <si>
    <t>D0554053:N10</t>
  </si>
  <si>
    <t>TR06500096-002</t>
  </si>
  <si>
    <t>D0554053:F13</t>
  </si>
  <si>
    <t>TR06501007-001</t>
  </si>
  <si>
    <t>D0552431:H23</t>
  </si>
  <si>
    <t>TR01277368-002</t>
  </si>
  <si>
    <t>D0554053:B11</t>
  </si>
  <si>
    <t>TR06500171-002</t>
  </si>
  <si>
    <t>D0552435:C10</t>
  </si>
  <si>
    <t>TR06376107-004</t>
  </si>
  <si>
    <t>D0554053:E06</t>
  </si>
  <si>
    <t>TR06489302-002</t>
  </si>
  <si>
    <t>D0554053:E14</t>
  </si>
  <si>
    <t>TR06501138-001</t>
  </si>
  <si>
    <t>D0554053:F09</t>
  </si>
  <si>
    <t>TR06497939-001</t>
  </si>
  <si>
    <t>D0554053:F21</t>
  </si>
  <si>
    <t>TR06510578-001</t>
  </si>
  <si>
    <t>D0554053:F11</t>
  </si>
  <si>
    <t>TR06500634-001</t>
  </si>
  <si>
    <t>D0554053:K10</t>
  </si>
  <si>
    <t>TR06498348-001</t>
  </si>
  <si>
    <t>D0554053:J02</t>
  </si>
  <si>
    <t>TR06486361-001</t>
  </si>
  <si>
    <t>D0554053:H02</t>
  </si>
  <si>
    <t>TR06486351-001</t>
  </si>
  <si>
    <t>D0552431:O12</t>
  </si>
  <si>
    <t>TR01207798-005</t>
  </si>
  <si>
    <t>D0554053:F02</t>
  </si>
  <si>
    <t>TR06486330-001</t>
  </si>
  <si>
    <t>D0552431:F12</t>
  </si>
  <si>
    <t>TR01203143-006</t>
  </si>
  <si>
    <t>D0554053:L03</t>
  </si>
  <si>
    <t>TR06486511-001</t>
  </si>
  <si>
    <t>D0554053:G06</t>
  </si>
  <si>
    <t>TR06489304-002</t>
  </si>
  <si>
    <t>D0552431:G22</t>
  </si>
  <si>
    <t>TR01269085-006</t>
  </si>
  <si>
    <t>D0552434:M19</t>
  </si>
  <si>
    <t>TR02171379-003</t>
  </si>
  <si>
    <t>D0554053:C07</t>
  </si>
  <si>
    <t>TR06489407-001</t>
  </si>
  <si>
    <t>D0554053:K03</t>
  </si>
  <si>
    <t>TR06486500-001</t>
  </si>
  <si>
    <t>D0554053:E21</t>
  </si>
  <si>
    <t>TR06510535-001</t>
  </si>
  <si>
    <t>D0554053:I01</t>
  </si>
  <si>
    <t>TR06483135-001</t>
  </si>
  <si>
    <t>D0552432:L09</t>
  </si>
  <si>
    <t>TR01339698-002</t>
  </si>
  <si>
    <t>D0552431:C07</t>
  </si>
  <si>
    <t>TR01151942-010</t>
  </si>
  <si>
    <t>D0554053:D04</t>
  </si>
  <si>
    <t>TR06486607-002</t>
  </si>
  <si>
    <t>D0554053:E24</t>
  </si>
  <si>
    <t>TR06512536-002</t>
  </si>
  <si>
    <t>D0554053:I02</t>
  </si>
  <si>
    <t>TR06486360-001</t>
  </si>
  <si>
    <t>D0554053:B12</t>
  </si>
  <si>
    <t>TR06500769-001</t>
  </si>
  <si>
    <t>D0552431:B09</t>
  </si>
  <si>
    <t>TR01182420-004</t>
  </si>
  <si>
    <t>D0554053:A18</t>
  </si>
  <si>
    <t>TR06506000-002</t>
  </si>
  <si>
    <t>D0554053:B21</t>
  </si>
  <si>
    <t>TR06510476-002</t>
  </si>
  <si>
    <t>D0552432:G21</t>
  </si>
  <si>
    <t>TR01442932-004</t>
  </si>
  <si>
    <t>D0552436:D23</t>
  </si>
  <si>
    <t>TR06444405-001</t>
  </si>
  <si>
    <t>D0552432:K12</t>
  </si>
  <si>
    <t>TR01364785-007</t>
  </si>
  <si>
    <t>D0552436:D08</t>
  </si>
  <si>
    <t>TR06420174-002</t>
  </si>
  <si>
    <t>D0552432:B11</t>
  </si>
  <si>
    <t>TR01351798-002</t>
  </si>
  <si>
    <t>D0552431:C04</t>
  </si>
  <si>
    <t>TR01112584-010</t>
  </si>
  <si>
    <t>D0554053:A12</t>
  </si>
  <si>
    <t>TR06500767-001</t>
  </si>
  <si>
    <t>D0554053:A23</t>
  </si>
  <si>
    <t>TR06511592-001</t>
  </si>
  <si>
    <t>D0552431:J18</t>
  </si>
  <si>
    <t>TR01242035-008</t>
  </si>
  <si>
    <t>D0552435:D21</t>
  </si>
  <si>
    <t>TR06406003-004</t>
  </si>
  <si>
    <t>D0554053:A07</t>
  </si>
  <si>
    <t>TR06489405-001</t>
  </si>
  <si>
    <t>D0552432:H05</t>
  </si>
  <si>
    <t>TR01307466-004</t>
  </si>
  <si>
    <t>D0552435:H04</t>
  </si>
  <si>
    <t>TR06132420-005</t>
  </si>
  <si>
    <t>D0552436:K08</t>
  </si>
  <si>
    <t>TR06420285-001</t>
  </si>
  <si>
    <t>D0552431:D18</t>
  </si>
  <si>
    <t>TR01239349-008</t>
  </si>
  <si>
    <t>D0554053:A21</t>
  </si>
  <si>
    <t>TR06510447-001</t>
  </si>
  <si>
    <t>D0552431:O11</t>
  </si>
  <si>
    <t>TR01200201-003</t>
  </si>
  <si>
    <t>D0552436:F09</t>
  </si>
  <si>
    <t>TR06420457-001</t>
  </si>
  <si>
    <t>D0554055:C02</t>
  </si>
  <si>
    <t>TR06558129-001</t>
  </si>
  <si>
    <t>D0552431:I01</t>
  </si>
  <si>
    <t>TR00988388-004</t>
  </si>
  <si>
    <t>D0552431:I08</t>
  </si>
  <si>
    <t>TR01176573-004</t>
  </si>
  <si>
    <t>D0552432:N20</t>
  </si>
  <si>
    <t>TR01438636-004</t>
  </si>
  <si>
    <t>D0552435:E11</t>
  </si>
  <si>
    <t>TR06377298-014</t>
  </si>
  <si>
    <t>D0552432:H02</t>
  </si>
  <si>
    <t>TR01287964-004</t>
  </si>
  <si>
    <t>D0552432:M05</t>
  </si>
  <si>
    <t>TR01310419-002</t>
  </si>
  <si>
    <t>D0552436:P13</t>
  </si>
  <si>
    <t>TR06423771-002</t>
  </si>
  <si>
    <t>D0552432:J09</t>
  </si>
  <si>
    <t>TR01339571-003</t>
  </si>
  <si>
    <t>D0552431:L12</t>
  </si>
  <si>
    <t>TR01206464-005</t>
  </si>
  <si>
    <t>D0552431:B18</t>
  </si>
  <si>
    <t>TR01237768-004</t>
  </si>
  <si>
    <t>D0552431:I21</t>
  </si>
  <si>
    <t>TR01263199-002</t>
  </si>
  <si>
    <t>D0552434:P15</t>
  </si>
  <si>
    <t>TR02021349-003</t>
  </si>
  <si>
    <t>D0552435:M12</t>
  </si>
  <si>
    <t>TR06387723-006</t>
  </si>
  <si>
    <t>D0552432:D03</t>
  </si>
  <si>
    <t>TR01295140-003</t>
  </si>
  <si>
    <t>D0552436:O08</t>
  </si>
  <si>
    <t>TR06420327-001</t>
  </si>
  <si>
    <t>D0552435:O15</t>
  </si>
  <si>
    <t>TR06395368-001</t>
  </si>
  <si>
    <t>D0552434:J16</t>
  </si>
  <si>
    <t>TR02046994-006</t>
  </si>
  <si>
    <t>D0552431:H16</t>
  </si>
  <si>
    <t>TR01229036-002</t>
  </si>
  <si>
    <t>D0552432:C05</t>
  </si>
  <si>
    <t>TR01304154-006</t>
  </si>
  <si>
    <t>D0552431:L21</t>
  </si>
  <si>
    <t>TR01264480-007</t>
  </si>
  <si>
    <t>D0552431:L23</t>
  </si>
  <si>
    <t>TR01277711-006</t>
  </si>
  <si>
    <t>D0552431:O23</t>
  </si>
  <si>
    <t>TR01278732-003</t>
  </si>
  <si>
    <t>D0552434:H13</t>
  </si>
  <si>
    <t>TR01956486-004</t>
  </si>
  <si>
    <t>D0552431:L10</t>
  </si>
  <si>
    <t>TR01193548-003</t>
  </si>
  <si>
    <t>D0552431:C08</t>
  </si>
  <si>
    <t>TR01170702-006</t>
  </si>
  <si>
    <t>D0552431:B11</t>
  </si>
  <si>
    <t>TR01194624-009</t>
  </si>
  <si>
    <t>D0552436:E18</t>
  </si>
  <si>
    <t>TR06428694-002</t>
  </si>
  <si>
    <t>D0552431:G17</t>
  </si>
  <si>
    <t>TR01233192-002</t>
  </si>
  <si>
    <t>D0552431:O16</t>
  </si>
  <si>
    <t>TR01231433-004</t>
  </si>
  <si>
    <t>D0552431:E19</t>
  </si>
  <si>
    <t>TR01247783-004</t>
  </si>
  <si>
    <t>D0552431:N15</t>
  </si>
  <si>
    <t>TR01226443-010</t>
  </si>
  <si>
    <t>D0552431:L01</t>
  </si>
  <si>
    <t>TR01022360-004</t>
  </si>
  <si>
    <t>D0552435:N23</t>
  </si>
  <si>
    <t>TR06412116-002</t>
  </si>
  <si>
    <t>D0552432:P22</t>
  </si>
  <si>
    <t>TR01456387-003</t>
  </si>
  <si>
    <t>D0552431:N19</t>
  </si>
  <si>
    <t>TR01252504-003</t>
  </si>
  <si>
    <t>D0552431:E20</t>
  </si>
  <si>
    <t>TR01254708-023</t>
  </si>
  <si>
    <t>D0552431:A22</t>
  </si>
  <si>
    <t>TR01265518-002</t>
  </si>
  <si>
    <t>D0552431:J19</t>
  </si>
  <si>
    <t>TR01250702-003</t>
  </si>
  <si>
    <t>D0552431:D05</t>
  </si>
  <si>
    <t>TR01125138-006</t>
  </si>
  <si>
    <t>D0552431:J23</t>
  </si>
  <si>
    <t>TR01277455-006</t>
  </si>
  <si>
    <t>D0552435:K14</t>
  </si>
  <si>
    <t>TR06395157-002</t>
  </si>
  <si>
    <t>D0552431:D19</t>
  </si>
  <si>
    <t>TR01246861-005</t>
  </si>
  <si>
    <t>D0552431:C03</t>
  </si>
  <si>
    <t>TR01088197-003</t>
  </si>
  <si>
    <t>D0552431:N16</t>
  </si>
  <si>
    <t>TR01230994-005</t>
  </si>
  <si>
    <t>D0552431:L13</t>
  </si>
  <si>
    <t>TR01212780-005</t>
  </si>
  <si>
    <t>D0552436:F05</t>
  </si>
  <si>
    <t>TR06416985-001</t>
  </si>
  <si>
    <t>D0552431:M20</t>
  </si>
  <si>
    <t>TR01258718-004</t>
  </si>
  <si>
    <t>D0552431:M07</t>
  </si>
  <si>
    <t>TR01161333-013</t>
  </si>
  <si>
    <t>D0552431:J14</t>
  </si>
  <si>
    <t>TR01218359-006</t>
  </si>
  <si>
    <t>D0552431:N17</t>
  </si>
  <si>
    <t>TR01235324-007</t>
  </si>
  <si>
    <t>D0552431:O04</t>
  </si>
  <si>
    <t>TR01121328-005</t>
  </si>
  <si>
    <t>D0552431:M08</t>
  </si>
  <si>
    <t>TR01181314-006</t>
  </si>
  <si>
    <t>D0552431:J07</t>
  </si>
  <si>
    <t>TR01158293-006</t>
  </si>
  <si>
    <t>D0552431:O08</t>
  </si>
  <si>
    <t>TR01181673-003</t>
  </si>
  <si>
    <t>D0552434:O07</t>
  </si>
  <si>
    <t>TR01802848-002</t>
  </si>
  <si>
    <t>D0552431:P13</t>
  </si>
  <si>
    <t>TR01214386-006</t>
  </si>
  <si>
    <t>D0552431:A09</t>
  </si>
  <si>
    <t>TR01182419-003</t>
  </si>
  <si>
    <t>D0552431:G08</t>
  </si>
  <si>
    <t>TR01173966-005</t>
  </si>
  <si>
    <t>D0552431:P11</t>
  </si>
  <si>
    <t>TR01200283-008</t>
  </si>
  <si>
    <t>D0552431:J12</t>
  </si>
  <si>
    <t>TR01204829-006</t>
  </si>
  <si>
    <t>D0552431:A14</t>
  </si>
  <si>
    <t>TR01215020-002</t>
  </si>
  <si>
    <t>D0552431:P14</t>
  </si>
  <si>
    <t>TR01222319-003</t>
  </si>
  <si>
    <t>D0552431:E18</t>
  </si>
  <si>
    <t>TR01239366-006</t>
  </si>
  <si>
    <t>D0552432:H23</t>
  </si>
  <si>
    <t>TR01464544-004</t>
  </si>
  <si>
    <t>D0552431:F23</t>
  </si>
  <si>
    <t>TR01275869-004</t>
  </si>
  <si>
    <t>D0552431:M03</t>
  </si>
  <si>
    <t>TR01107303-011</t>
  </si>
  <si>
    <t>D0552431:F07</t>
  </si>
  <si>
    <t>TR01153060-004</t>
  </si>
  <si>
    <t>D0552431:A01</t>
  </si>
  <si>
    <t>TR00910237-020</t>
  </si>
  <si>
    <t>D0552432:A18</t>
  </si>
  <si>
    <t>TR01413754-002</t>
  </si>
  <si>
    <t>D0552431:O01</t>
  </si>
  <si>
    <t>TR01054945-004</t>
  </si>
  <si>
    <t>D0552431:J09</t>
  </si>
  <si>
    <t>TR01185079-002</t>
  </si>
  <si>
    <t>D0552431:B24</t>
  </si>
  <si>
    <t>TR01279088-005</t>
  </si>
  <si>
    <t>D0552431:O10</t>
  </si>
  <si>
    <t>TR01194201-006</t>
  </si>
  <si>
    <t>D0552431:G21</t>
  </si>
  <si>
    <t>TR01262523-003</t>
  </si>
  <si>
    <t>D0552431:H04</t>
  </si>
  <si>
    <t>TR01116825-003</t>
  </si>
  <si>
    <t>D0552432:G07</t>
  </si>
  <si>
    <t>TR01321850-006</t>
  </si>
  <si>
    <t>D0552431:M13</t>
  </si>
  <si>
    <t>TR01213050-006</t>
  </si>
  <si>
    <t>D0552431:I14</t>
  </si>
  <si>
    <t>TR01217928-004</t>
  </si>
  <si>
    <t>D0552431:F13</t>
  </si>
  <si>
    <t>TR01209736-003</t>
  </si>
  <si>
    <t>D0552431:D02</t>
  </si>
  <si>
    <t>TR01060764-005</t>
  </si>
  <si>
    <t>D0552431:K22</t>
  </si>
  <si>
    <t>TR01270983-062</t>
  </si>
  <si>
    <t>D0552431:H11</t>
  </si>
  <si>
    <t>TR01197502-006</t>
  </si>
  <si>
    <t>D0552431:B20</t>
  </si>
  <si>
    <t>TR01253221-002</t>
  </si>
  <si>
    <t>D0552431:D09</t>
  </si>
  <si>
    <t>TR01183468-015</t>
  </si>
  <si>
    <t>D0552431:B21</t>
  </si>
  <si>
    <t>TR01260563-013</t>
  </si>
  <si>
    <t>D0552431:G02</t>
  </si>
  <si>
    <t>TR01062243-005</t>
  </si>
  <si>
    <t>D0552431:B03</t>
  </si>
  <si>
    <t>TR01078258-005</t>
  </si>
  <si>
    <t>D0552431:B15</t>
  </si>
  <si>
    <t>TR01222661-005</t>
  </si>
  <si>
    <t>D0552431:B05</t>
  </si>
  <si>
    <t>TR01123070-008</t>
  </si>
  <si>
    <t>D0552431:B04</t>
  </si>
  <si>
    <t>TR01112178-004</t>
  </si>
  <si>
    <t>D0552434:C21</t>
  </si>
  <si>
    <t>TR02245165-002</t>
  </si>
  <si>
    <t>D0552436:L12</t>
  </si>
  <si>
    <t>TR06422638-001</t>
  </si>
  <si>
    <t>D0552431:F22</t>
  </si>
  <si>
    <t>TR01268608-005</t>
  </si>
  <si>
    <t>D0552432:E20</t>
  </si>
  <si>
    <t>TR01432025-004</t>
  </si>
  <si>
    <t>D0552431:M23</t>
  </si>
  <si>
    <t>TR01277907-004</t>
  </si>
  <si>
    <t>D0552431:L07</t>
  </si>
  <si>
    <t>TR01161032-006</t>
  </si>
  <si>
    <t>D0552431:K14</t>
  </si>
  <si>
    <t>TR01219366-002</t>
  </si>
  <si>
    <t>D0552431:C01</t>
  </si>
  <si>
    <t>TR00980231-004</t>
  </si>
  <si>
    <t>D0552431:F18</t>
  </si>
  <si>
    <t>TR01239726-004</t>
  </si>
  <si>
    <t>D0552431:K05</t>
  </si>
  <si>
    <t>TR01128459-009</t>
  </si>
  <si>
    <t>D0552431:B16</t>
  </si>
  <si>
    <t>TR01227407-002</t>
  </si>
  <si>
    <t>D0552431:A17</t>
  </si>
  <si>
    <t>TR01231681-005</t>
  </si>
  <si>
    <t>D0552432:E09</t>
  </si>
  <si>
    <t>TR01338268-005</t>
  </si>
  <si>
    <t>D0552431:C13</t>
  </si>
  <si>
    <t>TR01208601-007</t>
  </si>
  <si>
    <t>D0552431:H14</t>
  </si>
  <si>
    <t>TR01217478-005</t>
  </si>
  <si>
    <t>D0552435:E05</t>
  </si>
  <si>
    <t>TR06150657-011</t>
  </si>
  <si>
    <t>D0552434:P23</t>
  </si>
  <si>
    <t>TR02506918-004</t>
  </si>
  <si>
    <t>D0552431:A10</t>
  </si>
  <si>
    <t>TR01188867-009</t>
  </si>
  <si>
    <t>D0552431:J22</t>
  </si>
  <si>
    <t>TR01270582-004</t>
  </si>
  <si>
    <t>D0552431:C05</t>
  </si>
  <si>
    <t>TR01123559-068</t>
  </si>
  <si>
    <t>D0552434:E10</t>
  </si>
  <si>
    <t>TR01858330-003</t>
  </si>
  <si>
    <t>D0552432:E07</t>
  </si>
  <si>
    <t>TR01320897-008</t>
  </si>
  <si>
    <t>D0552434:H08</t>
  </si>
  <si>
    <t>TR01809903-003</t>
  </si>
  <si>
    <t>D0552434:P11</t>
  </si>
  <si>
    <t>TR01903382-006</t>
  </si>
  <si>
    <t>D0552436:B11</t>
  </si>
  <si>
    <t>TR06422206-001</t>
  </si>
  <si>
    <t>D0552436:O17</t>
  </si>
  <si>
    <t>TR06428586-001</t>
  </si>
  <si>
    <t>D0552435:G24</t>
  </si>
  <si>
    <t>TR06412254-001</t>
  </si>
  <si>
    <t>D0552435:E18</t>
  </si>
  <si>
    <t>TR06403974-001</t>
  </si>
  <si>
    <t>D0552432:B13</t>
  </si>
  <si>
    <t>TR01368322-002</t>
  </si>
  <si>
    <t>D0552434:I08</t>
  </si>
  <si>
    <t>TR01811799-003</t>
  </si>
  <si>
    <t>D0552434:N19</t>
  </si>
  <si>
    <t>TR02177450-002</t>
  </si>
  <si>
    <t>D0552434:J13</t>
  </si>
  <si>
    <t>TR01962225-003</t>
  </si>
  <si>
    <t>D0552432:N10</t>
  </si>
  <si>
    <t>TR01350827-002</t>
  </si>
  <si>
    <t>D0552434:I17</t>
  </si>
  <si>
    <t>TR02074743-002</t>
  </si>
  <si>
    <t>D0552432:L06</t>
  </si>
  <si>
    <t>TR01318953-002</t>
  </si>
  <si>
    <t>D0552434:K10</t>
  </si>
  <si>
    <t>TR01866563-004</t>
  </si>
  <si>
    <t>D0552434:J14</t>
  </si>
  <si>
    <t>TR01992380-004</t>
  </si>
  <si>
    <t>D0552434:P21</t>
  </si>
  <si>
    <t>TR02318232-002</t>
  </si>
  <si>
    <t>D0552436:K09</t>
  </si>
  <si>
    <t>TR06420579-001</t>
  </si>
  <si>
    <t>D0552435:D15</t>
  </si>
  <si>
    <t>TR06395240-002</t>
  </si>
  <si>
    <t>D0552435:B04</t>
  </si>
  <si>
    <t>TR06126113-025</t>
  </si>
  <si>
    <t>D0552435:P18</t>
  </si>
  <si>
    <t>TR06404115-001</t>
  </si>
  <si>
    <t>D0552435:D09</t>
  </si>
  <si>
    <t>TR06375830-007</t>
  </si>
  <si>
    <t>D0552435:G13</t>
  </si>
  <si>
    <t>TR06387835-002</t>
  </si>
  <si>
    <t>D0552432:B09</t>
  </si>
  <si>
    <t>TR01336661-005</t>
  </si>
  <si>
    <t>D0552435:A15</t>
  </si>
  <si>
    <t>TR06395214-002</t>
  </si>
  <si>
    <t>D0552435:K13</t>
  </si>
  <si>
    <t>TR06387961-010</t>
  </si>
  <si>
    <t>D0552434:G18</t>
  </si>
  <si>
    <t>TR02122195-004</t>
  </si>
  <si>
    <t>D0552434:L15</t>
  </si>
  <si>
    <t>TR02016834-002</t>
  </si>
  <si>
    <t>D0552434:I05</t>
  </si>
  <si>
    <t>TR01758834-003</t>
  </si>
  <si>
    <t>D0552434:G24</t>
  </si>
  <si>
    <t>TR03240952-006</t>
  </si>
  <si>
    <t>D0552435:A06</t>
  </si>
  <si>
    <t>TR06188003-003</t>
  </si>
  <si>
    <t>D0552432:J03</t>
  </si>
  <si>
    <t>TR01296922-011</t>
  </si>
  <si>
    <t>D0552432:N07</t>
  </si>
  <si>
    <t>TR01325078-005</t>
  </si>
  <si>
    <t>D0552436:A20</t>
  </si>
  <si>
    <t>TR06430970-001</t>
  </si>
  <si>
    <t>D0552434:G11</t>
  </si>
  <si>
    <t>TR01891114-002</t>
  </si>
  <si>
    <t>D0552435:D22</t>
  </si>
  <si>
    <t>TR06408250-001</t>
  </si>
  <si>
    <t>D0552434:H24</t>
  </si>
  <si>
    <t>TR04851567-004</t>
  </si>
  <si>
    <t>D0552434:C09</t>
  </si>
  <si>
    <t>TR01825552-003</t>
  </si>
  <si>
    <t>D0552434:P06</t>
  </si>
  <si>
    <t>TR01786891-002</t>
  </si>
  <si>
    <t>D0552432:D01</t>
  </si>
  <si>
    <t>TR01281789-004</t>
  </si>
  <si>
    <t>D0552435:M09</t>
  </si>
  <si>
    <t>TR06376032-011</t>
  </si>
  <si>
    <t>D0552432:F11</t>
  </si>
  <si>
    <t>TR01352898-002</t>
  </si>
  <si>
    <t>D0552435:C17</t>
  </si>
  <si>
    <t>TR06400911-001</t>
  </si>
  <si>
    <t>D0552434:O23</t>
  </si>
  <si>
    <t>TR02491759-003</t>
  </si>
  <si>
    <t>D0552434:E04</t>
  </si>
  <si>
    <t>TR01743942-003</t>
  </si>
  <si>
    <t>D0552435:L16</t>
  </si>
  <si>
    <t>TR06400651-001</t>
  </si>
  <si>
    <t>D0552435:O04</t>
  </si>
  <si>
    <t>TR06135978-016</t>
  </si>
  <si>
    <t>D0552434:P16</t>
  </si>
  <si>
    <t>TR02057598-002</t>
  </si>
  <si>
    <t>D0552435:N21</t>
  </si>
  <si>
    <t>TR06406158-001</t>
  </si>
  <si>
    <t>D0552436:K11</t>
  </si>
  <si>
    <t>TR06422311-001</t>
  </si>
  <si>
    <t>D0552435:O11</t>
  </si>
  <si>
    <t>TR06387642-006</t>
  </si>
  <si>
    <t>D0552434:P01</t>
  </si>
  <si>
    <t>TR01706906-002</t>
  </si>
  <si>
    <t>D0552436:E12</t>
  </si>
  <si>
    <t>TR06422514-001</t>
  </si>
  <si>
    <t>D0552435:D10</t>
  </si>
  <si>
    <t>TR06376131-008</t>
  </si>
  <si>
    <t>D0552436:B21</t>
  </si>
  <si>
    <t>TR06439642-002</t>
  </si>
  <si>
    <t>D0552434:I22</t>
  </si>
  <si>
    <t>TR02369563-003</t>
  </si>
  <si>
    <t>D0552434:O10</t>
  </si>
  <si>
    <t>TR01878436-002</t>
  </si>
  <si>
    <t>D0552434:P22</t>
  </si>
  <si>
    <t>TR02419459-003</t>
  </si>
  <si>
    <t>D0552436:N08</t>
  </si>
  <si>
    <t>TR06420326-002</t>
  </si>
  <si>
    <t>D0552435:M21</t>
  </si>
  <si>
    <t>TR06406157-002</t>
  </si>
  <si>
    <t>D0552434:B09</t>
  </si>
  <si>
    <t>TR01823351-002</t>
  </si>
  <si>
    <t>D0552432:P10</t>
  </si>
  <si>
    <t>TR01351458-006</t>
  </si>
  <si>
    <t>D0552432:H03</t>
  </si>
  <si>
    <t>TR01295805-007</t>
  </si>
  <si>
    <t>D0552432:P12</t>
  </si>
  <si>
    <t>TR01367292-003</t>
  </si>
  <si>
    <t>D0552434:M17</t>
  </si>
  <si>
    <t>TR02085103-002</t>
  </si>
  <si>
    <t>D0552432:L10</t>
  </si>
  <si>
    <t>TR01348711-009</t>
  </si>
  <si>
    <t>D0552435:E02</t>
  </si>
  <si>
    <t>TR06107081-010</t>
  </si>
  <si>
    <t>D0552436:N15</t>
  </si>
  <si>
    <t>TR06424523-001</t>
  </si>
  <si>
    <t>D0552435:L14</t>
  </si>
  <si>
    <t>TR06395158-001</t>
  </si>
  <si>
    <t>D0552435:K16</t>
  </si>
  <si>
    <t>TR06400650-001</t>
  </si>
  <si>
    <t>D0552434:G04</t>
  </si>
  <si>
    <t>TR01746291-002</t>
  </si>
  <si>
    <t>D0552436:O09</t>
  </si>
  <si>
    <t>TR06420665-002</t>
  </si>
  <si>
    <t>D0552434:K22</t>
  </si>
  <si>
    <t>TR02378061-003</t>
  </si>
  <si>
    <t>D0552436:J12</t>
  </si>
  <si>
    <t>TR06422607-001</t>
  </si>
  <si>
    <t>D0552434:L20</t>
  </si>
  <si>
    <t>TR02205878-002</t>
  </si>
  <si>
    <t>D0552434:J09</t>
  </si>
  <si>
    <t>TR01836195-005</t>
  </si>
  <si>
    <t>D0552436:I03</t>
  </si>
  <si>
    <t>TR06413627-002</t>
  </si>
  <si>
    <t>D0552434:E21</t>
  </si>
  <si>
    <t>TR02272639-002</t>
  </si>
  <si>
    <t>D0552436:K06</t>
  </si>
  <si>
    <t>TR06419808-001</t>
  </si>
  <si>
    <t>D0552434:P09</t>
  </si>
  <si>
    <t>TR01840890-002</t>
  </si>
  <si>
    <t>D0552432:C22</t>
  </si>
  <si>
    <t>TR01448835-005</t>
  </si>
  <si>
    <t>D0552434:J07</t>
  </si>
  <si>
    <t>TR01795862-003</t>
  </si>
  <si>
    <t>D0552435:I10</t>
  </si>
  <si>
    <t>TR06376356-003</t>
  </si>
  <si>
    <t>D0552435:P16</t>
  </si>
  <si>
    <t>TR06400795-001</t>
  </si>
  <si>
    <t>D0552434:N07</t>
  </si>
  <si>
    <t>TR01802638-002</t>
  </si>
  <si>
    <t>D0552435:O16</t>
  </si>
  <si>
    <t>TR06400762-001</t>
  </si>
  <si>
    <t>D0552432:N06</t>
  </si>
  <si>
    <t>TR01319111-005</t>
  </si>
  <si>
    <t>D0552435:H12</t>
  </si>
  <si>
    <t>TR06387694-003</t>
  </si>
  <si>
    <t>D0552434:I11</t>
  </si>
  <si>
    <t>TR01893481-004</t>
  </si>
  <si>
    <t>D0552432:F07</t>
  </si>
  <si>
    <t>TR01321586-005</t>
  </si>
  <si>
    <t>D0552434:H12</t>
  </si>
  <si>
    <t>TR01922515-002</t>
  </si>
  <si>
    <t>D0552434:M21</t>
  </si>
  <si>
    <t>TR02306944-002</t>
  </si>
  <si>
    <t>D0552434:G13</t>
  </si>
  <si>
    <t>TR01954218-005</t>
  </si>
  <si>
    <t>D0552432:I16</t>
  </si>
  <si>
    <t>TR01392867-006</t>
  </si>
  <si>
    <t>D0552432:O17</t>
  </si>
  <si>
    <t>TR01408329-002</t>
  </si>
  <si>
    <t>D0552432:E12</t>
  </si>
  <si>
    <t>TR01357898-003</t>
  </si>
  <si>
    <t>D0552435:D07</t>
  </si>
  <si>
    <t>TR06375285-028</t>
  </si>
  <si>
    <t>D0552432:E19</t>
  </si>
  <si>
    <t>TR01420653-002</t>
  </si>
  <si>
    <t>D0552434:M15</t>
  </si>
  <si>
    <t>TR02017542-004</t>
  </si>
  <si>
    <t>D0552432:K01</t>
  </si>
  <si>
    <t>TR01283391-003</t>
  </si>
  <si>
    <t>D0552434:F13</t>
  </si>
  <si>
    <t>TR01949153-003</t>
  </si>
  <si>
    <t>D0554055:L01</t>
  </si>
  <si>
    <t>TR06558016-001</t>
  </si>
  <si>
    <t>D0552432:L18</t>
  </si>
  <si>
    <t>TR01417154-003</t>
  </si>
  <si>
    <t>D0552435:H11</t>
  </si>
  <si>
    <t>TR06377412-014</t>
  </si>
  <si>
    <t>D0552432:I18</t>
  </si>
  <si>
    <t>TR01416791-004</t>
  </si>
  <si>
    <t>D0552434:P20</t>
  </si>
  <si>
    <t>TR02232894-002</t>
  </si>
  <si>
    <t>D0552435:N10</t>
  </si>
  <si>
    <t>TR06376694-002</t>
  </si>
  <si>
    <t>D0552434:E16</t>
  </si>
  <si>
    <t>TR02037408-003</t>
  </si>
  <si>
    <t>D0552434:H07</t>
  </si>
  <si>
    <t>TR01793882-004</t>
  </si>
  <si>
    <t>D0552435:C03</t>
  </si>
  <si>
    <t>TR06114800-009</t>
  </si>
  <si>
    <t>D0552435:L04</t>
  </si>
  <si>
    <t>TR06135965-014</t>
  </si>
  <si>
    <t>D0552434:N06</t>
  </si>
  <si>
    <t>TR01782243-003</t>
  </si>
  <si>
    <t>D0552436:J06</t>
  </si>
  <si>
    <t>TR06419805-002</t>
  </si>
  <si>
    <t>D0552434:N18</t>
  </si>
  <si>
    <t>TR02135613-002</t>
  </si>
  <si>
    <t>D0552435:D11</t>
  </si>
  <si>
    <t>TR06377200-142</t>
  </si>
  <si>
    <t>D0552432:O19</t>
  </si>
  <si>
    <t>TR01429160-005</t>
  </si>
  <si>
    <t>D0552435:G16</t>
  </si>
  <si>
    <t>TR06400567-002</t>
  </si>
  <si>
    <t>D0552434:O05</t>
  </si>
  <si>
    <t>TR01765540-004</t>
  </si>
  <si>
    <t>D0552436:N07</t>
  </si>
  <si>
    <t>TR06420063-002</t>
  </si>
  <si>
    <t>D0552435:I20</t>
  </si>
  <si>
    <t>TR06405887-002</t>
  </si>
  <si>
    <t>D0552435:G09</t>
  </si>
  <si>
    <t>TR06375887-010</t>
  </si>
  <si>
    <t>D0552434:F02</t>
  </si>
  <si>
    <t>TR01709649-002</t>
  </si>
  <si>
    <t>D0552432:L14</t>
  </si>
  <si>
    <t>TR01380704-003</t>
  </si>
  <si>
    <t>D0552435:J20</t>
  </si>
  <si>
    <t>TR06405888-001</t>
  </si>
  <si>
    <t>D0552432:K06</t>
  </si>
  <si>
    <t>TR01318269-002</t>
  </si>
  <si>
    <t>D0552432:M06</t>
  </si>
  <si>
    <t>TR01319061-005</t>
  </si>
  <si>
    <t>D0552434:A08</t>
  </si>
  <si>
    <t>TR01804601-003</t>
  </si>
  <si>
    <t>D0552436:O13</t>
  </si>
  <si>
    <t>TR06423770-001</t>
  </si>
  <si>
    <t>D0552434:B21</t>
  </si>
  <si>
    <t>TR02244190-002</t>
  </si>
  <si>
    <t>D0552434:N22</t>
  </si>
  <si>
    <t>TR02397177-003</t>
  </si>
  <si>
    <t>D0552435:H06</t>
  </si>
  <si>
    <t>TR06255814-005</t>
  </si>
  <si>
    <t>D0552435:P09</t>
  </si>
  <si>
    <t>TR06376079-003</t>
  </si>
  <si>
    <t>D0552435:J03</t>
  </si>
  <si>
    <t>TR06118133-014</t>
  </si>
  <si>
    <t>D0552435:F24</t>
  </si>
  <si>
    <t>TR06412231-001</t>
  </si>
  <si>
    <t>D0552432:K11</t>
  </si>
  <si>
    <t>TR01354888-004</t>
  </si>
  <si>
    <t>D0552435:O10</t>
  </si>
  <si>
    <t>TR06376715-002</t>
  </si>
  <si>
    <t>D0552435:J11</t>
  </si>
  <si>
    <t>TR06377719-006</t>
  </si>
  <si>
    <t>D0552434:C24</t>
  </si>
  <si>
    <t>TR02620755-002</t>
  </si>
  <si>
    <t>D0552434:K20</t>
  </si>
  <si>
    <t>TR02201857-002</t>
  </si>
  <si>
    <t>D0552432:L21</t>
  </si>
  <si>
    <t>TR01444349-003</t>
  </si>
  <si>
    <t>D0552432:H10</t>
  </si>
  <si>
    <t>TR01345974-006</t>
  </si>
  <si>
    <t>D0552435:P08</t>
  </si>
  <si>
    <t>TR06375789-017</t>
  </si>
  <si>
    <t>D0552434:C07</t>
  </si>
  <si>
    <t>TR01789302-004</t>
  </si>
  <si>
    <t>D0552434:H17</t>
  </si>
  <si>
    <t>TR02074342-002</t>
  </si>
  <si>
    <t>D0552434:J02</t>
  </si>
  <si>
    <t>TR01710790-004</t>
  </si>
  <si>
    <t>D0552432:B12</t>
  </si>
  <si>
    <t>TR01357552-002</t>
  </si>
  <si>
    <t>D0552435:A19</t>
  </si>
  <si>
    <t>TR06404117-002</t>
  </si>
  <si>
    <t>D0552434:H21</t>
  </si>
  <si>
    <t>TR02282923-002</t>
  </si>
  <si>
    <t>D0552434:K08</t>
  </si>
  <si>
    <t>TR01812617-004</t>
  </si>
  <si>
    <t>D0552432:I11</t>
  </si>
  <si>
    <t>TR01354425-003</t>
  </si>
  <si>
    <t>D0552432:L22</t>
  </si>
  <si>
    <t>TR01454808-004</t>
  </si>
  <si>
    <t>D0552432:I06</t>
  </si>
  <si>
    <t>TR01316323-004</t>
  </si>
  <si>
    <t>D0552434:B02</t>
  </si>
  <si>
    <t>TR01709253-002</t>
  </si>
  <si>
    <t>D0552435:I06</t>
  </si>
  <si>
    <t>TR06275342-010</t>
  </si>
  <si>
    <t>D0552435:L08</t>
  </si>
  <si>
    <t>TR06375720-011</t>
  </si>
  <si>
    <t>D0552434:H05</t>
  </si>
  <si>
    <t>TR01758783-002</t>
  </si>
  <si>
    <t>D0552434:K02</t>
  </si>
  <si>
    <t>TR01712309-003</t>
  </si>
  <si>
    <t>D0552435:J09</t>
  </si>
  <si>
    <t>TR06375905-006</t>
  </si>
  <si>
    <t>D0552434:H19</t>
  </si>
  <si>
    <t>TR02163630-002</t>
  </si>
  <si>
    <t>D0552435:H05</t>
  </si>
  <si>
    <t>TR06153123-005</t>
  </si>
  <si>
    <t>D0552432:K04</t>
  </si>
  <si>
    <t>TR01301474-003</t>
  </si>
  <si>
    <t>D0552434:F03</t>
  </si>
  <si>
    <t>TR01727867-003</t>
  </si>
  <si>
    <t>D0552435:J06</t>
  </si>
  <si>
    <t>TR06283570-004</t>
  </si>
  <si>
    <t>D0552434:D09</t>
  </si>
  <si>
    <t>TR01826271-003</t>
  </si>
  <si>
    <t>D0552435:P01</t>
  </si>
  <si>
    <t>TR06102009-027</t>
  </si>
  <si>
    <t>D0552432:O22</t>
  </si>
  <si>
    <t>TR01455649-003</t>
  </si>
  <si>
    <t>D0552435:M17</t>
  </si>
  <si>
    <t>TR06403885-002</t>
  </si>
  <si>
    <t>D0552435:G03</t>
  </si>
  <si>
    <t>TR06116357-026</t>
  </si>
  <si>
    <t>D0552435:H10</t>
  </si>
  <si>
    <t>TR06376351-005</t>
  </si>
  <si>
    <t>D0552435:I14</t>
  </si>
  <si>
    <t>TR06395101-004</t>
  </si>
  <si>
    <t>D0552434:I02</t>
  </si>
  <si>
    <t>TR01710579-002</t>
  </si>
  <si>
    <t>D0552434:K07</t>
  </si>
  <si>
    <t>TR01798144-007</t>
  </si>
  <si>
    <t>D0552434:I06</t>
  </si>
  <si>
    <t>TR01775972-003</t>
  </si>
  <si>
    <t>D0552434:G03</t>
  </si>
  <si>
    <t>TR01728157-005</t>
  </si>
  <si>
    <t>D0552434:K16</t>
  </si>
  <si>
    <t>TR02047138-002</t>
  </si>
  <si>
    <t>D0552434:N16</t>
  </si>
  <si>
    <t>TR02052492-022</t>
  </si>
  <si>
    <t>D0552432:J23</t>
  </si>
  <si>
    <t>TR01465676-002</t>
  </si>
  <si>
    <t>D0552436:G05</t>
  </si>
  <si>
    <t>TR06416986-001</t>
  </si>
  <si>
    <t>D0552435:I11</t>
  </si>
  <si>
    <t>TR06377606-006</t>
  </si>
  <si>
    <t>D0552435:P05</t>
  </si>
  <si>
    <t>TR06187721-014</t>
  </si>
  <si>
    <t>D0552434:F12</t>
  </si>
  <si>
    <t>TR01919135-002</t>
  </si>
  <si>
    <t>D0552434:L19</t>
  </si>
  <si>
    <t>TR02168775-002</t>
  </si>
  <si>
    <t>D0552434:N05</t>
  </si>
  <si>
    <t>TR01765239-002</t>
  </si>
  <si>
    <t>D0552434:I04</t>
  </si>
  <si>
    <t>TR01746768-002</t>
  </si>
  <si>
    <t>D0552435:M14</t>
  </si>
  <si>
    <t>TR06395160-002</t>
  </si>
  <si>
    <t>D0552435:P04</t>
  </si>
  <si>
    <t>TR06136108-007</t>
  </si>
  <si>
    <t>D0552434:H02</t>
  </si>
  <si>
    <t>TR01709803-009</t>
  </si>
  <si>
    <t>D0552434:G15</t>
  </si>
  <si>
    <t>TR02009796-008</t>
  </si>
  <si>
    <t>D0552435:L03</t>
  </si>
  <si>
    <t>TR06121121-028</t>
  </si>
  <si>
    <t>D0552434:F07</t>
  </si>
  <si>
    <t>TR01792633-002</t>
  </si>
  <si>
    <t>D0552436:K03</t>
  </si>
  <si>
    <t>TR06413634-002</t>
  </si>
  <si>
    <t>D0552435:P17</t>
  </si>
  <si>
    <t>TR06403944-004</t>
  </si>
  <si>
    <t>D0552432:D08</t>
  </si>
  <si>
    <t>TR01327056-002</t>
  </si>
  <si>
    <t>D0552434:B10</t>
  </si>
  <si>
    <t>TR01843436-003</t>
  </si>
  <si>
    <t>D0552432:P09</t>
  </si>
  <si>
    <t>TR01342180-005</t>
  </si>
  <si>
    <t>D0552435:N13</t>
  </si>
  <si>
    <t>TR06388463-014</t>
  </si>
  <si>
    <t>D0552435:L09</t>
  </si>
  <si>
    <t>TR06375959-009</t>
  </si>
  <si>
    <t>D0552435:M06</t>
  </si>
  <si>
    <t>TR06375240-046</t>
  </si>
  <si>
    <t>D0552434:O01</t>
  </si>
  <si>
    <t>TR01706548-004</t>
  </si>
  <si>
    <t>D0552432:A01</t>
  </si>
  <si>
    <t>TR01281210-003</t>
  </si>
  <si>
    <t>D0552434:B08</t>
  </si>
  <si>
    <t>TR01804779-002</t>
  </si>
  <si>
    <t>D0552434:L21</t>
  </si>
  <si>
    <t>TR02306334-003</t>
  </si>
  <si>
    <t>D0552434:E03</t>
  </si>
  <si>
    <t>TR01727386-002</t>
  </si>
  <si>
    <t>D0552434:K04</t>
  </si>
  <si>
    <t>TR01747797-002</t>
  </si>
  <si>
    <t>D0552432:O02</t>
  </si>
  <si>
    <t>TR01293704-003</t>
  </si>
  <si>
    <t>D0552434:D04</t>
  </si>
  <si>
    <t>TR01740629-002</t>
  </si>
  <si>
    <t>D0552435:M20</t>
  </si>
  <si>
    <t>TR06405928-001</t>
  </si>
  <si>
    <t>D0552432:O20</t>
  </si>
  <si>
    <t>TR01439275-003</t>
  </si>
  <si>
    <t>D0552434:B20</t>
  </si>
  <si>
    <t>TR02187408-003</t>
  </si>
  <si>
    <t>D0552432:M16</t>
  </si>
  <si>
    <t>TR01397156-004</t>
  </si>
  <si>
    <t>D0552435:G01</t>
  </si>
  <si>
    <t>TR06097536-022</t>
  </si>
  <si>
    <t>D0552435:J02</t>
  </si>
  <si>
    <t>TR06109777-013</t>
  </si>
  <si>
    <t>D0552435:J10</t>
  </si>
  <si>
    <t>TR06376412-003</t>
  </si>
  <si>
    <t>D0552434:J21</t>
  </si>
  <si>
    <t>TR02300181-002</t>
  </si>
  <si>
    <t>D0552435:N18</t>
  </si>
  <si>
    <t>TR06404088-002</t>
  </si>
  <si>
    <t>D0552435:I15</t>
  </si>
  <si>
    <t>TR06395285-001</t>
  </si>
  <si>
    <t>D0552434:K11</t>
  </si>
  <si>
    <t>TR01896574-002</t>
  </si>
  <si>
    <t>D0552432:K07</t>
  </si>
  <si>
    <t>TR01323393-002</t>
  </si>
  <si>
    <t>D0552434:N12</t>
  </si>
  <si>
    <t>TR01930652-006</t>
  </si>
  <si>
    <t>D0552435:L10</t>
  </si>
  <si>
    <t>TR06376581-006</t>
  </si>
  <si>
    <t>D0552432:C06</t>
  </si>
  <si>
    <t>TR01314799-003</t>
  </si>
  <si>
    <t>D0552435:M08</t>
  </si>
  <si>
    <t>TR06375761-010</t>
  </si>
  <si>
    <t>D0552434:D05</t>
  </si>
  <si>
    <t>TR01755299-002</t>
  </si>
  <si>
    <t>D0552432:F13</t>
  </si>
  <si>
    <t>TR01369096-006</t>
  </si>
  <si>
    <t>D0552435:K17</t>
  </si>
  <si>
    <t>TR06403856-002</t>
  </si>
  <si>
    <t>D0552432:P19</t>
  </si>
  <si>
    <t>TR01429285-002</t>
  </si>
  <si>
    <t>D0552435:A10</t>
  </si>
  <si>
    <t>TR06376087-003</t>
  </si>
  <si>
    <t>D0552434:F23</t>
  </si>
  <si>
    <t>TR02454440-003</t>
  </si>
  <si>
    <t>D0552435:G10</t>
  </si>
  <si>
    <t>TR06376325-006</t>
  </si>
  <si>
    <t>D0552434:L03</t>
  </si>
  <si>
    <t>TR01733779-003</t>
  </si>
  <si>
    <t>D0552434:C19</t>
  </si>
  <si>
    <t>TR02150716-003</t>
  </si>
  <si>
    <t>D0552435:J01</t>
  </si>
  <si>
    <t>TR06098941-036</t>
  </si>
  <si>
    <t>D0552435:F23</t>
  </si>
  <si>
    <t>TR06412010-004</t>
  </si>
  <si>
    <t>D0552435:N06</t>
  </si>
  <si>
    <t>TR06375242-014</t>
  </si>
  <si>
    <t>D0552435:G14</t>
  </si>
  <si>
    <t>TR06390877-003</t>
  </si>
  <si>
    <t>D0552434:E02</t>
  </si>
  <si>
    <t>TR01709615-003</t>
  </si>
  <si>
    <t>D0552435:I05</t>
  </si>
  <si>
    <t>TR06155267-005</t>
  </si>
  <si>
    <t>D0552434:N21</t>
  </si>
  <si>
    <t>TR02312694-003</t>
  </si>
  <si>
    <t>D0552432:G05</t>
  </si>
  <si>
    <t>TR01307265-018</t>
  </si>
  <si>
    <t>D0552432:P13</t>
  </si>
  <si>
    <t>TR01377247-005</t>
  </si>
  <si>
    <t>D0552435:H02</t>
  </si>
  <si>
    <t>TR06108106-011</t>
  </si>
  <si>
    <t>D0552432:L11</t>
  </si>
  <si>
    <t>TR01356238-006</t>
  </si>
  <si>
    <t>D0552434:K05</t>
  </si>
  <si>
    <t>TR01761751-004</t>
  </si>
  <si>
    <t>D0552434:B22</t>
  </si>
  <si>
    <t>TR02344754-002</t>
  </si>
  <si>
    <t>D0552436:B12</t>
  </si>
  <si>
    <t>TR06422485-002</t>
  </si>
  <si>
    <t>D0552432:D21</t>
  </si>
  <si>
    <t>TR01442116-003</t>
  </si>
  <si>
    <t>D0552434:N20</t>
  </si>
  <si>
    <t>TR02209662-002</t>
  </si>
  <si>
    <t>D0552434:E13</t>
  </si>
  <si>
    <t>TR01944921-002</t>
  </si>
  <si>
    <t>D0552432:N01</t>
  </si>
  <si>
    <t>TR01284504-002</t>
  </si>
  <si>
    <t>D0552432:P14</t>
  </si>
  <si>
    <t>TR01382633-006</t>
  </si>
  <si>
    <t>D0552435:D17</t>
  </si>
  <si>
    <t>TR06400913-001</t>
  </si>
  <si>
    <t>D0552435:F02</t>
  </si>
  <si>
    <t>TR06107265-015</t>
  </si>
  <si>
    <t>D0552435:N01</t>
  </si>
  <si>
    <t>TR06100559-016</t>
  </si>
  <si>
    <t>D0552435:M01</t>
  </si>
  <si>
    <t>TR06100110-018</t>
  </si>
  <si>
    <t>D0552436:O21</t>
  </si>
  <si>
    <t>TR06442484-004</t>
  </si>
  <si>
    <t>D0552435:F04</t>
  </si>
  <si>
    <t>TR06129304-013</t>
  </si>
  <si>
    <t>D0552432:K09</t>
  </si>
  <si>
    <t>TR01339595-005</t>
  </si>
  <si>
    <t>D0552436:M04</t>
  </si>
  <si>
    <t>TR06416768-002</t>
  </si>
  <si>
    <t>D0552434:G22</t>
  </si>
  <si>
    <t>TR02355075-002</t>
  </si>
  <si>
    <t>D0552432:F24</t>
  </si>
  <si>
    <t>TR01478416-004</t>
  </si>
  <si>
    <t>D0552432:M12</t>
  </si>
  <si>
    <t>TR01366129-002</t>
  </si>
  <si>
    <t>D0552432:N18</t>
  </si>
  <si>
    <t>TR01418259-003</t>
  </si>
  <si>
    <t>D0552432:P18</t>
  </si>
  <si>
    <t>TR01419564-003</t>
  </si>
  <si>
    <t>D0552434:E18</t>
  </si>
  <si>
    <t>TR02104964-019</t>
  </si>
  <si>
    <t>D0552434:F21</t>
  </si>
  <si>
    <t>TR02273144-002</t>
  </si>
  <si>
    <t>D0552435:E13</t>
  </si>
  <si>
    <t>TR06387799-005</t>
  </si>
  <si>
    <t>D0552435:N03</t>
  </si>
  <si>
    <t>TR06121529-015</t>
  </si>
  <si>
    <t>D0552435:A09</t>
  </si>
  <si>
    <t>TR06375803-003</t>
  </si>
  <si>
    <t>D0552434:E06</t>
  </si>
  <si>
    <t>TR01772306-004</t>
  </si>
  <si>
    <t>D0552435:A24</t>
  </si>
  <si>
    <t>TR06412175-001</t>
  </si>
  <si>
    <t>D0552435:F03</t>
  </si>
  <si>
    <t>TR06116135-007</t>
  </si>
  <si>
    <t>D0552432:P03</t>
  </si>
  <si>
    <t>TR01298494-005</t>
  </si>
  <si>
    <t>D0552432:F21</t>
  </si>
  <si>
    <t>TR01442545-003</t>
  </si>
  <si>
    <t>D0552432:H11</t>
  </si>
  <si>
    <t>TR01354116-009</t>
  </si>
  <si>
    <t>D0552432:I22</t>
  </si>
  <si>
    <t>TR01451179-004</t>
  </si>
  <si>
    <t>D0552435:F06</t>
  </si>
  <si>
    <t>TR06224565-007</t>
  </si>
  <si>
    <t>D0552434:M01</t>
  </si>
  <si>
    <t>TR01704972-004</t>
  </si>
  <si>
    <t>D0552435:F10</t>
  </si>
  <si>
    <t>TR06376310-009</t>
  </si>
  <si>
    <t>D0552435:N15</t>
  </si>
  <si>
    <t>TR06395340-001</t>
  </si>
  <si>
    <t>D0552432:I20</t>
  </si>
  <si>
    <t>TR01435474-002</t>
  </si>
  <si>
    <t>D0552432:M23</t>
  </si>
  <si>
    <t>TR01471741-002</t>
  </si>
  <si>
    <t>D0552434:F24</t>
  </si>
  <si>
    <t>TR02706031-016</t>
  </si>
  <si>
    <t>D0552432:O03</t>
  </si>
  <si>
    <t>TR01297697-012</t>
  </si>
  <si>
    <t>D0552435:K01</t>
  </si>
  <si>
    <t>TR06099039-033</t>
  </si>
  <si>
    <t>D0552436:G14</t>
  </si>
  <si>
    <t>TR06423889-002</t>
  </si>
  <si>
    <t>D0552432:G20</t>
  </si>
  <si>
    <t>TR01433567-007</t>
  </si>
  <si>
    <t>D0552434:D22</t>
  </si>
  <si>
    <t>TR02347481-004</t>
  </si>
  <si>
    <t>D0552435:E06</t>
  </si>
  <si>
    <t>TR06207868-016</t>
  </si>
  <si>
    <t>D0552432:G08</t>
  </si>
  <si>
    <t>TR01329053-003</t>
  </si>
  <si>
    <t>D0552435:H18</t>
  </si>
  <si>
    <t>TR06404006-001</t>
  </si>
  <si>
    <t>D0552432:C16</t>
  </si>
  <si>
    <t>TR01391907-002</t>
  </si>
  <si>
    <t>D0552435:G11</t>
  </si>
  <si>
    <t>TR06377402-012</t>
  </si>
  <si>
    <t>D0552436:N01</t>
  </si>
  <si>
    <t>TR06413080-001</t>
  </si>
  <si>
    <t>D0552435:F15</t>
  </si>
  <si>
    <t>TR06395261-002</t>
  </si>
  <si>
    <t>D0552435:D01</t>
  </si>
  <si>
    <t>TR06096763-026</t>
  </si>
  <si>
    <t>D0552432:O16</t>
  </si>
  <si>
    <t>TR01398559-012</t>
  </si>
  <si>
    <t>D0552435:K05</t>
  </si>
  <si>
    <t>TR06177377-009</t>
  </si>
  <si>
    <t>D0552435:C21</t>
  </si>
  <si>
    <t>TR06406002-001</t>
  </si>
  <si>
    <t>D0552434:C01</t>
  </si>
  <si>
    <t>TR01694688-003</t>
  </si>
  <si>
    <t>D0552434:F19</t>
  </si>
  <si>
    <t>TR02153147-003</t>
  </si>
  <si>
    <t>D0552432:K21</t>
  </si>
  <si>
    <t>TR01444148-005</t>
  </si>
  <si>
    <t>D0552432:I13</t>
  </si>
  <si>
    <t>TR01373516-002</t>
  </si>
  <si>
    <t>D0552435:H01</t>
  </si>
  <si>
    <t>TR06098157-020</t>
  </si>
  <si>
    <t>D0552432:E14</t>
  </si>
  <si>
    <t>TR01378565-006</t>
  </si>
  <si>
    <t>D0552434:C14</t>
  </si>
  <si>
    <t>TR01980169-003</t>
  </si>
  <si>
    <t>D0552435:B07</t>
  </si>
  <si>
    <t>TR06375265-011</t>
  </si>
  <si>
    <t>D0552435:K09</t>
  </si>
  <si>
    <t>TR06375957-005</t>
  </si>
  <si>
    <t>D0552432:G13</t>
  </si>
  <si>
    <t>TR01370538-002</t>
  </si>
  <si>
    <t>D0552432:L07</t>
  </si>
  <si>
    <t>TR01323428-004</t>
  </si>
  <si>
    <t>D0552432:N13</t>
  </si>
  <si>
    <t>TR01377029-005</t>
  </si>
  <si>
    <t>D0552435:F09</t>
  </si>
  <si>
    <t>TR06375879-006</t>
  </si>
  <si>
    <t>D0552432:C20</t>
  </si>
  <si>
    <t>TR01431460-004</t>
  </si>
  <si>
    <t>D0552435:O05</t>
  </si>
  <si>
    <t>TR06185179-004</t>
  </si>
  <si>
    <t>D0552432:J15</t>
  </si>
  <si>
    <t>TR01387876-004</t>
  </si>
  <si>
    <t>D0552435:L01</t>
  </si>
  <si>
    <t>TR06099804-032</t>
  </si>
  <si>
    <t>D0552432:I15</t>
  </si>
  <si>
    <t>TR01387695-005</t>
  </si>
  <si>
    <t>D0552434:F22</t>
  </si>
  <si>
    <t>TR02348948-004</t>
  </si>
  <si>
    <t>D0552435:E14</t>
  </si>
  <si>
    <t>TR06390208-024</t>
  </si>
  <si>
    <t>D0552436:M18</t>
  </si>
  <si>
    <t>TR06428951-002</t>
  </si>
  <si>
    <t>D0552435:L05</t>
  </si>
  <si>
    <t>TR06179383-016</t>
  </si>
  <si>
    <t>D0552432:F04</t>
  </si>
  <si>
    <t>TR01300044-005</t>
  </si>
  <si>
    <t>D0552432:O09</t>
  </si>
  <si>
    <t>TR01341415-004</t>
  </si>
  <si>
    <t>D0552436:O16</t>
  </si>
  <si>
    <t>TR06424864-001</t>
  </si>
  <si>
    <t>D0552432:I12</t>
  </si>
  <si>
    <t>TR01361371-003</t>
  </si>
  <si>
    <t>D0552434:C08</t>
  </si>
  <si>
    <t>TR01805477-004</t>
  </si>
  <si>
    <t>D0552432:K10</t>
  </si>
  <si>
    <t>TR01348303-002</t>
  </si>
  <si>
    <t>D0552434:A15</t>
  </si>
  <si>
    <t>TR01998046-002</t>
  </si>
  <si>
    <t>D0552432:E21</t>
  </si>
  <si>
    <t>TR01442423-004</t>
  </si>
  <si>
    <t>D0552432:B04</t>
  </si>
  <si>
    <t>TR01299673-003</t>
  </si>
  <si>
    <t>D0552432:P08</t>
  </si>
  <si>
    <t>TR01336058-003</t>
  </si>
  <si>
    <t>D0552432:P05</t>
  </si>
  <si>
    <t>TR01311864-004</t>
  </si>
  <si>
    <t>D0552434:A01</t>
  </si>
  <si>
    <t>TR01694180-002</t>
  </si>
  <si>
    <t>D0552435:L02</t>
  </si>
  <si>
    <t>TR06110942-029</t>
  </si>
  <si>
    <t>D0552432:I01</t>
  </si>
  <si>
    <t>TR01282963-007</t>
  </si>
  <si>
    <t>D0552432:B05</t>
  </si>
  <si>
    <t>TR01303537-003</t>
  </si>
  <si>
    <t>D0552434:B14</t>
  </si>
  <si>
    <t>TR01978715-003</t>
  </si>
  <si>
    <t>D0552432:F17</t>
  </si>
  <si>
    <t>TR01405093-005</t>
  </si>
  <si>
    <t>D0552436:C24</t>
  </si>
  <si>
    <t>TR06445373-001</t>
  </si>
  <si>
    <t>D0552432:D20</t>
  </si>
  <si>
    <t>TR01431733-006</t>
  </si>
  <si>
    <t>D0552435:A18</t>
  </si>
  <si>
    <t>TR06403946-001</t>
  </si>
  <si>
    <t>D0552432:E15</t>
  </si>
  <si>
    <t>TR01386470-003</t>
  </si>
  <si>
    <t>D0552435:B01</t>
  </si>
  <si>
    <t>TR06095554-019</t>
  </si>
  <si>
    <t>D0552435:O06</t>
  </si>
  <si>
    <t>TR06375248-040</t>
  </si>
  <si>
    <t>D0552435:C20</t>
  </si>
  <si>
    <t>TR06405709-001</t>
  </si>
  <si>
    <t>D0552434:A09</t>
  </si>
  <si>
    <t>TR01820831-003</t>
  </si>
  <si>
    <t>D0552432:D16</t>
  </si>
  <si>
    <t>TR01392138-003</t>
  </si>
  <si>
    <t>D0552432:I05</t>
  </si>
  <si>
    <t>TR01308029-005</t>
  </si>
  <si>
    <t>D0552432:K05</t>
  </si>
  <si>
    <t>TR01309178-003</t>
  </si>
  <si>
    <t>D0552435:C06</t>
  </si>
  <si>
    <t>TR06201603-031</t>
  </si>
  <si>
    <t>D0552432:H06</t>
  </si>
  <si>
    <t>TR01315746-006</t>
  </si>
  <si>
    <t>D0552432:A07</t>
  </si>
  <si>
    <t>TR01319542-005</t>
  </si>
  <si>
    <t>D0552435:A05</t>
  </si>
  <si>
    <t>TR06138590-021</t>
  </si>
  <si>
    <t>D0552432:K18</t>
  </si>
  <si>
    <t>TR01417124-006</t>
  </si>
  <si>
    <t>D0552435:B03</t>
  </si>
  <si>
    <t>TR06113503-016</t>
  </si>
  <si>
    <t>D0552432:C15</t>
  </si>
  <si>
    <t>TR01385196-006</t>
  </si>
  <si>
    <t>D0552432:C10</t>
  </si>
  <si>
    <t>TR01344362-005</t>
  </si>
  <si>
    <t>D0552432:L13</t>
  </si>
  <si>
    <t>TR01376381-003</t>
  </si>
  <si>
    <t>D0552432:D09</t>
  </si>
  <si>
    <t>TR01338145-005</t>
  </si>
  <si>
    <t>D0552434:B24</t>
  </si>
  <si>
    <t>TR02548581-002</t>
  </si>
  <si>
    <t>D0552432:G10</t>
  </si>
  <si>
    <t>TR01345968-005</t>
  </si>
  <si>
    <t>D0552432:L15</t>
  </si>
  <si>
    <t>TR01390374-004</t>
  </si>
  <si>
    <t>D0552435:O01</t>
  </si>
  <si>
    <t>TR06101190-025</t>
  </si>
  <si>
    <t>D0552434:A04</t>
  </si>
  <si>
    <t>TR01738249-002</t>
  </si>
  <si>
    <t>D0552434:A06</t>
  </si>
  <si>
    <t>TR01769835-002</t>
  </si>
  <si>
    <t>D0552435:C11</t>
  </si>
  <si>
    <t>TR06376900-002</t>
  </si>
  <si>
    <t>D0552432:M10</t>
  </si>
  <si>
    <t>TR01350775-005</t>
  </si>
  <si>
    <t>D0552434:A21</t>
  </si>
  <si>
    <t>TR02243331-007</t>
  </si>
  <si>
    <t>D0552435:C02</t>
  </si>
  <si>
    <t>TR06104841-008</t>
  </si>
  <si>
    <t>D0552432:H09</t>
  </si>
  <si>
    <t>TR01339093-004</t>
  </si>
  <si>
    <t>D0552432:C08</t>
  </si>
  <si>
    <t>TR01326964-005</t>
  </si>
  <si>
    <t>D0552432:F08</t>
  </si>
  <si>
    <t>TR01328915-002</t>
  </si>
  <si>
    <t>D0552432:G18</t>
  </si>
  <si>
    <t>TR01416268-006</t>
  </si>
  <si>
    <t>D0552432:C12</t>
  </si>
  <si>
    <t>TR01357584-005</t>
  </si>
  <si>
    <t>D0552432:H04</t>
  </si>
  <si>
    <t>TR01300296-002</t>
  </si>
  <si>
    <t>D0552432:I04</t>
  </si>
  <si>
    <t>TR01300301-003</t>
  </si>
  <si>
    <t>D0552435:A14</t>
  </si>
  <si>
    <t>TR06389991-012</t>
  </si>
  <si>
    <t>D0552432:E16</t>
  </si>
  <si>
    <t>TR01392364-007</t>
  </si>
  <si>
    <t>D0552435:B09</t>
  </si>
  <si>
    <t>TR06375820-005</t>
  </si>
  <si>
    <t>D0552432:D07</t>
  </si>
  <si>
    <t>TR01320781-004</t>
  </si>
  <si>
    <t>D0552435:B02</t>
  </si>
  <si>
    <t>TR06103829-010</t>
  </si>
  <si>
    <t>D0552432:I23</t>
  </si>
  <si>
    <t>TR01465327-005</t>
  </si>
  <si>
    <t>D0552432:D19</t>
  </si>
  <si>
    <t>TR01420508-009</t>
  </si>
  <si>
    <t>D0552432:E03</t>
  </si>
  <si>
    <t>TR01295431-003</t>
  </si>
  <si>
    <t>D0552436:F02</t>
  </si>
  <si>
    <t>TR06413250-002</t>
  </si>
  <si>
    <t>D0552432:F05</t>
  </si>
  <si>
    <t>TR01306263-002</t>
  </si>
  <si>
    <t>D0552436:C02</t>
  </si>
  <si>
    <t>TR06413203-002</t>
  </si>
  <si>
    <t>D0552432:B20</t>
  </si>
  <si>
    <t>TR01430961-003</t>
  </si>
  <si>
    <t>D0552435:B15</t>
  </si>
  <si>
    <t>TR06395215-002</t>
  </si>
  <si>
    <t>D0552435:B10</t>
  </si>
  <si>
    <t>TR06376092-005</t>
  </si>
  <si>
    <t>D0552432:G01</t>
  </si>
  <si>
    <t>TR01282260-011</t>
  </si>
  <si>
    <t>D0552432:D06</t>
  </si>
  <si>
    <t>TR01314950-004</t>
  </si>
  <si>
    <t>D0552432:F18</t>
  </si>
  <si>
    <t>TR01416124-004</t>
  </si>
  <si>
    <t>D0552435:B21</t>
  </si>
  <si>
    <t>TR06405968-001</t>
  </si>
  <si>
    <t>D0552436:M11</t>
  </si>
  <si>
    <t>TR06422340-002</t>
  </si>
  <si>
    <t>D0552432:C01</t>
  </si>
  <si>
    <t>TR01281535-003</t>
  </si>
  <si>
    <t>D0552432:E06</t>
  </si>
  <si>
    <t>TR01315113-006</t>
  </si>
  <si>
    <t>D0552432:A12</t>
  </si>
  <si>
    <t>TR01357306-009</t>
  </si>
  <si>
    <t>D0552432:G02</t>
  </si>
  <si>
    <t>TR01286843-005</t>
  </si>
  <si>
    <t>D0552432:E05</t>
  </si>
  <si>
    <t>TR01306036-002</t>
  </si>
  <si>
    <t>D0552432:I02</t>
  </si>
  <si>
    <t>TR01288040-006</t>
  </si>
  <si>
    <t>D0552432:L01</t>
  </si>
  <si>
    <t>TR01283733-003</t>
  </si>
  <si>
    <t>D0552432:A14</t>
  </si>
  <si>
    <t>TR01377312-005</t>
  </si>
  <si>
    <t>D0552432:A09</t>
  </si>
  <si>
    <t>TR01336397-007</t>
  </si>
  <si>
    <t>D0552432:A13</t>
  </si>
  <si>
    <t>TR01368067-004</t>
  </si>
  <si>
    <t>D0552432:B22</t>
  </si>
  <si>
    <t>TR01447011-003</t>
  </si>
  <si>
    <t>D0552436:K15</t>
  </si>
  <si>
    <t>TR06424480-001</t>
  </si>
  <si>
    <t>D0552432:B24</t>
  </si>
  <si>
    <t>TR01475825-003</t>
  </si>
  <si>
    <t>D0552436:I07</t>
  </si>
  <si>
    <t>TR06419991-001</t>
  </si>
  <si>
    <t>D0552436:G24</t>
  </si>
  <si>
    <t>TR06445455-001</t>
  </si>
  <si>
    <t>D0552432:A20</t>
  </si>
  <si>
    <t>TR01429297-007</t>
  </si>
  <si>
    <t>D0552436:B15</t>
  </si>
  <si>
    <t>TR06423994-001</t>
  </si>
  <si>
    <t>D0552436:K02</t>
  </si>
  <si>
    <t>TR06413330-002</t>
  </si>
  <si>
    <t>D0552432:A15</t>
  </si>
  <si>
    <t>TR01383993-003</t>
  </si>
  <si>
    <t>D0552436:K01</t>
  </si>
  <si>
    <t>TR06413040-001</t>
  </si>
  <si>
    <t>D0554055:O01</t>
  </si>
  <si>
    <t>TR06558052-001</t>
  </si>
  <si>
    <t>D0554055:M02</t>
  </si>
  <si>
    <t>TR06562336-004</t>
  </si>
  <si>
    <t>D0552436:F15</t>
  </si>
  <si>
    <t>TR06424361-002</t>
  </si>
  <si>
    <t>D0552436:D21</t>
  </si>
  <si>
    <t>TR06439682-001</t>
  </si>
  <si>
    <t>D0554055:E02</t>
  </si>
  <si>
    <t>TR06558148-001</t>
  </si>
  <si>
    <t>D0552436:B07</t>
  </si>
  <si>
    <t>TR06419916-004</t>
  </si>
  <si>
    <t>D0552436:J04</t>
  </si>
  <si>
    <t>TR06416717-002</t>
  </si>
  <si>
    <t>D0552436:J19</t>
  </si>
  <si>
    <t>TR06430850-001</t>
  </si>
  <si>
    <t>D0552436:O14</t>
  </si>
  <si>
    <t>TR06423961-001</t>
  </si>
  <si>
    <t>D0554055:I02</t>
  </si>
  <si>
    <t>TR06561562-001</t>
  </si>
  <si>
    <t>D0552436:P04</t>
  </si>
  <si>
    <t>TR06416825-001</t>
  </si>
  <si>
    <t>D0552436:C12</t>
  </si>
  <si>
    <t>TR06422486-001</t>
  </si>
  <si>
    <t>D0552436:O18</t>
  </si>
  <si>
    <t>TR06429483-002</t>
  </si>
  <si>
    <t>D0552436:K22</t>
  </si>
  <si>
    <t>TR06444216-002</t>
  </si>
  <si>
    <t>D0552436:F24</t>
  </si>
  <si>
    <t>TR06445421-002</t>
  </si>
  <si>
    <t>D0552436:P21</t>
  </si>
  <si>
    <t>TR06442540-001</t>
  </si>
  <si>
    <t>D0552436:C16</t>
  </si>
  <si>
    <t>TR06424652-001</t>
  </si>
  <si>
    <t>D0552436:L03</t>
  </si>
  <si>
    <t>TR06413635-001</t>
  </si>
  <si>
    <t>D0552436:M21</t>
  </si>
  <si>
    <t>TR06439790-001</t>
  </si>
  <si>
    <t>D0552436:N13</t>
  </si>
  <si>
    <t>TR06423744-001</t>
  </si>
  <si>
    <t>D0552436:N03</t>
  </si>
  <si>
    <t>TR06416487-001</t>
  </si>
  <si>
    <t>D0552436:I20</t>
  </si>
  <si>
    <t>TR06438351-002</t>
  </si>
  <si>
    <t>D0552436:E24</t>
  </si>
  <si>
    <t>TR06445420-001</t>
  </si>
  <si>
    <t>D0554055:F02</t>
  </si>
  <si>
    <t>TR06561437-014</t>
  </si>
  <si>
    <t>D0552436:I16</t>
  </si>
  <si>
    <t>TR06424742-002</t>
  </si>
  <si>
    <t>D0554055:H02</t>
  </si>
  <si>
    <t>TR06561466-010</t>
  </si>
  <si>
    <t>D0552436:H18</t>
  </si>
  <si>
    <t>TR06428906-001</t>
  </si>
  <si>
    <t>D0552436:L15</t>
  </si>
  <si>
    <t>TR06424482-002</t>
  </si>
  <si>
    <t>D0552436:M19</t>
  </si>
  <si>
    <t>TR06430906-002</t>
  </si>
  <si>
    <t>D0552436:D04</t>
  </si>
  <si>
    <t>TR06416627-002</t>
  </si>
  <si>
    <t>D0554055:F01</t>
  </si>
  <si>
    <t>TR06556965-001</t>
  </si>
  <si>
    <t>D0552436:O23</t>
  </si>
  <si>
    <t>TR06445331-001</t>
  </si>
  <si>
    <t>D0552436:I21</t>
  </si>
  <si>
    <t>TR06439734-001</t>
  </si>
  <si>
    <t>D0552436:G11</t>
  </si>
  <si>
    <t>TR06422258-001</t>
  </si>
  <si>
    <t>D0552436:D01</t>
  </si>
  <si>
    <t>TR06412309-001</t>
  </si>
  <si>
    <t>D0552436:K16</t>
  </si>
  <si>
    <t>TR06424784-002</t>
  </si>
  <si>
    <t>D0552436:J08</t>
  </si>
  <si>
    <t>TR06420258-001</t>
  </si>
  <si>
    <t>D0552436:M07</t>
  </si>
  <si>
    <t>TR06420062-002</t>
  </si>
  <si>
    <t>D0552436:P09</t>
  </si>
  <si>
    <t>TR06420705-001</t>
  </si>
  <si>
    <t>D0552436:M13</t>
  </si>
  <si>
    <t>TR06423719-002</t>
  </si>
  <si>
    <t>D0552436:H03</t>
  </si>
  <si>
    <t>TR06413595-002</t>
  </si>
  <si>
    <t>D0552436:G08</t>
  </si>
  <si>
    <t>TR06420215-002</t>
  </si>
  <si>
    <t>D0552436:H06</t>
  </si>
  <si>
    <t>TR06419771-002</t>
  </si>
  <si>
    <t>D0552436:P23</t>
  </si>
  <si>
    <t>TR06445333-002</t>
  </si>
  <si>
    <t>D0552436:G09</t>
  </si>
  <si>
    <t>TR06420496-001</t>
  </si>
  <si>
    <t>D0552436:O15</t>
  </si>
  <si>
    <t>TR06424564-001</t>
  </si>
  <si>
    <t>D0552436:J18</t>
  </si>
  <si>
    <t>TR06428948-001</t>
  </si>
  <si>
    <t>D0552436:M03</t>
  </si>
  <si>
    <t>TR06413827-002</t>
  </si>
  <si>
    <t>D0552436:M10</t>
  </si>
  <si>
    <t>TR06420872-001</t>
  </si>
  <si>
    <t>D0552436:P15</t>
  </si>
  <si>
    <t>TR06424565-002</t>
  </si>
  <si>
    <t>D0552436:G20</t>
  </si>
  <si>
    <t>TR06431166-002</t>
  </si>
  <si>
    <t>D0552436:J20</t>
  </si>
  <si>
    <t>TR06439510-002</t>
  </si>
  <si>
    <t>D0552436:M05</t>
  </si>
  <si>
    <t>TR06417128-001</t>
  </si>
  <si>
    <t>D0552436:J16</t>
  </si>
  <si>
    <t>TR06424743-002</t>
  </si>
  <si>
    <t>D0552436:O10</t>
  </si>
  <si>
    <t>TR06420914-002</t>
  </si>
  <si>
    <t>D0552436:H05</t>
  </si>
  <si>
    <t>TR06417034-001</t>
  </si>
  <si>
    <t>D0552436:E07</t>
  </si>
  <si>
    <t>TR06419951-001</t>
  </si>
  <si>
    <t>D0552436:K18</t>
  </si>
  <si>
    <t>TR06428949-002</t>
  </si>
  <si>
    <t>D0552436:P18</t>
  </si>
  <si>
    <t>TR06430689-001</t>
  </si>
  <si>
    <t>D0552436:J11</t>
  </si>
  <si>
    <t>TR06422286-002</t>
  </si>
  <si>
    <t>D0552436:F03</t>
  </si>
  <si>
    <t>TR06413553-002</t>
  </si>
  <si>
    <t>D0552436:M23</t>
  </si>
  <si>
    <t>TR06445287-001</t>
  </si>
  <si>
    <t>D0552436:L05</t>
  </si>
  <si>
    <t>TR06417084-001</t>
  </si>
  <si>
    <t>D0552436:H14</t>
  </si>
  <si>
    <t>TR06423890-001</t>
  </si>
  <si>
    <t>D0552436:A10</t>
  </si>
  <si>
    <t>TR06420706-001</t>
  </si>
  <si>
    <t>D0552436:O19</t>
  </si>
  <si>
    <t>TR06430938-001</t>
  </si>
  <si>
    <t>D0552436:H16</t>
  </si>
  <si>
    <t>TR06424741-001</t>
  </si>
  <si>
    <t>D0552436:G22</t>
  </si>
  <si>
    <t>TR06444079-002</t>
  </si>
  <si>
    <t>D0552436:N17</t>
  </si>
  <si>
    <t>TR06428585-001</t>
  </si>
  <si>
    <t>D0552436:A16</t>
  </si>
  <si>
    <t>TR06424606-001</t>
  </si>
  <si>
    <t>D0552436:P19</t>
  </si>
  <si>
    <t>TR06430969-002</t>
  </si>
  <si>
    <t>D0552436:C07</t>
  </si>
  <si>
    <t>TR06419949-002</t>
  </si>
  <si>
    <t>D0552436:L07</t>
  </si>
  <si>
    <t>TR06420061-002</t>
  </si>
  <si>
    <t>D0552436:L09</t>
  </si>
  <si>
    <t>TR06420623-001</t>
  </si>
  <si>
    <t>D0552436:F12</t>
  </si>
  <si>
    <t>TR06422543-002</t>
  </si>
  <si>
    <t>D0552436:L14</t>
  </si>
  <si>
    <t>TR06423926-001</t>
  </si>
  <si>
    <t>D0552436:F08</t>
  </si>
  <si>
    <t>TR06420214-002</t>
  </si>
  <si>
    <t>D0552436:M22</t>
  </si>
  <si>
    <t>TR06444262-002</t>
  </si>
  <si>
    <t>D0552436:A22</t>
  </si>
  <si>
    <t>TR06443818-001</t>
  </si>
  <si>
    <t>D0552436:G07</t>
  </si>
  <si>
    <t>TR06419988-002</t>
  </si>
  <si>
    <t>D0552436:G01</t>
  </si>
  <si>
    <t>TR06412364-001</t>
  </si>
  <si>
    <t>D0552436:D15</t>
  </si>
  <si>
    <t>TR06424024-001</t>
  </si>
  <si>
    <t>D0552436:M08</t>
  </si>
  <si>
    <t>TR06420287-001</t>
  </si>
  <si>
    <t>D0552436:G21</t>
  </si>
  <si>
    <t>TR06439702-001</t>
  </si>
  <si>
    <t>D0552436:L06</t>
  </si>
  <si>
    <t>TR06419841-001</t>
  </si>
  <si>
    <t>D0552436:C04</t>
  </si>
  <si>
    <t>TR06416582-002</t>
  </si>
  <si>
    <t>D0552436:E14</t>
  </si>
  <si>
    <t>TR06423858-002</t>
  </si>
  <si>
    <t>D0552436:D24</t>
  </si>
  <si>
    <t>TR06445375-002</t>
  </si>
  <si>
    <t>D0552436:O05</t>
  </si>
  <si>
    <t>TR06417171-001</t>
  </si>
  <si>
    <t>D0552436:F23</t>
  </si>
  <si>
    <t>TR06444452-001</t>
  </si>
  <si>
    <t>D0552436:E21</t>
  </si>
  <si>
    <t>TR06439683-001</t>
  </si>
  <si>
    <t>D0552436:G03</t>
  </si>
  <si>
    <t>TR06413594-001</t>
  </si>
  <si>
    <t>D0552436:F07</t>
  </si>
  <si>
    <t>TR06419966-002</t>
  </si>
  <si>
    <t>D0552436:N06</t>
  </si>
  <si>
    <t>TR06419877-001</t>
  </si>
  <si>
    <t>D0552436:B08</t>
  </si>
  <si>
    <t>TR06420137-002</t>
  </si>
  <si>
    <t>D0552436:N19</t>
  </si>
  <si>
    <t>TR06430907-001</t>
  </si>
  <si>
    <t>D0552436:O04</t>
  </si>
  <si>
    <t>TR06416810-002</t>
  </si>
  <si>
    <t>D0552436:M12</t>
  </si>
  <si>
    <t>TR06423039-001</t>
  </si>
  <si>
    <t>D0552436:A11</t>
  </si>
  <si>
    <t>TR06422204-002</t>
  </si>
  <si>
    <t>D0552436:B01</t>
  </si>
  <si>
    <t>TR06412282-001</t>
  </si>
  <si>
    <t>D0552436:E22</t>
  </si>
  <si>
    <t>TR06443955-004</t>
  </si>
  <si>
    <t>D0552436:F16</t>
  </si>
  <si>
    <t>TR06424700-001</t>
  </si>
  <si>
    <t>D0552436:B14</t>
  </si>
  <si>
    <t>TR06423802-002</t>
  </si>
  <si>
    <t>D0552436:D16</t>
  </si>
  <si>
    <t>TR06424654-002</t>
  </si>
  <si>
    <t>D0552436:C20</t>
  </si>
  <si>
    <t>TR06431032-002</t>
  </si>
  <si>
    <t>D0552436:D22</t>
  </si>
  <si>
    <t>TR06443953-002</t>
  </si>
  <si>
    <t>D0552436:C19</t>
  </si>
  <si>
    <t>TR06430723-001</t>
  </si>
  <si>
    <t>D0552436:C14</t>
  </si>
  <si>
    <t>TR06423828-001</t>
  </si>
  <si>
    <t>D0552436:C17</t>
  </si>
  <si>
    <t>TR06427994-001</t>
  </si>
  <si>
    <t>D0552436:N18</t>
  </si>
  <si>
    <t>TR06428952-002</t>
  </si>
  <si>
    <t>D0554055:A01</t>
  </si>
  <si>
    <t>TR06556819-001</t>
  </si>
  <si>
    <t>D0552436:C13</t>
  </si>
  <si>
    <t>TR06423627-002</t>
  </si>
  <si>
    <t>D0552436:A09</t>
  </si>
  <si>
    <t>TR06420371-002</t>
  </si>
  <si>
    <t>D0554055:A02</t>
  </si>
  <si>
    <t>TR06558096-001</t>
  </si>
  <si>
    <t>D0552436:B18</t>
  </si>
  <si>
    <t>TR06428620-001</t>
  </si>
  <si>
    <t>D0552436:B20</t>
  </si>
  <si>
    <t>TR06431001-002</t>
  </si>
  <si>
    <t>D0552436:A04</t>
  </si>
  <si>
    <t>TR06416532-001</t>
  </si>
  <si>
    <t>D0552436:A03</t>
  </si>
  <si>
    <t>TR06413446-001</t>
  </si>
  <si>
    <t>D0552436:A08</t>
  </si>
  <si>
    <t>TR06420101-001</t>
  </si>
  <si>
    <t>D0552436:A14</t>
  </si>
  <si>
    <t>TR06423801-001</t>
  </si>
  <si>
    <t>average</t>
  </si>
  <si>
    <t> Its molecular target is the protein cereblon (CRBN)</t>
  </si>
  <si>
    <t>Autophinib</t>
  </si>
  <si>
    <t>a potent and specific SIRT2 inhibitor</t>
  </si>
  <si>
    <t>Decitabine</t>
  </si>
  <si>
    <t>a DNA methyltransferase inhibitor</t>
  </si>
  <si>
    <t>TR06468130-001</t>
  </si>
  <si>
    <t>Sodium Nitroprusside</t>
  </si>
  <si>
    <t>a potent vasodilator</t>
  </si>
  <si>
    <t>CPI-637</t>
  </si>
  <si>
    <t>a selective and cell-active benzodiazepinone CBP/EP300 bromodomain inhibitor</t>
  </si>
  <si>
    <t>inhibits LPS-induced TNF-α,a ligand for targeting E3 ligase and inhibiting the E3 ligase protein cereblon (CRBN)</t>
  </si>
  <si>
    <t xml:space="preserve">an antiviral agent </t>
  </si>
  <si>
    <t>a DNA synthesis inhibitor</t>
  </si>
  <si>
    <t>Avadomide(CC-122</t>
  </si>
  <si>
    <t>Tazemetostat</t>
  </si>
  <si>
    <t>a potent selective EZH2 inhibitor</t>
  </si>
  <si>
    <t>TR06482719-001</t>
  </si>
  <si>
    <t>SYR232841, PIK-III,VPS34-IN2</t>
  </si>
  <si>
    <t>a VPS34 inhibitor which blocks autophagy and uncovers a role for NCOA4 in ferritin degradation and iron homeostasis in vivo</t>
  </si>
  <si>
    <t>Lathyrol</t>
  </si>
  <si>
    <t>Lathyrol is a natural product that is used for cancer treatment</t>
  </si>
  <si>
    <t>2'-Deoxyguanosine</t>
  </si>
  <si>
    <t>LLY-283</t>
  </si>
  <si>
    <t>a Potent and Selective Inhibitor of Arginine Methyltransferase 5, PRMT5</t>
  </si>
  <si>
    <t>SYR102952, MFCD00006539</t>
  </si>
  <si>
    <t>MFCD18384974, SYR231667</t>
  </si>
  <si>
    <t>SYR270867</t>
  </si>
  <si>
    <t>Cefmetazole sodium</t>
  </si>
  <si>
    <t>SYR270823</t>
  </si>
  <si>
    <t>VPS34-IN1</t>
  </si>
  <si>
    <t>a potent and highly selective Vps34 inhibitor</t>
  </si>
  <si>
    <t>ML00944032, TR01613492, TR03828932, SYR608339, TR06078737</t>
  </si>
  <si>
    <t>3SF200030S10, Lenalidomide</t>
  </si>
  <si>
    <t>a TNF-α secretion inhibitor,a ligand of ubiquitin E3 ligase cereblon (CRBN)</t>
  </si>
  <si>
    <t>Ademetionine disulfate tosylate</t>
  </si>
  <si>
    <t>anti-inflammatory activity</t>
  </si>
  <si>
    <t>Meloxicam</t>
  </si>
  <si>
    <t>an oxicam derivative</t>
  </si>
  <si>
    <t>TR06459829-001</t>
  </si>
  <si>
    <t>CID5721353, BCL6 inhibitor</t>
  </si>
  <si>
    <t>TR06468088-001</t>
  </si>
  <si>
    <t>AZD9496</t>
  </si>
  <si>
    <t>an oral estrogen receptor inhibitor</t>
  </si>
  <si>
    <t>TR06481280-001</t>
  </si>
  <si>
    <t>Amoxicillin sodium</t>
  </si>
  <si>
    <t>Row Letter</t>
  </si>
  <si>
    <t>Column</t>
  </si>
  <si>
    <t>Row</t>
  </si>
  <si>
    <t>Source</t>
  </si>
  <si>
    <t>hc_SigToNoise</t>
  </si>
  <si>
    <t>hc_FoldChange</t>
  </si>
  <si>
    <t>D0554071</t>
  </si>
  <si>
    <t>D</t>
  </si>
  <si>
    <t>D0554071:D19</t>
  </si>
  <si>
    <t>D0545770:M09</t>
  </si>
  <si>
    <t>D0554067</t>
  </si>
  <si>
    <t>L</t>
  </si>
  <si>
    <t>D0554067:L17</t>
  </si>
  <si>
    <t>D0545744:O17</t>
  </si>
  <si>
    <t>D0554068</t>
  </si>
  <si>
    <t>M</t>
  </si>
  <si>
    <t>D0554068:M05</t>
  </si>
  <si>
    <t>D0552256:M03</t>
  </si>
  <si>
    <t>A</t>
  </si>
  <si>
    <t>D0554071:A23</t>
  </si>
  <si>
    <t>D0545746:I05</t>
  </si>
  <si>
    <t>H</t>
  </si>
  <si>
    <t>D0554068:H22</t>
  </si>
  <si>
    <t>D0545754:I19</t>
  </si>
  <si>
    <t>F</t>
  </si>
  <si>
    <t>D0554068:F24</t>
  </si>
  <si>
    <t>D0545772:G15</t>
  </si>
  <si>
    <t>D0554069</t>
  </si>
  <si>
    <t>P</t>
  </si>
  <si>
    <t>D0554069:P23</t>
  </si>
  <si>
    <t>D0545768:I03</t>
  </si>
  <si>
    <t>D0554072</t>
  </si>
  <si>
    <t>D0554072:P01</t>
  </si>
  <si>
    <t>D0545748:C16</t>
  </si>
  <si>
    <t>D0554071:A20</t>
  </si>
  <si>
    <t>D0545754:F23</t>
  </si>
  <si>
    <t>D0554071:F01</t>
  </si>
  <si>
    <t>D0545768:B24</t>
  </si>
  <si>
    <t>D0554063</t>
  </si>
  <si>
    <t>B</t>
  </si>
  <si>
    <t>D0554063:B03</t>
  </si>
  <si>
    <t>D0545758:N22</t>
  </si>
  <si>
    <t>D0554065</t>
  </si>
  <si>
    <t>D0554065:B03</t>
  </si>
  <si>
    <t>D0545758:H06</t>
  </si>
  <si>
    <t>D0554066</t>
  </si>
  <si>
    <t>K</t>
  </si>
  <si>
    <t>D0554066:K11</t>
  </si>
  <si>
    <t>D0545766:A17</t>
  </si>
  <si>
    <t>D0554066:P10</t>
  </si>
  <si>
    <t>D0545752:H07</t>
  </si>
  <si>
    <t>D0554066:H19</t>
  </si>
  <si>
    <t>D0545760:D10</t>
  </si>
  <si>
    <t>D0554070</t>
  </si>
  <si>
    <t>D0554070:A21</t>
  </si>
  <si>
    <t>D0545768:P13</t>
  </si>
  <si>
    <t>G</t>
  </si>
  <si>
    <t>D0554066:G24</t>
  </si>
  <si>
    <t>D0545766:K08</t>
  </si>
  <si>
    <t>D0554068:D18</t>
  </si>
  <si>
    <t>D0545758:D06</t>
  </si>
  <si>
    <t>D0554064</t>
  </si>
  <si>
    <t>D0554064:M17</t>
  </si>
  <si>
    <t>D0545744:O03</t>
  </si>
  <si>
    <t>D0554068:A24</t>
  </si>
  <si>
    <t>D0545752:I11</t>
  </si>
  <si>
    <t>D0554065:F21</t>
  </si>
  <si>
    <t>D0545758:D20</t>
  </si>
  <si>
    <t>D0554071:M17</t>
  </si>
  <si>
    <t>D0545766:A06</t>
  </si>
  <si>
    <t>N</t>
  </si>
  <si>
    <t>D0554071:N06</t>
  </si>
  <si>
    <t>Mk-677 or ibutamoren</t>
  </si>
  <si>
    <t>D0545766:P16</t>
  </si>
  <si>
    <t>O</t>
  </si>
  <si>
    <t>D0554072:O22</t>
  </si>
  <si>
    <t>D0554072:L04</t>
  </si>
  <si>
    <t>E</t>
  </si>
  <si>
    <t>D0554065:E07</t>
  </si>
  <si>
    <t>Propyl gallate</t>
  </si>
  <si>
    <t>D0545764:L17</t>
  </si>
  <si>
    <t>D0554072:P03</t>
  </si>
  <si>
    <t>D0554069:D23</t>
  </si>
  <si>
    <t>TR06481357-002</t>
  </si>
  <si>
    <t>D0545754:A24</t>
  </si>
  <si>
    <t>D0554064:E24</t>
  </si>
  <si>
    <t>D0545766:I20</t>
  </si>
  <si>
    <t>D0554069:P09</t>
  </si>
  <si>
    <t>TR06466656-001</t>
  </si>
  <si>
    <t>D0545768:N24</t>
  </si>
  <si>
    <t>D0554067:P10</t>
  </si>
  <si>
    <t>D0545766:K23</t>
  </si>
  <si>
    <t>D0554067:P11</t>
  </si>
  <si>
    <t>D0545752:G13</t>
  </si>
  <si>
    <t>D0554064:M09</t>
  </si>
  <si>
    <t>D0545758:P10</t>
  </si>
  <si>
    <t>D0554064:A07</t>
  </si>
  <si>
    <t>D0545744:A09</t>
  </si>
  <si>
    <t>D0554064:E01</t>
  </si>
  <si>
    <t>D0545762:P05</t>
  </si>
  <si>
    <t>D0554064:B20</t>
  </si>
  <si>
    <t>D0552256:D15</t>
  </si>
  <si>
    <t>D0554064:L09</t>
  </si>
  <si>
    <t>D0545766:G11</t>
  </si>
  <si>
    <t>D0554064:A02</t>
  </si>
  <si>
    <t>D0545746:A04</t>
  </si>
  <si>
    <t>C</t>
  </si>
  <si>
    <t>D0554072:C01</t>
  </si>
  <si>
    <t>D0545764:L24</t>
  </si>
  <si>
    <t>D0554067:P02</t>
  </si>
  <si>
    <t>D0545768:B07</t>
  </si>
  <si>
    <t>D0554066:A17</t>
  </si>
  <si>
    <t>D0545772:K15</t>
  </si>
  <si>
    <t>D0554071:H01</t>
  </si>
  <si>
    <t>D0545766:A12</t>
  </si>
  <si>
    <t>D0554071:P07</t>
  </si>
  <si>
    <t>D0545748:A06</t>
  </si>
  <si>
    <t>D0554067:A16</t>
  </si>
  <si>
    <t>D0545750:H02</t>
  </si>
  <si>
    <t>D0554065:P12</t>
  </si>
  <si>
    <t>D0545768:N05</t>
  </si>
  <si>
    <t>D0554064:H23</t>
  </si>
  <si>
    <t>D0545760:L20</t>
  </si>
  <si>
    <t>D0554065:C13</t>
  </si>
  <si>
    <t>D0545744:J10</t>
  </si>
  <si>
    <t>D0554064:A10</t>
  </si>
  <si>
    <t>D0545750:E06</t>
  </si>
  <si>
    <t>D0554064:O05</t>
  </si>
  <si>
    <t>D0545762:D14</t>
  </si>
  <si>
    <t>D0554064:N18</t>
  </si>
  <si>
    <t>D0545760:B02</t>
  </si>
  <si>
    <t>D0554064:A24</t>
  </si>
  <si>
    <t>D0545748:D23</t>
  </si>
  <si>
    <t>D0554064:G11</t>
  </si>
  <si>
    <t>D0545744:O20</t>
  </si>
  <si>
    <t>D0554067:A23</t>
  </si>
  <si>
    <t>D0545750:I17</t>
  </si>
  <si>
    <t>D0554066:E24</t>
  </si>
  <si>
    <t>D0545750:B19</t>
  </si>
  <si>
    <t>D0554067:D23</t>
  </si>
  <si>
    <t>D0545744:G22</t>
  </si>
  <si>
    <t>D0554071:G01</t>
  </si>
  <si>
    <t>D0552256:O22</t>
  </si>
  <si>
    <t>D0554063:P20</t>
  </si>
  <si>
    <t>D0545764:L19</t>
  </si>
  <si>
    <t>D0554064:A15</t>
  </si>
  <si>
    <t>D0545748:P18</t>
  </si>
  <si>
    <t>D0554064:P07</t>
  </si>
  <si>
    <t>D0545746:K03</t>
  </si>
  <si>
    <t>D0554066:C23</t>
  </si>
  <si>
    <t>D0545766:H09</t>
  </si>
  <si>
    <t>D0554064:H01</t>
  </si>
  <si>
    <t>D0545744:N11</t>
  </si>
  <si>
    <t>D0554064:B01</t>
  </si>
  <si>
    <t>D0545744:K22</t>
  </si>
  <si>
    <t>D0554068:B02</t>
  </si>
  <si>
    <t>D0545752:B07</t>
  </si>
  <si>
    <t>D0554066:C22</t>
  </si>
  <si>
    <t>D0552256:G08</t>
  </si>
  <si>
    <t>D0554064:H24</t>
  </si>
  <si>
    <t>D0545754:J13</t>
  </si>
  <si>
    <t>D0554064:M01</t>
  </si>
  <si>
    <t>D0545748:F10</t>
  </si>
  <si>
    <t>D0554072:P06</t>
  </si>
  <si>
    <t>D0554068:A12</t>
  </si>
  <si>
    <t>D0545748:M19</t>
  </si>
  <si>
    <t>D0554065:G24</t>
  </si>
  <si>
    <t>D0545744:K16</t>
  </si>
  <si>
    <t>D0554064:C12</t>
  </si>
  <si>
    <t>D0545750:J17</t>
  </si>
  <si>
    <t>D0554066:P13</t>
  </si>
  <si>
    <t>D0545752:D18</t>
  </si>
  <si>
    <t>D0554064:O13</t>
  </si>
  <si>
    <t>D0545744:E16</t>
  </si>
  <si>
    <t>D0554064:C14</t>
  </si>
  <si>
    <t>D0545748:L22</t>
  </si>
  <si>
    <t>D0554066:D13</t>
  </si>
  <si>
    <t>D0545746:N09</t>
  </si>
  <si>
    <t>D0554065:A07</t>
  </si>
  <si>
    <t>D0545750:O14</t>
  </si>
  <si>
    <t>D0554066:D01</t>
  </si>
  <si>
    <t>D0545750:J23</t>
  </si>
  <si>
    <t>D0554064:D24</t>
  </si>
  <si>
    <t>D0545758:D15</t>
  </si>
  <si>
    <t>D0554072:B22</t>
  </si>
  <si>
    <t>I</t>
  </si>
  <si>
    <t>D0554064:I03</t>
  </si>
  <si>
    <t>D0545754:K23</t>
  </si>
  <si>
    <t>D0554064:P01</t>
  </si>
  <si>
    <t>D0545746:L12</t>
  </si>
  <si>
    <t>D0554066:C02</t>
  </si>
  <si>
    <t>D0545764:P24</t>
  </si>
  <si>
    <t>D0554069:P22</t>
  </si>
  <si>
    <t>TR06481278-002</t>
  </si>
  <si>
    <t>D0545770:J07</t>
  </si>
  <si>
    <t>D0554063:I03</t>
  </si>
  <si>
    <t>D0545750:G03</t>
  </si>
  <si>
    <t>D0554064:C01</t>
  </si>
  <si>
    <t>D0545744:K11</t>
  </si>
  <si>
    <t>D0554064:M05</t>
  </si>
  <si>
    <t>D0545764:F05</t>
  </si>
  <si>
    <t>D0554064:C13</t>
  </si>
  <si>
    <t>D0545766:O11</t>
  </si>
  <si>
    <t>D0554065:D01</t>
  </si>
  <si>
    <t>D0545758:G08</t>
  </si>
  <si>
    <t>D0554064:A03</t>
  </si>
  <si>
    <t>D0545752:K05</t>
  </si>
  <si>
    <t>D0554064:G22</t>
  </si>
  <si>
    <t>D0545760:K08</t>
  </si>
  <si>
    <t>D0554064:N22</t>
  </si>
  <si>
    <t>D0545758:O09</t>
  </si>
  <si>
    <t>D0554064:G13</t>
  </si>
  <si>
    <t>D0545758:M09</t>
  </si>
  <si>
    <t>D0554065:L01</t>
  </si>
  <si>
    <t>D0545748:H06</t>
  </si>
  <si>
    <t>J</t>
  </si>
  <si>
    <t>D0554064:J01</t>
  </si>
  <si>
    <t>D0545744:I21</t>
  </si>
  <si>
    <t>D0554064:J03</t>
  </si>
  <si>
    <t>D0545768:K24</t>
  </si>
  <si>
    <t>D0554064:A11</t>
  </si>
  <si>
    <t>D0545758:L23</t>
  </si>
  <si>
    <t>D0554065:A03</t>
  </si>
  <si>
    <t>D0545748:D01</t>
  </si>
  <si>
    <t>D0554063:C01</t>
  </si>
  <si>
    <t>D0545750:N07</t>
  </si>
  <si>
    <t>D0554069:P01</t>
  </si>
  <si>
    <t>TR06445616-002</t>
  </si>
  <si>
    <t>D0545768:D06</t>
  </si>
  <si>
    <t>D0554069:C04</t>
  </si>
  <si>
    <t>TR06446220-001</t>
  </si>
  <si>
    <t>D0545760:H23</t>
  </si>
  <si>
    <t>D0554064:B13</t>
  </si>
  <si>
    <t>D0545760:A02</t>
  </si>
  <si>
    <t>D0554064:N14</t>
  </si>
  <si>
    <t>D0545752:I13</t>
  </si>
  <si>
    <t>D0554066:N01</t>
  </si>
  <si>
    <t>D0545752:A01</t>
  </si>
  <si>
    <t>D0554064:I02</t>
  </si>
  <si>
    <t>D0545746:D06</t>
  </si>
  <si>
    <t>D0554064:C03</t>
  </si>
  <si>
    <t>D0545744:F08</t>
  </si>
  <si>
    <t>D0554072:O14</t>
  </si>
  <si>
    <t>D0554064:I23</t>
  </si>
  <si>
    <t>D0545746:B06</t>
  </si>
  <si>
    <t>D0554067:I23</t>
  </si>
  <si>
    <t>D0545764:I12</t>
  </si>
  <si>
    <t>D0554063:D24</t>
  </si>
  <si>
    <t>D0545748:N17</t>
  </si>
  <si>
    <t>D0554066:G23</t>
  </si>
  <si>
    <t>D0545748:A10</t>
  </si>
  <si>
    <t>D0554069:O02</t>
  </si>
  <si>
    <t>TR06445904-002</t>
  </si>
  <si>
    <t>D0545758:B18</t>
  </si>
  <si>
    <t>D0554065:A14</t>
  </si>
  <si>
    <t>D0545758:M02</t>
  </si>
  <si>
    <t>D0554064:O08</t>
  </si>
  <si>
    <t>D0545746:A10</t>
  </si>
  <si>
    <t>D0554063:I01</t>
  </si>
  <si>
    <t>D0545760:N04</t>
  </si>
  <si>
    <t>D0554065:A13</t>
  </si>
  <si>
    <t>D0545766:A07</t>
  </si>
  <si>
    <t>D0554064:B24</t>
  </si>
  <si>
    <t>D0545750:F23</t>
  </si>
  <si>
    <t>D0554072:P08</t>
  </si>
  <si>
    <t>D0554067:F19</t>
  </si>
  <si>
    <t>D0545770:I21</t>
  </si>
  <si>
    <t>D0554064:A17</t>
  </si>
  <si>
    <t>D0545750:K12</t>
  </si>
  <si>
    <t>D0554067:O03</t>
  </si>
  <si>
    <t>D0545750:C02</t>
  </si>
  <si>
    <t>D0554064:A23</t>
  </si>
  <si>
    <t>D0545760:G07</t>
  </si>
  <si>
    <t>D0554069:P12</t>
  </si>
  <si>
    <t>TR06470552-001</t>
  </si>
  <si>
    <t>D0545750:H07</t>
  </si>
  <si>
    <t>D0554070:C01</t>
  </si>
  <si>
    <t>D0545766:J18</t>
  </si>
  <si>
    <t>D0554064:D20</t>
  </si>
  <si>
    <t>D0545748:G11</t>
  </si>
  <si>
    <t>D0554069:O03</t>
  </si>
  <si>
    <t>TR06446157-003</t>
  </si>
  <si>
    <t>D0545746:I10</t>
  </si>
  <si>
    <t>D0554064:L23</t>
  </si>
  <si>
    <t>D0545766:E12</t>
  </si>
  <si>
    <t>D0554064:A14</t>
  </si>
  <si>
    <t>D0545764:H13</t>
  </si>
  <si>
    <t>D0554066:A24</t>
  </si>
  <si>
    <t>D0545744:E18</t>
  </si>
  <si>
    <t>D0554064:J02</t>
  </si>
  <si>
    <t>D0545766:C10</t>
  </si>
  <si>
    <t>D0554064:K04</t>
  </si>
  <si>
    <t>D0545766:M02</t>
  </si>
  <si>
    <t>D0554072:P15</t>
  </si>
  <si>
    <t>D0554072:B21</t>
  </si>
  <si>
    <t>D0554069:C23</t>
  </si>
  <si>
    <t>TR06481356-002</t>
  </si>
  <si>
    <t>D0545760:K21</t>
  </si>
  <si>
    <t>D0554064:B10</t>
  </si>
  <si>
    <t>D0545764:K19</t>
  </si>
  <si>
    <t>D0554063:E24</t>
  </si>
  <si>
    <t>D0545756:E05</t>
  </si>
  <si>
    <t>D0554063:B24</t>
  </si>
  <si>
    <t>D0545752:N20</t>
  </si>
  <si>
    <t>D0554064:C24</t>
  </si>
  <si>
    <t>D0545744:K12</t>
  </si>
  <si>
    <t>D0554064:K22</t>
  </si>
  <si>
    <t>D0545750:E22</t>
  </si>
  <si>
    <t>D0554067:A04</t>
  </si>
  <si>
    <t>D0545744:B10</t>
  </si>
  <si>
    <t>D0554069:N21</t>
  </si>
  <si>
    <t>TR06480947-001</t>
  </si>
  <si>
    <t>D0545750:D08</t>
  </si>
  <si>
    <t>D0554072:K01</t>
  </si>
  <si>
    <t>D0545766:I04</t>
  </si>
  <si>
    <t>D0554064:B22</t>
  </si>
  <si>
    <t>D0545752:D09</t>
  </si>
  <si>
    <t>D0554064:K14</t>
  </si>
  <si>
    <t>D0545748:K08</t>
  </si>
  <si>
    <t>D0554071:P23</t>
  </si>
  <si>
    <t>D0545772:M19</t>
  </si>
  <si>
    <t>D0554065:D24</t>
  </si>
  <si>
    <t>D0545762:J24</t>
  </si>
  <si>
    <t>D0554072:A23</t>
  </si>
  <si>
    <t>D0554063:E01</t>
  </si>
  <si>
    <t>D0545744:L03</t>
  </si>
  <si>
    <t>D0554064:P23</t>
  </si>
  <si>
    <t>D0545768:B21</t>
  </si>
  <si>
    <t>D0554064:P20</t>
  </si>
  <si>
    <t>D0545766:P24</t>
  </si>
  <si>
    <t>D0554064:L01</t>
  </si>
  <si>
    <t>D0545754:P01</t>
  </si>
  <si>
    <t>D0554064:I09</t>
  </si>
  <si>
    <t>D0545752:I05</t>
  </si>
  <si>
    <t>D0554068:K01</t>
  </si>
  <si>
    <t>D0552256:B23</t>
  </si>
  <si>
    <t>D0554065:K21</t>
  </si>
  <si>
    <t>D0545750:A02</t>
  </si>
  <si>
    <t>D0554064:O22</t>
  </si>
  <si>
    <t>TR01455649-002</t>
  </si>
  <si>
    <t>D0545750:J15</t>
  </si>
  <si>
    <t>D0554064:P16</t>
  </si>
  <si>
    <t>D0545746:N03</t>
  </si>
  <si>
    <t>D0554066:K01</t>
  </si>
  <si>
    <t>D0545748:I06</t>
  </si>
  <si>
    <t>D0554063:O04</t>
  </si>
  <si>
    <t>D0545744:I11</t>
  </si>
  <si>
    <t>D0554064:C20</t>
  </si>
  <si>
    <t>D0545766:F16</t>
  </si>
  <si>
    <t>D0554067:C23</t>
  </si>
  <si>
    <t>D0545752:M17</t>
  </si>
  <si>
    <t>D0554064:D02</t>
  </si>
  <si>
    <t>D0545766:O16</t>
  </si>
  <si>
    <t>D0554064:B03</t>
  </si>
  <si>
    <t>D0545758:M12</t>
  </si>
  <si>
    <t>D0554071:O22</t>
  </si>
  <si>
    <t>D0545768:K04</t>
  </si>
  <si>
    <t>D0554066:I02</t>
  </si>
  <si>
    <t>D0552256:G18</t>
  </si>
  <si>
    <t>D0554066:H13</t>
  </si>
  <si>
    <t>D0545760:J24</t>
  </si>
  <si>
    <t>D0554067:B24</t>
  </si>
  <si>
    <t>D0545764:N10</t>
  </si>
  <si>
    <t>D0554063:E04</t>
  </si>
  <si>
    <t>D0545766:I21</t>
  </si>
  <si>
    <t>D0554065:A20</t>
  </si>
  <si>
    <t>D0545758:C21</t>
  </si>
  <si>
    <t>D0554066:P17</t>
  </si>
  <si>
    <t>D0545766:N13</t>
  </si>
  <si>
    <t>D0554064:C02</t>
  </si>
  <si>
    <t>D0545744:B04</t>
  </si>
  <si>
    <t>D0554069:E24</t>
  </si>
  <si>
    <t>TR06482790-001</t>
  </si>
  <si>
    <t>D0545762:B19</t>
  </si>
  <si>
    <t>D0554067:O17</t>
  </si>
  <si>
    <t>D0545748:N02</t>
  </si>
  <si>
    <t>D0554064:C23</t>
  </si>
  <si>
    <t>D0545762:A12</t>
  </si>
  <si>
    <t>D0554067:O04</t>
  </si>
  <si>
    <t>D0545760:D19</t>
  </si>
  <si>
    <t>D0554064:J06</t>
  </si>
  <si>
    <t>D0545750:B05</t>
  </si>
  <si>
    <t>D0554068:J01</t>
  </si>
  <si>
    <t>D0545744:N19</t>
  </si>
  <si>
    <t>D0554068:O14</t>
  </si>
  <si>
    <t>D0545766:F11</t>
  </si>
  <si>
    <t>D0554072:P22</t>
  </si>
  <si>
    <t>D0554064:N02</t>
  </si>
  <si>
    <t>D0545750:G23</t>
  </si>
  <si>
    <t>D0554065:K17</t>
  </si>
  <si>
    <t>D0545750:K11</t>
  </si>
  <si>
    <t>D0554064:N21</t>
  </si>
  <si>
    <t>D0545752:B16</t>
  </si>
  <si>
    <t>D0554065:G23</t>
  </si>
  <si>
    <t>D0545746:G03</t>
  </si>
  <si>
    <t>D0554064:B06</t>
  </si>
  <si>
    <t>D0545764:J03</t>
  </si>
  <si>
    <t>D0554067:L05</t>
  </si>
  <si>
    <t>D0545768:K15</t>
  </si>
  <si>
    <t>D0554072:O21</t>
  </si>
  <si>
    <t>D0554068:B23</t>
  </si>
  <si>
    <t>D0545754:I14</t>
  </si>
  <si>
    <t>D0554064:C17</t>
  </si>
  <si>
    <t>D0545760:M24</t>
  </si>
  <si>
    <t>D0554064:O23</t>
  </si>
  <si>
    <t>D0545750:F17</t>
  </si>
  <si>
    <t>D0554067:P12</t>
  </si>
  <si>
    <t>D0545746:H07</t>
  </si>
  <si>
    <t>D0554064:D18</t>
  </si>
  <si>
    <t>D0545754:G06</t>
  </si>
  <si>
    <t>D0554064:M15</t>
  </si>
  <si>
    <t>D0545748:B14</t>
  </si>
  <si>
    <t>D0554064:D06</t>
  </si>
  <si>
    <t>D0545758:E15</t>
  </si>
  <si>
    <t>D0554071:N23</t>
  </si>
  <si>
    <t>D0545764:I18</t>
  </si>
  <si>
    <t>D0554070:P10</t>
  </si>
  <si>
    <t>D0545758:F14</t>
  </si>
  <si>
    <t>D0554067:J01</t>
  </si>
  <si>
    <t>D0545758:K19</t>
  </si>
  <si>
    <t>D0554064:F17</t>
  </si>
  <si>
    <t>D0545746:A03</t>
  </si>
  <si>
    <t>D0554070:P23</t>
  </si>
  <si>
    <t>D0545770:L13</t>
  </si>
  <si>
    <t>D0554065:B23</t>
  </si>
  <si>
    <t>D0545748:A15</t>
  </si>
  <si>
    <t>D0554072:O06</t>
  </si>
  <si>
    <t>D0554067:N09</t>
  </si>
  <si>
    <t>D0545762:I16</t>
  </si>
  <si>
    <t>D0554063:A01</t>
  </si>
  <si>
    <t>D0545744:B03</t>
  </si>
  <si>
    <t>D0554064:I07</t>
  </si>
  <si>
    <t>D0545748:M17</t>
  </si>
  <si>
    <t>D0554064:O11</t>
  </si>
  <si>
    <t>D0545748:N12</t>
  </si>
  <si>
    <t>D0554064:P09</t>
  </si>
  <si>
    <t>D0545764:G24</t>
  </si>
  <si>
    <t>D0554069:M08</t>
  </si>
  <si>
    <t>TR06462251-002</t>
  </si>
  <si>
    <t>D0545758:F22</t>
  </si>
  <si>
    <t>D0554071:H19</t>
  </si>
  <si>
    <t>D0545770:K05</t>
  </si>
  <si>
    <t>D0554064:J08</t>
  </si>
  <si>
    <t>D0545748:H07</t>
  </si>
  <si>
    <t>D0554065:B15</t>
  </si>
  <si>
    <t>D0545768:D11</t>
  </si>
  <si>
    <t>D0554066:I01</t>
  </si>
  <si>
    <t>TR01699029-003</t>
  </si>
  <si>
    <t>D0545764:E09</t>
  </si>
  <si>
    <t>D0554065:I23</t>
  </si>
  <si>
    <t>D0545748:F22</t>
  </si>
  <si>
    <t>D0554072:H01</t>
  </si>
  <si>
    <t>D0545748:D21</t>
  </si>
  <si>
    <t>D0554071:L01</t>
  </si>
  <si>
    <t>D0545752:G20</t>
  </si>
  <si>
    <t>D0554064:K17</t>
  </si>
  <si>
    <t>D0545746:G04</t>
  </si>
  <si>
    <t>D0554064:K20</t>
  </si>
  <si>
    <t>D0545766:O10</t>
  </si>
  <si>
    <t>D0554063:C19</t>
  </si>
  <si>
    <t>D0545758:P24</t>
  </si>
  <si>
    <t>D0554064:E13</t>
  </si>
  <si>
    <t>D0545758:B05</t>
  </si>
  <si>
    <t>D0554067:K23</t>
  </si>
  <si>
    <t>D0545754:F15</t>
  </si>
  <si>
    <t>D0554069:M22</t>
  </si>
  <si>
    <t>TR06481234-002</t>
  </si>
  <si>
    <t>D0545744:N17</t>
  </si>
  <si>
    <t>D0554064:P12</t>
  </si>
  <si>
    <t>D0545766:A11</t>
  </si>
  <si>
    <t>D0554072:B01</t>
  </si>
  <si>
    <t>D0545748:I18</t>
  </si>
  <si>
    <t>D0554068:K23</t>
  </si>
  <si>
    <t>D0545750:F11</t>
  </si>
  <si>
    <t>D0554065:J23</t>
  </si>
  <si>
    <t>D0545746:E15</t>
  </si>
  <si>
    <t>D0554064:A04</t>
  </si>
  <si>
    <t>D0545768:L21</t>
  </si>
  <si>
    <t>D0554064:A16</t>
  </si>
  <si>
    <t>D0545748:K23</t>
  </si>
  <si>
    <t>D0554064:D17</t>
  </si>
  <si>
    <t>D0545750:B10</t>
  </si>
  <si>
    <t>D0554066:F20</t>
  </si>
  <si>
    <t>D0545750:G08</t>
  </si>
  <si>
    <t>D0554063:M01</t>
  </si>
  <si>
    <t>D0545752:G11</t>
  </si>
  <si>
    <t>D0554066:K21</t>
  </si>
  <si>
    <t>D0545754:G20</t>
  </si>
  <si>
    <t>D0554064:O02</t>
  </si>
  <si>
    <t>D0545746:H16</t>
  </si>
  <si>
    <t>D0554072:F23</t>
  </si>
  <si>
    <t>D0554070:I15</t>
  </si>
  <si>
    <t>D0545766:B15</t>
  </si>
  <si>
    <t>D0554067:E01</t>
  </si>
  <si>
    <t>D0545756:I07</t>
  </si>
  <si>
    <t>D0554063:F24</t>
  </si>
  <si>
    <t>D0545748:M11</t>
  </si>
  <si>
    <t>D0554072:I01</t>
  </si>
  <si>
    <t>D0545744:M10</t>
  </si>
  <si>
    <t>D0554066:E23</t>
  </si>
  <si>
    <t>D0545750:C13</t>
  </si>
  <si>
    <t>D0554069:A23</t>
  </si>
  <si>
    <t>D0545746:H10</t>
  </si>
  <si>
    <t>D0554064:H22</t>
  </si>
  <si>
    <t>D0545746:A13</t>
  </si>
  <si>
    <t>D0554064:O10</t>
  </si>
  <si>
    <t>D0545770:I04</t>
  </si>
  <si>
    <t>D0554064:L20</t>
  </si>
  <si>
    <t>D0545750:K19</t>
  </si>
  <si>
    <t>D0554072:L11</t>
  </si>
  <si>
    <t>D0554072:C24</t>
  </si>
  <si>
    <t>D0554064:P15</t>
  </si>
  <si>
    <t>D0545748:I09</t>
  </si>
  <si>
    <t>D0554064:P02</t>
  </si>
  <si>
    <t>D0545762:G18</t>
  </si>
  <si>
    <t>D0554064:D14</t>
  </si>
  <si>
    <t>D0545760:C15</t>
  </si>
  <si>
    <t>D0554064:O21</t>
  </si>
  <si>
    <t>D0545760:I15</t>
  </si>
  <si>
    <t>D0554071:O01</t>
  </si>
  <si>
    <t>D0545756:A17</t>
  </si>
  <si>
    <t>D0554064:M13</t>
  </si>
  <si>
    <t>D0545764:E16</t>
  </si>
  <si>
    <t>D0554064:C09</t>
  </si>
  <si>
    <t>D0545750:K16</t>
  </si>
  <si>
    <t>D0554064:A06</t>
  </si>
  <si>
    <t>D0545758:G12</t>
  </si>
  <si>
    <t>D0554064:M14</t>
  </si>
  <si>
    <t>D0545762:J10</t>
  </si>
  <si>
    <t>D0554072:D02</t>
  </si>
  <si>
    <t>D0545772:K11</t>
  </si>
  <si>
    <t>D0554064:M11</t>
  </si>
  <si>
    <t>D0545750:A11</t>
  </si>
  <si>
    <t>D0554063:A24</t>
  </si>
  <si>
    <t>D0545752:D08</t>
  </si>
  <si>
    <t>D0554066:C17</t>
  </si>
  <si>
    <t>D0545760:I22</t>
  </si>
  <si>
    <t>D0554064:J12</t>
  </si>
  <si>
    <t>D0545748:L18</t>
  </si>
  <si>
    <t>D0554064:D11</t>
  </si>
  <si>
    <t>D0545748:G06</t>
  </si>
  <si>
    <t>D0554072:B15</t>
  </si>
  <si>
    <t>D0554064:O20</t>
  </si>
  <si>
    <t>D0545758:J06</t>
  </si>
  <si>
    <t>D0554064:O18</t>
  </si>
  <si>
    <t>D0545760:C02</t>
  </si>
  <si>
    <t>D0554067:L04</t>
  </si>
  <si>
    <t>D0545744:N20</t>
  </si>
  <si>
    <t>D0554071:B24</t>
  </si>
  <si>
    <t>D0545750:L02</t>
  </si>
  <si>
    <t>D0554065:P06</t>
  </si>
  <si>
    <t>D0545746:E24</t>
  </si>
  <si>
    <t>D0554064:A18</t>
  </si>
  <si>
    <t>D0545768:B23</t>
  </si>
  <si>
    <t>D0554071:B01</t>
  </si>
  <si>
    <t>D0545752:K09</t>
  </si>
  <si>
    <t>D0554072:N22</t>
  </si>
  <si>
    <t>D0554064:A08</t>
  </si>
  <si>
    <t>D0545746:H08</t>
  </si>
  <si>
    <t>D0554072:E01</t>
  </si>
  <si>
    <t>D0545746:D17</t>
  </si>
  <si>
    <t>D0554066:J03</t>
  </si>
  <si>
    <t>D0545752:G15</t>
  </si>
  <si>
    <t>D0554065:A05</t>
  </si>
  <si>
    <t>D0545744:D06</t>
  </si>
  <si>
    <t>D0554064:M12</t>
  </si>
  <si>
    <t>D0545744:H18</t>
  </si>
  <si>
    <t>D0554063:H24</t>
  </si>
  <si>
    <t>D0545762:F12</t>
  </si>
  <si>
    <t>D0554064:M19</t>
  </si>
  <si>
    <t>D0545764:P19</t>
  </si>
  <si>
    <t>D0554063:G21</t>
  </si>
  <si>
    <t>D0545746:G23</t>
  </si>
  <si>
    <t>D0554066:O21</t>
  </si>
  <si>
    <t>D0545760:B01</t>
  </si>
  <si>
    <t>D0554064:J13</t>
  </si>
  <si>
    <t>D0545744:B22</t>
  </si>
  <si>
    <t>D0554064:C21</t>
  </si>
  <si>
    <t>D0545760:C05</t>
  </si>
  <si>
    <t>D0554072:P13</t>
  </si>
  <si>
    <t>D0554064:G23</t>
  </si>
  <si>
    <t>D0545756:E01</t>
  </si>
  <si>
    <t>D0554064:F01</t>
  </si>
  <si>
    <t>D0545750:H23</t>
  </si>
  <si>
    <t>D0554072:O10</t>
  </si>
  <si>
    <t>D0554066:M13</t>
  </si>
  <si>
    <t>D0545758:I12</t>
  </si>
  <si>
    <t>D0554072:P11</t>
  </si>
  <si>
    <t>D0554068:H24</t>
  </si>
  <si>
    <t>D0545752:C01</t>
  </si>
  <si>
    <t>D0554064:L08</t>
  </si>
  <si>
    <t>D0545762:A01</t>
  </si>
  <si>
    <t>D0554065:O20</t>
  </si>
  <si>
    <t>D0545762:P16</t>
  </si>
  <si>
    <t>D0554066:B18</t>
  </si>
  <si>
    <t>D0545760:A18</t>
  </si>
  <si>
    <t>D0554064:D23</t>
  </si>
  <si>
    <t>D0545752:F03</t>
  </si>
  <si>
    <t>D0554065:I20</t>
  </si>
  <si>
    <t>D0545764:F01</t>
  </si>
  <si>
    <t>D0554066:C15</t>
  </si>
  <si>
    <t>D0545764:K04</t>
  </si>
  <si>
    <t>D0554069:A03</t>
  </si>
  <si>
    <t>TR06445937-002</t>
  </si>
  <si>
    <t>D0545746:P13</t>
  </si>
  <si>
    <t>D0554064:L17</t>
  </si>
  <si>
    <t>D0545762:N05</t>
  </si>
  <si>
    <t>D0554064:B11</t>
  </si>
  <si>
    <t>D0545762:E07</t>
  </si>
  <si>
    <t>D0554064:E22</t>
  </si>
  <si>
    <t>D0545764:C19</t>
  </si>
  <si>
    <t>D0554066:O03</t>
  </si>
  <si>
    <t>D0545746:E13</t>
  </si>
  <si>
    <t>D0554064:G02</t>
  </si>
  <si>
    <t>TR01286843-004</t>
  </si>
  <si>
    <t>D0545762:G19</t>
  </si>
  <si>
    <t>D0554064:B15</t>
  </si>
  <si>
    <t>D0545764:E24</t>
  </si>
  <si>
    <t>D0554066:F06</t>
  </si>
  <si>
    <t>D0545746:J12</t>
  </si>
  <si>
    <t>D0554064:O01</t>
  </si>
  <si>
    <t>D0545762:M13</t>
  </si>
  <si>
    <t>D0554064:B07</t>
  </si>
  <si>
    <t>D0545762:P06</t>
  </si>
  <si>
    <t>D0554066:M23</t>
  </si>
  <si>
    <t>D0545764:E02</t>
  </si>
  <si>
    <t>D0554064:D22</t>
  </si>
  <si>
    <t>D0545752:K15</t>
  </si>
  <si>
    <t>D0554065:B22</t>
  </si>
  <si>
    <t>D0545744:J02</t>
  </si>
  <si>
    <t>D0554069:M04</t>
  </si>
  <si>
    <t>TR06449266-001</t>
  </si>
  <si>
    <t>D0545768:F07</t>
  </si>
  <si>
    <t>D0554064:E15</t>
  </si>
  <si>
    <t>D0545752:F02</t>
  </si>
  <si>
    <t>D0554071:J05</t>
  </si>
  <si>
    <t>D0545748:B19</t>
  </si>
  <si>
    <t>D0554063:J01</t>
  </si>
  <si>
    <t>D0545744:N22</t>
  </si>
  <si>
    <t>D0554067:N02</t>
  </si>
  <si>
    <t>D0545750:D17</t>
  </si>
  <si>
    <t>D0554064:M02</t>
  </si>
  <si>
    <t>D0545754:C20</t>
  </si>
  <si>
    <t>D0554064:K02</t>
  </si>
  <si>
    <t>D0545760:D21</t>
  </si>
  <si>
    <t>D0554067:P20</t>
  </si>
  <si>
    <t>D0545752:A04</t>
  </si>
  <si>
    <t>D0554066:A11</t>
  </si>
  <si>
    <t>D0545748:L16</t>
  </si>
  <si>
    <t>D0554066:A23</t>
  </si>
  <si>
    <t>D0545748:L02</t>
  </si>
  <si>
    <t>D0554064:C06</t>
  </si>
  <si>
    <t>D0545766:J23</t>
  </si>
  <si>
    <t>D0554066:B01</t>
  </si>
  <si>
    <t>D0545746:N04</t>
  </si>
  <si>
    <t>D0554064:B08</t>
  </si>
  <si>
    <t>D0545770:O07</t>
  </si>
  <si>
    <t>D0554064:L02</t>
  </si>
  <si>
    <t>D0545746:E16</t>
  </si>
  <si>
    <t>D0554069:P08</t>
  </si>
  <si>
    <t>TR06466182-001</t>
  </si>
  <si>
    <t>D0545766:D04</t>
  </si>
  <si>
    <t>D0554069:P05</t>
  </si>
  <si>
    <t>TR06459825-001</t>
  </si>
  <si>
    <t>D0545770:C11</t>
  </si>
  <si>
    <t>D0554071:A24</t>
  </si>
  <si>
    <t>D0545764:B10</t>
  </si>
  <si>
    <t>D0554066:P11</t>
  </si>
  <si>
    <t>D0545760:F11</t>
  </si>
  <si>
    <t>D0554070:P07</t>
  </si>
  <si>
    <t>D0545770:C01</t>
  </si>
  <si>
    <t>D0554064:I08</t>
  </si>
  <si>
    <t>D0545748:B20</t>
  </si>
  <si>
    <t>D0554067:P03</t>
  </si>
  <si>
    <t>D0545766:I16</t>
  </si>
  <si>
    <t>D0554064:C16</t>
  </si>
  <si>
    <t>D0545746:M12</t>
  </si>
  <si>
    <t>D0554064:J16</t>
  </si>
  <si>
    <t>D0545750:B06</t>
  </si>
  <si>
    <t>D0554064:I05</t>
  </si>
  <si>
    <t>D0545748:C02</t>
  </si>
  <si>
    <t>D0554064:M23</t>
  </si>
  <si>
    <t>D0552256:J11</t>
  </si>
  <si>
    <t>D0554064:A22</t>
  </si>
  <si>
    <t>D0545762:B24</t>
  </si>
  <si>
    <t>D0554064:I10</t>
  </si>
  <si>
    <t>D0545746:L04</t>
  </si>
  <si>
    <t>D0554067:A07</t>
  </si>
  <si>
    <t>D0545748:C13</t>
  </si>
  <si>
    <t>D0554064:F15</t>
  </si>
  <si>
    <t>D0545748:N11</t>
  </si>
  <si>
    <t>D0554064:D07</t>
  </si>
  <si>
    <t>D0545754:K21</t>
  </si>
  <si>
    <t>D0554066:F16</t>
  </si>
  <si>
    <t>D0545762:M24</t>
  </si>
  <si>
    <t>D0554072:B02</t>
  </si>
  <si>
    <t>D0545768:P06</t>
  </si>
  <si>
    <t>D0554064:L04</t>
  </si>
  <si>
    <t>D0545746:K02</t>
  </si>
  <si>
    <t>D0554072:L20</t>
  </si>
  <si>
    <t>D0554069:D06</t>
  </si>
  <si>
    <t>D0545768:E24</t>
  </si>
  <si>
    <t>D0554067:H21</t>
  </si>
  <si>
    <t>D0545768:I12</t>
  </si>
  <si>
    <t>D0554064:M22</t>
  </si>
  <si>
    <t>D0545750:C06</t>
  </si>
  <si>
    <t>D0554066:J01</t>
  </si>
  <si>
    <t>D0545764:J15</t>
  </si>
  <si>
    <t>D0554066:A20</t>
  </si>
  <si>
    <t>D0545744:A22</t>
  </si>
  <si>
    <t>D0554064:G16</t>
  </si>
  <si>
    <t>D0545758:P03</t>
  </si>
  <si>
    <t>D0554063:C22</t>
  </si>
  <si>
    <t>D0545744:P11</t>
  </si>
  <si>
    <t>D0554065:B01</t>
  </si>
  <si>
    <t>D0545750:I06</t>
  </si>
  <si>
    <t>D0554066:C05</t>
  </si>
  <si>
    <t>D0545770:G08</t>
  </si>
  <si>
    <t>D0554069:O23</t>
  </si>
  <si>
    <t>TR06482691-001</t>
  </si>
  <si>
    <t>D0545750:F13</t>
  </si>
  <si>
    <t>D0554064:G14</t>
  </si>
  <si>
    <t>D0545746:D01</t>
  </si>
  <si>
    <t>D0554066:I23</t>
  </si>
  <si>
    <t>D0545770:L19</t>
  </si>
  <si>
    <t>D0554067:O23</t>
  </si>
  <si>
    <t>D0545762:O11</t>
  </si>
  <si>
    <t>D0554064:O04</t>
  </si>
  <si>
    <t>D0545762:L14</t>
  </si>
  <si>
    <t>D0554068:A23</t>
  </si>
  <si>
    <t>D0545766:G16</t>
  </si>
  <si>
    <t>D0554068:H23</t>
  </si>
  <si>
    <t>D0545768:L02</t>
  </si>
  <si>
    <t>D0554064:J20</t>
  </si>
  <si>
    <t>D0552256:J22</t>
  </si>
  <si>
    <t>D0554064:F18</t>
  </si>
  <si>
    <t>D0545768:B17</t>
  </si>
  <si>
    <t>D0554072:F24</t>
  </si>
  <si>
    <t>D0554069:P21</t>
  </si>
  <si>
    <t>TR06480980-001</t>
  </si>
  <si>
    <t>D0545768:M18</t>
  </si>
  <si>
    <t>D0554063:O03</t>
  </si>
  <si>
    <t>D0545760:A07</t>
  </si>
  <si>
    <t>D0554063:A23</t>
  </si>
  <si>
    <t>D0545744:F16</t>
  </si>
  <si>
    <t>D0554064:D03</t>
  </si>
  <si>
    <t>D0545758:D12</t>
  </si>
  <si>
    <t>D0554070:G24</t>
  </si>
  <si>
    <t>D0545750:J08</t>
  </si>
  <si>
    <t>D0554068:J11</t>
  </si>
  <si>
    <t>D0545760:O11</t>
  </si>
  <si>
    <t>D0554069:I01</t>
  </si>
  <si>
    <t>TR06445517-001</t>
  </si>
  <si>
    <t>D0545770:G19</t>
  </si>
  <si>
    <t>D0554072:N09</t>
  </si>
  <si>
    <t>D0554063:A19</t>
  </si>
  <si>
    <t>D0545750:O09</t>
  </si>
  <si>
    <t>D0554064:B02</t>
  </si>
  <si>
    <t>D0545758:F24</t>
  </si>
  <si>
    <t>D0554064:J11</t>
  </si>
  <si>
    <t>D0545744:L10</t>
  </si>
  <si>
    <t>D0554069:B02</t>
  </si>
  <si>
    <t>TR06445654-001</t>
  </si>
  <si>
    <t>D0545744:O02</t>
  </si>
  <si>
    <t>D0554065:A24</t>
  </si>
  <si>
    <t>D0552256:D20</t>
  </si>
  <si>
    <t>D0554069:A01</t>
  </si>
  <si>
    <t>TR06445458-001</t>
  </si>
  <si>
    <t>D0545752:P01</t>
  </si>
  <si>
    <t>D0554064:A05</t>
  </si>
  <si>
    <t>D0545744:H08</t>
  </si>
  <si>
    <t>D0554064:E17</t>
  </si>
  <si>
    <t>D0545752:O04</t>
  </si>
  <si>
    <t>D0554066:P02</t>
  </si>
  <si>
    <t>D0545744:P20</t>
  </si>
  <si>
    <t>D0554064:G12</t>
  </si>
  <si>
    <t>D0545750:D19</t>
  </si>
  <si>
    <t>D0554065:G03</t>
  </si>
  <si>
    <t>D0545764:O15</t>
  </si>
  <si>
    <t>D0554064:M20</t>
  </si>
  <si>
    <t>D0545758:O17</t>
  </si>
  <si>
    <t>D0554066:K23</t>
  </si>
  <si>
    <t>D0545762:A07</t>
  </si>
  <si>
    <t>D0554066:J23</t>
  </si>
  <si>
    <t>D0545748:E01</t>
  </si>
  <si>
    <t>D0554064:L03</t>
  </si>
  <si>
    <t>D0545762:N01</t>
  </si>
  <si>
    <t>D0554064:J05</t>
  </si>
  <si>
    <t>D0545750:G11</t>
  </si>
  <si>
    <t>D0554064:B14</t>
  </si>
  <si>
    <t>D0545746:O08</t>
  </si>
  <si>
    <t>D0554064:G01</t>
  </si>
  <si>
    <t>D0545746:O15</t>
  </si>
  <si>
    <t>D0554066:D24</t>
  </si>
  <si>
    <t>D0545744:H02</t>
  </si>
  <si>
    <t>D0554066:A02</t>
  </si>
  <si>
    <t>D0545746:B10</t>
  </si>
  <si>
    <t>D0554064:F10</t>
  </si>
  <si>
    <t>D0545750:H17</t>
  </si>
  <si>
    <t>D0554071:C19</t>
  </si>
  <si>
    <t>D0545770:K21</t>
  </si>
  <si>
    <t>D0554064:F06</t>
  </si>
  <si>
    <t>D0545764:C03</t>
  </si>
  <si>
    <t>D0554066:J20</t>
  </si>
  <si>
    <t>D0545766:E10</t>
  </si>
  <si>
    <t>D0554064:I11</t>
  </si>
  <si>
    <t>D0545768:J07</t>
  </si>
  <si>
    <t>D0554064:D09</t>
  </si>
  <si>
    <t>D0545764:E04</t>
  </si>
  <si>
    <t>D0554064:F03</t>
  </si>
  <si>
    <t>D0545764:H19</t>
  </si>
  <si>
    <t>D0554067:A24</t>
  </si>
  <si>
    <t>D0545766:B21</t>
  </si>
  <si>
    <t>D0554064:J22</t>
  </si>
  <si>
    <t>D0545760:H11</t>
  </si>
  <si>
    <t>D0554065:N07</t>
  </si>
  <si>
    <t>D0545750:P02</t>
  </si>
  <si>
    <t>D0554064:P11</t>
  </si>
  <si>
    <t>D0545752:O15</t>
  </si>
  <si>
    <t>D0554064:N13</t>
  </si>
  <si>
    <t>D0545746:G17</t>
  </si>
  <si>
    <t>D0554064:A21</t>
  </si>
  <si>
    <t>D0545754:I12</t>
  </si>
  <si>
    <t>D0554072:B19</t>
  </si>
  <si>
    <t>D0554067:J07</t>
  </si>
  <si>
    <t>D0545748:C11</t>
  </si>
  <si>
    <t>D0554066:A21</t>
  </si>
  <si>
    <t>D0545754:G12</t>
  </si>
  <si>
    <t>D0554064:M03</t>
  </si>
  <si>
    <t>D0545760:B16</t>
  </si>
  <si>
    <t>D0554064:K05</t>
  </si>
  <si>
    <t>D0545766:M21</t>
  </si>
  <si>
    <t>D0554064:H07</t>
  </si>
  <si>
    <t>D0545750:I15</t>
  </si>
  <si>
    <t>D0554063:A11</t>
  </si>
  <si>
    <t>D0545762:M01</t>
  </si>
  <si>
    <t>D0554063:D11</t>
  </si>
  <si>
    <t>D0545768:J17</t>
  </si>
  <si>
    <t>D0554072:O19</t>
  </si>
  <si>
    <t>D0554069:C15</t>
  </si>
  <si>
    <t>TR06471092-001</t>
  </si>
  <si>
    <t>D0545770:O15</t>
  </si>
  <si>
    <t>D0554066:B03</t>
  </si>
  <si>
    <t>D0545758:A23</t>
  </si>
  <si>
    <t>D0554068:B24</t>
  </si>
  <si>
    <t>D0545748:P12</t>
  </si>
  <si>
    <t>D0554070:P09</t>
  </si>
  <si>
    <t>D0545744:L13</t>
  </si>
  <si>
    <t>D0554067:N23</t>
  </si>
  <si>
    <t>D0545752:E04</t>
  </si>
  <si>
    <t>D0554064:N03</t>
  </si>
  <si>
    <t>D0545750:A21</t>
  </si>
  <si>
    <t>D0554065:E01</t>
  </si>
  <si>
    <t>D0545748:H10</t>
  </si>
  <si>
    <t>D0554066:B23</t>
  </si>
  <si>
    <t>D0545766:C12</t>
  </si>
  <si>
    <t>D0554069:C05</t>
  </si>
  <si>
    <t>TR06449506-001</t>
  </si>
  <si>
    <t>D0545770:N11</t>
  </si>
  <si>
    <t>D0554066:D17</t>
  </si>
  <si>
    <t>D0545762:E01</t>
  </si>
  <si>
    <t>D0554065:B10</t>
  </si>
  <si>
    <t>D0545770:A04</t>
  </si>
  <si>
    <t>D0554064:J23</t>
  </si>
  <si>
    <t>D0545746:N13</t>
  </si>
  <si>
    <t>D0554063:N01</t>
  </si>
  <si>
    <t>D0545748:F02</t>
  </si>
  <si>
    <t>D0554072:P19</t>
  </si>
  <si>
    <t>D0554064:B21</t>
  </si>
  <si>
    <t>D0545754:I13</t>
  </si>
  <si>
    <t>D0554072:P07</t>
  </si>
  <si>
    <t>D0554069:A24</t>
  </si>
  <si>
    <t>TR06482722-001</t>
  </si>
  <si>
    <t>D0545756:A13</t>
  </si>
  <si>
    <t>D0554067:O02</t>
  </si>
  <si>
    <t>D0545758:J05</t>
  </si>
  <si>
    <t>D0554067:P22</t>
  </si>
  <si>
    <t>D0545760:B07</t>
  </si>
  <si>
    <t>D0554066:M09</t>
  </si>
  <si>
    <t>D0545746:C15</t>
  </si>
  <si>
    <t>D0554065:P17</t>
  </si>
  <si>
    <t>D0545764:D20</t>
  </si>
  <si>
    <t>D0554071:G24</t>
  </si>
  <si>
    <t>D0545766:G20</t>
  </si>
  <si>
    <t>D0554063:H03</t>
  </si>
  <si>
    <t>D0545746:I01</t>
  </si>
  <si>
    <t>D0554069:J01</t>
  </si>
  <si>
    <t>TR06445553-001</t>
  </si>
  <si>
    <t>D0545768:H09</t>
  </si>
  <si>
    <t>D0554064:L07</t>
  </si>
  <si>
    <t>D0545752:P08</t>
  </si>
  <si>
    <t>D0554065:B12</t>
  </si>
  <si>
    <t>D0545766:A08</t>
  </si>
  <si>
    <t>D0554070:B10</t>
  </si>
  <si>
    <t>D0545750:N22</t>
  </si>
  <si>
    <t>D0554070:K22</t>
  </si>
  <si>
    <t>D0545766:L24</t>
  </si>
  <si>
    <t>D0554063:K09</t>
  </si>
  <si>
    <t>D0545758:N08</t>
  </si>
  <si>
    <t>D0554070:N11</t>
  </si>
  <si>
    <t>D0545760:E04</t>
  </si>
  <si>
    <t>D0554065:O13</t>
  </si>
  <si>
    <t>D0545760:B18</t>
  </si>
  <si>
    <t>D0554064:D10</t>
  </si>
  <si>
    <t>D0545758:N14</t>
  </si>
  <si>
    <t>D0554064:H16</t>
  </si>
  <si>
    <t>D0545746:A23</t>
  </si>
  <si>
    <t>D0554064:J07</t>
  </si>
  <si>
    <t>D0545746:I20</t>
  </si>
  <si>
    <t>D0554064:F09</t>
  </si>
  <si>
    <t>D0545746:L03</t>
  </si>
  <si>
    <t>D0554070:K12</t>
  </si>
  <si>
    <t>D0545768:J10</t>
  </si>
  <si>
    <t>D0554067:N18</t>
  </si>
  <si>
    <t>D0545766:H20</t>
  </si>
  <si>
    <t>D0554063:P04</t>
  </si>
  <si>
    <t>D0545744:N04</t>
  </si>
  <si>
    <t>D0554064:L12</t>
  </si>
  <si>
    <t>D0545766:N04</t>
  </si>
  <si>
    <t>D0554067:A02</t>
  </si>
  <si>
    <t>D0545766:L11</t>
  </si>
  <si>
    <t>D0554064:D04</t>
  </si>
  <si>
    <t>D0545762:A02</t>
  </si>
  <si>
    <t>D0554064:L22</t>
  </si>
  <si>
    <t>D0545766:D05</t>
  </si>
  <si>
    <t>D0554069:E06</t>
  </si>
  <si>
    <t>TR06459830-001</t>
  </si>
  <si>
    <t>D0545764:G18</t>
  </si>
  <si>
    <t>D0554065:M22</t>
  </si>
  <si>
    <t>D0545764:L20</t>
  </si>
  <si>
    <t>D0554064:P03</t>
  </si>
  <si>
    <t>D0545766:N01</t>
  </si>
  <si>
    <t>D0554064:A09</t>
  </si>
  <si>
    <t>D0545756:I11</t>
  </si>
  <si>
    <t>D0554066:B04</t>
  </si>
  <si>
    <t>D0545752:F01</t>
  </si>
  <si>
    <t>D0554066:M06</t>
  </si>
  <si>
    <t>D0545764:N06</t>
  </si>
  <si>
    <t>D0554066:H18</t>
  </si>
  <si>
    <t>D0545764:J05</t>
  </si>
  <si>
    <t>D0554064:F19</t>
  </si>
  <si>
    <t>D0545748:K15</t>
  </si>
  <si>
    <t>D0554070:O05</t>
  </si>
  <si>
    <t>D0545748:L07</t>
  </si>
  <si>
    <t>D0554063:K10</t>
  </si>
  <si>
    <t>D0545752:H14</t>
  </si>
  <si>
    <t>D0554064:N05</t>
  </si>
  <si>
    <t>D0545748:J06</t>
  </si>
  <si>
    <t>D0554064:A19</t>
  </si>
  <si>
    <t>D0545748:N19</t>
  </si>
  <si>
    <t>D0554072:J04</t>
  </si>
  <si>
    <t>D0554064:P21</t>
  </si>
  <si>
    <t>D0545744:J15</t>
  </si>
  <si>
    <t>D0554072:H24</t>
  </si>
  <si>
    <t>D0554066:P23</t>
  </si>
  <si>
    <t>D0545758:H04</t>
  </si>
  <si>
    <t>D0554066:N03</t>
  </si>
  <si>
    <t>D0545748:F12</t>
  </si>
  <si>
    <t>D0554072:F19</t>
  </si>
  <si>
    <t>D0554067:O22</t>
  </si>
  <si>
    <t>D0545754:L09</t>
  </si>
  <si>
    <t>D0554064:H21</t>
  </si>
  <si>
    <t>D0545746:H06</t>
  </si>
  <si>
    <t>D0554067:M10</t>
  </si>
  <si>
    <t>D0545762:I21</t>
  </si>
  <si>
    <t>D0554069:H02</t>
  </si>
  <si>
    <t>TR06445761-001</t>
  </si>
  <si>
    <t>D0545762:A03</t>
  </si>
  <si>
    <t>D0554065:E24</t>
  </si>
  <si>
    <t>D0545750:G06</t>
  </si>
  <si>
    <t>D0554064:H14</t>
  </si>
  <si>
    <t>D0545748:J10</t>
  </si>
  <si>
    <t>D0554071:N02</t>
  </si>
  <si>
    <t>D0545750:M15</t>
  </si>
  <si>
    <t>D0554066:B16</t>
  </si>
  <si>
    <t>D0545766:I06</t>
  </si>
  <si>
    <t>D0554069:N13</t>
  </si>
  <si>
    <t>TR06470754-001</t>
  </si>
  <si>
    <t>D0545770:O08</t>
  </si>
  <si>
    <t>D0554072:C07</t>
  </si>
  <si>
    <t>D0554064:D12</t>
  </si>
  <si>
    <t>D0545764:A11</t>
  </si>
  <si>
    <t>D0554064:B19</t>
  </si>
  <si>
    <t>D0545748:L12</t>
  </si>
  <si>
    <t>D0554069:B03</t>
  </si>
  <si>
    <t>TR06445938-001</t>
  </si>
  <si>
    <t>D0545750:O17</t>
  </si>
  <si>
    <t>D0554070:H01</t>
  </si>
  <si>
    <t>D0545768:H24</t>
  </si>
  <si>
    <t>D0554072:B23</t>
  </si>
  <si>
    <t>D0554064:H12</t>
  </si>
  <si>
    <t>D0545750:H01</t>
  </si>
  <si>
    <t>D0554064:K12</t>
  </si>
  <si>
    <t>D0545758:N19</t>
  </si>
  <si>
    <t>D0554064:N12</t>
  </si>
  <si>
    <t>D0545766:F01</t>
  </si>
  <si>
    <t>D0554067:I01</t>
  </si>
  <si>
    <t>D0545752:E10</t>
  </si>
  <si>
    <t>D0554063:C23</t>
  </si>
  <si>
    <t>D0545756:A03</t>
  </si>
  <si>
    <t>D0554066:K22</t>
  </si>
  <si>
    <t>D0545754:H09</t>
  </si>
  <si>
    <t>D0554064:F05</t>
  </si>
  <si>
    <t>D0545766:E21</t>
  </si>
  <si>
    <t>D0554064:F12</t>
  </si>
  <si>
    <t>D0545744:D16</t>
  </si>
  <si>
    <t>D0554064:M07</t>
  </si>
  <si>
    <t>D0545752:N17</t>
  </si>
  <si>
    <t>D0554064:E07</t>
  </si>
  <si>
    <t>D0545762:C22</t>
  </si>
  <si>
    <t>D0554064:E02</t>
  </si>
  <si>
    <t>D0545744:M24</t>
  </si>
  <si>
    <t>D0554063:C24</t>
  </si>
  <si>
    <t>D0545746:L14</t>
  </si>
  <si>
    <t>D0554070:D02</t>
  </si>
  <si>
    <t>D0545752:C17</t>
  </si>
  <si>
    <t>D0554066:A12</t>
  </si>
  <si>
    <t>D0545762:D09</t>
  </si>
  <si>
    <t>D0554064:E18</t>
  </si>
  <si>
    <t>D0545750:C23</t>
  </si>
  <si>
    <t>D0554066:H12</t>
  </si>
  <si>
    <t>D0545760:F05</t>
  </si>
  <si>
    <t>D0554064:L16</t>
  </si>
  <si>
    <t>D0545752:E09</t>
  </si>
  <si>
    <t>D0554068:O11</t>
  </si>
  <si>
    <t>D0545748:E12</t>
  </si>
  <si>
    <t>D0554063:F23</t>
  </si>
  <si>
    <t>D0545760:D22</t>
  </si>
  <si>
    <t>D0554066:P05</t>
  </si>
  <si>
    <t>D0545750:E13</t>
  </si>
  <si>
    <t>D0554065:B24</t>
  </si>
  <si>
    <t>D0545758:C15</t>
  </si>
  <si>
    <t>D0554064:L21</t>
  </si>
  <si>
    <t>D0545764:A14</t>
  </si>
  <si>
    <t>D0554064:H02</t>
  </si>
  <si>
    <t>D0545762:M18</t>
  </si>
  <si>
    <t>D0554064:N09</t>
  </si>
  <si>
    <t>D0545744:D23</t>
  </si>
  <si>
    <t>D0554064:O07</t>
  </si>
  <si>
    <t>D0545762:I22</t>
  </si>
  <si>
    <t>D0554067:D03</t>
  </si>
  <si>
    <t>D0545758:D09</t>
  </si>
  <si>
    <t>D0554072:M01</t>
  </si>
  <si>
    <t>D0545750:A19</t>
  </si>
  <si>
    <t>D0554063:B01</t>
  </si>
  <si>
    <t>D0545744:M12</t>
  </si>
  <si>
    <t>D0554072:C23</t>
  </si>
  <si>
    <t>D0554064:I19</t>
  </si>
  <si>
    <t>D0545760:C08</t>
  </si>
  <si>
    <t>D0554072:I12</t>
  </si>
  <si>
    <t>D0554072:K21</t>
  </si>
  <si>
    <t>D0554069:P04</t>
  </si>
  <si>
    <t>TR06449377-001</t>
  </si>
  <si>
    <t>D0545770:G09</t>
  </si>
  <si>
    <t>D0554069:F01</t>
  </si>
  <si>
    <t>TR06445506-001</t>
  </si>
  <si>
    <t>D0545760:N13</t>
  </si>
  <si>
    <t>D0554066:A14</t>
  </si>
  <si>
    <t>D0545766:H03</t>
  </si>
  <si>
    <t>D0554065:C14</t>
  </si>
  <si>
    <t>D0545750:B01</t>
  </si>
  <si>
    <t>D0554064:F22</t>
  </si>
  <si>
    <t>D0545750:F18</t>
  </si>
  <si>
    <t>D0554063:M02</t>
  </si>
  <si>
    <t>D0545750:G12</t>
  </si>
  <si>
    <t>D0554071:O02</t>
  </si>
  <si>
    <t>D0545766:A23</t>
  </si>
  <si>
    <t>D0554064:J09</t>
  </si>
  <si>
    <t>D0545744:N06</t>
  </si>
  <si>
    <t>D0554065:C24</t>
  </si>
  <si>
    <t>D0545770:N07</t>
  </si>
  <si>
    <t>D0554066:M16</t>
  </si>
  <si>
    <t>D0545768:A19</t>
  </si>
  <si>
    <t>D0554066:B15</t>
  </si>
  <si>
    <t>D0545748:G19</t>
  </si>
  <si>
    <t>D0554063:C12</t>
  </si>
  <si>
    <t>D0545764:P03</t>
  </si>
  <si>
    <t>D0554064:G24</t>
  </si>
  <si>
    <t>D0545752:M06</t>
  </si>
  <si>
    <t>D0554065:H20</t>
  </si>
  <si>
    <t>D0545760:P21</t>
  </si>
  <si>
    <t>D0554064:G08</t>
  </si>
  <si>
    <t>D0545766:K14</t>
  </si>
  <si>
    <t>D0554072:C14</t>
  </si>
  <si>
    <t>D0554064:E20</t>
  </si>
  <si>
    <t>D0545760:P18</t>
  </si>
  <si>
    <t>D0554066:N21</t>
  </si>
  <si>
    <t>D0545768:C23</t>
  </si>
  <si>
    <t>D0554072:O11</t>
  </si>
  <si>
    <t>D0554067:G23</t>
  </si>
  <si>
    <t>D0545752:B13</t>
  </si>
  <si>
    <t>D0554064:F23</t>
  </si>
  <si>
    <t>D0545752:E01</t>
  </si>
  <si>
    <t>D0554063:I02</t>
  </si>
  <si>
    <t>D0545758:C13</t>
  </si>
  <si>
    <t>D0554066:H24</t>
  </si>
  <si>
    <t>D0545756:O15</t>
  </si>
  <si>
    <t>D0554070:I23</t>
  </si>
  <si>
    <t>D0545750:E23</t>
  </si>
  <si>
    <t>D0554064:N04</t>
  </si>
  <si>
    <t>D0545746:G13</t>
  </si>
  <si>
    <t>D0554063:E02</t>
  </si>
  <si>
    <t>D0545750:L07</t>
  </si>
  <si>
    <t>D0554068:P01</t>
  </si>
  <si>
    <t>D0545768:O22</t>
  </si>
  <si>
    <t>D0554064:J04</t>
  </si>
  <si>
    <t>D0545762:J18</t>
  </si>
  <si>
    <t>D0554064:N11</t>
  </si>
  <si>
    <t>D0545752:H03</t>
  </si>
  <si>
    <t>D0554064:M18</t>
  </si>
  <si>
    <t>D0545764:O24</t>
  </si>
  <si>
    <t>D0554064:K13</t>
  </si>
  <si>
    <t>D0545744:D12</t>
  </si>
  <si>
    <t>D0554072:K23</t>
  </si>
  <si>
    <t>D0554064:N23</t>
  </si>
  <si>
    <t>D0545764:I01</t>
  </si>
  <si>
    <t>D0554072:B24</t>
  </si>
  <si>
    <t>D0554066:I17</t>
  </si>
  <si>
    <t>D0545766:H19</t>
  </si>
  <si>
    <t>D0554072:A24</t>
  </si>
  <si>
    <t>D0554064:B16</t>
  </si>
  <si>
    <t>D0545766:J15</t>
  </si>
  <si>
    <t>D0554063:N23</t>
  </si>
  <si>
    <t>D0545750:G24</t>
  </si>
  <si>
    <t>D0554064:J17</t>
  </si>
  <si>
    <t>D0545744:F07</t>
  </si>
  <si>
    <t>D0554072:P21</t>
  </si>
  <si>
    <t>D0554066:E22</t>
  </si>
  <si>
    <t>D0545764:J24</t>
  </si>
  <si>
    <t>D0554067:P14</t>
  </si>
  <si>
    <t>D0545762:J05</t>
  </si>
  <si>
    <t>D0554064:C18</t>
  </si>
  <si>
    <t>D0545764:A18</t>
  </si>
  <si>
    <t>D0554063:B02</t>
  </si>
  <si>
    <t>D0545744:H10</t>
  </si>
  <si>
    <t>D0554065:C22</t>
  </si>
  <si>
    <t>D0545762:P24</t>
  </si>
  <si>
    <t>D0554065:H24</t>
  </si>
  <si>
    <t>D0545768:B05</t>
  </si>
  <si>
    <t>D0554064:C05</t>
  </si>
  <si>
    <t>D0545762:D23</t>
  </si>
  <si>
    <t>D0554070:N23</t>
  </si>
  <si>
    <t>D0545746:F14</t>
  </si>
  <si>
    <t>D0554064:P04</t>
  </si>
  <si>
    <t>D0545746:C22</t>
  </si>
  <si>
    <t>D0554064:L05</t>
  </si>
  <si>
    <t>D0545752:F16</t>
  </si>
  <si>
    <t>D0554064:L15</t>
  </si>
  <si>
    <t>D0545750:F19</t>
  </si>
  <si>
    <t>D0554070:P01</t>
  </si>
  <si>
    <t>D0552256:O18</t>
  </si>
  <si>
    <t>D0554064:N10</t>
  </si>
  <si>
    <t>D0545756:I03</t>
  </si>
  <si>
    <t>D0554066:C12</t>
  </si>
  <si>
    <t>D0545762:L22</t>
  </si>
  <si>
    <t>D0554068:F02</t>
  </si>
  <si>
    <t>D0545752:A20</t>
  </si>
  <si>
    <t>D0554066:J22</t>
  </si>
  <si>
    <t>D0545762:O19</t>
  </si>
  <si>
    <t>D0554064:I21</t>
  </si>
  <si>
    <t>D0545748:G23</t>
  </si>
  <si>
    <t>D0554071:H20</t>
  </si>
  <si>
    <t>D0545754:A22</t>
  </si>
  <si>
    <t>D0554064:K08</t>
  </si>
  <si>
    <t>D0545750:L04</t>
  </si>
  <si>
    <t>D0554068:C24</t>
  </si>
  <si>
    <t>D0545768:H16</t>
  </si>
  <si>
    <t>D0554064:K16</t>
  </si>
  <si>
    <t>D0545746:G07</t>
  </si>
  <si>
    <t>D0554064:K15</t>
  </si>
  <si>
    <t>D0545750:C04</t>
  </si>
  <si>
    <t>D0554066:A03</t>
  </si>
  <si>
    <t>D0545750:G21</t>
  </si>
  <si>
    <t>D0554069:K14</t>
  </si>
  <si>
    <t>TR06471000-001</t>
  </si>
  <si>
    <t>D0545768:O04</t>
  </si>
  <si>
    <t>D0554063:B23</t>
  </si>
  <si>
    <t>D0545760:M09</t>
  </si>
  <si>
    <t>D0554064:F02</t>
  </si>
  <si>
    <t>D0545762:K11</t>
  </si>
  <si>
    <t>D0554066:A10</t>
  </si>
  <si>
    <t>D0545770:P23</t>
  </si>
  <si>
    <t>D0554069:O08</t>
  </si>
  <si>
    <t>TR06464729-001</t>
  </si>
  <si>
    <t>D0545770:A12</t>
  </si>
  <si>
    <t>D0554066:H23</t>
  </si>
  <si>
    <t>D0545748:C06</t>
  </si>
  <si>
    <t>D0554063:H19</t>
  </si>
  <si>
    <t>D0545764:G19</t>
  </si>
  <si>
    <t>D0554065:O05</t>
  </si>
  <si>
    <t>D0545746:J22</t>
  </si>
  <si>
    <t>D0554066:N02</t>
  </si>
  <si>
    <t>D0545746:K18</t>
  </si>
  <si>
    <t>D0554071:P21</t>
  </si>
  <si>
    <t>D0545748:O04</t>
  </si>
  <si>
    <t>D0554064:H20</t>
  </si>
  <si>
    <t>D0545770:M06</t>
  </si>
  <si>
    <t>D0554065:K12</t>
  </si>
  <si>
    <t>D0545762:J17</t>
  </si>
  <si>
    <t>D0554069:D04</t>
  </si>
  <si>
    <t>TR06446222-003</t>
  </si>
  <si>
    <t>D0545750:L09</t>
  </si>
  <si>
    <t>D0554064:N08</t>
  </si>
  <si>
    <t>D0545746:M23</t>
  </si>
  <si>
    <t>D0554065:A01</t>
  </si>
  <si>
    <t>D0545766:A05</t>
  </si>
  <si>
    <t>D0554065:A19</t>
  </si>
  <si>
    <t>D0545754:E08</t>
  </si>
  <si>
    <t>D0554064:C19</t>
  </si>
  <si>
    <t>D0545744:I14</t>
  </si>
  <si>
    <t>D0554067:O14</t>
  </si>
  <si>
    <t>D0545768:L11</t>
  </si>
  <si>
    <t>D0554066:P08</t>
  </si>
  <si>
    <t>D0545758:H19</t>
  </si>
  <si>
    <t>D0554068:A22</t>
  </si>
  <si>
    <t>D0545768:O01</t>
  </si>
  <si>
    <t>D0554072:G23</t>
  </si>
  <si>
    <t>D0554071:B23</t>
  </si>
  <si>
    <t>D0545754:M02</t>
  </si>
  <si>
    <t>D0554065:C23</t>
  </si>
  <si>
    <t>D0545764:N03</t>
  </si>
  <si>
    <t>D0554063:G07</t>
  </si>
  <si>
    <t>TR01153279-003</t>
  </si>
  <si>
    <t>D0545760:I16</t>
  </si>
  <si>
    <t>D0554064:B12</t>
  </si>
  <si>
    <t>D0545772:A19</t>
  </si>
  <si>
    <t>D0554072:C22</t>
  </si>
  <si>
    <t>D0554066:F01</t>
  </si>
  <si>
    <t>D0545746:P14</t>
  </si>
  <si>
    <t>D0554064:D19</t>
  </si>
  <si>
    <t>D0545758:B09</t>
  </si>
  <si>
    <t>D0554065:E20</t>
  </si>
  <si>
    <t>D0545748:L05</t>
  </si>
  <si>
    <t>D0554070:L06</t>
  </si>
  <si>
    <t>D0545752:N19</t>
  </si>
  <si>
    <t>D0554066:H11</t>
  </si>
  <si>
    <t>D0545758:P21</t>
  </si>
  <si>
    <t>D0554071:N15</t>
  </si>
  <si>
    <t>D0545768:E18</t>
  </si>
  <si>
    <t>D0554063:A06</t>
  </si>
  <si>
    <t>D0545744:P08</t>
  </si>
  <si>
    <t>D0554067:K01</t>
  </si>
  <si>
    <t>D0545744:C01</t>
  </si>
  <si>
    <t>D0554072:J16</t>
  </si>
  <si>
    <t>D0554070:P17</t>
  </si>
  <si>
    <t>D0545770:O11</t>
  </si>
  <si>
    <t>D0554066:K13</t>
  </si>
  <si>
    <t>D0545750:J01</t>
  </si>
  <si>
    <t>D0554072:G02</t>
  </si>
  <si>
    <t>D0545758:B21</t>
  </si>
  <si>
    <t>D0554068:I23</t>
  </si>
  <si>
    <t>D0545750:E07</t>
  </si>
  <si>
    <t>D0554066:N19</t>
  </si>
  <si>
    <t>D0545748:L01</t>
  </si>
  <si>
    <t>D0554067:N22</t>
  </si>
  <si>
    <t>D0552256:D16</t>
  </si>
  <si>
    <t>D0554066:M04</t>
  </si>
  <si>
    <t>D0545766:D06</t>
  </si>
  <si>
    <t>D0554072:O08</t>
  </si>
  <si>
    <t>D0554064:F24</t>
  </si>
  <si>
    <t>D0545762:G05</t>
  </si>
  <si>
    <t>D0554064:E19</t>
  </si>
  <si>
    <t>D0545772:A21</t>
  </si>
  <si>
    <t>D0554067:O08</t>
  </si>
  <si>
    <t>D0545746:N10</t>
  </si>
  <si>
    <t>D0554072:A14</t>
  </si>
  <si>
    <t>D0554065:O03</t>
  </si>
  <si>
    <t>D0545750:I12</t>
  </si>
  <si>
    <t>D0554069:O12</t>
  </si>
  <si>
    <t>TR06470521-001</t>
  </si>
  <si>
    <t>D0545768:D07</t>
  </si>
  <si>
    <t>D0554066:N17</t>
  </si>
  <si>
    <t>D0545760:K13</t>
  </si>
  <si>
    <t>D0554064:M04</t>
  </si>
  <si>
    <t>D0545762:A18</t>
  </si>
  <si>
    <t>D0554072:N02</t>
  </si>
  <si>
    <t>D0545746:O10</t>
  </si>
  <si>
    <t>D0554066:A05</t>
  </si>
  <si>
    <t>D0545768:O03</t>
  </si>
  <si>
    <t>D0554068:P11</t>
  </si>
  <si>
    <t>D0545748:A20</t>
  </si>
  <si>
    <t>D0554064:N19</t>
  </si>
  <si>
    <t>D0545744:L11</t>
  </si>
  <si>
    <t>D0554064:G03</t>
  </si>
  <si>
    <t>D0545758:B01</t>
  </si>
  <si>
    <t>D0554065:E21</t>
  </si>
  <si>
    <t>D0545758:I11</t>
  </si>
  <si>
    <t>D0554068:J23</t>
  </si>
  <si>
    <t>D0545764:I02</t>
  </si>
  <si>
    <t>D0554064:E08</t>
  </si>
  <si>
    <t>D0545752:B21</t>
  </si>
  <si>
    <t>D0554064:D05</t>
  </si>
  <si>
    <t>D0545764:C07</t>
  </si>
  <si>
    <t>D0554067:P13</t>
  </si>
  <si>
    <t>D0545770:C08</t>
  </si>
  <si>
    <t>D0554070:A24</t>
  </si>
  <si>
    <t>D0545748:A24</t>
  </si>
  <si>
    <t>D0554067:J23</t>
  </si>
  <si>
    <t>D0545762:M07</t>
  </si>
  <si>
    <t>D0554065:B14</t>
  </si>
  <si>
    <t>D0552256:I06</t>
  </si>
  <si>
    <t>D0554066:D23</t>
  </si>
  <si>
    <t>D0545748:A22</t>
  </si>
  <si>
    <t>D0554064:E10</t>
  </si>
  <si>
    <t>D0545750:P11</t>
  </si>
  <si>
    <t>D0554065:O11</t>
  </si>
  <si>
    <t>D0545772:M13</t>
  </si>
  <si>
    <t>D0554066:G10</t>
  </si>
  <si>
    <t>D0545764:I21</t>
  </si>
  <si>
    <t>D0554068:A21</t>
  </si>
  <si>
    <t>D0545754:K14</t>
  </si>
  <si>
    <t>D0554066:M07</t>
  </si>
  <si>
    <t>D0545746:M22</t>
  </si>
  <si>
    <t>D0554063:A03</t>
  </si>
  <si>
    <t>D0545764:D11</t>
  </si>
  <si>
    <t>D0554065:P07</t>
  </si>
  <si>
    <t>D0545746:C01</t>
  </si>
  <si>
    <t>D0554067:H24</t>
  </si>
  <si>
    <t>D0545754:D05</t>
  </si>
  <si>
    <t>D0554066:H02</t>
  </si>
  <si>
    <t>D0545758:G09</t>
  </si>
  <si>
    <t>D0554068:O08</t>
  </si>
  <si>
    <t>D0545760:L18</t>
  </si>
  <si>
    <t>D0554066:N23</t>
  </si>
  <si>
    <t>D0545752:M20</t>
  </si>
  <si>
    <t>D0554072:D04</t>
  </si>
  <si>
    <t>D0554072:O09</t>
  </si>
  <si>
    <t>D0554066:I03</t>
  </si>
  <si>
    <t>D0545752:B01</t>
  </si>
  <si>
    <t>D0554072:G03</t>
  </si>
  <si>
    <t>D0545754:O20</t>
  </si>
  <si>
    <t>D0554067:N21</t>
  </si>
  <si>
    <t>D0545770:M07</t>
  </si>
  <si>
    <t>D0554066:O11</t>
  </si>
  <si>
    <t>D0545768:F02</t>
  </si>
  <si>
    <t>D0554068:O03</t>
  </si>
  <si>
    <t>D0545750:A03</t>
  </si>
  <si>
    <t>D0554068:A17</t>
  </si>
  <si>
    <t>D0545764:P02</t>
  </si>
  <si>
    <t>D0554066:O06</t>
  </si>
  <si>
    <t>D0545762:O22</t>
  </si>
  <si>
    <t>D0554069:M03</t>
  </si>
  <si>
    <t>TR06446151-002</t>
  </si>
  <si>
    <t>D0545748:F01</t>
  </si>
  <si>
    <t>D0554071:P15</t>
  </si>
  <si>
    <t>D0545760:G08</t>
  </si>
  <si>
    <t>D0554068:P14</t>
  </si>
  <si>
    <t>D0545744:D19</t>
  </si>
  <si>
    <t>D0554066:F22</t>
  </si>
  <si>
    <t>D0545752:H13</t>
  </si>
  <si>
    <t>D0554070:L05</t>
  </si>
  <si>
    <t>D0545746:D15</t>
  </si>
  <si>
    <t>D0554072:J22</t>
  </si>
  <si>
    <t>D0554067:H23</t>
  </si>
  <si>
    <t>D0545746:K06</t>
  </si>
  <si>
    <t>D0554065:N15</t>
  </si>
  <si>
    <t>D0545762:B05</t>
  </si>
  <si>
    <t>D0554067:C24</t>
  </si>
  <si>
    <t>D0545766:P17</t>
  </si>
  <si>
    <t>D0554064:G15</t>
  </si>
  <si>
    <t>D0545768:G20</t>
  </si>
  <si>
    <t>D0554065:O01</t>
  </si>
  <si>
    <t>D0545764:G14</t>
  </si>
  <si>
    <t>D0554072:N13</t>
  </si>
  <si>
    <t>D0554064:H10</t>
  </si>
  <si>
    <t>D0545756:I05</t>
  </si>
  <si>
    <t>D0554066:I21</t>
  </si>
  <si>
    <t>D0545766:O05</t>
  </si>
  <si>
    <t>D0554064:N17</t>
  </si>
  <si>
    <t>D0545746:O14</t>
  </si>
  <si>
    <t>D0554066:K15</t>
  </si>
  <si>
    <t>D0545752:I12</t>
  </si>
  <si>
    <t>D0554067:O18</t>
  </si>
  <si>
    <t>D0545764:N05</t>
  </si>
  <si>
    <t>D0554064:J10</t>
  </si>
  <si>
    <t>D0545746:B18</t>
  </si>
  <si>
    <t>D0554065:F01</t>
  </si>
  <si>
    <t>D0545768:J08</t>
  </si>
  <si>
    <t>D0554067:L18</t>
  </si>
  <si>
    <t>D0545752:F22</t>
  </si>
  <si>
    <t>D0554066:M14</t>
  </si>
  <si>
    <t>D0545768:M20</t>
  </si>
  <si>
    <t>D0554066:J05</t>
  </si>
  <si>
    <t>D0545754:O16</t>
  </si>
  <si>
    <t>D0554065:O16</t>
  </si>
  <si>
    <t>D0545748:N08</t>
  </si>
  <si>
    <t>D0554072:N14</t>
  </si>
  <si>
    <t>D0554069:F03</t>
  </si>
  <si>
    <t>TR06445989-002</t>
  </si>
  <si>
    <t>D0545762:P03</t>
  </si>
  <si>
    <t>D0554065:J09</t>
  </si>
  <si>
    <t>D0545744:C14</t>
  </si>
  <si>
    <t>D0554066:B11</t>
  </si>
  <si>
    <t>D0545746:E18</t>
  </si>
  <si>
    <t>D0554069:F24</t>
  </si>
  <si>
    <t>TR06482822-001</t>
  </si>
  <si>
    <t>D0545762:C06</t>
  </si>
  <si>
    <t>D0554066:I19</t>
  </si>
  <si>
    <t>D0545760:A03</t>
  </si>
  <si>
    <t>D0554063:P02</t>
  </si>
  <si>
    <t>D0545752:D19</t>
  </si>
  <si>
    <t>D0554066:F24</t>
  </si>
  <si>
    <t>D0545754:K15</t>
  </si>
  <si>
    <t>D0554067:I17</t>
  </si>
  <si>
    <t>D0545762:F21</t>
  </si>
  <si>
    <t>D0554063:D01</t>
  </si>
  <si>
    <t>D0545766:L05</t>
  </si>
  <si>
    <t>D0554072:A02</t>
  </si>
  <si>
    <t>D0545768:G24</t>
  </si>
  <si>
    <t>D0554069:N20</t>
  </si>
  <si>
    <t>TR06480048-001</t>
  </si>
  <si>
    <t>D0545766:I15</t>
  </si>
  <si>
    <t>D0554064:H15</t>
  </si>
  <si>
    <t>D0545744:O24</t>
  </si>
  <si>
    <t>D0554068:A15</t>
  </si>
  <si>
    <t>D0545752:A23</t>
  </si>
  <si>
    <t>D0554067:P07</t>
  </si>
  <si>
    <t>D0545756:K13</t>
  </si>
  <si>
    <t>D0554072:N23</t>
  </si>
  <si>
    <t>D0554070:D19</t>
  </si>
  <si>
    <t>D0545758:G04</t>
  </si>
  <si>
    <t>D0554063:H15</t>
  </si>
  <si>
    <t>D0545752:F10</t>
  </si>
  <si>
    <t>D0554063:D02</t>
  </si>
  <si>
    <t>D0545758:K24</t>
  </si>
  <si>
    <t>D0554066:A16</t>
  </si>
  <si>
    <t>D0545764:F20</t>
  </si>
  <si>
    <t>D0554065:K23</t>
  </si>
  <si>
    <t>D0545746:F19</t>
  </si>
  <si>
    <t>D0554070:P16</t>
  </si>
  <si>
    <t>D0545758:J18</t>
  </si>
  <si>
    <t>D0554066:E18</t>
  </si>
  <si>
    <t>D0545766:L21</t>
  </si>
  <si>
    <t>D0554072:K07</t>
  </si>
  <si>
    <t>D0554065:B09</t>
  </si>
  <si>
    <t>D0545758:N24</t>
  </si>
  <si>
    <t>D0554065:D22</t>
  </si>
  <si>
    <t>D0545762:N22</t>
  </si>
  <si>
    <t>D0554066:J18</t>
  </si>
  <si>
    <t>D0545752:K24</t>
  </si>
  <si>
    <t>D0554063:A16</t>
  </si>
  <si>
    <t>D0552256:F22</t>
  </si>
  <si>
    <t>D0554065:A08</t>
  </si>
  <si>
    <t>D0545760:O08</t>
  </si>
  <si>
    <t>D0554072:O23</t>
  </si>
  <si>
    <t>D0554064:K19</t>
  </si>
  <si>
    <t>D0545762:L20</t>
  </si>
  <si>
    <t>D0554066:E17</t>
  </si>
  <si>
    <t>D0545758:M19</t>
  </si>
  <si>
    <t>D0554063:J20</t>
  </si>
  <si>
    <t>D0552256:G20</t>
  </si>
  <si>
    <t>D0554065:D06</t>
  </si>
  <si>
    <t>D0545746:B14</t>
  </si>
  <si>
    <t>D0554066:P01</t>
  </si>
  <si>
    <t>D0545746:M20</t>
  </si>
  <si>
    <t>D0554069:C22</t>
  </si>
  <si>
    <t>TR06481015-001</t>
  </si>
  <si>
    <t>D0545768:J20</t>
  </si>
  <si>
    <t>D0554070:K18</t>
  </si>
  <si>
    <t>D0545750:G09</t>
  </si>
  <si>
    <t>D0554064:E03</t>
  </si>
  <si>
    <t>D0545772:E09</t>
  </si>
  <si>
    <t>D0554066:P07</t>
  </si>
  <si>
    <t>D0545746:P16</t>
  </si>
  <si>
    <t>D0554065:H11</t>
  </si>
  <si>
    <t>D0545746:F10</t>
  </si>
  <si>
    <t>D0554064:N06</t>
  </si>
  <si>
    <t>D0545746:D24</t>
  </si>
  <si>
    <t>D0554064:H17</t>
  </si>
  <si>
    <t>D0545746:H12</t>
  </si>
  <si>
    <t>D0554070:P13</t>
  </si>
  <si>
    <t>D0545750:N10</t>
  </si>
  <si>
    <t>D0554066:M01</t>
  </si>
  <si>
    <t>D0545748:D24</t>
  </si>
  <si>
    <t>D0554064:H09</t>
  </si>
  <si>
    <t>D0545750:C01</t>
  </si>
  <si>
    <t>D0554071:P09</t>
  </si>
  <si>
    <t>TR06532539-001</t>
  </si>
  <si>
    <t>D0545748:O08</t>
  </si>
  <si>
    <t>D0554064:K03</t>
  </si>
  <si>
    <t>D0545762:H10</t>
  </si>
  <si>
    <t>D0554064:G04</t>
  </si>
  <si>
    <t>D0545764:I17</t>
  </si>
  <si>
    <t>D0554064:P06</t>
  </si>
  <si>
    <t>D0545744:G14</t>
  </si>
  <si>
    <t>D0554065:P20</t>
  </si>
  <si>
    <t>D0545766:J21</t>
  </si>
  <si>
    <t>D0554069:B01</t>
  </si>
  <si>
    <t>TR06445466-001</t>
  </si>
  <si>
    <t>D0545768:K12</t>
  </si>
  <si>
    <t>D0554063:O22</t>
  </si>
  <si>
    <t>D0545754:I05</t>
  </si>
  <si>
    <t>D0554067:A19</t>
  </si>
  <si>
    <t>D0545754:H07</t>
  </si>
  <si>
    <t>D0554066:O23</t>
  </si>
  <si>
    <t>D0545754:O19</t>
  </si>
  <si>
    <t>D0554065:M04</t>
  </si>
  <si>
    <t>D0545758:G21</t>
  </si>
  <si>
    <t>D0554067:P06</t>
  </si>
  <si>
    <t>D0545758:E23</t>
  </si>
  <si>
    <t>D0554066:I05</t>
  </si>
  <si>
    <t>D0545754:N01</t>
  </si>
  <si>
    <t>D0554064:I14</t>
  </si>
  <si>
    <t>D0545764:E01</t>
  </si>
  <si>
    <t>D0554065:A11</t>
  </si>
  <si>
    <t>D0545746:H01</t>
  </si>
  <si>
    <t>D0554065:P05</t>
  </si>
  <si>
    <t>D0545746:I03</t>
  </si>
  <si>
    <t>D0554072:P02</t>
  </si>
  <si>
    <t>D0545754:A06</t>
  </si>
  <si>
    <t>D0554066:G09</t>
  </si>
  <si>
    <t>D0545762:E21</t>
  </si>
  <si>
    <t>D0554067:L23</t>
  </si>
  <si>
    <t>D0545752:H10</t>
  </si>
  <si>
    <t>D0554070:P06</t>
  </si>
  <si>
    <t>D0545766:J16</t>
  </si>
  <si>
    <t>D0554069:B04</t>
  </si>
  <si>
    <t>TR06446203-001</t>
  </si>
  <si>
    <t>D0545752:G14</t>
  </si>
  <si>
    <t>D0554064:M08</t>
  </si>
  <si>
    <t>D0545752:A22</t>
  </si>
  <si>
    <t>D0554068:H01</t>
  </si>
  <si>
    <t>D0545748:I16</t>
  </si>
  <si>
    <t>D0554072:I03</t>
  </si>
  <si>
    <t>D0545748:K21</t>
  </si>
  <si>
    <t>D0554066:O19</t>
  </si>
  <si>
    <t>D0545748:N20</t>
  </si>
  <si>
    <t>D0554064:M10</t>
  </si>
  <si>
    <t>D0545758:O11</t>
  </si>
  <si>
    <t>D0554072:J01</t>
  </si>
  <si>
    <t>D0545758:I24</t>
  </si>
  <si>
    <t>D0554065:A04</t>
  </si>
  <si>
    <t>D0545770:I15</t>
  </si>
  <si>
    <t>D0554072:N05</t>
  </si>
  <si>
    <t>D0554066:E10</t>
  </si>
  <si>
    <t>D0545744:F14</t>
  </si>
  <si>
    <t>D0554064:O06</t>
  </si>
  <si>
    <t>D0545758:E18</t>
  </si>
  <si>
    <t>D0554072:D24</t>
  </si>
  <si>
    <t>D0554071:F02</t>
  </si>
  <si>
    <t>D0545768:P18</t>
  </si>
  <si>
    <t>D0554065:O07</t>
  </si>
  <si>
    <t>D0545762:H21</t>
  </si>
  <si>
    <t>D0554068:I06</t>
  </si>
  <si>
    <t>D0545766:F21</t>
  </si>
  <si>
    <t>D0554069:P02</t>
  </si>
  <si>
    <t>TR06445936-002</t>
  </si>
  <si>
    <t>D0545758:H24</t>
  </si>
  <si>
    <t>D0554064:E11</t>
  </si>
  <si>
    <t>D0545760:P02</t>
  </si>
  <si>
    <t>D0554065:L21</t>
  </si>
  <si>
    <t>D0545752:H05</t>
  </si>
  <si>
    <t>D0554071:O17</t>
  </si>
  <si>
    <t>D0545744:P21</t>
  </si>
  <si>
    <t>D0554070:P21</t>
  </si>
  <si>
    <t>D0545752:K22</t>
  </si>
  <si>
    <t>D0554066:A04</t>
  </si>
  <si>
    <t>D0545766:J10</t>
  </si>
  <si>
    <t>D0554072:M08</t>
  </si>
  <si>
    <t>D0554066:L02</t>
  </si>
  <si>
    <t>D0545762:D17</t>
  </si>
  <si>
    <t>D0554069:J14</t>
  </si>
  <si>
    <t>TR06470975-001</t>
  </si>
  <si>
    <t>D0545768:J09</t>
  </si>
  <si>
    <t>D0554067:N04</t>
  </si>
  <si>
    <t>D0545744:N16</t>
  </si>
  <si>
    <t>D0554066:L10</t>
  </si>
  <si>
    <t>D0545752:G04</t>
  </si>
  <si>
    <t>D0554064:D13</t>
  </si>
  <si>
    <t>D0545760:F03</t>
  </si>
  <si>
    <t>D0554065:P22</t>
  </si>
  <si>
    <t>D0545748:E21</t>
  </si>
  <si>
    <t>D0554071:A19</t>
  </si>
  <si>
    <t>D0545748:I10</t>
  </si>
  <si>
    <t>D0554064:G09</t>
  </si>
  <si>
    <t>D0545744:M14</t>
  </si>
  <si>
    <t>D0554067:O07</t>
  </si>
  <si>
    <t>D0545754:C18</t>
  </si>
  <si>
    <t>D0554066:E01</t>
  </si>
  <si>
    <t>D0545752:J19</t>
  </si>
  <si>
    <t>D0554064:N20</t>
  </si>
  <si>
    <t>D0545748:B22</t>
  </si>
  <si>
    <t>D0554064:J14</t>
  </si>
  <si>
    <t>D0545764:J06</t>
  </si>
  <si>
    <t>D0554064:F16</t>
  </si>
  <si>
    <t>D0545758:O14</t>
  </si>
  <si>
    <t>D0554067:A20</t>
  </si>
  <si>
    <t>D0545764:I13</t>
  </si>
  <si>
    <t>D0554070:B01</t>
  </si>
  <si>
    <t>D0545746:E12</t>
  </si>
  <si>
    <t>D0554071:A06</t>
  </si>
  <si>
    <t>D0545770:C17</t>
  </si>
  <si>
    <t>D0554070:M09</t>
  </si>
  <si>
    <t>D0545750:G07</t>
  </si>
  <si>
    <t>D0554065:N13</t>
  </si>
  <si>
    <t>D0545758:H18</t>
  </si>
  <si>
    <t>D0554072:D08</t>
  </si>
  <si>
    <t>D0554067:C20</t>
  </si>
  <si>
    <t>D0545764:L16</t>
  </si>
  <si>
    <t>D0554072:P17</t>
  </si>
  <si>
    <t>D0554065:O02</t>
  </si>
  <si>
    <t>D0545746:I02</t>
  </si>
  <si>
    <t>D0554066:B17</t>
  </si>
  <si>
    <t>D0545758:D19</t>
  </si>
  <si>
    <t>D0554072:O07</t>
  </si>
  <si>
    <t>D0554069:B06</t>
  </si>
  <si>
    <t>TR06459827-001</t>
  </si>
  <si>
    <t>D0545768:K21</t>
  </si>
  <si>
    <t>D0554070:N02</t>
  </si>
  <si>
    <t>D0545762:H22</t>
  </si>
  <si>
    <t>D0554071:O23</t>
  </si>
  <si>
    <t>D0545748:L21</t>
  </si>
  <si>
    <t>D0554066:D22</t>
  </si>
  <si>
    <t>D0545754:B03</t>
  </si>
  <si>
    <t>D0554064:G19</t>
  </si>
  <si>
    <t>D0545750:P05</t>
  </si>
  <si>
    <t>D0554068:N04</t>
  </si>
  <si>
    <t>D0545770:P19</t>
  </si>
  <si>
    <t>D0554069:I09</t>
  </si>
  <si>
    <t>TR06466539-001</t>
  </si>
  <si>
    <t>D0545746:A12</t>
  </si>
  <si>
    <t>D0554066:K17</t>
  </si>
  <si>
    <t>D0545744:I24</t>
  </si>
  <si>
    <t>D0554069:O01</t>
  </si>
  <si>
    <t>TR06445569-002</t>
  </si>
  <si>
    <t>D0545764:E17</t>
  </si>
  <si>
    <t>D0554064:E09</t>
  </si>
  <si>
    <t>D0545746:L06</t>
  </si>
  <si>
    <t>D0554065:B18</t>
  </si>
  <si>
    <t>D0545768:O18</t>
  </si>
  <si>
    <t>D0554066:C24</t>
  </si>
  <si>
    <t>D0545770:K15</t>
  </si>
  <si>
    <t>D0554066:A07</t>
  </si>
  <si>
    <t>D0545766:J02</t>
  </si>
  <si>
    <t>D0554066:B06</t>
  </si>
  <si>
    <t>D0545768:H13</t>
  </si>
  <si>
    <t>D0554067:B12</t>
  </si>
  <si>
    <t>D0545746:M01</t>
  </si>
  <si>
    <t>D0554064:N15</t>
  </si>
  <si>
    <t>D0545758:P02</t>
  </si>
  <si>
    <t>D0554067:L11</t>
  </si>
  <si>
    <t>D0545770:G02</t>
  </si>
  <si>
    <t>D0554070:D08</t>
  </si>
  <si>
    <t>D0545770:P17</t>
  </si>
  <si>
    <t>D0554063:A02</t>
  </si>
  <si>
    <t>D0545760:B22</t>
  </si>
  <si>
    <t>D0554066:H01</t>
  </si>
  <si>
    <t>D0545752:J18</t>
  </si>
  <si>
    <t>D0554066:M10</t>
  </si>
  <si>
    <t>D0545762:L01</t>
  </si>
  <si>
    <t>D0554063:P03</t>
  </si>
  <si>
    <t>D0545758:N16</t>
  </si>
  <si>
    <t>D0554069:E07</t>
  </si>
  <si>
    <t>TR06460455-001</t>
  </si>
  <si>
    <t>D0545748:P15</t>
  </si>
  <si>
    <t>D0554067:P21</t>
  </si>
  <si>
    <t>D0545752:L14</t>
  </si>
  <si>
    <t>D0554070:P08</t>
  </si>
  <si>
    <t>D0545772:G09</t>
  </si>
  <si>
    <t>D0554066:L04</t>
  </si>
  <si>
    <t>D0545754:D13</t>
  </si>
  <si>
    <t>D0554071:C23</t>
  </si>
  <si>
    <t>D0545766:L02</t>
  </si>
  <si>
    <t>D0554064:O14</t>
  </si>
  <si>
    <t>D0545750:J16</t>
  </si>
  <si>
    <t>D0554063:M04</t>
  </si>
  <si>
    <t>D0545762:F17</t>
  </si>
  <si>
    <t>D0554069:M06</t>
  </si>
  <si>
    <t>TR06460366-001</t>
  </si>
  <si>
    <t>D0545768:I19</t>
  </si>
  <si>
    <t>D0554064:O12</t>
  </si>
  <si>
    <t>D0545746:F01</t>
  </si>
  <si>
    <t>D0554069:O18</t>
  </si>
  <si>
    <t>TR06473987-001</t>
  </si>
  <si>
    <t>D0545766:G12</t>
  </si>
  <si>
    <t>D0554065:P01</t>
  </si>
  <si>
    <t>D0545746:E22</t>
  </si>
  <si>
    <t>D0554063:G04</t>
  </si>
  <si>
    <t>D0545750:M18</t>
  </si>
  <si>
    <t>D0554068:A11</t>
  </si>
  <si>
    <t>D0545768:B13</t>
  </si>
  <si>
    <t>D0554068:O01</t>
  </si>
  <si>
    <t>D0545752:A21</t>
  </si>
  <si>
    <t>D0554063:O13</t>
  </si>
  <si>
    <t>D0545748:P24</t>
  </si>
  <si>
    <t>D0554065:G01</t>
  </si>
  <si>
    <t>D0545754:J17</t>
  </si>
  <si>
    <t>D0554067:B08</t>
  </si>
  <si>
    <t>D0545748:G10</t>
  </si>
  <si>
    <t>D0554066:P12</t>
  </si>
  <si>
    <t>D0545762:D15</t>
  </si>
  <si>
    <t>D0554072:N03</t>
  </si>
  <si>
    <t>D0545752:F11</t>
  </si>
  <si>
    <t>D0554065:N11</t>
  </si>
  <si>
    <t>D0545762:C13</t>
  </si>
  <si>
    <t>D0554069:I21</t>
  </si>
  <si>
    <t>TR06480301-002</t>
  </si>
  <si>
    <t>D0545752:I20</t>
  </si>
  <si>
    <t>D0554065:A17</t>
  </si>
  <si>
    <t>D0545766:K02</t>
  </si>
  <si>
    <t>D0554069:A15</t>
  </si>
  <si>
    <t>TR06471050-004</t>
  </si>
  <si>
    <t>D0545768:M14</t>
  </si>
  <si>
    <t>D0554066:H22</t>
  </si>
  <si>
    <t>D0545746:F06</t>
  </si>
  <si>
    <t>D0554065:O22</t>
  </si>
  <si>
    <t>D0545746:K08</t>
  </si>
  <si>
    <t>D0554069:P14</t>
  </si>
  <si>
    <t>TR06471049-001</t>
  </si>
  <si>
    <t>D0545770:E01</t>
  </si>
  <si>
    <t>D0554066:J06</t>
  </si>
  <si>
    <t>D0545750:P16</t>
  </si>
  <si>
    <t>D0554064:F11</t>
  </si>
  <si>
    <t>D0545766:O03</t>
  </si>
  <si>
    <t>D0554066:A18</t>
  </si>
  <si>
    <t>D0545754:K06</t>
  </si>
  <si>
    <t>D0554071:M10</t>
  </si>
  <si>
    <t>TR06534572-002</t>
  </si>
  <si>
    <t>D0545754:J07</t>
  </si>
  <si>
    <t>D0554067:O21</t>
  </si>
  <si>
    <t>D0545764:D14</t>
  </si>
  <si>
    <t>D0554064:C11</t>
  </si>
  <si>
    <t>D0545762:D22</t>
  </si>
  <si>
    <t>D0554065:C20</t>
  </si>
  <si>
    <t>D0545770:B23</t>
  </si>
  <si>
    <t>D0554069:D24</t>
  </si>
  <si>
    <t>TR06482766-001</t>
  </si>
  <si>
    <t>D0545762:J13</t>
  </si>
  <si>
    <t>D0554071:M21</t>
  </si>
  <si>
    <t>D0545768:E16</t>
  </si>
  <si>
    <t>D0554067:A03</t>
  </si>
  <si>
    <t>D0545768:A20</t>
  </si>
  <si>
    <t>D0554069:O14</t>
  </si>
  <si>
    <t>TR06471028-001</t>
  </si>
  <si>
    <t>D0545768:E08</t>
  </si>
  <si>
    <t>D0554066:A19</t>
  </si>
  <si>
    <t>D0545750:F12</t>
  </si>
  <si>
    <t>D0554066:K08</t>
  </si>
  <si>
    <t>D0545760:P07</t>
  </si>
  <si>
    <t>D0554064:K11</t>
  </si>
  <si>
    <t>D0545744:D15</t>
  </si>
  <si>
    <t>D0554065:J07</t>
  </si>
  <si>
    <t>D0545746:G01</t>
  </si>
  <si>
    <t>D0554064:E23</t>
  </si>
  <si>
    <t>D0545750:N17</t>
  </si>
  <si>
    <t>D0554072:P10</t>
  </si>
  <si>
    <t>D0554066:B05</t>
  </si>
  <si>
    <t>D0545746:O01</t>
  </si>
  <si>
    <t>D0554066:L09</t>
  </si>
  <si>
    <t>D0545768:O07</t>
  </si>
  <si>
    <t>D0554064:M21</t>
  </si>
  <si>
    <t>D0545748:A14</t>
  </si>
  <si>
    <t>D0554066:O09</t>
  </si>
  <si>
    <t>D0545760:M21</t>
  </si>
  <si>
    <t>D0554066:F10</t>
  </si>
  <si>
    <t>D0545744:L12</t>
  </si>
  <si>
    <t>D0554065:O04</t>
  </si>
  <si>
    <t>D0545748:D10</t>
  </si>
  <si>
    <t>D0554066:B19</t>
  </si>
  <si>
    <t>D0545748:N01</t>
  </si>
  <si>
    <t>D0554069:K20</t>
  </si>
  <si>
    <t>TR06479953-001</t>
  </si>
  <si>
    <t>D0545762:A11</t>
  </si>
  <si>
    <t>D0554069:L23</t>
  </si>
  <si>
    <t>TR06482249-001</t>
  </si>
  <si>
    <t>D0545750:N04</t>
  </si>
  <si>
    <t>D0554063:O15</t>
  </si>
  <si>
    <t>D0545744:L22</t>
  </si>
  <si>
    <t>D0554070:C24</t>
  </si>
  <si>
    <t>D0545748:N21</t>
  </si>
  <si>
    <t>D0554064:J21</t>
  </si>
  <si>
    <t>D0545750:F03</t>
  </si>
  <si>
    <t>D0554067:L07</t>
  </si>
  <si>
    <t>D0545750:P19</t>
  </si>
  <si>
    <t>D0554063:P19</t>
  </si>
  <si>
    <t>D0545764:I03</t>
  </si>
  <si>
    <t>D0554066:D03</t>
  </si>
  <si>
    <t>D0545754:A08</t>
  </si>
  <si>
    <t>D0554069:N19</t>
  </si>
  <si>
    <t>TR06475155-001</t>
  </si>
  <si>
    <t>D0545770:O10</t>
  </si>
  <si>
    <t>D0554066:J10</t>
  </si>
  <si>
    <t>D0545762:P09</t>
  </si>
  <si>
    <t>D0554063:G24</t>
  </si>
  <si>
    <t>D0545762:B07</t>
  </si>
  <si>
    <t>D0554066:G08</t>
  </si>
  <si>
    <t>D0545744:O06</t>
  </si>
  <si>
    <t>D0554072:N18</t>
  </si>
  <si>
    <t>D0554064:O15</t>
  </si>
  <si>
    <t>D0545768:M06</t>
  </si>
  <si>
    <t>D0554072:O12</t>
  </si>
  <si>
    <t>D0554072:B07</t>
  </si>
  <si>
    <t>D0554072:J07</t>
  </si>
  <si>
    <t>D0554066:P14</t>
  </si>
  <si>
    <t>D0545750:O13</t>
  </si>
  <si>
    <t>D0554064:J18</t>
  </si>
  <si>
    <t>D0545752:O18</t>
  </si>
  <si>
    <t>D0554067:B14</t>
  </si>
  <si>
    <t>D0545766:N03</t>
  </si>
  <si>
    <t>D0554067:B17</t>
  </si>
  <si>
    <t>D0545764:B13</t>
  </si>
  <si>
    <t>D0554064:B09</t>
  </si>
  <si>
    <t>D0545766:N18</t>
  </si>
  <si>
    <t>D0554064:G17</t>
  </si>
  <si>
    <t>D0545746:C05</t>
  </si>
  <si>
    <t>D0554069:B12</t>
  </si>
  <si>
    <t>TR06470262-004</t>
  </si>
  <si>
    <t>D0545752:J04</t>
  </si>
  <si>
    <t>D0554064:E04</t>
  </si>
  <si>
    <t>D0545762:B08</t>
  </si>
  <si>
    <t>D0554063:G19</t>
  </si>
  <si>
    <t>D0545750:M09</t>
  </si>
  <si>
    <t>D0554065:H07</t>
  </si>
  <si>
    <t>D0545760:H14</t>
  </si>
  <si>
    <t>D0554066:D02</t>
  </si>
  <si>
    <t>D0545754:A12</t>
  </si>
  <si>
    <t>D0554067:N16</t>
  </si>
  <si>
    <t>D0545766:M04</t>
  </si>
  <si>
    <t>D0554065:I17</t>
  </si>
  <si>
    <t>D0545748:G22</t>
  </si>
  <si>
    <t>D0554072:I02</t>
  </si>
  <si>
    <t>D0545768:E04</t>
  </si>
  <si>
    <t>D0554065:O06</t>
  </si>
  <si>
    <t>D0545768:J12</t>
  </si>
  <si>
    <t>D0554069:N22</t>
  </si>
  <si>
    <t>TR06481237-001</t>
  </si>
  <si>
    <t>D0545756:G13</t>
  </si>
  <si>
    <t>D0554064:C04</t>
  </si>
  <si>
    <t>D0545748:M13</t>
  </si>
  <si>
    <t>D0554071:N10</t>
  </si>
  <si>
    <t>TR06535999-002</t>
  </si>
  <si>
    <t>D0545768:G23</t>
  </si>
  <si>
    <t>D0554067:J04</t>
  </si>
  <si>
    <t>D0545744:G06</t>
  </si>
  <si>
    <t>D0554066:E20</t>
  </si>
  <si>
    <t>D0545768:O06</t>
  </si>
  <si>
    <t>D0554066:N08</t>
  </si>
  <si>
    <t>D0545764:O19</t>
  </si>
  <si>
    <t>D0554065:B11</t>
  </si>
  <si>
    <t>D0545750:E05</t>
  </si>
  <si>
    <t>D0554064:H19</t>
  </si>
  <si>
    <t>D0545760:M07</t>
  </si>
  <si>
    <t>D0554067:A13</t>
  </si>
  <si>
    <t>D0545748:G17</t>
  </si>
  <si>
    <t>D0554065:P10</t>
  </si>
  <si>
    <t>D0545758:P15</t>
  </si>
  <si>
    <t>D0554063:D20</t>
  </si>
  <si>
    <t>D0545746:J01</t>
  </si>
  <si>
    <t>D0554066:N09</t>
  </si>
  <si>
    <t>D0545762:A13</t>
  </si>
  <si>
    <t>D0554064:I17</t>
  </si>
  <si>
    <t>D0545766:F17</t>
  </si>
  <si>
    <t>D0554067:B18</t>
  </si>
  <si>
    <t>D0545750:M10</t>
  </si>
  <si>
    <t>D0554064:H05</t>
  </si>
  <si>
    <t>D0545772:G05</t>
  </si>
  <si>
    <t>D0554071:N07</t>
  </si>
  <si>
    <t>D0545762:N23</t>
  </si>
  <si>
    <t>D0554065:D16</t>
  </si>
  <si>
    <t>D0545762:N12</t>
  </si>
  <si>
    <t>D0554066:H15</t>
  </si>
  <si>
    <t>D0552256:L20</t>
  </si>
  <si>
    <t>D0554070:O02</t>
  </si>
  <si>
    <t>D0545750:M06</t>
  </si>
  <si>
    <t>D0554070:J22</t>
  </si>
  <si>
    <t>D0545768:M03</t>
  </si>
  <si>
    <t>D0554067:F13</t>
  </si>
  <si>
    <t>D0545756:E07</t>
  </si>
  <si>
    <t>D0554066:L22</t>
  </si>
  <si>
    <t>D0545752:M23</t>
  </si>
  <si>
    <t>D0554066:E04</t>
  </si>
  <si>
    <t>D0545758:O24</t>
  </si>
  <si>
    <t>D0554066:G19</t>
  </si>
  <si>
    <t>D0545752:L08</t>
  </si>
  <si>
    <t>D0554069:P13</t>
  </si>
  <si>
    <t>TR06470829-001</t>
  </si>
  <si>
    <t>D0545752:D05</t>
  </si>
  <si>
    <t>D0554064:L19</t>
  </si>
  <si>
    <t>D0545752:K14</t>
  </si>
  <si>
    <t>D0554064:H04</t>
  </si>
  <si>
    <t>D0545744:N01</t>
  </si>
  <si>
    <t>D0554065:D15</t>
  </si>
  <si>
    <t>D0545768:K14</t>
  </si>
  <si>
    <t>D0554066:P03</t>
  </si>
  <si>
    <t>D0545750:N24</t>
  </si>
  <si>
    <t>D0554071:G21</t>
  </si>
  <si>
    <t>D0545768:E22</t>
  </si>
  <si>
    <t>D0554069:L22</t>
  </si>
  <si>
    <t>TR06481200-001</t>
  </si>
  <si>
    <t>D0545748:L19</t>
  </si>
  <si>
    <t>D0554065:E11</t>
  </si>
  <si>
    <t>D0545750:A24</t>
  </si>
  <si>
    <t>D0554068:A01</t>
  </si>
  <si>
    <t>D0545768:A16</t>
  </si>
  <si>
    <t>D0554071:J18</t>
  </si>
  <si>
    <t>D0545754:K12</t>
  </si>
  <si>
    <t>D0554072:D20</t>
  </si>
  <si>
    <t>D0554069:I16</t>
  </si>
  <si>
    <t>TR06472231-002</t>
  </si>
  <si>
    <t>D0545754:K19</t>
  </si>
  <si>
    <t>D0554072:B20</t>
  </si>
  <si>
    <t>D0554066:F08</t>
  </si>
  <si>
    <t>D0545760:C04</t>
  </si>
  <si>
    <t>D0554066:P21</t>
  </si>
  <si>
    <t>D0545766:D13</t>
  </si>
  <si>
    <t>D0554066:M12</t>
  </si>
  <si>
    <t>D0545760:M22</t>
  </si>
  <si>
    <t>D0554066:H06</t>
  </si>
  <si>
    <t>D0545744:B12</t>
  </si>
  <si>
    <t>D0554072:P18</t>
  </si>
  <si>
    <t>D0554063:J23</t>
  </si>
  <si>
    <t>D0545758:D08</t>
  </si>
  <si>
    <t>D0554068:P17</t>
  </si>
  <si>
    <t>D0545768:F20</t>
  </si>
  <si>
    <t>D0554070:P02</t>
  </si>
  <si>
    <t>D0545750:G22</t>
  </si>
  <si>
    <t>D0554063:A12</t>
  </si>
  <si>
    <t>D0545766:G04</t>
  </si>
  <si>
    <t>D0554067:I19</t>
  </si>
  <si>
    <t>D0545758:P01</t>
  </si>
  <si>
    <t>D0554069:O09</t>
  </si>
  <si>
    <t>TR06466618-001</t>
  </si>
  <si>
    <t>D0545768:I16</t>
  </si>
  <si>
    <t>D0554069:F14</t>
  </si>
  <si>
    <t>TR06470926-001</t>
  </si>
  <si>
    <t>D0545766:G22</t>
  </si>
  <si>
    <t>D0554064:E21</t>
  </si>
  <si>
    <t>D0545748:H17</t>
  </si>
  <si>
    <t>D0554065:D08</t>
  </si>
  <si>
    <t>D0545764:J21</t>
  </si>
  <si>
    <t>D0554066:N15</t>
  </si>
  <si>
    <t>D0545752:P06</t>
  </si>
  <si>
    <t>D0554072:O18</t>
  </si>
  <si>
    <t>D0554065:F16</t>
  </si>
  <si>
    <t>D0545772:E11</t>
  </si>
  <si>
    <t>D0554065:F20</t>
  </si>
  <si>
    <t>D0545766:G02</t>
  </si>
  <si>
    <t>D0554072:J23</t>
  </si>
  <si>
    <t>D0554067:M22</t>
  </si>
  <si>
    <t>D0545748:H09</t>
  </si>
  <si>
    <t>D0554070:B16</t>
  </si>
  <si>
    <t>D0545762:M14</t>
  </si>
  <si>
    <t>D0554068:G19</t>
  </si>
  <si>
    <t>D0545762:C18</t>
  </si>
  <si>
    <t>D0554065:K01</t>
  </si>
  <si>
    <t>D0545760:A09</t>
  </si>
  <si>
    <t>D0554069:O13</t>
  </si>
  <si>
    <t>TR06470804-002</t>
  </si>
  <si>
    <t>D0545764:L01</t>
  </si>
  <si>
    <t>D0554065:B13</t>
  </si>
  <si>
    <t>D0545760:D15</t>
  </si>
  <si>
    <t>D0554066:F17</t>
  </si>
  <si>
    <t>D0545768:I14</t>
  </si>
  <si>
    <t>D0554071:P11</t>
  </si>
  <si>
    <t>TR06536340-002</t>
  </si>
  <si>
    <t>D0545750:K18</t>
  </si>
  <si>
    <t>D0554070:M01</t>
  </si>
  <si>
    <t>D0545752:K12</t>
  </si>
  <si>
    <t>D0554065:O09</t>
  </si>
  <si>
    <t>D0545758:K02</t>
  </si>
  <si>
    <t>D0554072:M16</t>
  </si>
  <si>
    <t>D0554063:D17</t>
  </si>
  <si>
    <t>D0545768:P19</t>
  </si>
  <si>
    <t>D0554068:P20</t>
  </si>
  <si>
    <t>D0545750:D10</t>
  </si>
  <si>
    <t>D0554072:M23</t>
  </si>
  <si>
    <t>D0554069:J23</t>
  </si>
  <si>
    <t>TR06481518-002</t>
  </si>
  <si>
    <t>D0545750:P21</t>
  </si>
  <si>
    <t>D0554070:O22</t>
  </si>
  <si>
    <t>D0545770:C15</t>
  </si>
  <si>
    <t>D0554069:F04</t>
  </si>
  <si>
    <t>TR06446266-001</t>
  </si>
  <si>
    <t>D0545754:K07</t>
  </si>
  <si>
    <t>D0554066:M19</t>
  </si>
  <si>
    <t>D0545752:G24</t>
  </si>
  <si>
    <t>D0554069:O22</t>
  </si>
  <si>
    <t>TR06481238-001</t>
  </si>
  <si>
    <t>D0545744:N03</t>
  </si>
  <si>
    <t>D0554064:H13</t>
  </si>
  <si>
    <t>D0545750:L20</t>
  </si>
  <si>
    <t>D0554067:N10</t>
  </si>
  <si>
    <t>D0545768:J23</t>
  </si>
  <si>
    <t>D0554069:I02</t>
  </si>
  <si>
    <t>TR06445810-002</t>
  </si>
  <si>
    <t>D0545746:A07</t>
  </si>
  <si>
    <t>D0554063:D22</t>
  </si>
  <si>
    <t>D0545750:N21</t>
  </si>
  <si>
    <t>D0554065:B21</t>
  </si>
  <si>
    <t>D0545750:G02</t>
  </si>
  <si>
    <t>D0554063:G01</t>
  </si>
  <si>
    <t>D0545752:N23</t>
  </si>
  <si>
    <t>D0554066:O18</t>
  </si>
  <si>
    <t>D0545766:O19</t>
  </si>
  <si>
    <t>D0554071:L02</t>
  </si>
  <si>
    <t>D0545760:B23</t>
  </si>
  <si>
    <t>D0554068:P16</t>
  </si>
  <si>
    <t>D0545752:G23</t>
  </si>
  <si>
    <t>D0554064:B04</t>
  </si>
  <si>
    <t>D0545768:L03</t>
  </si>
  <si>
    <t>D0554066:P20</t>
  </si>
  <si>
    <t>D0545762:O01</t>
  </si>
  <si>
    <t>D0554065:F04</t>
  </si>
  <si>
    <t>D0545748:H01</t>
  </si>
  <si>
    <t>D0554070:A06</t>
  </si>
  <si>
    <t>D0545750:K14</t>
  </si>
  <si>
    <t>D0554063:L06</t>
  </si>
  <si>
    <t>D0545748:D02</t>
  </si>
  <si>
    <t>D0554064:K06</t>
  </si>
  <si>
    <t>D0545768:J21</t>
  </si>
  <si>
    <t>D0554067:E05</t>
  </si>
  <si>
    <t>D0545758:M15</t>
  </si>
  <si>
    <t>D0554072:I21</t>
  </si>
  <si>
    <t>D0554065:C03</t>
  </si>
  <si>
    <t>D0545758:L20</t>
  </si>
  <si>
    <t>D0554068:K21</t>
  </si>
  <si>
    <t>D0545770:B11</t>
  </si>
  <si>
    <t>D0554064:O17</t>
  </si>
  <si>
    <t>D0545766:N10</t>
  </si>
  <si>
    <t>D0554070:C15</t>
  </si>
  <si>
    <t>D0545750:D12</t>
  </si>
  <si>
    <t>D0554063:D08</t>
  </si>
  <si>
    <t>D0545750:A04</t>
  </si>
  <si>
    <t>D0554066:O16</t>
  </si>
  <si>
    <t>D0545750:H19</t>
  </si>
  <si>
    <t>D0554069:E13</t>
  </si>
  <si>
    <t>TR06470627-001</t>
  </si>
  <si>
    <t>D0545770:O06</t>
  </si>
  <si>
    <t>D0554070:E02</t>
  </si>
  <si>
    <t>D0545748:G04</t>
  </si>
  <si>
    <t>D0554064:G07</t>
  </si>
  <si>
    <t>D0545746:J06</t>
  </si>
  <si>
    <t>D0554069:N01</t>
  </si>
  <si>
    <t>TR06445560-001</t>
  </si>
  <si>
    <t>D0545770:L11</t>
  </si>
  <si>
    <t>D0554065:I16</t>
  </si>
  <si>
    <t>D0545764:J10</t>
  </si>
  <si>
    <t>D0554063:O21</t>
  </si>
  <si>
    <t>D0545770:K11</t>
  </si>
  <si>
    <t>D0554063:E23</t>
  </si>
  <si>
    <t>D0545744:C23</t>
  </si>
  <si>
    <t>D0554066:L08</t>
  </si>
  <si>
    <t>D0545752:E02</t>
  </si>
  <si>
    <t>D0554066:D16</t>
  </si>
  <si>
    <t>D0545744:G12</t>
  </si>
  <si>
    <t>D0554065:D14</t>
  </si>
  <si>
    <t>D0545754:O13</t>
  </si>
  <si>
    <t>D0554064:N07</t>
  </si>
  <si>
    <t>D0545746:G02</t>
  </si>
  <si>
    <t>D0554065:F03</t>
  </si>
  <si>
    <t>D0545752:F18</t>
  </si>
  <si>
    <t>D0554067:O15</t>
  </si>
  <si>
    <t>D0545768:D05</t>
  </si>
  <si>
    <t>D0554063:D12</t>
  </si>
  <si>
    <t>D0545748:D05</t>
  </si>
  <si>
    <t>D0554065:N23</t>
  </si>
  <si>
    <t>D0545752:B20</t>
  </si>
  <si>
    <t>D0554063:P23</t>
  </si>
  <si>
    <t>D0545752:N04</t>
  </si>
  <si>
    <t>D0554068:O07</t>
  </si>
  <si>
    <t>D0545746:I19</t>
  </si>
  <si>
    <t>D0554066:L14</t>
  </si>
  <si>
    <t>D0545746:L05</t>
  </si>
  <si>
    <t>D0554065:C05</t>
  </si>
  <si>
    <t>D0545744:H03</t>
  </si>
  <si>
    <t>D0554067:E21</t>
  </si>
  <si>
    <t>D0545768:L12</t>
  </si>
  <si>
    <t>D0554066:C01</t>
  </si>
  <si>
    <t>D0545768:K16</t>
  </si>
  <si>
    <t>D0554067:D24</t>
  </si>
  <si>
    <t>D0545772:M05</t>
  </si>
  <si>
    <t>D0554069:A04</t>
  </si>
  <si>
    <t>TR06446201-002</t>
  </si>
  <si>
    <t>D0545762:E20</t>
  </si>
  <si>
    <t>D0554064:C08</t>
  </si>
  <si>
    <t>D0545746:O22</t>
  </si>
  <si>
    <t>D0554071:E13</t>
  </si>
  <si>
    <t>TR06537648-001</t>
  </si>
  <si>
    <t>D0545770:D19</t>
  </si>
  <si>
    <t>D0554072:F12</t>
  </si>
  <si>
    <t>D0554065:O23</t>
  </si>
  <si>
    <t>D0552256:C17</t>
  </si>
  <si>
    <t>D0554063:N22</t>
  </si>
  <si>
    <t>D0545752:L09</t>
  </si>
  <si>
    <t>D0554070:B20</t>
  </si>
  <si>
    <t>D0545766:M08</t>
  </si>
  <si>
    <t>D0554069:B16</t>
  </si>
  <si>
    <t>TR06472101-002</t>
  </si>
  <si>
    <t>D0545762:P20</t>
  </si>
  <si>
    <t>D0554069:M19</t>
  </si>
  <si>
    <t>TR06475121-001</t>
  </si>
  <si>
    <t>D0545764:K22</t>
  </si>
  <si>
    <t>D0554069:C17</t>
  </si>
  <si>
    <t>TR06472695-001</t>
  </si>
  <si>
    <t>D0545770:B05</t>
  </si>
  <si>
    <t>D0554067:A21</t>
  </si>
  <si>
    <t>D0545752:J09</t>
  </si>
  <si>
    <t>D0554067:M03</t>
  </si>
  <si>
    <t>D0545758:P05</t>
  </si>
  <si>
    <t>D0554064:L18</t>
  </si>
  <si>
    <t>D0545746:C17</t>
  </si>
  <si>
    <t>D0554068:B03</t>
  </si>
  <si>
    <t>D0545766:N15</t>
  </si>
  <si>
    <t>D0554065:A10</t>
  </si>
  <si>
    <t>D0545746:O09</t>
  </si>
  <si>
    <t>D0554070:G03</t>
  </si>
  <si>
    <t>D0545766:N14</t>
  </si>
  <si>
    <t>D0554067:A08</t>
  </si>
  <si>
    <t>D0545754:O14</t>
  </si>
  <si>
    <t>D0554072:G24</t>
  </si>
  <si>
    <t>D0554072:J02</t>
  </si>
  <si>
    <t>D0545766:P10</t>
  </si>
  <si>
    <t>D0554066:B13</t>
  </si>
  <si>
    <t>D0545762:B04</t>
  </si>
  <si>
    <t>D0554065:A18</t>
  </si>
  <si>
    <t>D0545760:F18</t>
  </si>
  <si>
    <t>D0554069:D17</t>
  </si>
  <si>
    <t>TR06473694-002</t>
  </si>
  <si>
    <t>D0545754:B09</t>
  </si>
  <si>
    <t>D0554069:G10</t>
  </si>
  <si>
    <t>TR06467796-001</t>
  </si>
  <si>
    <t>D0545746:O06</t>
  </si>
  <si>
    <t>D0554066:H03</t>
  </si>
  <si>
    <t>D0545744:M15</t>
  </si>
  <si>
    <t>D0554066:D12</t>
  </si>
  <si>
    <t>D0545752:F21</t>
  </si>
  <si>
    <t>D0554068:G24</t>
  </si>
  <si>
    <t>D0545754:C21</t>
  </si>
  <si>
    <t>D0554065:M11</t>
  </si>
  <si>
    <t>D0545748:D08</t>
  </si>
  <si>
    <t>D0554063:N18</t>
  </si>
  <si>
    <t>D0545744:E14</t>
  </si>
  <si>
    <t>D0554064:L13</t>
  </si>
  <si>
    <t>D0545766:H02</t>
  </si>
  <si>
    <t>D0554068:I02</t>
  </si>
  <si>
    <t>D0545764:O20</t>
  </si>
  <si>
    <t>D0554066:K09</t>
  </si>
  <si>
    <t>D0545764:K02</t>
  </si>
  <si>
    <t>D0554068:C23</t>
  </si>
  <si>
    <t>D0545744:E08</t>
  </si>
  <si>
    <t>D0554065:M05</t>
  </si>
  <si>
    <t>D0545764:G01</t>
  </si>
  <si>
    <t>D0554063:L01</t>
  </si>
  <si>
    <t>D0545746:G18</t>
  </si>
  <si>
    <t>D0554064:K23</t>
  </si>
  <si>
    <t>D0545750:O15</t>
  </si>
  <si>
    <t>D0554065:P08</t>
  </si>
  <si>
    <t>D0545768:H11</t>
  </si>
  <si>
    <t>D0554065:P13</t>
  </si>
  <si>
    <t>D0545746:F09</t>
  </si>
  <si>
    <t>D0554069:M20</t>
  </si>
  <si>
    <t>TR06480018-001</t>
  </si>
  <si>
    <t>D0545766:G07</t>
  </si>
  <si>
    <t>D0554071:N22</t>
  </si>
  <si>
    <t>D0545748:N07</t>
  </si>
  <si>
    <t>D0554066:B02</t>
  </si>
  <si>
    <t>D0545766:A09</t>
  </si>
  <si>
    <t>D0554072:L18</t>
  </si>
  <si>
    <t>D0554063:E03</t>
  </si>
  <si>
    <t>D0545764:D21</t>
  </si>
  <si>
    <t>D0554067:D21</t>
  </si>
  <si>
    <t>D0545752:N11</t>
  </si>
  <si>
    <t>D0554066:P22</t>
  </si>
  <si>
    <t>D0545754:G19</t>
  </si>
  <si>
    <t>D0554066:G06</t>
  </si>
  <si>
    <t>D0545750:N23</t>
  </si>
  <si>
    <t>D0554071:D24</t>
  </si>
  <si>
    <t>D0545750:E24</t>
  </si>
  <si>
    <t>D0554071:P17</t>
  </si>
  <si>
    <t>D0545748:I08</t>
  </si>
  <si>
    <t>D0554069:B23</t>
  </si>
  <si>
    <t>TR06481318-002</t>
  </si>
  <si>
    <t>D0545764:N12</t>
  </si>
  <si>
    <t>D0554065:J21</t>
  </si>
  <si>
    <t>D0545760:L21</t>
  </si>
  <si>
    <t>D0554066:L05</t>
  </si>
  <si>
    <t>D0545752:G18</t>
  </si>
  <si>
    <t>D0554067:E02</t>
  </si>
  <si>
    <t>D0545768:E02</t>
  </si>
  <si>
    <t>D0554064:D21</t>
  </si>
  <si>
    <t>D0545772:O09</t>
  </si>
  <si>
    <t>D0554071:C21</t>
  </si>
  <si>
    <t>D0545750:M22</t>
  </si>
  <si>
    <t>D0554069:J20</t>
  </si>
  <si>
    <t>TR06479952-001</t>
  </si>
  <si>
    <t>D0545758:M06</t>
  </si>
  <si>
    <t>D0554072:C12</t>
  </si>
  <si>
    <t>D0554072:M06</t>
  </si>
  <si>
    <t>D0554070:D23</t>
  </si>
  <si>
    <t>D0545768:J22</t>
  </si>
  <si>
    <t>D0554067:L22</t>
  </si>
  <si>
    <t>D0545752:L23</t>
  </si>
  <si>
    <t>D0554065:P03</t>
  </si>
  <si>
    <t>D0552256:D14</t>
  </si>
  <si>
    <t>D0554064:N16</t>
  </si>
  <si>
    <t>D0545750:D13</t>
  </si>
  <si>
    <t>D0554070:M16</t>
  </si>
  <si>
    <t>D0545752:J07</t>
  </si>
  <si>
    <t>D0554069:H15</t>
  </si>
  <si>
    <t>TR06471884-001</t>
  </si>
  <si>
    <t>D0545752:I17</t>
  </si>
  <si>
    <t>D0554063:F01</t>
  </si>
  <si>
    <t>D0545762:K13</t>
  </si>
  <si>
    <t>D0554066:G02</t>
  </si>
  <si>
    <t>D0545746:L01</t>
  </si>
  <si>
    <t>D0554071:H03</t>
  </si>
  <si>
    <t>D0545768:A15</t>
  </si>
  <si>
    <t>D0554069:K03</t>
  </si>
  <si>
    <t>TR06446110-001</t>
  </si>
  <si>
    <t>D0545746:I17</t>
  </si>
  <si>
    <t>D0554070:I09</t>
  </si>
  <si>
    <t>D0545766:D16</t>
  </si>
  <si>
    <t>D0554072:L19</t>
  </si>
  <si>
    <t>D0554066:N16</t>
  </si>
  <si>
    <t>TR02052492-027</t>
  </si>
  <si>
    <t>D0545758:A22</t>
  </si>
  <si>
    <t>D0554066:H20</t>
  </si>
  <si>
    <t>D0545744:K24</t>
  </si>
  <si>
    <t>D0554066:B08</t>
  </si>
  <si>
    <t>D0545746:N12</t>
  </si>
  <si>
    <t>D0554066:J12</t>
  </si>
  <si>
    <t>D0545748:F03</t>
  </si>
  <si>
    <t>D0554064:E12</t>
  </si>
  <si>
    <t>D0545758:G11</t>
  </si>
  <si>
    <t>D0554069:K06</t>
  </si>
  <si>
    <t>TR06460352-001</t>
  </si>
  <si>
    <t>D0545772:A15</t>
  </si>
  <si>
    <t>D0554068:A18</t>
  </si>
  <si>
    <t>D0545770:O03</t>
  </si>
  <si>
    <t>D0554065:M23</t>
  </si>
  <si>
    <t>D0545750:J03</t>
  </si>
  <si>
    <t>D0554065:C01</t>
  </si>
  <si>
    <t>D0545766:P09</t>
  </si>
  <si>
    <t>D0554064:J19</t>
  </si>
  <si>
    <t>D0545764:O05</t>
  </si>
  <si>
    <t>D0554064:G18</t>
  </si>
  <si>
    <t>D0545750:P03</t>
  </si>
  <si>
    <t>D0554065:F12</t>
  </si>
  <si>
    <t>D0545760:J15</t>
  </si>
  <si>
    <t>D0554070:D12</t>
  </si>
  <si>
    <t>D0545766:H23</t>
  </si>
  <si>
    <t>D0554066:A01</t>
  </si>
  <si>
    <t>D0545768:I15</t>
  </si>
  <si>
    <t>D0554063:I12</t>
  </si>
  <si>
    <t>D0545768:D20</t>
  </si>
  <si>
    <t>D0554065:C10</t>
  </si>
  <si>
    <t>D0545746:O17</t>
  </si>
  <si>
    <t>D0554069:A18</t>
  </si>
  <si>
    <t>TR06473839-002</t>
  </si>
  <si>
    <t>D0545752:G16</t>
  </si>
  <si>
    <t>D0554065:N20</t>
  </si>
  <si>
    <t>D0545766:O24</t>
  </si>
  <si>
    <t>D0554065:H04</t>
  </si>
  <si>
    <t>D0545760:E08</t>
  </si>
  <si>
    <t>D0554066:D18</t>
  </si>
  <si>
    <t>D0545764:P10</t>
  </si>
  <si>
    <t>D0554066:A22</t>
  </si>
  <si>
    <t>D0545748:B17</t>
  </si>
  <si>
    <t>D0554066:H10</t>
  </si>
  <si>
    <t>D0545760:G18</t>
  </si>
  <si>
    <t>D0554065:D17</t>
  </si>
  <si>
    <t>D0545748:G08</t>
  </si>
  <si>
    <t>D0554069:I14</t>
  </si>
  <si>
    <t>TR06470973-002</t>
  </si>
  <si>
    <t>D0545746:P11</t>
  </si>
  <si>
    <t>D0554064:D15</t>
  </si>
  <si>
    <t>D0545762:L08</t>
  </si>
  <si>
    <t>D0554063:K01</t>
  </si>
  <si>
    <t>D0545752:K20</t>
  </si>
  <si>
    <t>D0554066:D15</t>
  </si>
  <si>
    <t>D0545760:G22</t>
  </si>
  <si>
    <t>D0554067:J16</t>
  </si>
  <si>
    <t>D0545752:P21</t>
  </si>
  <si>
    <t>D0554069:H01</t>
  </si>
  <si>
    <t>TR06445512-001</t>
  </si>
  <si>
    <t>D0545766:C15</t>
  </si>
  <si>
    <t>D0554065:F22</t>
  </si>
  <si>
    <t>D0545770:H21</t>
  </si>
  <si>
    <t>D0554065:D04</t>
  </si>
  <si>
    <t>D0545758:J01</t>
  </si>
  <si>
    <t>D0554066:E19</t>
  </si>
  <si>
    <t>D0545766:L18</t>
  </si>
  <si>
    <t>D0554063:D21</t>
  </si>
  <si>
    <t>D0545750:K10</t>
  </si>
  <si>
    <t>D0554066:G05</t>
  </si>
  <si>
    <t>D0545750:C07</t>
  </si>
  <si>
    <t>D0554072:I19</t>
  </si>
  <si>
    <t>D0554072:K20</t>
  </si>
  <si>
    <t>D0554068:A06</t>
  </si>
  <si>
    <t>D0545760:C17</t>
  </si>
  <si>
    <t>D0554063:L23</t>
  </si>
  <si>
    <t>D0545758:G18</t>
  </si>
  <si>
    <t>D0554072:M05</t>
  </si>
  <si>
    <t>D0554063:L10</t>
  </si>
  <si>
    <t>D0545758:O20</t>
  </si>
  <si>
    <t>D0554069:E03</t>
  </si>
  <si>
    <t>TR06445988-001</t>
  </si>
  <si>
    <t>D0545772:C19</t>
  </si>
  <si>
    <t>D0554072:B12</t>
  </si>
  <si>
    <t>D0554072:A09</t>
  </si>
  <si>
    <t>D0554069:L11</t>
  </si>
  <si>
    <t>TR06468332-001</t>
  </si>
  <si>
    <t>D0545750:J06</t>
  </si>
  <si>
    <t>D0554072:B06</t>
  </si>
  <si>
    <t>D0554069:L13</t>
  </si>
  <si>
    <t>TR06470748-001</t>
  </si>
  <si>
    <t>D0545750:H08</t>
  </si>
  <si>
    <t>D0554070:P12</t>
  </si>
  <si>
    <t>D0545764:N17</t>
  </si>
  <si>
    <t>D0554071:M01</t>
  </si>
  <si>
    <t>D0545770:E21</t>
  </si>
  <si>
    <t>D0554065:D23</t>
  </si>
  <si>
    <t>D0545762:M15</t>
  </si>
  <si>
    <t>D0554063:O17</t>
  </si>
  <si>
    <t>D0545762:J20</t>
  </si>
  <si>
    <t>D0554067:E23</t>
  </si>
  <si>
    <t>D0545752:P09</t>
  </si>
  <si>
    <t>D0554070:J23</t>
  </si>
  <si>
    <t>D0545768:A22</t>
  </si>
  <si>
    <t>D0554063:B09</t>
  </si>
  <si>
    <t>D0545758:K09</t>
  </si>
  <si>
    <t>D0554065:P18</t>
  </si>
  <si>
    <t>D0545750:L16</t>
  </si>
  <si>
    <t>D0554070:H23</t>
  </si>
  <si>
    <t>D0545752:C20</t>
  </si>
  <si>
    <t>D0554069:P19</t>
  </si>
  <si>
    <t>TR06475194-002</t>
  </si>
  <si>
    <t>D0545766:F08</t>
  </si>
  <si>
    <t>D0554066:L17</t>
  </si>
  <si>
    <t>D0545764:K16</t>
  </si>
  <si>
    <t>D0554064:P17</t>
  </si>
  <si>
    <t>D0545750:G20</t>
  </si>
  <si>
    <t>D0554065:P04</t>
  </si>
  <si>
    <t>D0545764:F17</t>
  </si>
  <si>
    <t>D0554072:K22</t>
  </si>
  <si>
    <t>D0554066:B12</t>
  </si>
  <si>
    <t>D0545762:N21</t>
  </si>
  <si>
    <t>D0554069:L04</t>
  </si>
  <si>
    <t>TR06449265-001</t>
  </si>
  <si>
    <t>D0545768:P10</t>
  </si>
  <si>
    <t>D0554072:N12</t>
  </si>
  <si>
    <t>D0554069:A06</t>
  </si>
  <si>
    <t>TR06459826-001</t>
  </si>
  <si>
    <t>D0545766:F04</t>
  </si>
  <si>
    <t>D0554070:G23</t>
  </si>
  <si>
    <t>D0545748:C21</t>
  </si>
  <si>
    <t>D0554065:H19</t>
  </si>
  <si>
    <t>D0545754:O21</t>
  </si>
  <si>
    <t>D0554071:C24</t>
  </si>
  <si>
    <t>D0545750:O24</t>
  </si>
  <si>
    <t>D0554063:J21</t>
  </si>
  <si>
    <t>D0545758:K01</t>
  </si>
  <si>
    <t>D0554072:P23</t>
  </si>
  <si>
    <t>D0554065:M13</t>
  </si>
  <si>
    <t>D0545768:H17</t>
  </si>
  <si>
    <t>D0554067:K03</t>
  </si>
  <si>
    <t>D0545758:H02</t>
  </si>
  <si>
    <t>D0554071:E03</t>
  </si>
  <si>
    <t>D0545750:H10</t>
  </si>
  <si>
    <t>D0554064:F14</t>
  </si>
  <si>
    <t>D0545752:N02</t>
  </si>
  <si>
    <t>D0554067:P05</t>
  </si>
  <si>
    <t>D0545750:C11</t>
  </si>
  <si>
    <t>D0554065:J10</t>
  </si>
  <si>
    <t>D0545746:I09</t>
  </si>
  <si>
    <t>D0554066:I04</t>
  </si>
  <si>
    <t>D0545766:I22</t>
  </si>
  <si>
    <t>D0554067:M04</t>
  </si>
  <si>
    <t>D0545758:J12</t>
  </si>
  <si>
    <t>D0554070:D13</t>
  </si>
  <si>
    <t>D0545750:G18</t>
  </si>
  <si>
    <t>D0554070:P11</t>
  </si>
  <si>
    <t>D0545746:P06</t>
  </si>
  <si>
    <t>D0554065:I11</t>
  </si>
  <si>
    <t>D0545748:J07</t>
  </si>
  <si>
    <t>D0554069:F12</t>
  </si>
  <si>
    <t>TR06470374-001</t>
  </si>
  <si>
    <t>D0545748:B13</t>
  </si>
  <si>
    <t>D0554065:J20</t>
  </si>
  <si>
    <t>D0545748:C22</t>
  </si>
  <si>
    <t>D0554067:N20</t>
  </si>
  <si>
    <t>D0545752:C05</t>
  </si>
  <si>
    <t>D0554063:K23</t>
  </si>
  <si>
    <t>D0545752:A11</t>
  </si>
  <si>
    <t>D0554071:P06</t>
  </si>
  <si>
    <t>D0545756:K03</t>
  </si>
  <si>
    <t>D0554066:M22</t>
  </si>
  <si>
    <t>D0545744:O07</t>
  </si>
  <si>
    <t>D0554069:B08</t>
  </si>
  <si>
    <t>TR06460746-001</t>
  </si>
  <si>
    <t>D0545750:D07</t>
  </si>
  <si>
    <t>D0554068:D03</t>
  </si>
  <si>
    <t>D0545766:N09</t>
  </si>
  <si>
    <t>D0554065:A12</t>
  </si>
  <si>
    <t>D0545752:P04</t>
  </si>
  <si>
    <t>D0554066:C03</t>
  </si>
  <si>
    <t>D0545746:O05</t>
  </si>
  <si>
    <t>D0554066:F18</t>
  </si>
  <si>
    <t>D0545748:K12</t>
  </si>
  <si>
    <t>D0554070:L02</t>
  </si>
  <si>
    <t>D0545768:D22</t>
  </si>
  <si>
    <t>D0554071:P12</t>
  </si>
  <si>
    <t>TR06537482-001</t>
  </si>
  <si>
    <t>D0545768:P24</t>
  </si>
  <si>
    <t>D0554063:O02</t>
  </si>
  <si>
    <t>D0545746:H18</t>
  </si>
  <si>
    <t>D0554069:D12</t>
  </si>
  <si>
    <t>TR06470335-002</t>
  </si>
  <si>
    <t>D0545750:I10</t>
  </si>
  <si>
    <t>D0554066:P04</t>
  </si>
  <si>
    <t>D0545760:I06</t>
  </si>
  <si>
    <t>D0554069:N09</t>
  </si>
  <si>
    <t>TR06466617-002</t>
  </si>
  <si>
    <t>D0545746:B20</t>
  </si>
  <si>
    <t>D0554070:O23</t>
  </si>
  <si>
    <t>D0545770:A19</t>
  </si>
  <si>
    <t>D0554063:I23</t>
  </si>
  <si>
    <t>D0545758:B10</t>
  </si>
  <si>
    <t>D0554063:G23</t>
  </si>
  <si>
    <t>D0545760:P17</t>
  </si>
  <si>
    <t>D0554063:P01</t>
  </si>
  <si>
    <t>D0545746:A16</t>
  </si>
  <si>
    <t>D0554066:A09</t>
  </si>
  <si>
    <t>D0545756:K11</t>
  </si>
  <si>
    <t>D0554065:E22</t>
  </si>
  <si>
    <t>D0545750:H09</t>
  </si>
  <si>
    <t>D0554066:K03</t>
  </si>
  <si>
    <t>D0545746:G22</t>
  </si>
  <si>
    <t>D0554067:E22</t>
  </si>
  <si>
    <t>D0545750:C09</t>
  </si>
  <si>
    <t>D0554070:N08</t>
  </si>
  <si>
    <t>D0545762:E06</t>
  </si>
  <si>
    <t>D0554069:G09</t>
  </si>
  <si>
    <t>TR06466499-001</t>
  </si>
  <si>
    <t>D0545762:L15</t>
  </si>
  <si>
    <t>D0554063:K21</t>
  </si>
  <si>
    <t>D0545744:J12</t>
  </si>
  <si>
    <t>D0554072:G22</t>
  </si>
  <si>
    <t>D0554066:O15</t>
  </si>
  <si>
    <t>D0545760:M04</t>
  </si>
  <si>
    <t>D0554065:G19</t>
  </si>
  <si>
    <t>D0545758:I17</t>
  </si>
  <si>
    <t>D0554070:H24</t>
  </si>
  <si>
    <t>D0545752:D03</t>
  </si>
  <si>
    <t>D0554064:F20</t>
  </si>
  <si>
    <t>D0545758:E21</t>
  </si>
  <si>
    <t>D0554069:B14</t>
  </si>
  <si>
    <t>TR06470875-002</t>
  </si>
  <si>
    <t>D0545746:D08</t>
  </si>
  <si>
    <t>D0554066:F05</t>
  </si>
  <si>
    <t>D0545752:J21</t>
  </si>
  <si>
    <t>D0554070:P22</t>
  </si>
  <si>
    <t>D0545768:K06</t>
  </si>
  <si>
    <t>D0554065:C02</t>
  </si>
  <si>
    <t>D0545754:A04</t>
  </si>
  <si>
    <t>D0554069:D15</t>
  </si>
  <si>
    <t>TR06471093-001</t>
  </si>
  <si>
    <t>D0545764:O12</t>
  </si>
  <si>
    <t>D0554069:A16</t>
  </si>
  <si>
    <t>TR06472068-001</t>
  </si>
  <si>
    <t>D0545750:K05</t>
  </si>
  <si>
    <t>D0554071:P10</t>
  </si>
  <si>
    <t>TR06536001-001</t>
  </si>
  <si>
    <t>D0545750:P07</t>
  </si>
  <si>
    <t>D0554063:A20</t>
  </si>
  <si>
    <t>D0545748:C07</t>
  </si>
  <si>
    <t>D0554067:A06</t>
  </si>
  <si>
    <t>D0545766:L20</t>
  </si>
  <si>
    <t>D0554065:J06</t>
  </si>
  <si>
    <t>D0545746:P07</t>
  </si>
  <si>
    <t>D0554071:O07</t>
  </si>
  <si>
    <t>D0545760:A08</t>
  </si>
  <si>
    <t>D0554071:A17</t>
  </si>
  <si>
    <t>D0545752:N07</t>
  </si>
  <si>
    <t>D0554066:L01</t>
  </si>
  <si>
    <t>D0552256:K06</t>
  </si>
  <si>
    <t>D0554063:I04</t>
  </si>
  <si>
    <t>D0545744:D03</t>
  </si>
  <si>
    <t>D0554070:F24</t>
  </si>
  <si>
    <t>D0545756:O09</t>
  </si>
  <si>
    <t>D0554064:H18</t>
  </si>
  <si>
    <t>D0545760:I19</t>
  </si>
  <si>
    <t>D0554071:D02</t>
  </si>
  <si>
    <t>D0545768:J11</t>
  </si>
  <si>
    <t>D0554066:P06</t>
  </si>
  <si>
    <t>D0545762:B06</t>
  </si>
  <si>
    <t>D0554066:I18</t>
  </si>
  <si>
    <t>D0545750:B14</t>
  </si>
  <si>
    <t>D0554066:J08</t>
  </si>
  <si>
    <t>D0545744:C02</t>
  </si>
  <si>
    <t>D0554066:E07</t>
  </si>
  <si>
    <t>D0545758:B24</t>
  </si>
  <si>
    <t>D0554068:M16</t>
  </si>
  <si>
    <t>D0545772:E19</t>
  </si>
  <si>
    <t>D0554070:I11</t>
  </si>
  <si>
    <t>D0545760:E06</t>
  </si>
  <si>
    <t>D0554068:D02</t>
  </si>
  <si>
    <t>D0545770:A01</t>
  </si>
  <si>
    <t>D0554071:C07</t>
  </si>
  <si>
    <t>D0545754:P03</t>
  </si>
  <si>
    <t>D0554072:E24</t>
  </si>
  <si>
    <t>D0554063:H20</t>
  </si>
  <si>
    <t>D0545750:O23</t>
  </si>
  <si>
    <t>D0554072:L07</t>
  </si>
  <si>
    <t>D0554064:F04</t>
  </si>
  <si>
    <t>D0545760:I24</t>
  </si>
  <si>
    <t>D0554067:D22</t>
  </si>
  <si>
    <t>D0545750:G05</t>
  </si>
  <si>
    <t>D0554067:F22</t>
  </si>
  <si>
    <t>D0545764:K09</t>
  </si>
  <si>
    <t>D0554064:I06</t>
  </si>
  <si>
    <t>D0545752:J13</t>
  </si>
  <si>
    <t>D0554065:F11</t>
  </si>
  <si>
    <t>D0545760:D17</t>
  </si>
  <si>
    <t>D0554063:B22</t>
  </si>
  <si>
    <t>D0545760:I20</t>
  </si>
  <si>
    <t>D0554069:N17</t>
  </si>
  <si>
    <t>TR06473803-001</t>
  </si>
  <si>
    <t>D0545752:J11</t>
  </si>
  <si>
    <t>D0554066:E05</t>
  </si>
  <si>
    <t>D0545766:H10</t>
  </si>
  <si>
    <t>D0554065:J19</t>
  </si>
  <si>
    <t>D0545746:I04</t>
  </si>
  <si>
    <t>D0554068:P06</t>
  </si>
  <si>
    <t>D0545752:F24</t>
  </si>
  <si>
    <t>D0554065:F19</t>
  </si>
  <si>
    <t>D0552256:N16</t>
  </si>
  <si>
    <t>D0554067:K22</t>
  </si>
  <si>
    <t>D0545746:O11</t>
  </si>
  <si>
    <t>D0554069:M15</t>
  </si>
  <si>
    <t>TR06471972-001</t>
  </si>
  <si>
    <t>D0545752:G10</t>
  </si>
  <si>
    <t>D0554068:P22</t>
  </si>
  <si>
    <t>D0545764:C23</t>
  </si>
  <si>
    <t>D0554063:A08</t>
  </si>
  <si>
    <t>D0545750:B21</t>
  </si>
  <si>
    <t>D0554071:A16</t>
  </si>
  <si>
    <t>D0545762:J06</t>
  </si>
  <si>
    <t>D0554066:O04</t>
  </si>
  <si>
    <t>D0545752:O17</t>
  </si>
  <si>
    <t>D0554067:C22</t>
  </si>
  <si>
    <t>D0545748:H18</t>
  </si>
  <si>
    <t>D0554072:B04</t>
  </si>
  <si>
    <t>D0554066:G01</t>
  </si>
  <si>
    <t>D0545750:A06</t>
  </si>
  <si>
    <t>D0554067:P19</t>
  </si>
  <si>
    <t>D0545770:B21</t>
  </si>
  <si>
    <t>D0554066:P18</t>
  </si>
  <si>
    <t>D0545748:K09</t>
  </si>
  <si>
    <t>D0554063:H13</t>
  </si>
  <si>
    <t>D0545764:B03</t>
  </si>
  <si>
    <t>D0554072:A20</t>
  </si>
  <si>
    <t>D0554064:K10</t>
  </si>
  <si>
    <t>D0545766:D15</t>
  </si>
  <si>
    <t>D0554066:H16</t>
  </si>
  <si>
    <t>D0545764:D09</t>
  </si>
  <si>
    <t>D0554071:O14</t>
  </si>
  <si>
    <t>D0545768:P11</t>
  </si>
  <si>
    <t>D0554063:B08</t>
  </si>
  <si>
    <t>D0545746:M16</t>
  </si>
  <si>
    <t>D0554065:B07</t>
  </si>
  <si>
    <t>D0545758:L09</t>
  </si>
  <si>
    <t>D0554066:D06</t>
  </si>
  <si>
    <t>D0545748:N15</t>
  </si>
  <si>
    <t>D0554065:J22</t>
  </si>
  <si>
    <t>D0545750:C24</t>
  </si>
  <si>
    <t>D0554063:D23</t>
  </si>
  <si>
    <t>D0545750:D11</t>
  </si>
  <si>
    <t>D0554066:E03</t>
  </si>
  <si>
    <t>D0545750:H24</t>
  </si>
  <si>
    <t>D0554063:L22</t>
  </si>
  <si>
    <t>D0545744:D22</t>
  </si>
  <si>
    <t>D0554072:P09</t>
  </si>
  <si>
    <t>D0554066:O22</t>
  </si>
  <si>
    <t>D0545760:A19</t>
  </si>
  <si>
    <t>D0554069:I19</t>
  </si>
  <si>
    <t>TR06475051-002</t>
  </si>
  <si>
    <t>D0545758:P20</t>
  </si>
  <si>
    <t>D0554065:O12</t>
  </si>
  <si>
    <t>D0545752:B04</t>
  </si>
  <si>
    <t>D0554066:N04</t>
  </si>
  <si>
    <t>D0545752:M10</t>
  </si>
  <si>
    <t>D0554064:E14</t>
  </si>
  <si>
    <t>D0545746:C20</t>
  </si>
  <si>
    <t>D0554063:N20</t>
  </si>
  <si>
    <t>D0545752:L04</t>
  </si>
  <si>
    <t>D0554066:J19</t>
  </si>
  <si>
    <t>D0545766:K18</t>
  </si>
  <si>
    <t>D0554065:L12</t>
  </si>
  <si>
    <t>D0545764:O14</t>
  </si>
  <si>
    <t>D0554066:D10</t>
  </si>
  <si>
    <t>D0545770:H15</t>
  </si>
  <si>
    <t>D0554069:J02</t>
  </si>
  <si>
    <t>TR06445811-001</t>
  </si>
  <si>
    <t>D0545766:O15</t>
  </si>
  <si>
    <t>D0554067:M21</t>
  </si>
  <si>
    <t>D0545752:N12</t>
  </si>
  <si>
    <t>D0554063:C13</t>
  </si>
  <si>
    <t>D0545766:H07</t>
  </si>
  <si>
    <t>D0554063:P18</t>
  </si>
  <si>
    <t>D0545760:P04</t>
  </si>
  <si>
    <t>D0554063:O14</t>
  </si>
  <si>
    <t>D0545744:B18</t>
  </si>
  <si>
    <t>D0554064:F07</t>
  </si>
  <si>
    <t>D0545760:H12</t>
  </si>
  <si>
    <t>D0554065:B08</t>
  </si>
  <si>
    <t>D0545764:G22</t>
  </si>
  <si>
    <t>D0554069:N05</t>
  </si>
  <si>
    <t>TR06459797-001</t>
  </si>
  <si>
    <t>D0545766:P12</t>
  </si>
  <si>
    <t>D0554063:C21</t>
  </si>
  <si>
    <t>D0545762:J16</t>
  </si>
  <si>
    <t>D0554071:G23</t>
  </si>
  <si>
    <t>D0545748:B18</t>
  </si>
  <si>
    <t>D0554063:K06</t>
  </si>
  <si>
    <t>D0545748:F19</t>
  </si>
  <si>
    <t>D0554065:C09</t>
  </si>
  <si>
    <t>D0545750:L13</t>
  </si>
  <si>
    <t>D0554064:B17</t>
  </si>
  <si>
    <t>D0545764:I22</t>
  </si>
  <si>
    <t>D0554068:E05</t>
  </si>
  <si>
    <t>D0545766:L16</t>
  </si>
  <si>
    <t>D0554072:A12</t>
  </si>
  <si>
    <t>D0554066:D21</t>
  </si>
  <si>
    <t>D0545746:D12</t>
  </si>
  <si>
    <t>D0554068:G02</t>
  </si>
  <si>
    <t>D0545760:O01</t>
  </si>
  <si>
    <t>D0554071:H24</t>
  </si>
  <si>
    <t>D0545750:O18</t>
  </si>
  <si>
    <t>D0554069:E15</t>
  </si>
  <si>
    <t>TR06471118-001</t>
  </si>
  <si>
    <t>D0545752:C09</t>
  </si>
  <si>
    <t>D0554071:C17</t>
  </si>
  <si>
    <t>D0545764:G16</t>
  </si>
  <si>
    <t>D0554063:O19</t>
  </si>
  <si>
    <t>D0545750:H03</t>
  </si>
  <si>
    <t>D0554072:C06</t>
  </si>
  <si>
    <t>D0554063:P09</t>
  </si>
  <si>
    <t>D0545746:F18</t>
  </si>
  <si>
    <t>D0554072:E04</t>
  </si>
  <si>
    <t>D0554065:A02</t>
  </si>
  <si>
    <t>D0545764:J19</t>
  </si>
  <si>
    <t>D0554066:M11</t>
  </si>
  <si>
    <t>D0545746:N01</t>
  </si>
  <si>
    <t>D0554069:B22</t>
  </si>
  <si>
    <t>TR06481014-001</t>
  </si>
  <si>
    <t>D0545768:F08</t>
  </si>
  <si>
    <t>D0554063:M06</t>
  </si>
  <si>
    <t>D0552256:N22</t>
  </si>
  <si>
    <t>D0554069:O20</t>
  </si>
  <si>
    <t>TR06480075-001</t>
  </si>
  <si>
    <t>D0545766:C06</t>
  </si>
  <si>
    <t>D0554065:E17</t>
  </si>
  <si>
    <t>D0545758:H10</t>
  </si>
  <si>
    <t>D0554068:C09</t>
  </si>
  <si>
    <t>D0545762:M21</t>
  </si>
  <si>
    <t>D0554069:P18</t>
  </si>
  <si>
    <t>TR06474914-001</t>
  </si>
  <si>
    <t>D0545766:J01</t>
  </si>
  <si>
    <t>D0554066:J11</t>
  </si>
  <si>
    <t>D0545754:I08</t>
  </si>
  <si>
    <t>D0554063:H07</t>
  </si>
  <si>
    <t>D0545744:M23</t>
  </si>
  <si>
    <t>D0554067:A01</t>
  </si>
  <si>
    <t>D0545744:G18</t>
  </si>
  <si>
    <t>D0554067:L15</t>
  </si>
  <si>
    <t>D0545748:H16</t>
  </si>
  <si>
    <t>D0554068:E02</t>
  </si>
  <si>
    <t>D0545764:B12</t>
  </si>
  <si>
    <t>D0554066:L18</t>
  </si>
  <si>
    <t>D0545762:F04</t>
  </si>
  <si>
    <t>D0554070:D24</t>
  </si>
  <si>
    <t>D0545750:B08</t>
  </si>
  <si>
    <t>D0554072:D23</t>
  </si>
  <si>
    <t>D0554063:J03</t>
  </si>
  <si>
    <t>D0545746:F12</t>
  </si>
  <si>
    <t>D0554068:O02</t>
  </si>
  <si>
    <t>D0545748:J09</t>
  </si>
  <si>
    <t>D0554066:K19</t>
  </si>
  <si>
    <t>D0545748:B09</t>
  </si>
  <si>
    <t>D0554063:J04</t>
  </si>
  <si>
    <t>D0545754:I22</t>
  </si>
  <si>
    <t>D0554069:M09</t>
  </si>
  <si>
    <t>TR06466577-001</t>
  </si>
  <si>
    <t>D0545746:E02</t>
  </si>
  <si>
    <t>D0554066:G16</t>
  </si>
  <si>
    <t>D0545754:G02</t>
  </si>
  <si>
    <t>D0554072:J19</t>
  </si>
  <si>
    <t>D0554068:C17</t>
  </si>
  <si>
    <t>D0545768:G12</t>
  </si>
  <si>
    <t>D0554071:C06</t>
  </si>
  <si>
    <t>D0545752:A18</t>
  </si>
  <si>
    <t>D0554066:C16</t>
  </si>
  <si>
    <t>D0545764:N20</t>
  </si>
  <si>
    <t>D0554066:G07</t>
  </si>
  <si>
    <t>D0545768:B04</t>
  </si>
  <si>
    <t>D0554069:D16</t>
  </si>
  <si>
    <t>TR06472137-002</t>
  </si>
  <si>
    <t>D0545748:I04</t>
  </si>
  <si>
    <t>D0554063:B10</t>
  </si>
  <si>
    <t>D0545760:I13</t>
  </si>
  <si>
    <t>D0554071:A01</t>
  </si>
  <si>
    <t>D0545746:M08</t>
  </si>
  <si>
    <t>D0554072:M22</t>
  </si>
  <si>
    <t>D0554066:M03</t>
  </si>
  <si>
    <t>D0545768:D21</t>
  </si>
  <si>
    <t>D0554064:C07</t>
  </si>
  <si>
    <t>D0545764:L08</t>
  </si>
  <si>
    <t>D0554067:I22</t>
  </si>
  <si>
    <t>D0545758:G02</t>
  </si>
  <si>
    <t>D0554067:F16</t>
  </si>
  <si>
    <t>D0545768:L16</t>
  </si>
  <si>
    <t>D0554065:N21</t>
  </si>
  <si>
    <t>D0545764:F11</t>
  </si>
  <si>
    <t>D0554069:N12</t>
  </si>
  <si>
    <t>TR06470520-001</t>
  </si>
  <si>
    <t>D0545768:D08</t>
  </si>
  <si>
    <t>D0554068:A14</t>
  </si>
  <si>
    <t>D0545772:I15</t>
  </si>
  <si>
    <t>D0554064:L10</t>
  </si>
  <si>
    <t>D0545762:A05</t>
  </si>
  <si>
    <t>D0554067:F24</t>
  </si>
  <si>
    <t>D0545766:L03</t>
  </si>
  <si>
    <t>D0554065:H01</t>
  </si>
  <si>
    <t>D0545750:P06</t>
  </si>
  <si>
    <t>D0554066:G12</t>
  </si>
  <si>
    <t>D0545766:E17</t>
  </si>
  <si>
    <t>D0554067:J21</t>
  </si>
  <si>
    <t>D0545764:C24</t>
  </si>
  <si>
    <t>D0554065:B20</t>
  </si>
  <si>
    <t>D0545768:I10</t>
  </si>
  <si>
    <t>D0554069:G04</t>
  </si>
  <si>
    <t>TR06446308-002</t>
  </si>
  <si>
    <t>D0545754:H11</t>
  </si>
  <si>
    <t>D0554065:B04</t>
  </si>
  <si>
    <t>D0545760:L17</t>
  </si>
  <si>
    <t>D0554063:G12</t>
  </si>
  <si>
    <t>D0545754:K22</t>
  </si>
  <si>
    <t>D0554069:K04</t>
  </si>
  <si>
    <t>TR06449222-001</t>
  </si>
  <si>
    <t>D0545768:O23</t>
  </si>
  <si>
    <t>D0554067:B23</t>
  </si>
  <si>
    <t>D0545758:C08</t>
  </si>
  <si>
    <t>D0554067:J05</t>
  </si>
  <si>
    <t>D0545768:O02</t>
  </si>
  <si>
    <t>D0554066:K14</t>
  </si>
  <si>
    <t>D0545752:H01</t>
  </si>
  <si>
    <t>D0554071:O09</t>
  </si>
  <si>
    <t>TR06532496-001</t>
  </si>
  <si>
    <t>D0545766:F03</t>
  </si>
  <si>
    <t>D0554065:F15</t>
  </si>
  <si>
    <t>D0545752:G07</t>
  </si>
  <si>
    <t>D0554066:O07</t>
  </si>
  <si>
    <t>D0545750:B16</t>
  </si>
  <si>
    <t>D0554068:O20</t>
  </si>
  <si>
    <t>D0545752:J15</t>
  </si>
  <si>
    <t>D0554067:C06</t>
  </si>
  <si>
    <t>D0545760:L24</t>
  </si>
  <si>
    <t>D0554072:A10</t>
  </si>
  <si>
    <t>D0554071:F22</t>
  </si>
  <si>
    <t>D0545766:M19</t>
  </si>
  <si>
    <t>D0554072:F21</t>
  </si>
  <si>
    <t>D0554065:E23</t>
  </si>
  <si>
    <t>D0545766:P18</t>
  </si>
  <si>
    <t>D0554072:B18</t>
  </si>
  <si>
    <t>D0554072:H23</t>
  </si>
  <si>
    <t>D0554069:B24</t>
  </si>
  <si>
    <t>TR06482724-001</t>
  </si>
  <si>
    <t>D0545750:C14</t>
  </si>
  <si>
    <t>D0554066:L16</t>
  </si>
  <si>
    <t>D0545772:E15</t>
  </si>
  <si>
    <t>D0554070:A16</t>
  </si>
  <si>
    <t>D0545754:I18</t>
  </si>
  <si>
    <t>D0554070:O16</t>
  </si>
  <si>
    <t>D0545760:O04</t>
  </si>
  <si>
    <t>D0554063:H23</t>
  </si>
  <si>
    <t>D0545766:I11</t>
  </si>
  <si>
    <t>D0554070:G22</t>
  </si>
  <si>
    <t>D0545754:I06</t>
  </si>
  <si>
    <t>D0554069:I20</t>
  </si>
  <si>
    <t>TR06478760-001</t>
  </si>
  <si>
    <t>D0545752:C11</t>
  </si>
  <si>
    <t>D0554069:K10</t>
  </si>
  <si>
    <t>TR06467877-001</t>
  </si>
  <si>
    <t>D0545768:K07</t>
  </si>
  <si>
    <t>D0554066:G17</t>
  </si>
  <si>
    <t>D0545752:L10</t>
  </si>
  <si>
    <t>D0554072:N20</t>
  </si>
  <si>
    <t>D0554067:F01</t>
  </si>
  <si>
    <t>D0545758:N06</t>
  </si>
  <si>
    <t>D0554070:C10</t>
  </si>
  <si>
    <t>D0545750:L05</t>
  </si>
  <si>
    <t>D0554068:J12</t>
  </si>
  <si>
    <t>D0545766:L14</t>
  </si>
  <si>
    <t>D0554071:P16</t>
  </si>
  <si>
    <t>D0545762:A08</t>
  </si>
  <si>
    <t>D0554072:D18</t>
  </si>
  <si>
    <t>D0554067:K18</t>
  </si>
  <si>
    <t>D0545750:H05</t>
  </si>
  <si>
    <t>D0554068:D23</t>
  </si>
  <si>
    <t>D0545766:J12</t>
  </si>
  <si>
    <t>D0554067:O13</t>
  </si>
  <si>
    <t>D0545758:K15</t>
  </si>
  <si>
    <t>D0554069:I13</t>
  </si>
  <si>
    <t>TR06470707-002</t>
  </si>
  <si>
    <t>D0545770:O13</t>
  </si>
  <si>
    <t>D0554063:N04</t>
  </si>
  <si>
    <t>D0545748:H12</t>
  </si>
  <si>
    <t>D0554065:K14</t>
  </si>
  <si>
    <t>D0545760:G10</t>
  </si>
  <si>
    <t>D0554063:K17</t>
  </si>
  <si>
    <t>D0545752:F13</t>
  </si>
  <si>
    <t>D0554067:K21</t>
  </si>
  <si>
    <t>D0545748:M01</t>
  </si>
  <si>
    <t>D0554066:D19</t>
  </si>
  <si>
    <t>D0545768:H21</t>
  </si>
  <si>
    <t>D0554071:L12</t>
  </si>
  <si>
    <t>TR06537367-001</t>
  </si>
  <si>
    <t>D0545764:P05</t>
  </si>
  <si>
    <t>D0554065:F07</t>
  </si>
  <si>
    <t>D0545746:L13</t>
  </si>
  <si>
    <t>D0554072:M03</t>
  </si>
  <si>
    <t>D0545754:K18</t>
  </si>
  <si>
    <t>D0554071:N18</t>
  </si>
  <si>
    <t>D0545768:D03</t>
  </si>
  <si>
    <t>D0554072:B05</t>
  </si>
  <si>
    <t>D0554067:E03</t>
  </si>
  <si>
    <t>D0545762:A19</t>
  </si>
  <si>
    <t>D0554065:E15</t>
  </si>
  <si>
    <t>D0545766:K04</t>
  </si>
  <si>
    <t>D0554063:H01</t>
  </si>
  <si>
    <t>D0545748:C04</t>
  </si>
  <si>
    <t>D0554067:B06</t>
  </si>
  <si>
    <t>D0545768:L23</t>
  </si>
  <si>
    <t>D0554063:D05</t>
  </si>
  <si>
    <t>D0545750:K21</t>
  </si>
  <si>
    <t>D0554064:F08</t>
  </si>
  <si>
    <t>D0545768:E03</t>
  </si>
  <si>
    <t>D0554063:F16</t>
  </si>
  <si>
    <t>D0545744:K20</t>
  </si>
  <si>
    <t>D0554068:L23</t>
  </si>
  <si>
    <t>D0545764:D22</t>
  </si>
  <si>
    <t>D0554066:L07</t>
  </si>
  <si>
    <t>D0545758:N13</t>
  </si>
  <si>
    <t>D0554066:E12</t>
  </si>
  <si>
    <t>D0545760:G01</t>
  </si>
  <si>
    <t>D0554066:C10</t>
  </si>
  <si>
    <t>D0545758:D23</t>
  </si>
  <si>
    <t>D0554070:O08</t>
  </si>
  <si>
    <t>D0545764:K21</t>
  </si>
  <si>
    <t>D0554072:N16</t>
  </si>
  <si>
    <t>D0554069:C08</t>
  </si>
  <si>
    <t>TR06460780-001</t>
  </si>
  <si>
    <t>D0552256:H20</t>
  </si>
  <si>
    <t>D0554069:A07</t>
  </si>
  <si>
    <t>TR06460393-002</t>
  </si>
  <si>
    <t>D0545762:F09</t>
  </si>
  <si>
    <t>D0554065:L23</t>
  </si>
  <si>
    <t>D0545760:F24</t>
  </si>
  <si>
    <t>D0554072:G11</t>
  </si>
  <si>
    <t>D0554071:P05</t>
  </si>
  <si>
    <t>D0545764:C16</t>
  </si>
  <si>
    <t>D0554065:K04</t>
  </si>
  <si>
    <t>D0545768:K09</t>
  </si>
  <si>
    <t>D0554065:D13</t>
  </si>
  <si>
    <t>D0545764:A01</t>
  </si>
  <si>
    <t>D0554067:B16</t>
  </si>
  <si>
    <t>D0545750:P22</t>
  </si>
  <si>
    <t>D0554068:K07</t>
  </si>
  <si>
    <t>D0545744:H15</t>
  </si>
  <si>
    <t>D0554072:P20</t>
  </si>
  <si>
    <t>D0554067:C05</t>
  </si>
  <si>
    <t>D0545758:D10</t>
  </si>
  <si>
    <t>D0554063:M19</t>
  </si>
  <si>
    <t>D0545748:E22</t>
  </si>
  <si>
    <t>D0554063:P15</t>
  </si>
  <si>
    <t>D0545764:O13</t>
  </si>
  <si>
    <t>D0554065:H23</t>
  </si>
  <si>
    <t>D0545748:B05</t>
  </si>
  <si>
    <t>D0554065:P19</t>
  </si>
  <si>
    <t>D0545766:N07</t>
  </si>
  <si>
    <t>D0554063:P16</t>
  </si>
  <si>
    <t>D0545752:A12</t>
  </si>
  <si>
    <t>D0554068:A05</t>
  </si>
  <si>
    <t>D0545750:F16</t>
  </si>
  <si>
    <t>D0554069:A09</t>
  </si>
  <si>
    <t>TR06466289-002</t>
  </si>
  <si>
    <t>D0545754:I07</t>
  </si>
  <si>
    <t>D0554069:G14</t>
  </si>
  <si>
    <t>TR06470949-002</t>
  </si>
  <si>
    <t>D0545754:A16</t>
  </si>
  <si>
    <t>D0554063:K07</t>
  </si>
  <si>
    <t>D0545764:O09</t>
  </si>
  <si>
    <t>D0554063:M14</t>
  </si>
  <si>
    <t>D0545760:G17</t>
  </si>
  <si>
    <t>D0554067:N05</t>
  </si>
  <si>
    <t>D0545770:P21</t>
  </si>
  <si>
    <t>D0554069:G02</t>
  </si>
  <si>
    <t>TR06445760-002</t>
  </si>
  <si>
    <t>D0545758:F19</t>
  </si>
  <si>
    <t>D0554063:D16</t>
  </si>
  <si>
    <t>D0545758:D18</t>
  </si>
  <si>
    <t>D0554066:L11</t>
  </si>
  <si>
    <t>D0545764:A12</t>
  </si>
  <si>
    <t>D0554070:L16</t>
  </si>
  <si>
    <t>D0545750:E02</t>
  </si>
  <si>
    <t>D0554071:H07</t>
  </si>
  <si>
    <t>D0552256:H05</t>
  </si>
  <si>
    <t>D0554066:F19</t>
  </si>
  <si>
    <t>D0545750:A23</t>
  </si>
  <si>
    <t>D0554071:P04</t>
  </si>
  <si>
    <t>D0545766:F15</t>
  </si>
  <si>
    <t>D0554072:C15</t>
  </si>
  <si>
    <t>D0554066:I20</t>
  </si>
  <si>
    <t>D0552256:N20</t>
  </si>
  <si>
    <t>D0554065:L22</t>
  </si>
  <si>
    <t>D0545764:I16</t>
  </si>
  <si>
    <t>D0554066:I12</t>
  </si>
  <si>
    <t>D0545760:C16</t>
  </si>
  <si>
    <t>D0554072:G21</t>
  </si>
  <si>
    <t>D0554064:B18</t>
  </si>
  <si>
    <t>D0545744:P05</t>
  </si>
  <si>
    <t>D0554069:F10</t>
  </si>
  <si>
    <t>TR06466879-001</t>
  </si>
  <si>
    <t>D0545750:J18</t>
  </si>
  <si>
    <t>D0554069:O16</t>
  </si>
  <si>
    <t>TR06472292-001</t>
  </si>
  <si>
    <t>D0545768:C06</t>
  </si>
  <si>
    <t>D0554071:M15</t>
  </si>
  <si>
    <t>D0545766:J07</t>
  </si>
  <si>
    <t>D0554063:M23</t>
  </si>
  <si>
    <t>D0545756:O11</t>
  </si>
  <si>
    <t>D0554072:L12</t>
  </si>
  <si>
    <t>D0554072:M10</t>
  </si>
  <si>
    <t>D0554064:H08</t>
  </si>
  <si>
    <t>D0545762:G14</t>
  </si>
  <si>
    <t>D0554070:O20</t>
  </si>
  <si>
    <t>D0545746:B07</t>
  </si>
  <si>
    <t>D0554072:A17</t>
  </si>
  <si>
    <t>D0554071:C10</t>
  </si>
  <si>
    <t>TR06532542-001</t>
  </si>
  <si>
    <t>D0545762:K12</t>
  </si>
  <si>
    <t>D0554063:D10</t>
  </si>
  <si>
    <t>D0545764:L06</t>
  </si>
  <si>
    <t>D0554071:M02</t>
  </si>
  <si>
    <t>D0545750:D21</t>
  </si>
  <si>
    <t>D0554068:B05</t>
  </si>
  <si>
    <t>D0545770:P01</t>
  </si>
  <si>
    <t>D0554068:A02</t>
  </si>
  <si>
    <t>D0545768:J18</t>
  </si>
  <si>
    <t>D0554066:O14</t>
  </si>
  <si>
    <t>D0545750:N11</t>
  </si>
  <si>
    <t>D0554065:F17</t>
  </si>
  <si>
    <t>D0545754:C06</t>
  </si>
  <si>
    <t>D0554067:I21</t>
  </si>
  <si>
    <t>D0545750:O07</t>
  </si>
  <si>
    <t>D0554069:G16</t>
  </si>
  <si>
    <t>TR06472201-002</t>
  </si>
  <si>
    <t>D0545766:H06</t>
  </si>
  <si>
    <t>D0554063:F17</t>
  </si>
  <si>
    <t>D0545764:O03</t>
  </si>
  <si>
    <t>D0554063:N06</t>
  </si>
  <si>
    <t>D0545752:F06</t>
  </si>
  <si>
    <t>D0554064:F21</t>
  </si>
  <si>
    <t>D0545758:P04</t>
  </si>
  <si>
    <t>D0554069:M13</t>
  </si>
  <si>
    <t>TR06470753-001</t>
  </si>
  <si>
    <t>D0545752:P05</t>
  </si>
  <si>
    <t>D0554068:A07</t>
  </si>
  <si>
    <t>D0545768:N08</t>
  </si>
  <si>
    <t>D0554063:C14</t>
  </si>
  <si>
    <t>D0545760:F15</t>
  </si>
  <si>
    <t>D0554065:F14</t>
  </si>
  <si>
    <t>D0545758:L17</t>
  </si>
  <si>
    <t>D0554065:K06</t>
  </si>
  <si>
    <t>D0545768:L19</t>
  </si>
  <si>
    <t>D0554065:J05</t>
  </si>
  <si>
    <t>D0545760:O16</t>
  </si>
  <si>
    <t>D0554067:O05</t>
  </si>
  <si>
    <t>TR06185179-003</t>
  </si>
  <si>
    <t>D0545768:L20</t>
  </si>
  <si>
    <t>D0554066:G20</t>
  </si>
  <si>
    <t>D0545748:D17</t>
  </si>
  <si>
    <t>D0554066:L23</t>
  </si>
  <si>
    <t>D0545766:I12</t>
  </si>
  <si>
    <t>D0554068:G18</t>
  </si>
  <si>
    <t>D0545766:C24</t>
  </si>
  <si>
    <t>D0554067:B01</t>
  </si>
  <si>
    <t>D0545758:A13</t>
  </si>
  <si>
    <t>D0554070:A17</t>
  </si>
  <si>
    <t>D0545746:L23</t>
  </si>
  <si>
    <t>D0554070:M12</t>
  </si>
  <si>
    <t>D0545750:A18</t>
  </si>
  <si>
    <t>D0554070:J20</t>
  </si>
  <si>
    <t>D0545748:P07</t>
  </si>
  <si>
    <t>D0554072:O13</t>
  </si>
  <si>
    <t>D0554068:C18</t>
  </si>
  <si>
    <t>D0545760:P20</t>
  </si>
  <si>
    <t>D0554072:L08</t>
  </si>
  <si>
    <t>D0554071:D14</t>
  </si>
  <si>
    <t>TR06540647-002</t>
  </si>
  <si>
    <t>D0545752:F04</t>
  </si>
  <si>
    <t>D0554063:G03</t>
  </si>
  <si>
    <t>D0545750:L21</t>
  </si>
  <si>
    <t>D0554066:O17</t>
  </si>
  <si>
    <t>D0545754:H03</t>
  </si>
  <si>
    <t>D0554069:E21</t>
  </si>
  <si>
    <t>TR06480213-002</t>
  </si>
  <si>
    <t>D0552256:E07</t>
  </si>
  <si>
    <t>D0554069:N11</t>
  </si>
  <si>
    <t>TR06470191-002</t>
  </si>
  <si>
    <t>D0545764:G02</t>
  </si>
  <si>
    <t>D0554065:G04</t>
  </si>
  <si>
    <t>D0545744:J18</t>
  </si>
  <si>
    <t>D0554071:O20</t>
  </si>
  <si>
    <t>D0545750:L17</t>
  </si>
  <si>
    <t>D0554065:C06</t>
  </si>
  <si>
    <t>D0545748:D09</t>
  </si>
  <si>
    <t>D0554071:P22</t>
  </si>
  <si>
    <t>D0545766:K07</t>
  </si>
  <si>
    <t>D0554063:M17</t>
  </si>
  <si>
    <t>D0545744:B17</t>
  </si>
  <si>
    <t>D0554066:E08</t>
  </si>
  <si>
    <t>D0545750:M20</t>
  </si>
  <si>
    <t>D0554070:B23</t>
  </si>
  <si>
    <t>D0545764:M24</t>
  </si>
  <si>
    <t>D0554063:K04</t>
  </si>
  <si>
    <t>D0545748:B21</t>
  </si>
  <si>
    <t>D0554069:D02</t>
  </si>
  <si>
    <t>TR06445659-001</t>
  </si>
  <si>
    <t>D0545750:P17</t>
  </si>
  <si>
    <t>D0554063:C11</t>
  </si>
  <si>
    <t>D0545762:F23</t>
  </si>
  <si>
    <t>D0554070:J03</t>
  </si>
  <si>
    <t>D0545752:J20</t>
  </si>
  <si>
    <t>D0554069:C06</t>
  </si>
  <si>
    <t>TR06459828-001</t>
  </si>
  <si>
    <t>D0545770:A21</t>
  </si>
  <si>
    <t>D0554063:N03</t>
  </si>
  <si>
    <t>D0545770:J15</t>
  </si>
  <si>
    <t>D0554067:P23</t>
  </si>
  <si>
    <t>D0545748:I14</t>
  </si>
  <si>
    <t>D0554063:H02</t>
  </si>
  <si>
    <t>D0545748:P04</t>
  </si>
  <si>
    <t>D0554065:J03</t>
  </si>
  <si>
    <t>D0545760:A12</t>
  </si>
  <si>
    <t>D0554072:J03</t>
  </si>
  <si>
    <t>D0545754:E18</t>
  </si>
  <si>
    <t>D0554070:P03</t>
  </si>
  <si>
    <t>D0545768:K08</t>
  </si>
  <si>
    <t>D0554063:D14</t>
  </si>
  <si>
    <t>D0545752:J10</t>
  </si>
  <si>
    <t>D0554068:F01</t>
  </si>
  <si>
    <t>D0545756:A11</t>
  </si>
  <si>
    <t>D0554072:B16</t>
  </si>
  <si>
    <t>D0554070:C05</t>
  </si>
  <si>
    <t>D0545764:G10</t>
  </si>
  <si>
    <t>D0554071:N08</t>
  </si>
  <si>
    <t>D0545744:F02</t>
  </si>
  <si>
    <t>D0554066:H04</t>
  </si>
  <si>
    <t>D0545750:F07</t>
  </si>
  <si>
    <t>D0554072:C10</t>
  </si>
  <si>
    <t>D0554065:I05</t>
  </si>
  <si>
    <t>D0545760:N10</t>
  </si>
  <si>
    <t>D0554067:B20</t>
  </si>
  <si>
    <t>D0545750:I18</t>
  </si>
  <si>
    <t>D0554066:O20</t>
  </si>
  <si>
    <t>D0545754:N03</t>
  </si>
  <si>
    <t>D0554072:A21</t>
  </si>
  <si>
    <t>D0554063:E15</t>
  </si>
  <si>
    <t>D0545746:E09</t>
  </si>
  <si>
    <t>D0554070:A11</t>
  </si>
  <si>
    <t>D0545748:D07</t>
  </si>
  <si>
    <t>D0554065:A21</t>
  </si>
  <si>
    <t>D0545762:E15</t>
  </si>
  <si>
    <t>D0554065:D02</t>
  </si>
  <si>
    <t>D0545754:K04</t>
  </si>
  <si>
    <t>D0554067:G21</t>
  </si>
  <si>
    <t>D0545752:O14</t>
  </si>
  <si>
    <t>D0554071:F05</t>
  </si>
  <si>
    <t>D0552256:K22</t>
  </si>
  <si>
    <t>D0554065:K15</t>
  </si>
  <si>
    <t>D0545752:C22</t>
  </si>
  <si>
    <t>D0554070:C23</t>
  </si>
  <si>
    <t>D0545770:J19</t>
  </si>
  <si>
    <t>D0554065:M18</t>
  </si>
  <si>
    <t>D0545744:L04</t>
  </si>
  <si>
    <t>D0554065:F18</t>
  </si>
  <si>
    <t>D0545766:E15</t>
  </si>
  <si>
    <t>D0554065:K11</t>
  </si>
  <si>
    <t>D0545756:O03</t>
  </si>
  <si>
    <t>D0554065:P09</t>
  </si>
  <si>
    <t>D0545758:E12</t>
  </si>
  <si>
    <t>D0554072:A15</t>
  </si>
  <si>
    <t>D0554063:C17</t>
  </si>
  <si>
    <t>D0545744:G20</t>
  </si>
  <si>
    <t>D0554069:J10</t>
  </si>
  <si>
    <t>TR06467837-002</t>
  </si>
  <si>
    <t>D0545746:E08</t>
  </si>
  <si>
    <t>D0554065:A16</t>
  </si>
  <si>
    <t>D0545748:M20</t>
  </si>
  <si>
    <t>D0554067:M16</t>
  </si>
  <si>
    <t>D0545770:D11</t>
  </si>
  <si>
    <t>D0554069:A12</t>
  </si>
  <si>
    <t>TR06470231-002</t>
  </si>
  <si>
    <t>D0545752:E24</t>
  </si>
  <si>
    <t>D0554067:I11</t>
  </si>
  <si>
    <t>D0545760:D20</t>
  </si>
  <si>
    <t>D0554064:G06</t>
  </si>
  <si>
    <t>D0545762:J12</t>
  </si>
  <si>
    <t>D0554070:I02</t>
  </si>
  <si>
    <t>D0545768:C22</t>
  </si>
  <si>
    <t>D0554067:L03</t>
  </si>
  <si>
    <t>D0545760:O06</t>
  </si>
  <si>
    <t>D0554065:M06</t>
  </si>
  <si>
    <t>D0545750:O22</t>
  </si>
  <si>
    <t>D0554063:O06</t>
  </si>
  <si>
    <t>D0545748:P20</t>
  </si>
  <si>
    <t>D0554066:F07</t>
  </si>
  <si>
    <t>D0545768:H23</t>
  </si>
  <si>
    <t>D0554071:O13</t>
  </si>
  <si>
    <t>TR06540626-001</t>
  </si>
  <si>
    <t>D0545768:O24</t>
  </si>
  <si>
    <t>D0554065:M19</t>
  </si>
  <si>
    <t>D0545766:B06</t>
  </si>
  <si>
    <t>D0554065:G13</t>
  </si>
  <si>
    <t>D0545744:K14</t>
  </si>
  <si>
    <t>D0554063:K20</t>
  </si>
  <si>
    <t>D0545746:A11</t>
  </si>
  <si>
    <t>D0554067:M18</t>
  </si>
  <si>
    <t>D0545762:P04</t>
  </si>
  <si>
    <t>D0554069:C18</t>
  </si>
  <si>
    <t>TR06473856-002</t>
  </si>
  <si>
    <t>D0545762:E23</t>
  </si>
  <si>
    <t>D0554065:J01</t>
  </si>
  <si>
    <t>D0545746:H24</t>
  </si>
  <si>
    <t>D0554072:E21</t>
  </si>
  <si>
    <t>D0554065:E06</t>
  </si>
  <si>
    <t>D0545746:A02</t>
  </si>
  <si>
    <t>D0554069:I04</t>
  </si>
  <si>
    <t>TR06449141-001</t>
  </si>
  <si>
    <t>D0552256:E18</t>
  </si>
  <si>
    <t>D0554069:P03</t>
  </si>
  <si>
    <t>TR06446178-001</t>
  </si>
  <si>
    <t>D0545746:I21</t>
  </si>
  <si>
    <t>D0554070:L18</t>
  </si>
  <si>
    <t>D0545768:L06</t>
  </si>
  <si>
    <t>D0554071:P03</t>
  </si>
  <si>
    <t>D0545768:D04</t>
  </si>
  <si>
    <t>D0554072:M13</t>
  </si>
  <si>
    <t>D0554063:O18</t>
  </si>
  <si>
    <t>D0545764:K18</t>
  </si>
  <si>
    <t>D0554066:M18</t>
  </si>
  <si>
    <t>D0545750:K24</t>
  </si>
  <si>
    <t>D0554070:H03</t>
  </si>
  <si>
    <t>D0545764:L07</t>
  </si>
  <si>
    <t>D0554063:A21</t>
  </si>
  <si>
    <t>D0545750:N01</t>
  </si>
  <si>
    <t>D0554063:L20</t>
  </si>
  <si>
    <t>D0545748:N22</t>
  </si>
  <si>
    <t>D0554068:F18</t>
  </si>
  <si>
    <t>D0545746:J11</t>
  </si>
  <si>
    <t>D0554069:I22</t>
  </si>
  <si>
    <t>TR06481126-001</t>
  </si>
  <si>
    <t>D0545764:B14</t>
  </si>
  <si>
    <t>D0554065:L11</t>
  </si>
  <si>
    <t>D0545762:B11</t>
  </si>
  <si>
    <t>D0554063:P14</t>
  </si>
  <si>
    <t>D0545766:E23</t>
  </si>
  <si>
    <t>D0554065:G07</t>
  </si>
  <si>
    <t>D0545748:I19</t>
  </si>
  <si>
    <t>D0554065:N01</t>
  </si>
  <si>
    <t>D0545768:B01</t>
  </si>
  <si>
    <t>D0554072:L17</t>
  </si>
  <si>
    <t>D0554063:A07</t>
  </si>
  <si>
    <t>D0545762:D04</t>
  </si>
  <si>
    <t>D0554066:B07</t>
  </si>
  <si>
    <t>D0545764:N19</t>
  </si>
  <si>
    <t>D0554069:B05</t>
  </si>
  <si>
    <t>TR06449459-001</t>
  </si>
  <si>
    <t>D0545770:K03</t>
  </si>
  <si>
    <t>D0554072:M17</t>
  </si>
  <si>
    <t>D0554063:P07</t>
  </si>
  <si>
    <t>D0545760:P14</t>
  </si>
  <si>
    <t>D0554067:I04</t>
  </si>
  <si>
    <t>D0545744:P23</t>
  </si>
  <si>
    <t>D0554067:L06</t>
  </si>
  <si>
    <t>D0545762:G15</t>
  </si>
  <si>
    <t>D0554072:B17</t>
  </si>
  <si>
    <t>D0554070:E01</t>
  </si>
  <si>
    <t>D0545766:L15</t>
  </si>
  <si>
    <t>D0554067:C01</t>
  </si>
  <si>
    <t>D0545758:O16</t>
  </si>
  <si>
    <t>D0554063:L03</t>
  </si>
  <si>
    <t>D0545758:I09</t>
  </si>
  <si>
    <t>D0554071:M12</t>
  </si>
  <si>
    <t>TR06537368-001</t>
  </si>
  <si>
    <t>D0545766:K22</t>
  </si>
  <si>
    <t>D0554072:O15</t>
  </si>
  <si>
    <t>D0554066:D14</t>
  </si>
  <si>
    <t>D0545746:A05</t>
  </si>
  <si>
    <t>D0554065:J11</t>
  </si>
  <si>
    <t>D0545752:B03</t>
  </si>
  <si>
    <t>D0554070:D05</t>
  </si>
  <si>
    <t>D0545766:M15</t>
  </si>
  <si>
    <t>D0554066:I14</t>
  </si>
  <si>
    <t>D0545748:D13</t>
  </si>
  <si>
    <t>D0554065:N02</t>
  </si>
  <si>
    <t>D0545750:M17</t>
  </si>
  <si>
    <t>D0554065:E16</t>
  </si>
  <si>
    <t>D0545744:N15</t>
  </si>
  <si>
    <t>D0554071:N12</t>
  </si>
  <si>
    <t>TR06537407-001</t>
  </si>
  <si>
    <t>D0545768:P03</t>
  </si>
  <si>
    <t>D0554068:D24</t>
  </si>
  <si>
    <t>D0545768:N23</t>
  </si>
  <si>
    <t>D0554069:H03</t>
  </si>
  <si>
    <t>TR06446055-001</t>
  </si>
  <si>
    <t>D0545744:J14</t>
  </si>
  <si>
    <t>D0554063:P17</t>
  </si>
  <si>
    <t>D0545752:L05</t>
  </si>
  <si>
    <t>D0554069:E05</t>
  </si>
  <si>
    <t>TR06454496-002</t>
  </si>
  <si>
    <t>D0545766:B20</t>
  </si>
  <si>
    <t>D0554072:M11</t>
  </si>
  <si>
    <t>D0554065:J17</t>
  </si>
  <si>
    <t>D0545748:N09</t>
  </si>
  <si>
    <t>D0554063:P05</t>
  </si>
  <si>
    <t>D0545744:A20</t>
  </si>
  <si>
    <t>D0554063:B06</t>
  </si>
  <si>
    <t>D0545748:J22</t>
  </si>
  <si>
    <t>D0554067:N12</t>
  </si>
  <si>
    <t>D0545762:G04</t>
  </si>
  <si>
    <t>D0554063:N02</t>
  </si>
  <si>
    <t>D0545744:B24</t>
  </si>
  <si>
    <t>D0554072:A05</t>
  </si>
  <si>
    <t>D0554067:N19</t>
  </si>
  <si>
    <t>D0545764:M09</t>
  </si>
  <si>
    <t>D0554063:P12</t>
  </si>
  <si>
    <t>D0545766:N19</t>
  </si>
  <si>
    <t>D0554063:C04</t>
  </si>
  <si>
    <t>D0545758:E19</t>
  </si>
  <si>
    <t>D0554066:O01</t>
  </si>
  <si>
    <t>D0552256:O12</t>
  </si>
  <si>
    <t>D0554072:I04</t>
  </si>
  <si>
    <t>D0554067:O09</t>
  </si>
  <si>
    <t>D0545752:A05</t>
  </si>
  <si>
    <t>D0554071:K05</t>
  </si>
  <si>
    <t>D0545768:L22</t>
  </si>
  <si>
    <t>D0554063:N21</t>
  </si>
  <si>
    <t>D0545750:P14</t>
  </si>
  <si>
    <t>D0554072:B08</t>
  </si>
  <si>
    <t>D0554063:L02</t>
  </si>
  <si>
    <t>D0545748:A17</t>
  </si>
  <si>
    <t>D0554068:J02</t>
  </si>
  <si>
    <t>D0545744:A10</t>
  </si>
  <si>
    <t>D0554066:I07</t>
  </si>
  <si>
    <t>D0545752:D21</t>
  </si>
  <si>
    <t>D0554063:P06</t>
  </si>
  <si>
    <t>D0545748:P06</t>
  </si>
  <si>
    <t>D0554069:H12</t>
  </si>
  <si>
    <t>TR06470414-001</t>
  </si>
  <si>
    <t>D0545748:N23</t>
  </si>
  <si>
    <t>D0554069:N23</t>
  </si>
  <si>
    <t>TR06482594-001</t>
  </si>
  <si>
    <t>D0545746:I23</t>
  </si>
  <si>
    <t>D0554072:N04</t>
  </si>
  <si>
    <t>D0554064:M16</t>
  </si>
  <si>
    <t>D0552256:J18</t>
  </si>
  <si>
    <t>D0554063:H18</t>
  </si>
  <si>
    <t>D0545760:O05</t>
  </si>
  <si>
    <t>D0554064:C22</t>
  </si>
  <si>
    <t>D0545772:M07</t>
  </si>
  <si>
    <t>D0554070:M19</t>
  </si>
  <si>
    <t>D0545744:L19</t>
  </si>
  <si>
    <t>D0554063:F06</t>
  </si>
  <si>
    <t>D0545748:K18</t>
  </si>
  <si>
    <t>D0554068:P08</t>
  </si>
  <si>
    <t>D0545770:J21</t>
  </si>
  <si>
    <t>D0554065:E10</t>
  </si>
  <si>
    <t>D0545744:F22</t>
  </si>
  <si>
    <t>D0554065:H08</t>
  </si>
  <si>
    <t>D0545764:M06</t>
  </si>
  <si>
    <t>D0554068:O21</t>
  </si>
  <si>
    <t>D0545762:B15</t>
  </si>
  <si>
    <t>D0554067:E19</t>
  </si>
  <si>
    <t>D0545752:L03</t>
  </si>
  <si>
    <t>D0554067:E09</t>
  </si>
  <si>
    <t>D0545762:L05</t>
  </si>
  <si>
    <t>D0554063:C15</t>
  </si>
  <si>
    <t>D0545762:J07</t>
  </si>
  <si>
    <t>D0554066:E21</t>
  </si>
  <si>
    <t>D0545768:F17</t>
  </si>
  <si>
    <t>D0554070:K23</t>
  </si>
  <si>
    <t>D0545746:C06</t>
  </si>
  <si>
    <t>D0554067:N17</t>
  </si>
  <si>
    <t>D0545746:E14</t>
  </si>
  <si>
    <t>D0554065:E03</t>
  </si>
  <si>
    <t>D0545752:A06</t>
  </si>
  <si>
    <t>D0554066:K18</t>
  </si>
  <si>
    <t>D0545768:N13</t>
  </si>
  <si>
    <t>D0554071:D22</t>
  </si>
  <si>
    <t>D0545766:N24</t>
  </si>
  <si>
    <t>D0554065:E19</t>
  </si>
  <si>
    <t>D0545760:C19</t>
  </si>
  <si>
    <t>D0554066:N13</t>
  </si>
  <si>
    <t>D0545766:D21</t>
  </si>
  <si>
    <t>D0554070:A07</t>
  </si>
  <si>
    <t>D0545768:I04</t>
  </si>
  <si>
    <t>D0554066:I10</t>
  </si>
  <si>
    <t>D0545760:J12</t>
  </si>
  <si>
    <t>D0554063:J17</t>
  </si>
  <si>
    <t>D0545746:M17</t>
  </si>
  <si>
    <t>D0554063:J06</t>
  </si>
  <si>
    <t>D0545768:L17</t>
  </si>
  <si>
    <t>D0554070:G02</t>
  </si>
  <si>
    <t>D0545750:K03</t>
  </si>
  <si>
    <t>D0554070:L11</t>
  </si>
  <si>
    <t>D0545754:A13</t>
  </si>
  <si>
    <t>D0554068:N20</t>
  </si>
  <si>
    <t>D0545754:D15</t>
  </si>
  <si>
    <t>D0554068:I04</t>
  </si>
  <si>
    <t>D0545768:M19</t>
  </si>
  <si>
    <t>D0554067:A14</t>
  </si>
  <si>
    <t>D0545766:E09</t>
  </si>
  <si>
    <t>D0554066:D20</t>
  </si>
  <si>
    <t>D0545762:E16</t>
  </si>
  <si>
    <t>D0554067:N11</t>
  </si>
  <si>
    <t>D0545748:O06</t>
  </si>
  <si>
    <t>D0554067:A22</t>
  </si>
  <si>
    <t>D0545744:H24</t>
  </si>
  <si>
    <t>D0554067:G22</t>
  </si>
  <si>
    <t>D0545748:A16</t>
  </si>
  <si>
    <t>D0554069:E20</t>
  </si>
  <si>
    <t>TR06475382-002</t>
  </si>
  <si>
    <t>D0545766:A01</t>
  </si>
  <si>
    <t>D0554070:F19</t>
  </si>
  <si>
    <t>D0545752:N03</t>
  </si>
  <si>
    <t>D0554072:A03</t>
  </si>
  <si>
    <t>D0545754:M14</t>
  </si>
  <si>
    <t>D0554065:H14</t>
  </si>
  <si>
    <t>D0545746:M04</t>
  </si>
  <si>
    <t>D0554072:N11</t>
  </si>
  <si>
    <t>D0554072:E08</t>
  </si>
  <si>
    <t>D0554068:H05</t>
  </si>
  <si>
    <t>D0545766:I07</t>
  </si>
  <si>
    <t>D0554063:O05</t>
  </si>
  <si>
    <t>D0545758:M04</t>
  </si>
  <si>
    <t>D0554066:F11</t>
  </si>
  <si>
    <t>D0545758:H23</t>
  </si>
  <si>
    <t>D0554069:B07</t>
  </si>
  <si>
    <t>TR06460406-001</t>
  </si>
  <si>
    <t>D0545770:J01</t>
  </si>
  <si>
    <t>D0554071:B15</t>
  </si>
  <si>
    <t>D0545764:M14</t>
  </si>
  <si>
    <t>D0554069:D03</t>
  </si>
  <si>
    <t>TR06445949-001</t>
  </si>
  <si>
    <t>D0545766:K20</t>
  </si>
  <si>
    <t>D0554072:L09</t>
  </si>
  <si>
    <t>D0554063:H21</t>
  </si>
  <si>
    <t>D0545764:M07</t>
  </si>
  <si>
    <t>D0554070:A02</t>
  </si>
  <si>
    <t>D0545752:B11</t>
  </si>
  <si>
    <t>D0554070:J21</t>
  </si>
  <si>
    <t>D0545748:E20</t>
  </si>
  <si>
    <t>D0554070:A22</t>
  </si>
  <si>
    <t>D0545752:I10</t>
  </si>
  <si>
    <t>D0554063:J18</t>
  </si>
  <si>
    <t>D0545752:O21</t>
  </si>
  <si>
    <t>D0554068:N14</t>
  </si>
  <si>
    <t>D0545764:K11</t>
  </si>
  <si>
    <t>D0554068:K02</t>
  </si>
  <si>
    <t>D0545760:P01</t>
  </si>
  <si>
    <t>D0554067:M02</t>
  </si>
  <si>
    <t>D0545744:H12</t>
  </si>
  <si>
    <t>D0554063:N11</t>
  </si>
  <si>
    <t>D0545758:O15</t>
  </si>
  <si>
    <t>D0554068:D15</t>
  </si>
  <si>
    <t>D0545770:A17</t>
  </si>
  <si>
    <t>D0554065:L14</t>
  </si>
  <si>
    <t>D0545744:H21</t>
  </si>
  <si>
    <t>D0554066:K10</t>
  </si>
  <si>
    <t>D0545758:P06</t>
  </si>
  <si>
    <t>D0554071:E07</t>
  </si>
  <si>
    <t>D0545752:L01</t>
  </si>
  <si>
    <t>D0554067:H04</t>
  </si>
  <si>
    <t>D0545768:F23</t>
  </si>
  <si>
    <t>D0554065:C17</t>
  </si>
  <si>
    <t>D0545744:I04</t>
  </si>
  <si>
    <t>D0554070:B08</t>
  </si>
  <si>
    <t>D0545770:N23</t>
  </si>
  <si>
    <t>D0554069:D11</t>
  </si>
  <si>
    <t>TR06468087-002</t>
  </si>
  <si>
    <t>D0545758:L16</t>
  </si>
  <si>
    <t>D0554066:O02</t>
  </si>
  <si>
    <t>D0545750:K07</t>
  </si>
  <si>
    <t>D0554072:I11</t>
  </si>
  <si>
    <t>D0554063:P08</t>
  </si>
  <si>
    <t>D0545744:J04</t>
  </si>
  <si>
    <t>D0554069:B15</t>
  </si>
  <si>
    <t>TR06471071-001</t>
  </si>
  <si>
    <t>D0545768:P16</t>
  </si>
  <si>
    <t>D0554065:N16</t>
  </si>
  <si>
    <t>D0545762:O06</t>
  </si>
  <si>
    <t>D0554069:H13</t>
  </si>
  <si>
    <t>TR06470668-001</t>
  </si>
  <si>
    <t>D0545748:O15</t>
  </si>
  <si>
    <t>D0554065:I19</t>
  </si>
  <si>
    <t>D0545762:N19</t>
  </si>
  <si>
    <t>D0554066:L13</t>
  </si>
  <si>
    <t>D0545760:G19</t>
  </si>
  <si>
    <t>D0554066:E14</t>
  </si>
  <si>
    <t>D0545748:M22</t>
  </si>
  <si>
    <t>D0554063:K08</t>
  </si>
  <si>
    <t>D0545748:L24</t>
  </si>
  <si>
    <t>D0554072:M21</t>
  </si>
  <si>
    <t>D0554066:C13</t>
  </si>
  <si>
    <t>D0545750:E12</t>
  </si>
  <si>
    <t>D0554063:C10</t>
  </si>
  <si>
    <t>D0545746:A22</t>
  </si>
  <si>
    <t>D0554067:H16</t>
  </si>
  <si>
    <t>D0545752:E17</t>
  </si>
  <si>
    <t>D0554067:K04</t>
  </si>
  <si>
    <t>D0545744:I12</t>
  </si>
  <si>
    <t>D0554065:N22</t>
  </si>
  <si>
    <t>D0545764:I14</t>
  </si>
  <si>
    <t>D0554069:J22</t>
  </si>
  <si>
    <t>TR06481162-002</t>
  </si>
  <si>
    <t>D0545768:F18</t>
  </si>
  <si>
    <t>D0554072:J15</t>
  </si>
  <si>
    <t>D0554071:A18</t>
  </si>
  <si>
    <t>D0545748:L15</t>
  </si>
  <si>
    <t>D0554072:L23</t>
  </si>
  <si>
    <t>D0554063:H04</t>
  </si>
  <si>
    <t>D0545758:A01</t>
  </si>
  <si>
    <t>D0554065:C12</t>
  </si>
  <si>
    <t>D0545748:J01</t>
  </si>
  <si>
    <t>D0554067:B13</t>
  </si>
  <si>
    <t>D0545762:H04</t>
  </si>
  <si>
    <t>D0554066:E15</t>
  </si>
  <si>
    <t>D0545766:F22</t>
  </si>
  <si>
    <t>D0554068:F16</t>
  </si>
  <si>
    <t>D0545770:A11</t>
  </si>
  <si>
    <t>D0554065:M21</t>
  </si>
  <si>
    <t>D0545746:I13</t>
  </si>
  <si>
    <t>D0554072:K13</t>
  </si>
  <si>
    <t>D0554072:N15</t>
  </si>
  <si>
    <t>D0554068:O06</t>
  </si>
  <si>
    <t>D0545766:P01</t>
  </si>
  <si>
    <t>D0554064:K21</t>
  </si>
  <si>
    <t>D0545758:F08</t>
  </si>
  <si>
    <t>D0554069:I11</t>
  </si>
  <si>
    <t>TR06468166-001</t>
  </si>
  <si>
    <t>D0545764:N16</t>
  </si>
  <si>
    <t>D0554069:P17</t>
  </si>
  <si>
    <t>TR06473821-001</t>
  </si>
  <si>
    <t>D0545752:F19</t>
  </si>
  <si>
    <t>D0554065:J16</t>
  </si>
  <si>
    <t>D0545754:A21</t>
  </si>
  <si>
    <t>D0554072:H14</t>
  </si>
  <si>
    <t>D0554072:O02</t>
  </si>
  <si>
    <t>D0545754:M16</t>
  </si>
  <si>
    <t>D0554068:E24</t>
  </si>
  <si>
    <t>D0545768:P20</t>
  </si>
  <si>
    <t>D0554071:K23</t>
  </si>
  <si>
    <t>D0545768:P22</t>
  </si>
  <si>
    <t>D0554064:H03</t>
  </si>
  <si>
    <t>D0545760:J06</t>
  </si>
  <si>
    <t>D0554070:K16</t>
  </si>
  <si>
    <t>D0545764:I19</t>
  </si>
  <si>
    <t>D0554066:J04</t>
  </si>
  <si>
    <t>D0545750:D23</t>
  </si>
  <si>
    <t>D0554072:D14</t>
  </si>
  <si>
    <t>D0554070:N01</t>
  </si>
  <si>
    <t>D0545754:O04</t>
  </si>
  <si>
    <t>D0554063:K02</t>
  </si>
  <si>
    <t>D0545746:I11</t>
  </si>
  <si>
    <t>D0554064:K18</t>
  </si>
  <si>
    <t>D0552256:C11</t>
  </si>
  <si>
    <t>D0554072:P05</t>
  </si>
  <si>
    <t>D0554071:N14</t>
  </si>
  <si>
    <t>D0545768:C05</t>
  </si>
  <si>
    <t>D0554066:C11</t>
  </si>
  <si>
    <t>D0545762:G09</t>
  </si>
  <si>
    <t>D0554068:G11</t>
  </si>
  <si>
    <t>D0545770:N19</t>
  </si>
  <si>
    <t>D0554068:J22</t>
  </si>
  <si>
    <t>D0545752:A13</t>
  </si>
  <si>
    <t>D0554071:L07</t>
  </si>
  <si>
    <t>D0545744:L24</t>
  </si>
  <si>
    <t>D0554063:F03</t>
  </si>
  <si>
    <t>D0545750:A07</t>
  </si>
  <si>
    <t>D0554065:D12</t>
  </si>
  <si>
    <t>D0545760:P12</t>
  </si>
  <si>
    <t>D0554067:M20</t>
  </si>
  <si>
    <t>D0545766:J06</t>
  </si>
  <si>
    <t>D0554066:G11</t>
  </si>
  <si>
    <t>D0545766:O17</t>
  </si>
  <si>
    <t>D0554068:F14</t>
  </si>
  <si>
    <t>D0545766:K16</t>
  </si>
  <si>
    <t>D0554064:L14</t>
  </si>
  <si>
    <t>D0545760:O13</t>
  </si>
  <si>
    <t>D0554065:B19</t>
  </si>
  <si>
    <t>D0545746:M05</t>
  </si>
  <si>
    <t>D0554065:G22</t>
  </si>
  <si>
    <t>D0545744:C10</t>
  </si>
  <si>
    <t>D0554068:A10</t>
  </si>
  <si>
    <t>D0545748:A12</t>
  </si>
  <si>
    <t>D0554068:E12</t>
  </si>
  <si>
    <t>D0545760:K04</t>
  </si>
  <si>
    <t>D0554072:J21</t>
  </si>
  <si>
    <t>D0554072:B13</t>
  </si>
  <si>
    <t>D0554065:D19</t>
  </si>
  <si>
    <t>D0545748:I23</t>
  </si>
  <si>
    <t>D0554067:G18</t>
  </si>
  <si>
    <t>D0545764:J01</t>
  </si>
  <si>
    <t>D0554065:G11</t>
  </si>
  <si>
    <t>D0545748:E14</t>
  </si>
  <si>
    <t>D0554072:I14</t>
  </si>
  <si>
    <t>D0554063:N09</t>
  </si>
  <si>
    <t>D0545762:O10</t>
  </si>
  <si>
    <t>D0554069:M11</t>
  </si>
  <si>
    <t>TR06470041-001</t>
  </si>
  <si>
    <t>D0545748:H13</t>
  </si>
  <si>
    <t>D0554072:A07</t>
  </si>
  <si>
    <t>D0554066:F04</t>
  </si>
  <si>
    <t>D0545764:H21</t>
  </si>
  <si>
    <t>D0554072:O16</t>
  </si>
  <si>
    <t>D0554067:G13</t>
  </si>
  <si>
    <t>D0545762:P19</t>
  </si>
  <si>
    <t>D0554065:L13</t>
  </si>
  <si>
    <t>D0545750:J05</t>
  </si>
  <si>
    <t>D0554071:J23</t>
  </si>
  <si>
    <t>D0545752:F15</t>
  </si>
  <si>
    <t>D0554070:G17</t>
  </si>
  <si>
    <t>D0545766:M23</t>
  </si>
  <si>
    <t>D0554063:E07</t>
  </si>
  <si>
    <t>D0545748:C14</t>
  </si>
  <si>
    <t>D0554069:P15</t>
  </si>
  <si>
    <t>TR06472067-001</t>
  </si>
  <si>
    <t>D0545754:C03</t>
  </si>
  <si>
    <t>D0554066:G21</t>
  </si>
  <si>
    <t>D0545744:G24</t>
  </si>
  <si>
    <t>D0554069:H04</t>
  </si>
  <si>
    <t>TR06448420-002</t>
  </si>
  <si>
    <t>D0545752:H11</t>
  </si>
  <si>
    <t>D0554069:H22</t>
  </si>
  <si>
    <t>TR06481125-002</t>
  </si>
  <si>
    <t>D0545754:H05</t>
  </si>
  <si>
    <t>D0554069:C02</t>
  </si>
  <si>
    <t>TR06445655-003</t>
  </si>
  <si>
    <t>D0545756:M13</t>
  </si>
  <si>
    <t>D0554071:C09</t>
  </si>
  <si>
    <t>D0545766:F14</t>
  </si>
  <si>
    <t>D0554070:F01</t>
  </si>
  <si>
    <t>D0545772:O07</t>
  </si>
  <si>
    <t>D0554067:F17</t>
  </si>
  <si>
    <t>D0545766:I01</t>
  </si>
  <si>
    <t>D0554066:J15</t>
  </si>
  <si>
    <t>D0545752:G01</t>
  </si>
  <si>
    <t>D0554072:C08</t>
  </si>
  <si>
    <t>D0554063:G10</t>
  </si>
  <si>
    <t>D0545768:G11</t>
  </si>
  <si>
    <t>D0554070:H15</t>
  </si>
  <si>
    <t>D0545750:F22</t>
  </si>
  <si>
    <t>D0554068:E19</t>
  </si>
  <si>
    <t>D0545766:C14</t>
  </si>
  <si>
    <t>D0554063:G18</t>
  </si>
  <si>
    <t>D0545748:O05</t>
  </si>
  <si>
    <t>D0554067:E16</t>
  </si>
  <si>
    <t>D0545746:I16</t>
  </si>
  <si>
    <t>D0554065:N08</t>
  </si>
  <si>
    <t>D0545758:N02</t>
  </si>
  <si>
    <t>D0554063:D06</t>
  </si>
  <si>
    <t>D0545746:P02</t>
  </si>
  <si>
    <t>D0554069:O10</t>
  </si>
  <si>
    <t>TR06467961-002</t>
  </si>
  <si>
    <t>D0545748:A01</t>
  </si>
  <si>
    <t>D0554067:D05</t>
  </si>
  <si>
    <t>D0545748:M21</t>
  </si>
  <si>
    <t>D0554067:H03</t>
  </si>
  <si>
    <t>D0545762:F16</t>
  </si>
  <si>
    <t>D0554067:A18</t>
  </si>
  <si>
    <t>D0545760:D06</t>
  </si>
  <si>
    <t>D0554069:L15</t>
  </si>
  <si>
    <t>TR06471944-001</t>
  </si>
  <si>
    <t>D0545770:E08</t>
  </si>
  <si>
    <t>D0554065:M02</t>
  </si>
  <si>
    <t>D0545756:M11</t>
  </si>
  <si>
    <t>D0554068:P23</t>
  </si>
  <si>
    <t>D0545746:P20</t>
  </si>
  <si>
    <t>D0554072:E19</t>
  </si>
  <si>
    <t>D0554069:B20</t>
  </si>
  <si>
    <t>TR06475266-001</t>
  </si>
  <si>
    <t>D0545752:J03</t>
  </si>
  <si>
    <t>D0554067:B11</t>
  </si>
  <si>
    <t>D0545766:E05</t>
  </si>
  <si>
    <t>D0554071:O05</t>
  </si>
  <si>
    <t>D0545766:C22</t>
  </si>
  <si>
    <t>D0554071:L06</t>
  </si>
  <si>
    <t>D0545766:A20</t>
  </si>
  <si>
    <t>D0554063:E14</t>
  </si>
  <si>
    <t>D0545746:B05</t>
  </si>
  <si>
    <t>D0554063:I07</t>
  </si>
  <si>
    <t>D0545744:N21</t>
  </si>
  <si>
    <t>D0554065:N09</t>
  </si>
  <si>
    <t>D0545758:M24</t>
  </si>
  <si>
    <t>D0554067:H13</t>
  </si>
  <si>
    <t>D0545764:D24</t>
  </si>
  <si>
    <t>D0554067:L21</t>
  </si>
  <si>
    <t>D0545768:L18</t>
  </si>
  <si>
    <t>D0554068:M20</t>
  </si>
  <si>
    <t>D0545750:J07</t>
  </si>
  <si>
    <t>D0554072:N01</t>
  </si>
  <si>
    <t>D0545766:F09</t>
  </si>
  <si>
    <t>D0554071:F12</t>
  </si>
  <si>
    <t>TR06536402-001</t>
  </si>
  <si>
    <t>D0545748:K14</t>
  </si>
  <si>
    <t>D0554068:P21</t>
  </si>
  <si>
    <t>D0545748:H11</t>
  </si>
  <si>
    <t>D0554070:M21</t>
  </si>
  <si>
    <t>D0545758:P16</t>
  </si>
  <si>
    <t>D0554063:F15</t>
  </si>
  <si>
    <t>D0545746:M03</t>
  </si>
  <si>
    <t>D0554067:F05</t>
  </si>
  <si>
    <t>D0545752:N01</t>
  </si>
  <si>
    <t>D0554070:O07</t>
  </si>
  <si>
    <t>D0545768:G03</t>
  </si>
  <si>
    <t>D0554063:K19</t>
  </si>
  <si>
    <t>D0545746:O21</t>
  </si>
  <si>
    <t>D0554067:I08</t>
  </si>
  <si>
    <t>D0545754:K08</t>
  </si>
  <si>
    <t>D0554064:B23</t>
  </si>
  <si>
    <t>D0545764:B15</t>
  </si>
  <si>
    <t>D0554072:J14</t>
  </si>
  <si>
    <t>D0554072:O05</t>
  </si>
  <si>
    <t>D0554067:K20</t>
  </si>
  <si>
    <t>D0545744:F19</t>
  </si>
  <si>
    <t>D0554068:K22</t>
  </si>
  <si>
    <t>D0545754:B15</t>
  </si>
  <si>
    <t>D0554067:I09</t>
  </si>
  <si>
    <t>D0545752:H23</t>
  </si>
  <si>
    <t>D0554065:L19</t>
  </si>
  <si>
    <t>D0545758:B17</t>
  </si>
  <si>
    <t>D0554069:K07</t>
  </si>
  <si>
    <t>TR06460524-002</t>
  </si>
  <si>
    <t>D0545770:G04</t>
  </si>
  <si>
    <t>D0554070:J01</t>
  </si>
  <si>
    <t>D0545772:M15</t>
  </si>
  <si>
    <t>D0554063:K05</t>
  </si>
  <si>
    <t>D0545752:N13</t>
  </si>
  <si>
    <t>D0554071:P08</t>
  </si>
  <si>
    <t>D0545748:G21</t>
  </si>
  <si>
    <t>D0554065:E12</t>
  </si>
  <si>
    <t>D0545770:K01</t>
  </si>
  <si>
    <t>D0554071:M19</t>
  </si>
  <si>
    <t>D0545750:F10</t>
  </si>
  <si>
    <t>D0554072:N06</t>
  </si>
  <si>
    <t>D0554067:N07</t>
  </si>
  <si>
    <t>D0545752:L06</t>
  </si>
  <si>
    <t>D0554070:D15</t>
  </si>
  <si>
    <t>D0545766:L01</t>
  </si>
  <si>
    <t>D0554069:H18</t>
  </si>
  <si>
    <t>TR06473900-002</t>
  </si>
  <si>
    <t>D0545748:K04</t>
  </si>
  <si>
    <t>D0554069:I10</t>
  </si>
  <si>
    <t>TR06467836-001</t>
  </si>
  <si>
    <t>D0545766:H01</t>
  </si>
  <si>
    <t>D0554063:A18</t>
  </si>
  <si>
    <t>D0545764:A07</t>
  </si>
  <si>
    <t>D0554068:B11</t>
  </si>
  <si>
    <t>D0545764:G06</t>
  </si>
  <si>
    <t>D0554066:H08</t>
  </si>
  <si>
    <t>D0545766:A16</t>
  </si>
  <si>
    <t>D0554065:J14</t>
  </si>
  <si>
    <t>D0545766:P06</t>
  </si>
  <si>
    <t>D0554070:E08</t>
  </si>
  <si>
    <t>D0545746:B15</t>
  </si>
  <si>
    <t>D0554071:D23</t>
  </si>
  <si>
    <t>D0545766:P14</t>
  </si>
  <si>
    <t>D0554068:C04</t>
  </si>
  <si>
    <t>D0545750:J09</t>
  </si>
  <si>
    <t>D0554068:O18</t>
  </si>
  <si>
    <t>D0545752:P13</t>
  </si>
  <si>
    <t>D0554066:F09</t>
  </si>
  <si>
    <t>D0545748:I20</t>
  </si>
  <si>
    <t>D0554069:N04</t>
  </si>
  <si>
    <t>TR06449306-001</t>
  </si>
  <si>
    <t>D0545768:J24</t>
  </si>
  <si>
    <t>D0554072:L13</t>
  </si>
  <si>
    <t>D0554063:H06</t>
  </si>
  <si>
    <t>D0545768:C15</t>
  </si>
  <si>
    <t>D0554066:H14</t>
  </si>
  <si>
    <t>D0545764:F02</t>
  </si>
  <si>
    <t>D0554071:A02</t>
  </si>
  <si>
    <t>D0545762:G06</t>
  </si>
  <si>
    <t>D0554063:O20</t>
  </si>
  <si>
    <t>D0545748:D12</t>
  </si>
  <si>
    <t>D0554066:M17</t>
  </si>
  <si>
    <t>D0545750:B03</t>
  </si>
  <si>
    <t>D0554065:M07</t>
  </si>
  <si>
    <t>D0545772:O19</t>
  </si>
  <si>
    <t>D0554071:B04</t>
  </si>
  <si>
    <t>D0545754:E20</t>
  </si>
  <si>
    <t>D0554068:B09</t>
  </si>
  <si>
    <t>D0545762:M19</t>
  </si>
  <si>
    <t>D0554069:F02</t>
  </si>
  <si>
    <t>TR06445707-001</t>
  </si>
  <si>
    <t>D0545760:E02</t>
  </si>
  <si>
    <t>D0554068:N09</t>
  </si>
  <si>
    <t>D0545768:F11</t>
  </si>
  <si>
    <t>D0554068:F23</t>
  </si>
  <si>
    <t>D0545748:B10</t>
  </si>
  <si>
    <t>D0554068:B22</t>
  </si>
  <si>
    <t>D0545762:F11</t>
  </si>
  <si>
    <t>D0554068:C01</t>
  </si>
  <si>
    <t>D0545754:J05</t>
  </si>
  <si>
    <t>D0554067:L13</t>
  </si>
  <si>
    <t>D0545746:N08</t>
  </si>
  <si>
    <t>D0554072:F18</t>
  </si>
  <si>
    <t>D0554069:I07</t>
  </si>
  <si>
    <t>TR06460494-002</t>
  </si>
  <si>
    <t>D0545752:P15</t>
  </si>
  <si>
    <t>D0554070:O03</t>
  </si>
  <si>
    <t>D0545752:D06</t>
  </si>
  <si>
    <t>D0554069:E08</t>
  </si>
  <si>
    <t>TR06460814-001</t>
  </si>
  <si>
    <t>D0545746:K10</t>
  </si>
  <si>
    <t>D0554063:B18</t>
  </si>
  <si>
    <t>D0545758:F21</t>
  </si>
  <si>
    <t>D0554063:H12</t>
  </si>
  <si>
    <t>D0552256:L22</t>
  </si>
  <si>
    <t>D0554064:J15</t>
  </si>
  <si>
    <t>D0545752:A19</t>
  </si>
  <si>
    <t>D0554063:O12</t>
  </si>
  <si>
    <t>D0545764:E21</t>
  </si>
  <si>
    <t>D0554072:E07</t>
  </si>
  <si>
    <t>D0554067:C02</t>
  </si>
  <si>
    <t>D0552256:H15</t>
  </si>
  <si>
    <t>D0554063:J02</t>
  </si>
  <si>
    <t>D0545744:C17</t>
  </si>
  <si>
    <t>D0554069:G11</t>
  </si>
  <si>
    <t>D0545748:L08</t>
  </si>
  <si>
    <t>D0554067:J14</t>
  </si>
  <si>
    <t>D0545756:K01</t>
  </si>
  <si>
    <t>D0554071:D08</t>
  </si>
  <si>
    <t>D0545746:O04</t>
  </si>
  <si>
    <t>D0554069:L02</t>
  </si>
  <si>
    <t>TR06445856-002</t>
  </si>
  <si>
    <t>D0545760:H19</t>
  </si>
  <si>
    <t>D0554070:N19</t>
  </si>
  <si>
    <t>D0545758:C22</t>
  </si>
  <si>
    <t>D0554066:A13</t>
  </si>
  <si>
    <t>D0545754:K11</t>
  </si>
  <si>
    <t>D0554070:E23</t>
  </si>
  <si>
    <t>D0545754:P17</t>
  </si>
  <si>
    <t>D0554072:H20</t>
  </si>
  <si>
    <t>D0554066:P15</t>
  </si>
  <si>
    <t>D0545760:B08</t>
  </si>
  <si>
    <t>D0554072:J20</t>
  </si>
  <si>
    <t>D0554069:N03</t>
  </si>
  <si>
    <t>TR06446152-001</t>
  </si>
  <si>
    <t>D0545752:A08</t>
  </si>
  <si>
    <t>D0554063:O09</t>
  </si>
  <si>
    <t>D0545744:F18</t>
  </si>
  <si>
    <t>D0554067:F07</t>
  </si>
  <si>
    <t>D0545744:P07</t>
  </si>
  <si>
    <t>D0554069:G08</t>
  </si>
  <si>
    <t>TR06460849-001</t>
  </si>
  <si>
    <t>D0545744:M18</t>
  </si>
  <si>
    <t>D0554065:E04</t>
  </si>
  <si>
    <t>D0545750:E15</t>
  </si>
  <si>
    <t>D0554071:L16</t>
  </si>
  <si>
    <t>D0545770:I11</t>
  </si>
  <si>
    <t>D0554071:O06</t>
  </si>
  <si>
    <t>D0545766:B16</t>
  </si>
  <si>
    <t>D0554069:N14</t>
  </si>
  <si>
    <t>TR06471025-001</t>
  </si>
  <si>
    <t>D0545754:C07</t>
  </si>
  <si>
    <t>D0554067:E20</t>
  </si>
  <si>
    <t>D0545754:E16</t>
  </si>
  <si>
    <t>D0554066:D08</t>
  </si>
  <si>
    <t>D0545772:E13</t>
  </si>
  <si>
    <t>D0554068:L11</t>
  </si>
  <si>
    <t>D0545746:F24</t>
  </si>
  <si>
    <t>D0554069:C19</t>
  </si>
  <si>
    <t>TR06474949-002</t>
  </si>
  <si>
    <t>D0545760:B19</t>
  </si>
  <si>
    <t>D0554072:P14</t>
  </si>
  <si>
    <t>D0554069:J05</t>
  </si>
  <si>
    <t>TR06459793-001</t>
  </si>
  <si>
    <t>D0545766:I10</t>
  </si>
  <si>
    <t>D0554068:D21</t>
  </si>
  <si>
    <t>D0545766:O06</t>
  </si>
  <si>
    <t>D0554066:D07</t>
  </si>
  <si>
    <t>D0545760:H13</t>
  </si>
  <si>
    <t>D0554069:C14</t>
  </si>
  <si>
    <t>TR06470877-001</t>
  </si>
  <si>
    <t>D0545762:M05</t>
  </si>
  <si>
    <t>D0554069:K02</t>
  </si>
  <si>
    <t>TR06445853-001</t>
  </si>
  <si>
    <t>D0545766:G05</t>
  </si>
  <si>
    <t>D0554065:D07</t>
  </si>
  <si>
    <t>D0545760:E18</t>
  </si>
  <si>
    <t>D0554063:M15</t>
  </si>
  <si>
    <t>D0545744:I16</t>
  </si>
  <si>
    <t>D0554070:L12</t>
  </si>
  <si>
    <t>D0545768:B02</t>
  </si>
  <si>
    <t>D0554069:K22</t>
  </si>
  <si>
    <t>TR06481163-001</t>
  </si>
  <si>
    <t>D0545770:J05</t>
  </si>
  <si>
    <t>D0554072:F04</t>
  </si>
  <si>
    <t>D0554067:G07</t>
  </si>
  <si>
    <t>D0545750:H15</t>
  </si>
  <si>
    <t>D0554065:L17</t>
  </si>
  <si>
    <t>D0545764:D19</t>
  </si>
  <si>
    <t>D0554065:L02</t>
  </si>
  <si>
    <t>D0545772:A05</t>
  </si>
  <si>
    <t>D0554071:L14</t>
  </si>
  <si>
    <t>TR06543807-001</t>
  </si>
  <si>
    <t>D0545768:M07</t>
  </si>
  <si>
    <t>D0554063:J11</t>
  </si>
  <si>
    <t>D0545750:E09</t>
  </si>
  <si>
    <t>D0554071:M14</t>
  </si>
  <si>
    <t>D0545768:K05</t>
  </si>
  <si>
    <t>D0554063:P10</t>
  </si>
  <si>
    <t>D0545764:G09</t>
  </si>
  <si>
    <t>D0554069:G23</t>
  </si>
  <si>
    <t>TR06481439-001</t>
  </si>
  <si>
    <t>D0545762:C08</t>
  </si>
  <si>
    <t>D0554067:B22</t>
  </si>
  <si>
    <t>D0545762:K18</t>
  </si>
  <si>
    <t>D0554069:A19</t>
  </si>
  <si>
    <t>TR06474915-001</t>
  </si>
  <si>
    <t>D0545744:L16</t>
  </si>
  <si>
    <t>D0554065:N17</t>
  </si>
  <si>
    <t>D0545758:A10</t>
  </si>
  <si>
    <t>D0554071:O19</t>
  </si>
  <si>
    <t>D0545750:L06</t>
  </si>
  <si>
    <t>D0554071:B13</t>
  </si>
  <si>
    <t>TR06537523-001</t>
  </si>
  <si>
    <t>D0545764:E22</t>
  </si>
  <si>
    <t>D0554069:C16</t>
  </si>
  <si>
    <t>TR06472102-002</t>
  </si>
  <si>
    <t>D0545748:L17</t>
  </si>
  <si>
    <t>D0554068:M01</t>
  </si>
  <si>
    <t>D0545770:O17</t>
  </si>
  <si>
    <t>D0554072:E17</t>
  </si>
  <si>
    <t>D0554071:E20</t>
  </si>
  <si>
    <t>D0545752:B15</t>
  </si>
  <si>
    <t>D0554068:C08</t>
  </si>
  <si>
    <t>D0545770:E04</t>
  </si>
  <si>
    <t>D0554069:E10</t>
  </si>
  <si>
    <t>TR06466875-001</t>
  </si>
  <si>
    <t>D0545748:L13</t>
  </si>
  <si>
    <t>D0554065:D03</t>
  </si>
  <si>
    <t>D0545760:A24</t>
  </si>
  <si>
    <t>D0554065:J08</t>
  </si>
  <si>
    <t>D0545746:D20</t>
  </si>
  <si>
    <t>D0554072:L22</t>
  </si>
  <si>
    <t>D0554063:A13</t>
  </si>
  <si>
    <t>D0545760:H08</t>
  </si>
  <si>
    <t>D0554072:M19</t>
  </si>
  <si>
    <t>D0554069:B21</t>
  </si>
  <si>
    <t>TR06480156-001</t>
  </si>
  <si>
    <t>D0545768:A24</t>
  </si>
  <si>
    <t>D0554065:G12</t>
  </si>
  <si>
    <t>D0545764:N08</t>
  </si>
  <si>
    <t>D0554069:B17</t>
  </si>
  <si>
    <t>TR06472684-001</t>
  </si>
  <si>
    <t>D0545770:F07</t>
  </si>
  <si>
    <t>D0554066:C06</t>
  </si>
  <si>
    <t>D0545764:F19</t>
  </si>
  <si>
    <t>D0554069:C11</t>
  </si>
  <si>
    <t>TR06468048-001</t>
  </si>
  <si>
    <t>D0552256:I05</t>
  </si>
  <si>
    <t>D0554065:O08</t>
  </si>
  <si>
    <t>D0545750:E04</t>
  </si>
  <si>
    <t>D0554071:D09</t>
  </si>
  <si>
    <t>D0545766:J22</t>
  </si>
  <si>
    <t>D0554066:E11</t>
  </si>
  <si>
    <t>D0545752:P11</t>
  </si>
  <si>
    <t>D0554070:C16</t>
  </si>
  <si>
    <t>D0545754:K20</t>
  </si>
  <si>
    <t>D0554069:H23</t>
  </si>
  <si>
    <t>TR06481481-001</t>
  </si>
  <si>
    <t>D0545766:B02</t>
  </si>
  <si>
    <t>D0554067:D17</t>
  </si>
  <si>
    <t>D0545764:E18</t>
  </si>
  <si>
    <t>D0554063:E21</t>
  </si>
  <si>
    <t>D0545758:B13</t>
  </si>
  <si>
    <t>D0554066:E09</t>
  </si>
  <si>
    <t>D0545750:C20</t>
  </si>
  <si>
    <t>D0554066:E16</t>
  </si>
  <si>
    <t>D0545764:C17</t>
  </si>
  <si>
    <t>D0554070:I01</t>
  </si>
  <si>
    <t>D0545770:B03</t>
  </si>
  <si>
    <t>D0554072:N19</t>
  </si>
  <si>
    <t>D0554071:D20</t>
  </si>
  <si>
    <t>D0545756:M07</t>
  </si>
  <si>
    <t>D0554070:D01</t>
  </si>
  <si>
    <t>D0545750:M24</t>
  </si>
  <si>
    <t>D0554063:J08</t>
  </si>
  <si>
    <t>D0545766:C16</t>
  </si>
  <si>
    <t>D0554070:A01</t>
  </si>
  <si>
    <t>D0545758:J07</t>
  </si>
  <si>
    <t>D0554069:D10</t>
  </si>
  <si>
    <t>TR06466835-002</t>
  </si>
  <si>
    <t>D0545748:H19</t>
  </si>
  <si>
    <t>D0554068:K03</t>
  </si>
  <si>
    <t>D0545752:O05</t>
  </si>
  <si>
    <t>D0554065:L18</t>
  </si>
  <si>
    <t>D0545760:L22</t>
  </si>
  <si>
    <t>D0554066:H17</t>
  </si>
  <si>
    <t>D0545744:M16</t>
  </si>
  <si>
    <t>D0554066:C18</t>
  </si>
  <si>
    <t>D0545760:L05</t>
  </si>
  <si>
    <t>D0554067:L16</t>
  </si>
  <si>
    <t>D0545752:H08</t>
  </si>
  <si>
    <t>D0554068:E09</t>
  </si>
  <si>
    <t>D0545748:O24</t>
  </si>
  <si>
    <t>D0554071:E02</t>
  </si>
  <si>
    <t>D0545762:A23</t>
  </si>
  <si>
    <t>D0554069:P16</t>
  </si>
  <si>
    <t>TR06472323-001</t>
  </si>
  <si>
    <t>D0545768:H07</t>
  </si>
  <si>
    <t>D0554069:F21</t>
  </si>
  <si>
    <t>TR06480215-001</t>
  </si>
  <si>
    <t>D0545764:J18</t>
  </si>
  <si>
    <t>D0554067:L20</t>
  </si>
  <si>
    <t>D0545756:M09</t>
  </si>
  <si>
    <t>D0554070:A04</t>
  </si>
  <si>
    <t>D0545748:N05</t>
  </si>
  <si>
    <t>D0554072:L16</t>
  </si>
  <si>
    <t>D0554068:E13</t>
  </si>
  <si>
    <t>D0545754:N21</t>
  </si>
  <si>
    <t>D0554072:I08</t>
  </si>
  <si>
    <t>D0554068:B04</t>
  </si>
  <si>
    <t>D0545764:H02</t>
  </si>
  <si>
    <t>D0554072:N21</t>
  </si>
  <si>
    <t>D0554068:A19</t>
  </si>
  <si>
    <t>D0545760:J04</t>
  </si>
  <si>
    <t>D0554071:C08</t>
  </si>
  <si>
    <t>D0545764:H05</t>
  </si>
  <si>
    <t>D0554067:J22</t>
  </si>
  <si>
    <t>D0545744:H04</t>
  </si>
  <si>
    <t>D0554064:P10</t>
  </si>
  <si>
    <t>D0545744:I22</t>
  </si>
  <si>
    <t>D0554065:I22</t>
  </si>
  <si>
    <t>D0545750:E19</t>
  </si>
  <si>
    <t>D0554068:J04</t>
  </si>
  <si>
    <t>D0545754:D07</t>
  </si>
  <si>
    <t>D0554070:H12</t>
  </si>
  <si>
    <t>D0545744:M22</t>
  </si>
  <si>
    <t>D0554065:I15</t>
  </si>
  <si>
    <t>D0545762:A21</t>
  </si>
  <si>
    <t>D0554069:K15</t>
  </si>
  <si>
    <t>TR06471916-001</t>
  </si>
  <si>
    <t>D0545770:M15</t>
  </si>
  <si>
    <t>D0554068:N02</t>
  </si>
  <si>
    <t>D0545748:P08</t>
  </si>
  <si>
    <t>D0554070:J05</t>
  </si>
  <si>
    <t>D0545746:N23</t>
  </si>
  <si>
    <t>D0554067:I12</t>
  </si>
  <si>
    <t>D0545758:O18</t>
  </si>
  <si>
    <t>D0554066:I15</t>
  </si>
  <si>
    <t>D0545760:B20</t>
  </si>
  <si>
    <t>D0554066:D11</t>
  </si>
  <si>
    <t>D0545766:C07</t>
  </si>
  <si>
    <t>D0554072:J11</t>
  </si>
  <si>
    <t>D0554070:K04</t>
  </si>
  <si>
    <t>D0545762:L17</t>
  </si>
  <si>
    <t>D0554067:J17</t>
  </si>
  <si>
    <t>D0545744:P22</t>
  </si>
  <si>
    <t>D0554063:I20</t>
  </si>
  <si>
    <t>D0545764:O23</t>
  </si>
  <si>
    <t>D0554070:P14</t>
  </si>
  <si>
    <t>D0545762:D06</t>
  </si>
  <si>
    <t>D0554072:H03</t>
  </si>
  <si>
    <t>D0545750:I01</t>
  </si>
  <si>
    <t>D0554063:N07</t>
  </si>
  <si>
    <t>D0545746:K15</t>
  </si>
  <si>
    <t>D0554065:D18</t>
  </si>
  <si>
    <t>D0545762:H24</t>
  </si>
  <si>
    <t>D0554063:A15</t>
  </si>
  <si>
    <t>D0545746:K19</t>
  </si>
  <si>
    <t>D0554063:L08</t>
  </si>
  <si>
    <t>D0545748:C23</t>
  </si>
  <si>
    <t>D0554065:I10</t>
  </si>
  <si>
    <t>D0545750:G13</t>
  </si>
  <si>
    <t>D0554071:B06</t>
  </si>
  <si>
    <t>D0545754:I02</t>
  </si>
  <si>
    <t>D0554065:I09</t>
  </si>
  <si>
    <t>D0545764:F04</t>
  </si>
  <si>
    <t>D0554072:M07</t>
  </si>
  <si>
    <t>D0554068:N23</t>
  </si>
  <si>
    <t>D0545744:K06</t>
  </si>
  <si>
    <t>D0554067:N14</t>
  </si>
  <si>
    <t>D0545758:J19</t>
  </si>
  <si>
    <t>D0554070:A03</t>
  </si>
  <si>
    <t>D0545762:I05</t>
  </si>
  <si>
    <t>D0554069:O17</t>
  </si>
  <si>
    <t>TR06473820-001</t>
  </si>
  <si>
    <t>D0545746:E23</t>
  </si>
  <si>
    <t>D0554072:I06</t>
  </si>
  <si>
    <t>D0554067:H09</t>
  </si>
  <si>
    <t>D0545764:I20</t>
  </si>
  <si>
    <t>D0554070:B07</t>
  </si>
  <si>
    <t>D0545768:L09</t>
  </si>
  <si>
    <t>D0554068:C03</t>
  </si>
  <si>
    <t>D0545760:O15</t>
  </si>
  <si>
    <t>D0554070:F08</t>
  </si>
  <si>
    <t>D0545754:M20</t>
  </si>
  <si>
    <t>D0554069:C03</t>
  </si>
  <si>
    <t>TR06445939-002</t>
  </si>
  <si>
    <t>D0545760:A16</t>
  </si>
  <si>
    <t>D0554065:H10</t>
  </si>
  <si>
    <t>D0545764:E08</t>
  </si>
  <si>
    <t>D0554068:B13</t>
  </si>
  <si>
    <t>D0545764:O18</t>
  </si>
  <si>
    <t>D0554069:L08</t>
  </si>
  <si>
    <t>TR06461189-001</t>
  </si>
  <si>
    <t>D0545748:K02</t>
  </si>
  <si>
    <t>D0554071:J08</t>
  </si>
  <si>
    <t>D0545768:L13</t>
  </si>
  <si>
    <t>D0554063:K16</t>
  </si>
  <si>
    <t>D0545752:I15</t>
  </si>
  <si>
    <t>D0554070:N03</t>
  </si>
  <si>
    <t>D0545744:G13</t>
  </si>
  <si>
    <t>D0554072:G04</t>
  </si>
  <si>
    <t>D0554063:K12</t>
  </si>
  <si>
    <t>D0545752:P23</t>
  </si>
  <si>
    <t>D0554072:O17</t>
  </si>
  <si>
    <t>D0554065:O17</t>
  </si>
  <si>
    <t>D0545758:E09</t>
  </si>
  <si>
    <t>D0554065:H18</t>
  </si>
  <si>
    <t>D0545764:H08</t>
  </si>
  <si>
    <t>D0554069:K19</t>
  </si>
  <si>
    <t>TR06475092-002</t>
  </si>
  <si>
    <t>D0545750:F15</t>
  </si>
  <si>
    <t>D0554070:L08</t>
  </si>
  <si>
    <t>D0545754:C10</t>
  </si>
  <si>
    <t>D0554070:J19</t>
  </si>
  <si>
    <t>D0545760:I04</t>
  </si>
  <si>
    <t>D0554063:F02</t>
  </si>
  <si>
    <t>D0545748:M10</t>
  </si>
  <si>
    <t>D0554067:C14</t>
  </si>
  <si>
    <t>D0545760:B09</t>
  </si>
  <si>
    <t>D0554066:C04</t>
  </si>
  <si>
    <t>D0545746:B11</t>
  </si>
  <si>
    <t>D0554071:F18</t>
  </si>
  <si>
    <t>D0545752:M01</t>
  </si>
  <si>
    <t>D0554068:H17</t>
  </si>
  <si>
    <t>D0545752:O02</t>
  </si>
  <si>
    <t>D0554068:L17</t>
  </si>
  <si>
    <t>D0545768:J01</t>
  </si>
  <si>
    <t>D0554063:P22</t>
  </si>
  <si>
    <t>D0545762:D11</t>
  </si>
  <si>
    <t>D0554066:K06</t>
  </si>
  <si>
    <t>D0545758:C19</t>
  </si>
  <si>
    <t>D0554063:H08</t>
  </si>
  <si>
    <t>D0545750:G10</t>
  </si>
  <si>
    <t>D0554065:N14</t>
  </si>
  <si>
    <t>D0545764:M23</t>
  </si>
  <si>
    <t>D0554070:M22</t>
  </si>
  <si>
    <t>D0545766:H05</t>
  </si>
  <si>
    <t>D0554067:K17</t>
  </si>
  <si>
    <t>D0545746:B17</t>
  </si>
  <si>
    <t>D0554071:G19</t>
  </si>
  <si>
    <t>D0545750:H12</t>
  </si>
  <si>
    <t>D0554070:C06</t>
  </si>
  <si>
    <t>D0545748:G12</t>
  </si>
  <si>
    <t>D0554063:F10</t>
  </si>
  <si>
    <t>D0545748:J23</t>
  </si>
  <si>
    <t>D0554072:E05</t>
  </si>
  <si>
    <t>D0554065:P02</t>
  </si>
  <si>
    <t>D0545764:A24</t>
  </si>
  <si>
    <t>D0554069:C24</t>
  </si>
  <si>
    <t>TR06482762-001</t>
  </si>
  <si>
    <t>D0545766:C19</t>
  </si>
  <si>
    <t>D0554069:G22</t>
  </si>
  <si>
    <t>TR06481091-001</t>
  </si>
  <si>
    <t>D0545770:F09</t>
  </si>
  <si>
    <t>D0554072:I15</t>
  </si>
  <si>
    <t>D0554071:L17</t>
  </si>
  <si>
    <t>D0545768:P09</t>
  </si>
  <si>
    <t>D0554065:K16</t>
  </si>
  <si>
    <t>D0545752:C08</t>
  </si>
  <si>
    <t>D0554067:G19</t>
  </si>
  <si>
    <t>D0545764:P08</t>
  </si>
  <si>
    <t>D0554064:D08</t>
  </si>
  <si>
    <t>D0545766:K03</t>
  </si>
  <si>
    <t>D0554069:D20</t>
  </si>
  <si>
    <t>TR06475340-002</t>
  </si>
  <si>
    <t>D0545764:L12</t>
  </si>
  <si>
    <t>D0554070:D06</t>
  </si>
  <si>
    <t>D0545748:O10</t>
  </si>
  <si>
    <t>D0554069:N16</t>
  </si>
  <si>
    <t>TR06472291-001</t>
  </si>
  <si>
    <t>D0545766:F13</t>
  </si>
  <si>
    <t>D0554068:P03</t>
  </si>
  <si>
    <t>D0545762:B16</t>
  </si>
  <si>
    <t>D0554068:B21</t>
  </si>
  <si>
    <t>D0545764:B02</t>
  </si>
  <si>
    <t>D0554067:D14</t>
  </si>
  <si>
    <t>D0545760:G02</t>
  </si>
  <si>
    <t>D0554072:K03</t>
  </si>
  <si>
    <t>D0545752:A14</t>
  </si>
  <si>
    <t>D0554070:G19</t>
  </si>
  <si>
    <t>D0545760:P06</t>
  </si>
  <si>
    <t>D0554071:B07</t>
  </si>
  <si>
    <t>D0545766:H11</t>
  </si>
  <si>
    <t>D0554069:L19</t>
  </si>
  <si>
    <t>TR06475118-002</t>
  </si>
  <si>
    <t>D0545754:F01</t>
  </si>
  <si>
    <t>D0554068:M19</t>
  </si>
  <si>
    <t>D0545750:P08</t>
  </si>
  <si>
    <t>D0554069:M16</t>
  </si>
  <si>
    <t>TR06472290-001</t>
  </si>
  <si>
    <t>D0545750:F21</t>
  </si>
  <si>
    <t>D0554072:C05</t>
  </si>
  <si>
    <t>D0554064:D16</t>
  </si>
  <si>
    <t>D0545760:K24</t>
  </si>
  <si>
    <t>D0554071:J06</t>
  </si>
  <si>
    <t>D0545766:J05</t>
  </si>
  <si>
    <t>D0554063:L14</t>
  </si>
  <si>
    <t>D0545764:K23</t>
  </si>
  <si>
    <t>D0554063:H11</t>
  </si>
  <si>
    <t>D0545748:B08</t>
  </si>
  <si>
    <t>D0554066:O08</t>
  </si>
  <si>
    <t>D0545772:G13</t>
  </si>
  <si>
    <t>D0554065:K05</t>
  </si>
  <si>
    <t>D0545760:G20</t>
  </si>
  <si>
    <t>D0554066:C21</t>
  </si>
  <si>
    <t>D0545770:H09</t>
  </si>
  <si>
    <t>D0554066:K12</t>
  </si>
  <si>
    <t>D0545748:C08</t>
  </si>
  <si>
    <t>D0554071:G03</t>
  </si>
  <si>
    <t>D0545760:D01</t>
  </si>
  <si>
    <t>D0554069:M07</t>
  </si>
  <si>
    <t>TR06460540-001</t>
  </si>
  <si>
    <t>D0545754:M22</t>
  </si>
  <si>
    <t>D0554070:H16</t>
  </si>
  <si>
    <t>D0545746:F05</t>
  </si>
  <si>
    <t>D0554066:O13</t>
  </si>
  <si>
    <t>D0545748:N18</t>
  </si>
  <si>
    <t>D0554067:A12</t>
  </si>
  <si>
    <t>D0545748:A21</t>
  </si>
  <si>
    <t>D0554065:I02</t>
  </si>
  <si>
    <t>D0545768:C13</t>
  </si>
  <si>
    <t>D0554067:H14</t>
  </si>
  <si>
    <t>D0545744:D14</t>
  </si>
  <si>
    <t>D0554065:A22</t>
  </si>
  <si>
    <t>D0545752:A10</t>
  </si>
  <si>
    <t>D0554072:G20</t>
  </si>
  <si>
    <t>D0554066:M20</t>
  </si>
  <si>
    <t>D0545766:L09</t>
  </si>
  <si>
    <t>D0554065:H22</t>
  </si>
  <si>
    <t>D0545766:D14</t>
  </si>
  <si>
    <t>D0554068:B10</t>
  </si>
  <si>
    <t>D0545768:J16</t>
  </si>
  <si>
    <t>D0554067:D11</t>
  </si>
  <si>
    <t>D0545760:E24</t>
  </si>
  <si>
    <t>D0554067:G12</t>
  </si>
  <si>
    <t>D0545750:H14</t>
  </si>
  <si>
    <t>D0554068:P13</t>
  </si>
  <si>
    <t>D0545764:H07</t>
  </si>
  <si>
    <t>D0554066:C20</t>
  </si>
  <si>
    <t>D0545764:C08</t>
  </si>
  <si>
    <t>D0554070:B02</t>
  </si>
  <si>
    <t>D0545764:I11</t>
  </si>
  <si>
    <t>D0554065:G16</t>
  </si>
  <si>
    <t>D0545768:D17</t>
  </si>
  <si>
    <t>D0554065:K03</t>
  </si>
  <si>
    <t>D0545764:I24</t>
  </si>
  <si>
    <t>D0554072:G13</t>
  </si>
  <si>
    <t>D0554067:G02</t>
  </si>
  <si>
    <t>D0545770:K06</t>
  </si>
  <si>
    <t>D0554072:B14</t>
  </si>
  <si>
    <t>D0554063:B12</t>
  </si>
  <si>
    <t>D0545766:A13</t>
  </si>
  <si>
    <t>D0554071:D01</t>
  </si>
  <si>
    <t>D0545758:A12</t>
  </si>
  <si>
    <t>D0554071:L21</t>
  </si>
  <si>
    <t>D0545750:M01</t>
  </si>
  <si>
    <t>D0554069:J16</t>
  </si>
  <si>
    <t>TR06472232-001</t>
  </si>
  <si>
    <t>D0545762:B21</t>
  </si>
  <si>
    <t>D0554070:O01</t>
  </si>
  <si>
    <t>D0545766:D20</t>
  </si>
  <si>
    <t>D0554068:E21</t>
  </si>
  <si>
    <t>D0545766:C21</t>
  </si>
  <si>
    <t>D0554063:A05</t>
  </si>
  <si>
    <t>D0545754:F09</t>
  </si>
  <si>
    <t>D0554068:G13</t>
  </si>
  <si>
    <t>D0545770:A15</t>
  </si>
  <si>
    <t>D0554065:N06</t>
  </si>
  <si>
    <t>D0552256:B11</t>
  </si>
  <si>
    <t>D0554065:M20</t>
  </si>
  <si>
    <t>D0545772:K03</t>
  </si>
  <si>
    <t>D0554070:C02</t>
  </si>
  <si>
    <t>D0545766:M20</t>
  </si>
  <si>
    <t>D0554067:O19</t>
  </si>
  <si>
    <t>D0545770:A02</t>
  </si>
  <si>
    <t>D0554068:K12</t>
  </si>
  <si>
    <t>D0545768:H20</t>
  </si>
  <si>
    <t>D0554066:M02</t>
  </si>
  <si>
    <t>D0545768:N18</t>
  </si>
  <si>
    <t>D0554065:K22</t>
  </si>
  <si>
    <t>D0545744:L17</t>
  </si>
  <si>
    <t>D0554065:L04</t>
  </si>
  <si>
    <t>D0552256:K11</t>
  </si>
  <si>
    <t>D0554063:L04</t>
  </si>
  <si>
    <t>D0545754:G10</t>
  </si>
  <si>
    <t>D0554072:K10</t>
  </si>
  <si>
    <t>D0554066:O10</t>
  </si>
  <si>
    <t>D0545760:C06</t>
  </si>
  <si>
    <t>D0554070:B22</t>
  </si>
  <si>
    <t>D0545754:I04</t>
  </si>
  <si>
    <t>D0554065:P11</t>
  </si>
  <si>
    <t>D0545762:I03</t>
  </si>
  <si>
    <t>D0554067:F12</t>
  </si>
  <si>
    <t>D0545752:D20</t>
  </si>
  <si>
    <t>D0554065:C08</t>
  </si>
  <si>
    <t>D0545758:G07</t>
  </si>
  <si>
    <t>D0554069:B18</t>
  </si>
  <si>
    <t>TR06473840-001</t>
  </si>
  <si>
    <t>D0545746:K14</t>
  </si>
  <si>
    <t>D0554069:E02</t>
  </si>
  <si>
    <t>TR06445666-002</t>
  </si>
  <si>
    <t>D0545770:F01</t>
  </si>
  <si>
    <t>D0554072:G09</t>
  </si>
  <si>
    <t>D0554064:G21</t>
  </si>
  <si>
    <t>D0545764:L02</t>
  </si>
  <si>
    <t>D0554071:H10</t>
  </si>
  <si>
    <t>TR06532547-001</t>
  </si>
  <si>
    <t>D0545766:M13</t>
  </si>
  <si>
    <t>D0554071:H05</t>
  </si>
  <si>
    <t>D0545768:H08</t>
  </si>
  <si>
    <t>D0554071:N04</t>
  </si>
  <si>
    <t>D0545760:F02</t>
  </si>
  <si>
    <t>D0554071:O10</t>
  </si>
  <si>
    <t>TR06536000-001</t>
  </si>
  <si>
    <t>D0545764:G04</t>
  </si>
  <si>
    <t>D0554063:E09</t>
  </si>
  <si>
    <t>D0545764:L10</t>
  </si>
  <si>
    <t>D0554065:M03</t>
  </si>
  <si>
    <t>D0545762:G13</t>
  </si>
  <si>
    <t>D0554063:E06</t>
  </si>
  <si>
    <t>D0545762:A16</t>
  </si>
  <si>
    <t>D0554069:F06</t>
  </si>
  <si>
    <t>TR06459862-001</t>
  </si>
  <si>
    <t>D0545770:H17</t>
  </si>
  <si>
    <t>D0554072:N07</t>
  </si>
  <si>
    <t>D0554072:N08</t>
  </si>
  <si>
    <t>D0554069:G21</t>
  </si>
  <si>
    <t>TR06480241-002</t>
  </si>
  <si>
    <t>D0545768:M01</t>
  </si>
  <si>
    <t>D0554070:D10</t>
  </si>
  <si>
    <t>D0545752:C12</t>
  </si>
  <si>
    <t>D0554072:P04</t>
  </si>
  <si>
    <t>D0554065:G17</t>
  </si>
  <si>
    <t>D0545760:C20</t>
  </si>
  <si>
    <t>D0554063:N10</t>
  </si>
  <si>
    <t>D0545766:H21</t>
  </si>
  <si>
    <t>D0554072:A18</t>
  </si>
  <si>
    <t>D0554067:P15</t>
  </si>
  <si>
    <t>D0545748:J15</t>
  </si>
  <si>
    <t>D0554069:E22</t>
  </si>
  <si>
    <t>TR06481052-001</t>
  </si>
  <si>
    <t>D0545764:M22</t>
  </si>
  <si>
    <t>D0554067:E15</t>
  </si>
  <si>
    <t>D0545748:F09</t>
  </si>
  <si>
    <t>D0554069:B13</t>
  </si>
  <si>
    <t>TR06470588-002</t>
  </si>
  <si>
    <t>D0545752:N24</t>
  </si>
  <si>
    <t>D0554067:M13</t>
  </si>
  <si>
    <t>D0545766:I03</t>
  </si>
  <si>
    <t>D0554067:C12</t>
  </si>
  <si>
    <t>D0545758:F07</t>
  </si>
  <si>
    <t>D0554067:D07</t>
  </si>
  <si>
    <t>D0545768:C17</t>
  </si>
  <si>
    <t>D0554072:A19</t>
  </si>
  <si>
    <t>D0554063:E22</t>
  </si>
  <si>
    <t>D0545744:L14</t>
  </si>
  <si>
    <t>D0554070:M18</t>
  </si>
  <si>
    <t>D0545750:E08</t>
  </si>
  <si>
    <t>D0554072:O20</t>
  </si>
  <si>
    <t>D0554069:H19</t>
  </si>
  <si>
    <t>TR06475048-001</t>
  </si>
  <si>
    <t>D0545768:D16</t>
  </si>
  <si>
    <t>D0554071:E14</t>
  </si>
  <si>
    <t>TR06540662-001</t>
  </si>
  <si>
    <t>D0545768:K22</t>
  </si>
  <si>
    <t>D0554066:L12</t>
  </si>
  <si>
    <t>D0545750:A05</t>
  </si>
  <si>
    <t>D0554067:A10</t>
  </si>
  <si>
    <t>D0545768:M09</t>
  </si>
  <si>
    <t>D0554067:F14</t>
  </si>
  <si>
    <t>D0545758:E01</t>
  </si>
  <si>
    <t>D0554066:O12</t>
  </si>
  <si>
    <t>TR01931655-002</t>
  </si>
  <si>
    <t>D0545750:F01</t>
  </si>
  <si>
    <t>D0554069:E11</t>
  </si>
  <si>
    <t>D0545768:B14</t>
  </si>
  <si>
    <t>D0554070:F03</t>
  </si>
  <si>
    <t>D0545752:E12</t>
  </si>
  <si>
    <t>D0554065:M08</t>
  </si>
  <si>
    <t>D0545748:H03</t>
  </si>
  <si>
    <t>D0554070:N09</t>
  </si>
  <si>
    <t>D0545758:J22</t>
  </si>
  <si>
    <t>D0554067:I16</t>
  </si>
  <si>
    <t>D0545766:A14</t>
  </si>
  <si>
    <t>D0554068:B01</t>
  </si>
  <si>
    <t>D0545754:E17</t>
  </si>
  <si>
    <t>D0554072:I09</t>
  </si>
  <si>
    <t>D0554066:I16</t>
  </si>
  <si>
    <t>D0545746:J18</t>
  </si>
  <si>
    <t>D0554071:J01</t>
  </si>
  <si>
    <t>D0545752:I16</t>
  </si>
  <si>
    <t>D0554072:C18</t>
  </si>
  <si>
    <t>D0554072:M15</t>
  </si>
  <si>
    <t>D0554068:P02</t>
  </si>
  <si>
    <t>D0545746:G06</t>
  </si>
  <si>
    <t>D0554069:I06</t>
  </si>
  <si>
    <t>TR06460083-002</t>
  </si>
  <si>
    <t>D0545758:M22</t>
  </si>
  <si>
    <t>D0554072:E22</t>
  </si>
  <si>
    <t>D0554070:E16</t>
  </si>
  <si>
    <t>D0545744:L01</t>
  </si>
  <si>
    <t>D0554069:J03</t>
  </si>
  <si>
    <t>TR06446098-001</t>
  </si>
  <si>
    <t>D0545752:C03</t>
  </si>
  <si>
    <t>D0554069:G19</t>
  </si>
  <si>
    <t>TR06475020-002</t>
  </si>
  <si>
    <t>D0545746:C04</t>
  </si>
  <si>
    <t>D0554069:F15</t>
  </si>
  <si>
    <t>TR06471119-001</t>
  </si>
  <si>
    <t>D0545766:E03</t>
  </si>
  <si>
    <t>D0554069:H11</t>
  </si>
  <si>
    <t>TR06468131-001</t>
  </si>
  <si>
    <t>D0545768:O09</t>
  </si>
  <si>
    <t>D0554071:N09</t>
  </si>
  <si>
    <t>TR06532495-001</t>
  </si>
  <si>
    <t>D0545760:L13</t>
  </si>
  <si>
    <t>D0554066:L06</t>
  </si>
  <si>
    <t>D0545750:F05</t>
  </si>
  <si>
    <t>D0554067:I18</t>
  </si>
  <si>
    <t>D0545750:C17</t>
  </si>
  <si>
    <t>D0554068:E03</t>
  </si>
  <si>
    <t>D0545762:A10</t>
  </si>
  <si>
    <t>D0554072:C20</t>
  </si>
  <si>
    <t>D0554072:D19</t>
  </si>
  <si>
    <t>D0554063:M05</t>
  </si>
  <si>
    <t>D0545750:M05</t>
  </si>
  <si>
    <t>D0554072:D15</t>
  </si>
  <si>
    <t>D0554067:D19</t>
  </si>
  <si>
    <t>D0545750:N18</t>
  </si>
  <si>
    <t>D0554071:D18</t>
  </si>
  <si>
    <t>D0545752:H15</t>
  </si>
  <si>
    <t>D0554063:B15</t>
  </si>
  <si>
    <t>D0545758:B06</t>
  </si>
  <si>
    <t>D0554063:N13</t>
  </si>
  <si>
    <t>D0545758:A04</t>
  </si>
  <si>
    <t>D0554065:K13</t>
  </si>
  <si>
    <t>D0552256:K18</t>
  </si>
  <si>
    <t>D0554066:N14</t>
  </si>
  <si>
    <t>D0545744:B11</t>
  </si>
  <si>
    <t>D0554069:E04</t>
  </si>
  <si>
    <t>TR06446247-002</t>
  </si>
  <si>
    <t>D0545748:E08</t>
  </si>
  <si>
    <t>D0554072:F22</t>
  </si>
  <si>
    <t>D0554068:E14</t>
  </si>
  <si>
    <t>D0545754:K05</t>
  </si>
  <si>
    <t>D0554063:N08</t>
  </si>
  <si>
    <t>D0545748:O01</t>
  </si>
  <si>
    <t>D0554071:G16</t>
  </si>
  <si>
    <t>D0545748:J04</t>
  </si>
  <si>
    <t>D0554068:N11</t>
  </si>
  <si>
    <t>D0545770:G06</t>
  </si>
  <si>
    <t>D0554063:G13</t>
  </si>
  <si>
    <t>D0545750:M03</t>
  </si>
  <si>
    <t>D0554071:K20</t>
  </si>
  <si>
    <t>D0545760:F01</t>
  </si>
  <si>
    <t>D0554070:D07</t>
  </si>
  <si>
    <t>D0545768:F14</t>
  </si>
  <si>
    <t>D0554070:I19</t>
  </si>
  <si>
    <t>D0545752:O23</t>
  </si>
  <si>
    <t>D0554072:C16</t>
  </si>
  <si>
    <t>D0554066:M08</t>
  </si>
  <si>
    <t>D0545750:E10</t>
  </si>
  <si>
    <t>D0554063:H05</t>
  </si>
  <si>
    <t>D0545744:I23</t>
  </si>
  <si>
    <t>D0554072:I07</t>
  </si>
  <si>
    <t>D0554065:E08</t>
  </si>
  <si>
    <t>D0545770:B13</t>
  </si>
  <si>
    <t>D0554071:M04</t>
  </si>
  <si>
    <t>D0545752:N16</t>
  </si>
  <si>
    <t>D0554068:N07</t>
  </si>
  <si>
    <t>D0545744:H20</t>
  </si>
  <si>
    <t>D0554064:I15</t>
  </si>
  <si>
    <t>D0545772:I05</t>
  </si>
  <si>
    <t>D0554068:O13</t>
  </si>
  <si>
    <t>D0545766:B23</t>
  </si>
  <si>
    <t>D0554067:E07</t>
  </si>
  <si>
    <t>D0545750:D09</t>
  </si>
  <si>
    <t>D0554063:N14</t>
  </si>
  <si>
    <t>D0545762:G07</t>
  </si>
  <si>
    <t>D0554071:N20</t>
  </si>
  <si>
    <t>D0545752:D14</t>
  </si>
  <si>
    <t>D0554067:J15</t>
  </si>
  <si>
    <t>D0545760:H18</t>
  </si>
  <si>
    <t>D0554071:K19</t>
  </si>
  <si>
    <t>D0545770:B09</t>
  </si>
  <si>
    <t>D0554069:C13</t>
  </si>
  <si>
    <t>TR06470589-001</t>
  </si>
  <si>
    <t>D0545764:C04</t>
  </si>
  <si>
    <t>D0554063:B17</t>
  </si>
  <si>
    <t>D0545760:A04</t>
  </si>
  <si>
    <t>D0554071:J19</t>
  </si>
  <si>
    <t>D0545752:M15</t>
  </si>
  <si>
    <t>D0554063:I18</t>
  </si>
  <si>
    <t>D0545768:F22</t>
  </si>
  <si>
    <t>D0554068:I03</t>
  </si>
  <si>
    <t>D0545764:O17</t>
  </si>
  <si>
    <t>D0554068:I17</t>
  </si>
  <si>
    <t>D0545764:D06</t>
  </si>
  <si>
    <t>D0554068:P10</t>
  </si>
  <si>
    <t>D0545748:G09</t>
  </si>
  <si>
    <t>D0554066:N11</t>
  </si>
  <si>
    <t>D0545766:J17</t>
  </si>
  <si>
    <t>D0554069:D13</t>
  </si>
  <si>
    <t>TR06470591-001</t>
  </si>
  <si>
    <t>D0545750:F09</t>
  </si>
  <si>
    <t>D0554067:B19</t>
  </si>
  <si>
    <t>D0545770:H11</t>
  </si>
  <si>
    <t>D0554071:D06</t>
  </si>
  <si>
    <t>D0545744:P03</t>
  </si>
  <si>
    <t>D0554066:P19</t>
  </si>
  <si>
    <t>D0545760:L14</t>
  </si>
  <si>
    <t>D0554070:K20</t>
  </si>
  <si>
    <t>D0545748:E07</t>
  </si>
  <si>
    <t>D0554063:J15</t>
  </si>
  <si>
    <t>D0545750:M21</t>
  </si>
  <si>
    <t>D0554070:I21</t>
  </si>
  <si>
    <t>D0545762:K14</t>
  </si>
  <si>
    <t>D0554066:G13</t>
  </si>
  <si>
    <t>D0545746:D23</t>
  </si>
  <si>
    <t>D0554066:M05</t>
  </si>
  <si>
    <t>D0545768:A07</t>
  </si>
  <si>
    <t>D0554065:G06</t>
  </si>
  <si>
    <t>D0545744:C22</t>
  </si>
  <si>
    <t>D0554071:B20</t>
  </si>
  <si>
    <t>D0545750:P20</t>
  </si>
  <si>
    <t>D0554063:B19</t>
  </si>
  <si>
    <t>D0545744:E19</t>
  </si>
  <si>
    <t>D0554072:C09</t>
  </si>
  <si>
    <t>D0554070:M04</t>
  </si>
  <si>
    <t>D0545762:O04</t>
  </si>
  <si>
    <t>D0554071:D16</t>
  </si>
  <si>
    <t>D0545768:B03</t>
  </si>
  <si>
    <t>D0554065:M15</t>
  </si>
  <si>
    <t>D0545760:L01</t>
  </si>
  <si>
    <t>D0554069:J12</t>
  </si>
  <si>
    <t>TR06470450-001</t>
  </si>
  <si>
    <t>D0545750:B22</t>
  </si>
  <si>
    <t>D0554068:O17</t>
  </si>
  <si>
    <t>D0545768:H05</t>
  </si>
  <si>
    <t>D0554067:B04</t>
  </si>
  <si>
    <t>D0545744:D11</t>
  </si>
  <si>
    <t>D0554069:J17</t>
  </si>
  <si>
    <t>TR06473768-001</t>
  </si>
  <si>
    <t>D0545762:N15</t>
  </si>
  <si>
    <t>D0554072:G14</t>
  </si>
  <si>
    <t>D0554072:F15</t>
  </si>
  <si>
    <t>D0554069:D09</t>
  </si>
  <si>
    <t>TR06466372-001</t>
  </si>
  <si>
    <t>D0545760:J21</t>
  </si>
  <si>
    <t>D0554071:M18</t>
  </si>
  <si>
    <t>D0545770:P07</t>
  </si>
  <si>
    <t>D0554067:K06</t>
  </si>
  <si>
    <t>D0545758:C14</t>
  </si>
  <si>
    <t>D0554072:P16</t>
  </si>
  <si>
    <t>D0554070:F20</t>
  </si>
  <si>
    <t>D0545770:G23</t>
  </si>
  <si>
    <t>D0554063:G16</t>
  </si>
  <si>
    <t>D0545750:J13</t>
  </si>
  <si>
    <t>D0554070:H19</t>
  </si>
  <si>
    <t>D0545752:D15</t>
  </si>
  <si>
    <t>D0554072:M20</t>
  </si>
  <si>
    <t>D0554071:C01</t>
  </si>
  <si>
    <t>D0545748:H23</t>
  </si>
  <si>
    <t>D0554069:H05</t>
  </si>
  <si>
    <t>TR06459791-001</t>
  </si>
  <si>
    <t>D0545762:M10</t>
  </si>
  <si>
    <t>D0554067:K13</t>
  </si>
  <si>
    <t>D0545744:A15</t>
  </si>
  <si>
    <t>D0554072:A22</t>
  </si>
  <si>
    <t>D0554067:K14</t>
  </si>
  <si>
    <t>D0545758:L07</t>
  </si>
  <si>
    <t>D0554071:E06</t>
  </si>
  <si>
    <t>D0545752:E20</t>
  </si>
  <si>
    <t>D0554067:H22</t>
  </si>
  <si>
    <t>D0545770:I08</t>
  </si>
  <si>
    <t>D0554069:N08</t>
  </si>
  <si>
    <t>TR06464713-001</t>
  </si>
  <si>
    <t>D0545770:F03</t>
  </si>
  <si>
    <t>D0554063:H09</t>
  </si>
  <si>
    <t>D0545764:B06</t>
  </si>
  <si>
    <t>D0554065:H16</t>
  </si>
  <si>
    <t>D0545746:D02</t>
  </si>
  <si>
    <t>D0554072:L15</t>
  </si>
  <si>
    <t>D0554068:L19</t>
  </si>
  <si>
    <t>D0545768:C11</t>
  </si>
  <si>
    <t>D0554072:I13</t>
  </si>
  <si>
    <t>D0554065:M10</t>
  </si>
  <si>
    <t>D0545762:C05</t>
  </si>
  <si>
    <t>D0554067:C16</t>
  </si>
  <si>
    <t>D0545764:N01</t>
  </si>
  <si>
    <t>D0554067:C04</t>
  </si>
  <si>
    <t>D0545768:H22</t>
  </si>
  <si>
    <t>D0554070:B05</t>
  </si>
  <si>
    <t>D0545754:A02</t>
  </si>
  <si>
    <t>D0554070:J12</t>
  </si>
  <si>
    <t>D0545762:L23</t>
  </si>
  <si>
    <t>D0554068:O16</t>
  </si>
  <si>
    <t>D0545770:I10</t>
  </si>
  <si>
    <t>D0554070:L21</t>
  </si>
  <si>
    <t>D0545750:N14</t>
  </si>
  <si>
    <t>D0554068:H19</t>
  </si>
  <si>
    <t>D0545766:H16</t>
  </si>
  <si>
    <t>D0554067:P17</t>
  </si>
  <si>
    <t>D0545764:O07</t>
  </si>
  <si>
    <t>D0554063:C16</t>
  </si>
  <si>
    <t>D0545754:C04</t>
  </si>
  <si>
    <t>D0554068:N16</t>
  </si>
  <si>
    <t>D0545770:J09</t>
  </si>
  <si>
    <t>D0554068:P07</t>
  </si>
  <si>
    <t>D0545752:M14</t>
  </si>
  <si>
    <t>D0554071:I19</t>
  </si>
  <si>
    <t>D0545744:A19</t>
  </si>
  <si>
    <t>D0554070:I22</t>
  </si>
  <si>
    <t>D0545766:E06</t>
  </si>
  <si>
    <t>D0554068:M02</t>
  </si>
  <si>
    <t>D0545752:J12</t>
  </si>
  <si>
    <t>D0554068:I18</t>
  </si>
  <si>
    <t>D0545760:A15</t>
  </si>
  <si>
    <t>D0554068:B19</t>
  </si>
  <si>
    <t>D0545744:B07</t>
  </si>
  <si>
    <t>D0554071:P19</t>
  </si>
  <si>
    <t>D0545772:G17</t>
  </si>
  <si>
    <t>D0554066:I13</t>
  </si>
  <si>
    <t>D0545758:J08</t>
  </si>
  <si>
    <t>D0554072:D21</t>
  </si>
  <si>
    <t>D0554071:H21</t>
  </si>
  <si>
    <t>D0545768:O19</t>
  </si>
  <si>
    <t>D0554067:J18</t>
  </si>
  <si>
    <t>D0545762:F08</t>
  </si>
  <si>
    <t>D0554063:J05</t>
  </si>
  <si>
    <t>D0545750:H21</t>
  </si>
  <si>
    <t>D0554066:H09</t>
  </si>
  <si>
    <t>D0545746:J09</t>
  </si>
  <si>
    <t>D0554072:C04</t>
  </si>
  <si>
    <t>D0554068:D20</t>
  </si>
  <si>
    <t>D0545754:K01</t>
  </si>
  <si>
    <t>D0554070:E19</t>
  </si>
  <si>
    <t>D0545750:H06</t>
  </si>
  <si>
    <t>D0554065:I14</t>
  </si>
  <si>
    <t>D0545762:A17</t>
  </si>
  <si>
    <t>D0554069:H16</t>
  </si>
  <si>
    <t>TR06472203-001</t>
  </si>
  <si>
    <t>D0545760:P19</t>
  </si>
  <si>
    <t>D0554065:H02</t>
  </si>
  <si>
    <t>D0545762:B01</t>
  </si>
  <si>
    <t>D0554063:G05</t>
  </si>
  <si>
    <t>D0545768:K03</t>
  </si>
  <si>
    <t>D0554069:L18</t>
  </si>
  <si>
    <t>TR06473943-001</t>
  </si>
  <si>
    <t>D0545766:O12</t>
  </si>
  <si>
    <t>D0554063:P21</t>
  </si>
  <si>
    <t>D0545762:E17</t>
  </si>
  <si>
    <t>D0554068:D17</t>
  </si>
  <si>
    <t>D0545770:N17</t>
  </si>
  <si>
    <t>D0554063:I09</t>
  </si>
  <si>
    <t>D0545750:I03</t>
  </si>
  <si>
    <t>D0554068:I01</t>
  </si>
  <si>
    <t>D0545750:M23</t>
  </si>
  <si>
    <t>D0554072:D01</t>
  </si>
  <si>
    <t>D0545746:G10</t>
  </si>
  <si>
    <t>D0554069:G24</t>
  </si>
  <si>
    <t>TR06482855-001</t>
  </si>
  <si>
    <t>D0545766:D11</t>
  </si>
  <si>
    <t>D0554072:D07</t>
  </si>
  <si>
    <t>D0554068:C12</t>
  </si>
  <si>
    <t>D0545762:C11</t>
  </si>
  <si>
    <t>D0554066:F12</t>
  </si>
  <si>
    <t>D0552256:C18</t>
  </si>
  <si>
    <t>D0554067:M23</t>
  </si>
  <si>
    <t>D0545770:O02</t>
  </si>
  <si>
    <t>D0554069:K13</t>
  </si>
  <si>
    <t>TR06470710-001</t>
  </si>
  <si>
    <t>D0545744:I20</t>
  </si>
  <si>
    <t>D0554070:E09</t>
  </si>
  <si>
    <t>D0545758:P19</t>
  </si>
  <si>
    <t>D0554065:G15</t>
  </si>
  <si>
    <t>D0545766:D09</t>
  </si>
  <si>
    <t>D0554072:H21</t>
  </si>
  <si>
    <t>D0554063:F09</t>
  </si>
  <si>
    <t>D0545748:P16</t>
  </si>
  <si>
    <t>D0554065:L10</t>
  </si>
  <si>
    <t>D0545766:E01</t>
  </si>
  <si>
    <t>D0554072:E15</t>
  </si>
  <si>
    <t>D0554072:I18</t>
  </si>
  <si>
    <t>D0554071:N03</t>
  </si>
  <si>
    <t>D0545744:H11</t>
  </si>
  <si>
    <t>D0554065:I07</t>
  </si>
  <si>
    <t>D0545762:L04</t>
  </si>
  <si>
    <t>D0554072:D10</t>
  </si>
  <si>
    <t>D0554065:C16</t>
  </si>
  <si>
    <t>D0545762:E22</t>
  </si>
  <si>
    <t>D0554068:J03</t>
  </si>
  <si>
    <t>D0545754:P11</t>
  </si>
  <si>
    <t>D0554063:O07</t>
  </si>
  <si>
    <t>D0545766:A10</t>
  </si>
  <si>
    <t>D0554066:N20</t>
  </si>
  <si>
    <t>D0545762:N17</t>
  </si>
  <si>
    <t>D0554072:H22</t>
  </si>
  <si>
    <t>D0554071:J20</t>
  </si>
  <si>
    <t>D0545746:L09</t>
  </si>
  <si>
    <t>D0554070:G01</t>
  </si>
  <si>
    <t>D0545768:L04</t>
  </si>
  <si>
    <t>D0554072:K08</t>
  </si>
  <si>
    <t>D0554063:M21</t>
  </si>
  <si>
    <t>D0545760:E20</t>
  </si>
  <si>
    <t>D0554065:N05</t>
  </si>
  <si>
    <t>D0545746:E10</t>
  </si>
  <si>
    <t>D0554071:D15</t>
  </si>
  <si>
    <t>D0545762:O24</t>
  </si>
  <si>
    <t>D0554067:G20</t>
  </si>
  <si>
    <t>D0545754:J15</t>
  </si>
  <si>
    <t>D0554070:H21</t>
  </si>
  <si>
    <t>D0545764:J20</t>
  </si>
  <si>
    <t>D0554069:A13</t>
  </si>
  <si>
    <t>TR06470553-001</t>
  </si>
  <si>
    <t>D0545770:C09</t>
  </si>
  <si>
    <t>D0554063:M22</t>
  </si>
  <si>
    <t>D0545744:K23</t>
  </si>
  <si>
    <t>D0554069:F08</t>
  </si>
  <si>
    <t>TR06460848-002</t>
  </si>
  <si>
    <t>D0545764:D13</t>
  </si>
  <si>
    <t>D0554071:B05</t>
  </si>
  <si>
    <t>D0545766:M22</t>
  </si>
  <si>
    <t>D0554063:M11</t>
  </si>
  <si>
    <t>D0545764:M05</t>
  </si>
  <si>
    <t>D0554068:L21</t>
  </si>
  <si>
    <t>D0545772:K19</t>
  </si>
  <si>
    <t>D0554069:H21</t>
  </si>
  <si>
    <t>TR06480271-002</t>
  </si>
  <si>
    <t>D0545770:L17</t>
  </si>
  <si>
    <t>D0554069:H14</t>
  </si>
  <si>
    <t>TR06470950-001</t>
  </si>
  <si>
    <t>D0545766:H15</t>
  </si>
  <si>
    <t>D0554068:L01</t>
  </si>
  <si>
    <t>D0545764:F13</t>
  </si>
  <si>
    <t>D0554068:N01</t>
  </si>
  <si>
    <t>D0545768:H14</t>
  </si>
  <si>
    <t>D0554063:C09</t>
  </si>
  <si>
    <t>D0545744:G19</t>
  </si>
  <si>
    <t>D0554069:J07</t>
  </si>
  <si>
    <t>TR06460509-001</t>
  </si>
  <si>
    <t>D0545752:F12</t>
  </si>
  <si>
    <t>D0554065:B17</t>
  </si>
  <si>
    <t>D0545770:F11</t>
  </si>
  <si>
    <t>D0554068:E22</t>
  </si>
  <si>
    <t>D0545754:G09</t>
  </si>
  <si>
    <t>D0554069:L21</t>
  </si>
  <si>
    <t>TR06480377-001</t>
  </si>
  <si>
    <t>D0545760:D24</t>
  </si>
  <si>
    <t>D0554063:B14</t>
  </si>
  <si>
    <t>D0545772:C03</t>
  </si>
  <si>
    <t>D0554071:O16</t>
  </si>
  <si>
    <t>D0545750:F14</t>
  </si>
  <si>
    <t>D0554065:I18</t>
  </si>
  <si>
    <t>D0545746:K21</t>
  </si>
  <si>
    <t>D0554069:F23</t>
  </si>
  <si>
    <t>TR06481398-002</t>
  </si>
  <si>
    <t>D0545762:H03</t>
  </si>
  <si>
    <t>D0554067:M05</t>
  </si>
  <si>
    <t>D0545764:G12</t>
  </si>
  <si>
    <t>D0554072:O04</t>
  </si>
  <si>
    <t>D0554072:I05</t>
  </si>
  <si>
    <t>D0554070:C13</t>
  </si>
  <si>
    <t>D0545756:M15</t>
  </si>
  <si>
    <t>D0554069:O11</t>
  </si>
  <si>
    <t>TR06470192-002</t>
  </si>
  <si>
    <t>D0545764:N21</t>
  </si>
  <si>
    <t>D0554069:D22</t>
  </si>
  <si>
    <t>TR06481051-002</t>
  </si>
  <si>
    <t>D0545768:H01</t>
  </si>
  <si>
    <t>D0554065:M17</t>
  </si>
  <si>
    <t>D0545744:A06</t>
  </si>
  <si>
    <t>D0554065:B05</t>
  </si>
  <si>
    <t>D0545744:M19</t>
  </si>
  <si>
    <t>D0554063:M18</t>
  </si>
  <si>
    <t>D0545752:K04</t>
  </si>
  <si>
    <t>D0554065:J15</t>
  </si>
  <si>
    <t>D0545744:P09</t>
  </si>
  <si>
    <t>D0554065:F13</t>
  </si>
  <si>
    <t>D0545760:N07</t>
  </si>
  <si>
    <t>D0554063:C18</t>
  </si>
  <si>
    <t>D0545758:D14</t>
  </si>
  <si>
    <t>D0554067:I13</t>
  </si>
  <si>
    <t>D0545752:J05</t>
  </si>
  <si>
    <t>D0554063:F14</t>
  </si>
  <si>
    <t>D0545746:H02</t>
  </si>
  <si>
    <t>D0554070:A10</t>
  </si>
  <si>
    <t>D0545760:N15</t>
  </si>
  <si>
    <t>D0554068:N22</t>
  </si>
  <si>
    <t>D0545762:H15</t>
  </si>
  <si>
    <t>D0554064:I16</t>
  </si>
  <si>
    <t>D0545772:O03</t>
  </si>
  <si>
    <t>D0554063:I15</t>
  </si>
  <si>
    <t>D0545760:B03</t>
  </si>
  <si>
    <t>D0554067:E12</t>
  </si>
  <si>
    <t>D0545748:B01</t>
  </si>
  <si>
    <t>D0554070:O13</t>
  </si>
  <si>
    <t>D0545764:E13</t>
  </si>
  <si>
    <t>D0554063:O11</t>
  </si>
  <si>
    <t>D0545754:C14</t>
  </si>
  <si>
    <t>D0554068:A20</t>
  </si>
  <si>
    <t>D0545768:M21</t>
  </si>
  <si>
    <t>D0554069:F17</t>
  </si>
  <si>
    <t>TR06473714-001</t>
  </si>
  <si>
    <t>D0545768:N02</t>
  </si>
  <si>
    <t>D0554069:D18</t>
  </si>
  <si>
    <t>TR06473859-001</t>
  </si>
  <si>
    <t>D0545762:H13</t>
  </si>
  <si>
    <t>D0554068:O22</t>
  </si>
  <si>
    <t>D0545746:L19</t>
  </si>
  <si>
    <t>D0554070:F16</t>
  </si>
  <si>
    <t>D0545744:D20</t>
  </si>
  <si>
    <t>D0554070:M14</t>
  </si>
  <si>
    <t>D0545754:I20</t>
  </si>
  <si>
    <t>D0554065:K09</t>
  </si>
  <si>
    <t>D0552256:E08</t>
  </si>
  <si>
    <t>D0554068:M11</t>
  </si>
  <si>
    <t>D0545748:I02</t>
  </si>
  <si>
    <t>D0554069:K17</t>
  </si>
  <si>
    <t>TR06473770-002</t>
  </si>
  <si>
    <t>D0545758:D13</t>
  </si>
  <si>
    <t>D0554065:F09</t>
  </si>
  <si>
    <t>D0545760:H10</t>
  </si>
  <si>
    <t>D0554072:K05</t>
  </si>
  <si>
    <t>D0554068:J15</t>
  </si>
  <si>
    <t>D0545760:I08</t>
  </si>
  <si>
    <t>D0554072:N17</t>
  </si>
  <si>
    <t>D0554063:L17</t>
  </si>
  <si>
    <t>D0545744:G17</t>
  </si>
  <si>
    <t>D0554063:E13</t>
  </si>
  <si>
    <t>D0545744:F05</t>
  </si>
  <si>
    <t>D0554065:H05</t>
  </si>
  <si>
    <t>D0545746:C08</t>
  </si>
  <si>
    <t>D0554067:D08</t>
  </si>
  <si>
    <t>D0545758:L10</t>
  </si>
  <si>
    <t>D0554063:C02</t>
  </si>
  <si>
    <t>D0545744:F09</t>
  </si>
  <si>
    <t>D0554067:C13</t>
  </si>
  <si>
    <t>D0545760:E17</t>
  </si>
  <si>
    <t>D0554070:K02</t>
  </si>
  <si>
    <t>D0545758:A20</t>
  </si>
  <si>
    <t>D0554071:I03</t>
  </si>
  <si>
    <t>D0545750:N12</t>
  </si>
  <si>
    <t>D0554070:J14</t>
  </si>
  <si>
    <t>D0545744:A24</t>
  </si>
  <si>
    <t>D0554067:M11</t>
  </si>
  <si>
    <t>D0545746:H04</t>
  </si>
  <si>
    <t>D0554068:E01</t>
  </si>
  <si>
    <t>D0545754:B17</t>
  </si>
  <si>
    <t>D0554067:D20</t>
  </si>
  <si>
    <t>D0545748:N13</t>
  </si>
  <si>
    <t>D0554072:E03</t>
  </si>
  <si>
    <t>D0545746:A17</t>
  </si>
  <si>
    <t>D0554070:J16</t>
  </si>
  <si>
    <t>D0545748:O11</t>
  </si>
  <si>
    <t>D0554072:A06</t>
  </si>
  <si>
    <t>D0554070:D03</t>
  </si>
  <si>
    <t>D0545748:E02</t>
  </si>
  <si>
    <t>D0554070:J18</t>
  </si>
  <si>
    <t>D0545768:N09</t>
  </si>
  <si>
    <t>D0554069:N15</t>
  </si>
  <si>
    <t>TR06472001-001</t>
  </si>
  <si>
    <t>D0545752:P10</t>
  </si>
  <si>
    <t>D0554069:H08</t>
  </si>
  <si>
    <t>TR06460883-001</t>
  </si>
  <si>
    <t>D0545752:J01</t>
  </si>
  <si>
    <t>D0554070:C22</t>
  </si>
  <si>
    <t>D0545750:H22</t>
  </si>
  <si>
    <t>D0554071:O15</t>
  </si>
  <si>
    <t>D0545760:I02</t>
  </si>
  <si>
    <t>D0554072:I10</t>
  </si>
  <si>
    <t>D0554071:C12</t>
  </si>
  <si>
    <t>TR06536369-001</t>
  </si>
  <si>
    <t>D0545746:F03</t>
  </si>
  <si>
    <t>D0554069:P11</t>
  </si>
  <si>
    <t>TR06470193-002</t>
  </si>
  <si>
    <t>D0545762:F03</t>
  </si>
  <si>
    <t>D0554070:G20</t>
  </si>
  <si>
    <t>D0545768:D14</t>
  </si>
  <si>
    <t>D0554063:O16</t>
  </si>
  <si>
    <t>D0545750:I24</t>
  </si>
  <si>
    <t>D0554072:A13</t>
  </si>
  <si>
    <t>D0554066:F13</t>
  </si>
  <si>
    <t>D0545772:M03</t>
  </si>
  <si>
    <t>D0554065:F02</t>
  </si>
  <si>
    <t>D0545750:G19</t>
  </si>
  <si>
    <t>D0554070:L23</t>
  </si>
  <si>
    <t>D0545768:K01</t>
  </si>
  <si>
    <t>D0554068:C22</t>
  </si>
  <si>
    <t>D0545750:J02</t>
  </si>
  <si>
    <t>D0554065:L15</t>
  </si>
  <si>
    <t>D0545762:K24</t>
  </si>
  <si>
    <t>D0554063:N17</t>
  </si>
  <si>
    <t>D0545758:O02</t>
  </si>
  <si>
    <t>D0554069:G06</t>
  </si>
  <si>
    <t>TR06459864-001</t>
  </si>
  <si>
    <t>D0545770:P13</t>
  </si>
  <si>
    <t>D0554067:M07</t>
  </si>
  <si>
    <t>D0545748:B24</t>
  </si>
  <si>
    <t>D0554064:N01</t>
  </si>
  <si>
    <t>D0545744:E20</t>
  </si>
  <si>
    <t>D0554069:K08</t>
  </si>
  <si>
    <t>TR06461119-001</t>
  </si>
  <si>
    <t>D0545748:B16</t>
  </si>
  <si>
    <t>D0554070:O19</t>
  </si>
  <si>
    <t>D0545766:N17</t>
  </si>
  <si>
    <t>D0554068:K18</t>
  </si>
  <si>
    <t>D0545748:I15</t>
  </si>
  <si>
    <t>D0554072:E16</t>
  </si>
  <si>
    <t>D0554070:C19</t>
  </si>
  <si>
    <t>D0545750:D22</t>
  </si>
  <si>
    <t>D0554070:N13</t>
  </si>
  <si>
    <t>D0545764:A06</t>
  </si>
  <si>
    <t>D0554065:J12</t>
  </si>
  <si>
    <t>D0545766:D22</t>
  </si>
  <si>
    <t>D0554069:J13</t>
  </si>
  <si>
    <t>TR06470708-001</t>
  </si>
  <si>
    <t>D0545748:G18</t>
  </si>
  <si>
    <t>D0554067:F18</t>
  </si>
  <si>
    <t>D0545750:D02</t>
  </si>
  <si>
    <t>D0554070:J10</t>
  </si>
  <si>
    <t>D0545744:F10</t>
  </si>
  <si>
    <t>D0554063:M09</t>
  </si>
  <si>
    <t>D0545744:E24</t>
  </si>
  <si>
    <t>D0554067:D18</t>
  </si>
  <si>
    <t>D0545748:C18</t>
  </si>
  <si>
    <t>D0554067:L19</t>
  </si>
  <si>
    <t>D0545764:A13</t>
  </si>
  <si>
    <t>D0554065:C11</t>
  </si>
  <si>
    <t>D0545754:B01</t>
  </si>
  <si>
    <t>D0554065:J18</t>
  </si>
  <si>
    <t>D0545754:C16</t>
  </si>
  <si>
    <t>D0554070:H04</t>
  </si>
  <si>
    <t>D0545754:L03</t>
  </si>
  <si>
    <t>D0554063:I13</t>
  </si>
  <si>
    <t>D0545758:L04</t>
  </si>
  <si>
    <t>D0554068:B06</t>
  </si>
  <si>
    <t>D0545768:O21</t>
  </si>
  <si>
    <t>D0554065:H15</t>
  </si>
  <si>
    <t>D0545746:F04</t>
  </si>
  <si>
    <t>D0554072:H16</t>
  </si>
  <si>
    <t>D0554071:F19</t>
  </si>
  <si>
    <t>D0545744:D02</t>
  </si>
  <si>
    <t>D0554071:N11</t>
  </si>
  <si>
    <t>TR06536287-001</t>
  </si>
  <si>
    <t>D0545750:E01</t>
  </si>
  <si>
    <t>D0554067:A11</t>
  </si>
  <si>
    <t>D0545762:D13</t>
  </si>
  <si>
    <t>D0554065:F06</t>
  </si>
  <si>
    <t>D0545764:B19</t>
  </si>
  <si>
    <t>D0554070:B24</t>
  </si>
  <si>
    <t>D0545770:P11</t>
  </si>
  <si>
    <t>D0554069:I08</t>
  </si>
  <si>
    <t>TR06461046-001</t>
  </si>
  <si>
    <t>D0545748:L04</t>
  </si>
  <si>
    <t>D0554065:K07</t>
  </si>
  <si>
    <t>D0545750:C03</t>
  </si>
  <si>
    <t>D0554067:H06</t>
  </si>
  <si>
    <t>D0545766:O02</t>
  </si>
  <si>
    <t>D0554063:M16</t>
  </si>
  <si>
    <t>D0545758:A17</t>
  </si>
  <si>
    <t>D0554072:C21</t>
  </si>
  <si>
    <t>D0554070:F15</t>
  </si>
  <si>
    <t>D0545748:C12</t>
  </si>
  <si>
    <t>D0554070:N12</t>
  </si>
  <si>
    <t>D0545750:B18</t>
  </si>
  <si>
    <t>D0554072:E14</t>
  </si>
  <si>
    <t>D0554064:O03</t>
  </si>
  <si>
    <t>D0545758:K11</t>
  </si>
  <si>
    <t>D0554070:N07</t>
  </si>
  <si>
    <t>D0545768:I20</t>
  </si>
  <si>
    <t>D0554067:H08</t>
  </si>
  <si>
    <t>D0545752:O13</t>
  </si>
  <si>
    <t>D0554067:G17</t>
  </si>
  <si>
    <t>D0545770:C04</t>
  </si>
  <si>
    <t>D0554063:F21</t>
  </si>
  <si>
    <t>D0545744:C16</t>
  </si>
  <si>
    <t>D0554063:J10</t>
  </si>
  <si>
    <t>D0545746:G11</t>
  </si>
  <si>
    <t>D0554067:H07</t>
  </si>
  <si>
    <t>D0545752:D02</t>
  </si>
  <si>
    <t>D0554067:C18</t>
  </si>
  <si>
    <t>D0545768:O05</t>
  </si>
  <si>
    <t>D0554068:I09</t>
  </si>
  <si>
    <t>D0545748:A05</t>
  </si>
  <si>
    <t>D0554067:D02</t>
  </si>
  <si>
    <t>TR06106764-013</t>
  </si>
  <si>
    <t>D0545768:F24</t>
  </si>
  <si>
    <t>D0554066:G04</t>
  </si>
  <si>
    <t>D0545764:M04</t>
  </si>
  <si>
    <t>D0554068:N21</t>
  </si>
  <si>
    <t>D0545746:J05</t>
  </si>
  <si>
    <t>D0554071:J21</t>
  </si>
  <si>
    <t>D0545750:I04</t>
  </si>
  <si>
    <t>D0554068:L22</t>
  </si>
  <si>
    <t>D0545752:D13</t>
  </si>
  <si>
    <t>D0554065:H17</t>
  </si>
  <si>
    <t>D0545764:F03</t>
  </si>
  <si>
    <t>D0554069:L17</t>
  </si>
  <si>
    <t>TR06473771-001</t>
  </si>
  <si>
    <t>D0545770:C21</t>
  </si>
  <si>
    <t>D0554072:O03</t>
  </si>
  <si>
    <t>TR06575087-009</t>
  </si>
  <si>
    <t>D0545764:M19</t>
  </si>
  <si>
    <t>D0554072:F20</t>
  </si>
  <si>
    <t>D0554068:D13</t>
  </si>
  <si>
    <t>D0545770:F19</t>
  </si>
  <si>
    <t>D0554065:H09</t>
  </si>
  <si>
    <t>D0545766:P07</t>
  </si>
  <si>
    <t>D0554067:H19</t>
  </si>
  <si>
    <t>D0545754:H21</t>
  </si>
  <si>
    <t>D0554064:D01</t>
  </si>
  <si>
    <t>D0545746:N19</t>
  </si>
  <si>
    <t>D0554063:E16</t>
  </si>
  <si>
    <t>D0545748:O12</t>
  </si>
  <si>
    <t>D0554063:L09</t>
  </si>
  <si>
    <t>D0545756:E03</t>
  </si>
  <si>
    <t>D0554070:C17</t>
  </si>
  <si>
    <t>D0545762:K21</t>
  </si>
  <si>
    <t>D0554063:B13</t>
  </si>
  <si>
    <t>D0545762:K19</t>
  </si>
  <si>
    <t>D0554068:C02</t>
  </si>
  <si>
    <t>D0545746:O03</t>
  </si>
  <si>
    <t>D0554070:N18</t>
  </si>
  <si>
    <t>D0545750:B17</t>
  </si>
  <si>
    <t>D0554063:F08</t>
  </si>
  <si>
    <t>D0545760:L23</t>
  </si>
  <si>
    <t>D0554067:B15</t>
  </si>
  <si>
    <t>D0545750:N20</t>
  </si>
  <si>
    <t>D0554067:G15</t>
  </si>
  <si>
    <t>D0545748:N04</t>
  </si>
  <si>
    <t>D0554072:D11</t>
  </si>
  <si>
    <t>D0554071:I13</t>
  </si>
  <si>
    <t>TR06537690-002</t>
  </si>
  <si>
    <t>D0545752:O01</t>
  </si>
  <si>
    <t>D0554068:C06</t>
  </si>
  <si>
    <t>D0545750:L10</t>
  </si>
  <si>
    <t>D0554065:G20</t>
  </si>
  <si>
    <t>D0545758:C18</t>
  </si>
  <si>
    <t>D0554069:K16</t>
  </si>
  <si>
    <t>TR06472260-002</t>
  </si>
  <si>
    <t>D0545754:O23</t>
  </si>
  <si>
    <t>D0554063:I05</t>
  </si>
  <si>
    <t>D0545750:H04</t>
  </si>
  <si>
    <t>D0554068:K04</t>
  </si>
  <si>
    <t>D0545770:F15</t>
  </si>
  <si>
    <t>D0554063:F04</t>
  </si>
  <si>
    <t>D0545746:I24</t>
  </si>
  <si>
    <t>D0554063:L21</t>
  </si>
  <si>
    <t>D0545762:K16</t>
  </si>
  <si>
    <t>D0554072:I23</t>
  </si>
  <si>
    <t>D0554069:F05</t>
  </si>
  <si>
    <t>TR06454845-003</t>
  </si>
  <si>
    <t>D0545746:H09</t>
  </si>
  <si>
    <t>D0554071:B14</t>
  </si>
  <si>
    <t>TR06540645-001</t>
  </si>
  <si>
    <t>D0545754:G22</t>
  </si>
  <si>
    <t>D0554064:O19</t>
  </si>
  <si>
    <t>D0545766:E19</t>
  </si>
  <si>
    <t>D0554069:H07</t>
  </si>
  <si>
    <t>TR06460482-001</t>
  </si>
  <si>
    <t>D0545752:E08</t>
  </si>
  <si>
    <t>D0554068:N05</t>
  </si>
  <si>
    <t>D0545760:B24</t>
  </si>
  <si>
    <t>D0554065:H13</t>
  </si>
  <si>
    <t>D0545764:J07</t>
  </si>
  <si>
    <t>D0554071:C05</t>
  </si>
  <si>
    <t>D0545760:G23</t>
  </si>
  <si>
    <t>D0554070:I18</t>
  </si>
  <si>
    <t>D0545750:L12</t>
  </si>
  <si>
    <t>D0554071:E22</t>
  </si>
  <si>
    <t>D0545748:E18</t>
  </si>
  <si>
    <t>D0554072:E12</t>
  </si>
  <si>
    <t>D0554071:K22</t>
  </si>
  <si>
    <t>D0545764:K06</t>
  </si>
  <si>
    <t>D0554067:A15</t>
  </si>
  <si>
    <t>D0545746:M18</t>
  </si>
  <si>
    <t>D0554068:H21</t>
  </si>
  <si>
    <t>D0545768:F04</t>
  </si>
  <si>
    <t>D0554069:J19</t>
  </si>
  <si>
    <t>TR06475086-001</t>
  </si>
  <si>
    <t>D0545770:E15</t>
  </si>
  <si>
    <t>D0554069:A21</t>
  </si>
  <si>
    <t>TR06480126-001</t>
  </si>
  <si>
    <t>D0545768:O14</t>
  </si>
  <si>
    <t>D0554070:O17</t>
  </si>
  <si>
    <t>D0545750:D20</t>
  </si>
  <si>
    <t>D0554071:L20</t>
  </si>
  <si>
    <t>D0545752:O11</t>
  </si>
  <si>
    <t>D0554071:K12</t>
  </si>
  <si>
    <t>TR06537366-001</t>
  </si>
  <si>
    <t>D0545750:L08</t>
  </si>
  <si>
    <t>D0554069:F22</t>
  </si>
  <si>
    <t>TR06481090-001</t>
  </si>
  <si>
    <t>D0545756:A15</t>
  </si>
  <si>
    <t>D0554072:E10</t>
  </si>
  <si>
    <t>D0554072:M12</t>
  </si>
  <si>
    <t>D0554063:G14</t>
  </si>
  <si>
    <t>D0545748:K11</t>
  </si>
  <si>
    <t>D0554071:A15</t>
  </si>
  <si>
    <t>D0545750:E03</t>
  </si>
  <si>
    <t>D0554071:D03</t>
  </si>
  <si>
    <t>D0545770:M10</t>
  </si>
  <si>
    <t>D0554072:L05</t>
  </si>
  <si>
    <t>D0554063:E10</t>
  </si>
  <si>
    <t>D0545750:M16</t>
  </si>
  <si>
    <t>D0554069:D07</t>
  </si>
  <si>
    <t>TR06460441-001</t>
  </si>
  <si>
    <t>D0545744:N12</t>
  </si>
  <si>
    <t>D0554065:G18</t>
  </si>
  <si>
    <t>D0552256:J14</t>
  </si>
  <si>
    <t>D0554071:K17</t>
  </si>
  <si>
    <t>D0545754:O11</t>
  </si>
  <si>
    <t>D0554067:H15</t>
  </si>
  <si>
    <t>D0545752:F05</t>
  </si>
  <si>
    <t>D0554071:C14</t>
  </si>
  <si>
    <t>TR06540646-001</t>
  </si>
  <si>
    <t>D0545754:O18</t>
  </si>
  <si>
    <t>D0554072:M09</t>
  </si>
  <si>
    <t>D0554072:A11</t>
  </si>
  <si>
    <t>D0554070:B19</t>
  </si>
  <si>
    <t>D0545750:F04</t>
  </si>
  <si>
    <t>D0554068:I22</t>
  </si>
  <si>
    <t>D0545744:B19</t>
  </si>
  <si>
    <t>D0554071:J07</t>
  </si>
  <si>
    <t>D0545746:A09</t>
  </si>
  <si>
    <t>D0554072:B10</t>
  </si>
  <si>
    <t>D0554067:H11</t>
  </si>
  <si>
    <t>D0545758:N03</t>
  </si>
  <si>
    <t>D0554067:E08</t>
  </si>
  <si>
    <t>D0545748:E10</t>
  </si>
  <si>
    <t>D0554067:H02</t>
  </si>
  <si>
    <t>D0545754:I23</t>
  </si>
  <si>
    <t>D0554071:O08</t>
  </si>
  <si>
    <t>D0552256:J20</t>
  </si>
  <si>
    <t>D0554068:F19</t>
  </si>
  <si>
    <t>D0545766:B01</t>
  </si>
  <si>
    <t>D0554063:F22</t>
  </si>
  <si>
    <t>D0552256:L06</t>
  </si>
  <si>
    <t>D0554068:A13</t>
  </si>
  <si>
    <t>D0545764:A16</t>
  </si>
  <si>
    <t>D0554072:H08</t>
  </si>
  <si>
    <t>D0554068:F20</t>
  </si>
  <si>
    <t>D0545770:D23</t>
  </si>
  <si>
    <t>D0554070:O12</t>
  </si>
  <si>
    <t>D0545768:B20</t>
  </si>
  <si>
    <t>D0554065:K19</t>
  </si>
  <si>
    <t>D0545756:C07</t>
  </si>
  <si>
    <t>D0554071:K08</t>
  </si>
  <si>
    <t>D0552256:N12</t>
  </si>
  <si>
    <t>D0554071:G20</t>
  </si>
  <si>
    <t>D0545744:A18</t>
  </si>
  <si>
    <t>D0554069:O15</t>
  </si>
  <si>
    <t>TR06472033-002</t>
  </si>
  <si>
    <t>D0545752:J16</t>
  </si>
  <si>
    <t>D0554070:E13</t>
  </si>
  <si>
    <t>D0545752:N09</t>
  </si>
  <si>
    <t>D0554070:K21</t>
  </si>
  <si>
    <t>D0545764:J22</t>
  </si>
  <si>
    <t>D0554071:O21</t>
  </si>
  <si>
    <t>D0545768:P01</t>
  </si>
  <si>
    <t>D0554067:D12</t>
  </si>
  <si>
    <t>D0545746:K16</t>
  </si>
  <si>
    <t>D0554069:F13</t>
  </si>
  <si>
    <t>TR06470628-001</t>
  </si>
  <si>
    <t>D0545754:E19</t>
  </si>
  <si>
    <t>D0554070:F13</t>
  </si>
  <si>
    <t>D0545768:I11</t>
  </si>
  <si>
    <t>D0554072:G01</t>
  </si>
  <si>
    <t>D0545752:B23</t>
  </si>
  <si>
    <t>D0554072:L01</t>
  </si>
  <si>
    <t>D0545766:H24</t>
  </si>
  <si>
    <t>D0554064:I01</t>
  </si>
  <si>
    <t>D0552256:D07</t>
  </si>
  <si>
    <t>D0554071:A04</t>
  </si>
  <si>
    <t>D0545760:K16</t>
  </si>
  <si>
    <t>D0554063:M20</t>
  </si>
  <si>
    <t>D0545758:D05</t>
  </si>
  <si>
    <t>D0554072:A04</t>
  </si>
  <si>
    <t>D0554065:N12</t>
  </si>
  <si>
    <t>D0545758:C17</t>
  </si>
  <si>
    <t>D0554072:F09</t>
  </si>
  <si>
    <t>D0554068:D10</t>
  </si>
  <si>
    <t>D0545750:L19</t>
  </si>
  <si>
    <t>D0554072:G17</t>
  </si>
  <si>
    <t>D0554063:N12</t>
  </si>
  <si>
    <t>D0545758:A18</t>
  </si>
  <si>
    <t>D0554067:E24</t>
  </si>
  <si>
    <t>D0545766:L06</t>
  </si>
  <si>
    <t>D0554068:I14</t>
  </si>
  <si>
    <t>D0545744:C13</t>
  </si>
  <si>
    <t>D0554071:C18</t>
  </si>
  <si>
    <t>D0545754:E21</t>
  </si>
  <si>
    <t>D0554063:G17</t>
  </si>
  <si>
    <t>D0545766:G21</t>
  </si>
  <si>
    <t>D0554063:E05</t>
  </si>
  <si>
    <t>D0545750:G01</t>
  </si>
  <si>
    <t>D0554063:G09</t>
  </si>
  <si>
    <t>D0545764:A21</t>
  </si>
  <si>
    <t>D0554063:L05</t>
  </si>
  <si>
    <t>D0545764:E23</t>
  </si>
  <si>
    <t>D0554067:N06</t>
  </si>
  <si>
    <t>D0545744:M03</t>
  </si>
  <si>
    <t>D0554069:D19</t>
  </si>
  <si>
    <t>TR06474951-001</t>
  </si>
  <si>
    <t>D0545768:L07</t>
  </si>
  <si>
    <t>D0554065:P23</t>
  </si>
  <si>
    <t>D0545746:D10</t>
  </si>
  <si>
    <t>D0554069:H09</t>
  </si>
  <si>
    <t>TR06466502-002</t>
  </si>
  <si>
    <t>D0545760:I11</t>
  </si>
  <si>
    <t>D0554071:H18</t>
  </si>
  <si>
    <t>D0545752:I03</t>
  </si>
  <si>
    <t>D0554071:D11</t>
  </si>
  <si>
    <t>TR06536051-001</t>
  </si>
  <si>
    <t>D0545770:J03</t>
  </si>
  <si>
    <t>D0554063:L19</t>
  </si>
  <si>
    <t>D0545762:K02</t>
  </si>
  <si>
    <t>D0554064:A12</t>
  </si>
  <si>
    <t>D0545758:B07</t>
  </si>
  <si>
    <t>D0554070:A15</t>
  </si>
  <si>
    <t>D0545748:M16</t>
  </si>
  <si>
    <t>D0554067:G09</t>
  </si>
  <si>
    <t>D0545758:I01</t>
  </si>
  <si>
    <t>D0554067:J13</t>
  </si>
  <si>
    <t>D0545758:B16</t>
  </si>
  <si>
    <t>D0554069:L03</t>
  </si>
  <si>
    <t>TR06446124-001</t>
  </si>
  <si>
    <t>D0545752:I09</t>
  </si>
  <si>
    <t>D0554064:E16</t>
  </si>
  <si>
    <t>D0545760:P15</t>
  </si>
  <si>
    <t>D0554070:P18</t>
  </si>
  <si>
    <t>D0545750:D04</t>
  </si>
  <si>
    <t>D0554068:I15</t>
  </si>
  <si>
    <t>D0545754:M18</t>
  </si>
  <si>
    <t>D0554069:N18</t>
  </si>
  <si>
    <t>TR06473986-002</t>
  </si>
  <si>
    <t>D0545768:B19</t>
  </si>
  <si>
    <t>D0554069:G07</t>
  </si>
  <si>
    <t>TR06460470-002</t>
  </si>
  <si>
    <t>D0545750:F20</t>
  </si>
  <si>
    <t>D0554066:G14</t>
  </si>
  <si>
    <t>D0545768:A11</t>
  </si>
  <si>
    <t>D0554072:F01</t>
  </si>
  <si>
    <t>D0545766:F12</t>
  </si>
  <si>
    <t>D0554072:C17</t>
  </si>
  <si>
    <t>D0554064:I18</t>
  </si>
  <si>
    <t>D0545758:O07</t>
  </si>
  <si>
    <t>D0554065:E14</t>
  </si>
  <si>
    <t>D0545748:P14</t>
  </si>
  <si>
    <t>D0554065:I06</t>
  </si>
  <si>
    <t>D0545748:G16</t>
  </si>
  <si>
    <t>D0554065:M09</t>
  </si>
  <si>
    <t>D0545748:A08</t>
  </si>
  <si>
    <t>D0554071:I02</t>
  </si>
  <si>
    <t>D0545768:G21</t>
  </si>
  <si>
    <t>D0554067:C08</t>
  </si>
  <si>
    <t>D0545764:F14</t>
  </si>
  <si>
    <t>D0554066:H07</t>
  </si>
  <si>
    <t>D0545762:O07</t>
  </si>
  <si>
    <t>D0554065:N03</t>
  </si>
  <si>
    <t>D0545766:E16</t>
  </si>
  <si>
    <t>D0554068:B14</t>
  </si>
  <si>
    <t>D0545760:E22</t>
  </si>
  <si>
    <t>D0554069:G18</t>
  </si>
  <si>
    <t>TR06473879-001</t>
  </si>
  <si>
    <t>D0545750:N13</t>
  </si>
  <si>
    <t>D0554067:M09</t>
  </si>
  <si>
    <t>D0545764:N14</t>
  </si>
  <si>
    <t>D0554067:K19</t>
  </si>
  <si>
    <t>D0545766:B22</t>
  </si>
  <si>
    <t>D0554067:K05</t>
  </si>
  <si>
    <t>D0545758:D07</t>
  </si>
  <si>
    <t>D0554068:B15</t>
  </si>
  <si>
    <t>D0545768:J02</t>
  </si>
  <si>
    <t>D0554068:I13</t>
  </si>
  <si>
    <t>D0545746:J07</t>
  </si>
  <si>
    <t>D0554063:I22</t>
  </si>
  <si>
    <t>D0545748:K17</t>
  </si>
  <si>
    <t>D0554069:H17</t>
  </si>
  <si>
    <t>TR06473752-001</t>
  </si>
  <si>
    <t>D0545750:J12</t>
  </si>
  <si>
    <t>D0554072:C19</t>
  </si>
  <si>
    <t>D0554067:G05</t>
  </si>
  <si>
    <t>D0545760:K22</t>
  </si>
  <si>
    <t>D0554065:J13</t>
  </si>
  <si>
    <t>D0552256:B14</t>
  </si>
  <si>
    <t>D0554064:K07</t>
  </si>
  <si>
    <t>D0552256:L17</t>
  </si>
  <si>
    <t>D0554067:H20</t>
  </si>
  <si>
    <t>D0552256:B16</t>
  </si>
  <si>
    <t>D0554072:E20</t>
  </si>
  <si>
    <t>D0554063:J16</t>
  </si>
  <si>
    <t>D0545772:M01</t>
  </si>
  <si>
    <t>D0554064:P22</t>
  </si>
  <si>
    <t>D0545758:G23</t>
  </si>
  <si>
    <t>D0554070:E15</t>
  </si>
  <si>
    <t>D0545768:D12</t>
  </si>
  <si>
    <t>D0554063:F20</t>
  </si>
  <si>
    <t>D0552256:D03</t>
  </si>
  <si>
    <t>D0554066:F03</t>
  </si>
  <si>
    <t>D0545772:C11</t>
  </si>
  <si>
    <t>D0554063:K15</t>
  </si>
  <si>
    <t>D0545758:A24</t>
  </si>
  <si>
    <t>D0554068:I10</t>
  </si>
  <si>
    <t>D0545764:M02</t>
  </si>
  <si>
    <t>D0554069:C20</t>
  </si>
  <si>
    <t>TR06475305-001</t>
  </si>
  <si>
    <t>D0545752:K06</t>
  </si>
  <si>
    <t>D0554063:G20</t>
  </si>
  <si>
    <t>D0545764:B20</t>
  </si>
  <si>
    <t>D0554064:M06</t>
  </si>
  <si>
    <t>D0545760:D16</t>
  </si>
  <si>
    <t>D0554070:E22</t>
  </si>
  <si>
    <t>D0545752:B12</t>
  </si>
  <si>
    <t>D0554063:N15</t>
  </si>
  <si>
    <t>D0545746:N20</t>
  </si>
  <si>
    <t>D0554065:G21</t>
  </si>
  <si>
    <t>D0545758:M10</t>
  </si>
  <si>
    <t>D0554069:K21</t>
  </si>
  <si>
    <t>TR06480350-001</t>
  </si>
  <si>
    <t>D0545758:N07</t>
  </si>
  <si>
    <t>D0554072:H11</t>
  </si>
  <si>
    <t>D0554070:E03</t>
  </si>
  <si>
    <t>D0545770:D17</t>
  </si>
  <si>
    <t>D0554063:D13</t>
  </si>
  <si>
    <t>D0545758:G10</t>
  </si>
  <si>
    <t>D0554070:L01</t>
  </si>
  <si>
    <t>D0545770:F05</t>
  </si>
  <si>
    <t>D0554070:D20</t>
  </si>
  <si>
    <t>D0552256:N09</t>
  </si>
  <si>
    <t>D0554063:I10</t>
  </si>
  <si>
    <t>D0545766:P21</t>
  </si>
  <si>
    <t>D0554069:L20</t>
  </si>
  <si>
    <t>TR06479987-001</t>
  </si>
  <si>
    <t>D0545762:P21</t>
  </si>
  <si>
    <t>D0554071:L23</t>
  </si>
  <si>
    <t>D0545750:I11</t>
  </si>
  <si>
    <t>D0554067:H12</t>
  </si>
  <si>
    <t>D0545750:O02</t>
  </si>
  <si>
    <t>D0554067:E18</t>
  </si>
  <si>
    <t>D0545762:E19</t>
  </si>
  <si>
    <t>D0554071:L08</t>
  </si>
  <si>
    <t>D0545750:N08</t>
  </si>
  <si>
    <t>D0554071:M22</t>
  </si>
  <si>
    <t>D0545752:K07</t>
  </si>
  <si>
    <t>D0554071:M03</t>
  </si>
  <si>
    <t>D0545752:D10</t>
  </si>
  <si>
    <t>D0554072:G12</t>
  </si>
  <si>
    <t>D0554070:H14</t>
  </si>
  <si>
    <t>D0545762:D18</t>
  </si>
  <si>
    <t>D0554068:P12</t>
  </si>
  <si>
    <t>D0545752:F08</t>
  </si>
  <si>
    <t>D0554068:P15</t>
  </si>
  <si>
    <t>D0545746:E21</t>
  </si>
  <si>
    <t>D0554071:H02</t>
  </si>
  <si>
    <t>D0545762:I08</t>
  </si>
  <si>
    <t>D0554068:I19</t>
  </si>
  <si>
    <t>D0545764:P16</t>
  </si>
  <si>
    <t>D0554067:C07</t>
  </si>
  <si>
    <t>D0545748:P11</t>
  </si>
  <si>
    <t>D0554072:K09</t>
  </si>
  <si>
    <t>D0554072:F03</t>
  </si>
  <si>
    <t>D0545746:M06</t>
  </si>
  <si>
    <t>D0554070:H20</t>
  </si>
  <si>
    <t>D0545770:P05</t>
  </si>
  <si>
    <t>D0554070:M03</t>
  </si>
  <si>
    <t>D0545766:P11</t>
  </si>
  <si>
    <t>D0554068:H02</t>
  </si>
  <si>
    <t>D0545770:I07</t>
  </si>
  <si>
    <t>D0554068:E23</t>
  </si>
  <si>
    <t>D0545768:C16</t>
  </si>
  <si>
    <t>D0554065:B06</t>
  </si>
  <si>
    <t>D0545758:L18</t>
  </si>
  <si>
    <t>D0554069:F09</t>
  </si>
  <si>
    <t>TR06466456-001</t>
  </si>
  <si>
    <t>D0545762:F15</t>
  </si>
  <si>
    <t>D0554070:M15</t>
  </si>
  <si>
    <t>D0545764:F16</t>
  </si>
  <si>
    <t>D0554071:A14</t>
  </si>
  <si>
    <t>TR06540644-001</t>
  </si>
  <si>
    <t>D0545764:C06</t>
  </si>
  <si>
    <t>D0554070:M20</t>
  </si>
  <si>
    <t>D0545748:J12</t>
  </si>
  <si>
    <t>D0554070:M10</t>
  </si>
  <si>
    <t>D0545762:P08</t>
  </si>
  <si>
    <t>D0554069:E17</t>
  </si>
  <si>
    <t>TR06473697-001</t>
  </si>
  <si>
    <t>D0545766:B08</t>
  </si>
  <si>
    <t>D0554072:F14</t>
  </si>
  <si>
    <t>D0554071:L18</t>
  </si>
  <si>
    <t>D0545766:N12</t>
  </si>
  <si>
    <t>D0554070:L22</t>
  </si>
  <si>
    <t>D0545744:C20</t>
  </si>
  <si>
    <t>D0554067:K12</t>
  </si>
  <si>
    <t>D0545758:E13</t>
  </si>
  <si>
    <t>D0554071:J15</t>
  </si>
  <si>
    <t>D0552256:G22</t>
  </si>
  <si>
    <t>D0554071:F11</t>
  </si>
  <si>
    <t>TR06536107-001</t>
  </si>
  <si>
    <t>D0545744:I06</t>
  </si>
  <si>
    <t>D0554072:F05</t>
  </si>
  <si>
    <t>D0554071:K04</t>
  </si>
  <si>
    <t>D0545766:B24</t>
  </si>
  <si>
    <t>D0554071:I14</t>
  </si>
  <si>
    <t>TR06540799-001</t>
  </si>
  <si>
    <t>D0545746:P21</t>
  </si>
  <si>
    <t>D0554063:L16</t>
  </si>
  <si>
    <t>D0545766:K17</t>
  </si>
  <si>
    <t>D0554063:E08</t>
  </si>
  <si>
    <t>D0545752:K03</t>
  </si>
  <si>
    <t>D0554072:F08</t>
  </si>
  <si>
    <t>D0554068:O19</t>
  </si>
  <si>
    <t>D0545768:H06</t>
  </si>
  <si>
    <t>D0554067:C09</t>
  </si>
  <si>
    <t>D0545764:B18</t>
  </si>
  <si>
    <t>D0554067:B05</t>
  </si>
  <si>
    <t>D0545746:O13</t>
  </si>
  <si>
    <t>D0554063:D04</t>
  </si>
  <si>
    <t>D0545746:K13</t>
  </si>
  <si>
    <t>D0554070:C09</t>
  </si>
  <si>
    <t>D0545752:F07</t>
  </si>
  <si>
    <t>D0554063:N05</t>
  </si>
  <si>
    <t>D0545760:K20</t>
  </si>
  <si>
    <t>D0554064:C10</t>
  </si>
  <si>
    <t>D0545760:L15</t>
  </si>
  <si>
    <t>D0554064:G05</t>
  </si>
  <si>
    <t>D0552256:B04</t>
  </si>
  <si>
    <t>D0554065:D05</t>
  </si>
  <si>
    <t>D0545750:C16</t>
  </si>
  <si>
    <t>D0554071:B08</t>
  </si>
  <si>
    <t>D0545764:D07</t>
  </si>
  <si>
    <t>D0554063:K18</t>
  </si>
  <si>
    <t>D0545746:N15</t>
  </si>
  <si>
    <t>D0554072:E23</t>
  </si>
  <si>
    <t>D0554072:L21</t>
  </si>
  <si>
    <t>D0554070:M02</t>
  </si>
  <si>
    <t>D0545770:C07</t>
  </si>
  <si>
    <t>D0554063:D07</t>
  </si>
  <si>
    <t>D0545762:M16</t>
  </si>
  <si>
    <t>D0554071:B18</t>
  </si>
  <si>
    <t>D0545748:K06</t>
  </si>
  <si>
    <t>D0554067:F11</t>
  </si>
  <si>
    <t>D0545758:J14</t>
  </si>
  <si>
    <t>D0554066:J13</t>
  </si>
  <si>
    <t>D0545760:B17</t>
  </si>
  <si>
    <t>D0554072:H06</t>
  </si>
  <si>
    <t>D0554070:B18</t>
  </si>
  <si>
    <t>D0545754:F11</t>
  </si>
  <si>
    <t>D0554065:L09</t>
  </si>
  <si>
    <t>D0545750:P15</t>
  </si>
  <si>
    <t>D0554068:D11</t>
  </si>
  <si>
    <t>D0545770:J23</t>
  </si>
  <si>
    <t>D0554069:M12</t>
  </si>
  <si>
    <t>TR06470487-001</t>
  </si>
  <si>
    <t>D0545766:P23</t>
  </si>
  <si>
    <t>D0554063:F19</t>
  </si>
  <si>
    <t>D0545746:G05</t>
  </si>
  <si>
    <t>D0554064:I12</t>
  </si>
  <si>
    <t>D0545748:D15</t>
  </si>
  <si>
    <t>D0554071:A11</t>
  </si>
  <si>
    <t>TR06536002-001</t>
  </si>
  <si>
    <t>D0545764:N07</t>
  </si>
  <si>
    <t>D0554071:O11</t>
  </si>
  <si>
    <t>TR06536313-001</t>
  </si>
  <si>
    <t>D0545766:N21</t>
  </si>
  <si>
    <t>D0554071:I06</t>
  </si>
  <si>
    <t>D0545748:B06</t>
  </si>
  <si>
    <t>D0554072:B03</t>
  </si>
  <si>
    <t>D0545754:D23</t>
  </si>
  <si>
    <t>D0554068:M21</t>
  </si>
  <si>
    <t>D0545770:L05</t>
  </si>
  <si>
    <t>D0554068:D14</t>
  </si>
  <si>
    <t>D0545754:O03</t>
  </si>
  <si>
    <t>D0554072:J13</t>
  </si>
  <si>
    <t>D0554070:K08</t>
  </si>
  <si>
    <t>D0545754:K16</t>
  </si>
  <si>
    <t>D0554067:J12</t>
  </si>
  <si>
    <t>D0545764:F22</t>
  </si>
  <si>
    <t>D0554063:G15</t>
  </si>
  <si>
    <t>TR01224063-005</t>
  </si>
  <si>
    <t>D0545752:J14</t>
  </si>
  <si>
    <t>D0554063:L13</t>
  </si>
  <si>
    <t>D0552256:M06</t>
  </si>
  <si>
    <t>D0554067:E04</t>
  </si>
  <si>
    <t>D0545762:H17</t>
  </si>
  <si>
    <t>D0554071:M13</t>
  </si>
  <si>
    <t>TR06540609-001</t>
  </si>
  <si>
    <t>D0545768:B22</t>
  </si>
  <si>
    <t>D0554072:I20</t>
  </si>
  <si>
    <t>D0554072:M02</t>
  </si>
  <si>
    <t>D0545760:B10</t>
  </si>
  <si>
    <t>D0554068:F22</t>
  </si>
  <si>
    <t>D0545756:M05</t>
  </si>
  <si>
    <t>D0554065:N18</t>
  </si>
  <si>
    <t>D0545748:G02</t>
  </si>
  <si>
    <t>D0554069:M05</t>
  </si>
  <si>
    <t>TR06459796-001</t>
  </si>
  <si>
    <t>D0545768:M02</t>
  </si>
  <si>
    <t>D0554069:K18</t>
  </si>
  <si>
    <t>TR06473942-002</t>
  </si>
  <si>
    <t>D0545764:P09</t>
  </si>
  <si>
    <t>D0554068:B16</t>
  </si>
  <si>
    <t>D0545746:N06</t>
  </si>
  <si>
    <t>D0554068:G12</t>
  </si>
  <si>
    <t>D0545762:O08</t>
  </si>
  <si>
    <t>D0554064:P05</t>
  </si>
  <si>
    <t>D0552256:J16</t>
  </si>
  <si>
    <t>D0554067:L09</t>
  </si>
  <si>
    <t>D0545762:C15</t>
  </si>
  <si>
    <t>D0554072:A16</t>
  </si>
  <si>
    <t>D0554068:F11</t>
  </si>
  <si>
    <t>D0545746:P10</t>
  </si>
  <si>
    <t>D0554064:F13</t>
  </si>
  <si>
    <t>D0552256:N07</t>
  </si>
  <si>
    <t>D0554066:I09</t>
  </si>
  <si>
    <t>D0545758:P14</t>
  </si>
  <si>
    <t>D0554070:N22</t>
  </si>
  <si>
    <t>D0545748:D19</t>
  </si>
  <si>
    <t>D0554071:C15</t>
  </si>
  <si>
    <t>D0545764:B09</t>
  </si>
  <si>
    <t>D0554072:F13</t>
  </si>
  <si>
    <t>D0554064:G10</t>
  </si>
  <si>
    <t>D0545758:M03</t>
  </si>
  <si>
    <t>D0554070:E04</t>
  </si>
  <si>
    <t>D0545768:B15</t>
  </si>
  <si>
    <t>D0554064:G20</t>
  </si>
  <si>
    <t>D0545758:C24</t>
  </si>
  <si>
    <t>D0554063:D03</t>
  </si>
  <si>
    <t>D0545748:M23</t>
  </si>
  <si>
    <t>D0554070:C12</t>
  </si>
  <si>
    <t>D0545760:J20</t>
  </si>
  <si>
    <t>D0554066:J16</t>
  </si>
  <si>
    <t>D0552256:K13</t>
  </si>
  <si>
    <t>D0554070:B03</t>
  </si>
  <si>
    <t>D0545770:A13</t>
  </si>
  <si>
    <t>D0554071:H13</t>
  </si>
  <si>
    <t>TR06537689-001</t>
  </si>
  <si>
    <t>D0545764:L18</t>
  </si>
  <si>
    <t>D0554069:L14</t>
  </si>
  <si>
    <t>TR06471003-001</t>
  </si>
  <si>
    <t>D0545748:J19</t>
  </si>
  <si>
    <t>D0554067:D16</t>
  </si>
  <si>
    <t>D0545750:L14</t>
  </si>
  <si>
    <t>D0554063:M10</t>
  </si>
  <si>
    <t>D0545752:H02</t>
  </si>
  <si>
    <t>D0554065:L07</t>
  </si>
  <si>
    <t>D0545752:M16</t>
  </si>
  <si>
    <t>D0554063:I17</t>
  </si>
  <si>
    <t>D0545748:O16</t>
  </si>
  <si>
    <t>D0554072:H18</t>
  </si>
  <si>
    <t>D0554070:A19</t>
  </si>
  <si>
    <t>D0545772:I03</t>
  </si>
  <si>
    <t>D0554070:B14</t>
  </si>
  <si>
    <t>D0545766:P15</t>
  </si>
  <si>
    <t>D0554071:J17</t>
  </si>
  <si>
    <t>D0545762:J15</t>
  </si>
  <si>
    <t>D0554072:C13</t>
  </si>
  <si>
    <t>D0554071:M20</t>
  </si>
  <si>
    <t>D0545748:H08</t>
  </si>
  <si>
    <t>D0554070:D09</t>
  </si>
  <si>
    <t>D0545760:H02</t>
  </si>
  <si>
    <t>D0554069:A10</t>
  </si>
  <si>
    <t>TR06466700-001</t>
  </si>
  <si>
    <t>D0545766:G01</t>
  </si>
  <si>
    <t>D0554066:F15</t>
  </si>
  <si>
    <t>D0545750:J04</t>
  </si>
  <si>
    <t>D0554071:L04</t>
  </si>
  <si>
    <t>D0545756:G07</t>
  </si>
  <si>
    <t>D0554068:D09</t>
  </si>
  <si>
    <t>D0545762:K23</t>
  </si>
  <si>
    <t>D0554066:N05</t>
  </si>
  <si>
    <t>D0545768:E15</t>
  </si>
  <si>
    <t>D0554069:E12</t>
  </si>
  <si>
    <t>TR06470336-001</t>
  </si>
  <si>
    <t>D0545762:O09</t>
  </si>
  <si>
    <t>D0554067:D04</t>
  </si>
  <si>
    <t>D0545758:K04</t>
  </si>
  <si>
    <t>D0554071:E15</t>
  </si>
  <si>
    <t>D0545744:I18</t>
  </si>
  <si>
    <t>D0554071:O12</t>
  </si>
  <si>
    <t>TR06537448-001</t>
  </si>
  <si>
    <t>D0545770:E03</t>
  </si>
  <si>
    <t>D0554072:D05</t>
  </si>
  <si>
    <t>D0554067:D06</t>
  </si>
  <si>
    <t>D0545768:E09</t>
  </si>
  <si>
    <t>D0554070:G21</t>
  </si>
  <si>
    <t>D0545770:J13</t>
  </si>
  <si>
    <t>D0554068:N15</t>
  </si>
  <si>
    <t>D0545766:B03</t>
  </si>
  <si>
    <t>D0554063:H17</t>
  </si>
  <si>
    <t>D0545758:O08</t>
  </si>
  <si>
    <t>D0554069:P06</t>
  </si>
  <si>
    <t>TR06460391-001</t>
  </si>
  <si>
    <t>D0545768:F06</t>
  </si>
  <si>
    <t>D0554071:H12</t>
  </si>
  <si>
    <t>TR06537276-001</t>
  </si>
  <si>
    <t>D0545760:B12</t>
  </si>
  <si>
    <t>D0554070:A09</t>
  </si>
  <si>
    <t>D0545766:F06</t>
  </si>
  <si>
    <t>D0554072:D13</t>
  </si>
  <si>
    <t>D0554068:N03</t>
  </si>
  <si>
    <t>D0545768:K20</t>
  </si>
  <si>
    <t>D0554068:E20</t>
  </si>
  <si>
    <t>D0545752:O24</t>
  </si>
  <si>
    <t>D0554071:O03</t>
  </si>
  <si>
    <t>D0545752:C07</t>
  </si>
  <si>
    <t>D0554072:G05</t>
  </si>
  <si>
    <t>D0554072:D03</t>
  </si>
  <si>
    <t>D0545750:H11</t>
  </si>
  <si>
    <t>D0554065:G10</t>
  </si>
  <si>
    <t>D0545762:H18</t>
  </si>
  <si>
    <t>D0554065:M14</t>
  </si>
  <si>
    <t>D0545768:G02</t>
  </si>
  <si>
    <t>D0554066:M21</t>
  </si>
  <si>
    <t>D0545768:A13</t>
  </si>
  <si>
    <t>D0554072:I17</t>
  </si>
  <si>
    <t>D0554072:E11</t>
  </si>
  <si>
    <t>D0554070:I12</t>
  </si>
  <si>
    <t>D0545768:N01</t>
  </si>
  <si>
    <t>D0554069:G17</t>
  </si>
  <si>
    <t>TR06473734-001</t>
  </si>
  <si>
    <t>D0545752:K01</t>
  </si>
  <si>
    <t>D0554070:I20</t>
  </si>
  <si>
    <t>D0545746:O02</t>
  </si>
  <si>
    <t>D0554065:K10</t>
  </si>
  <si>
    <t>D0545764:M08</t>
  </si>
  <si>
    <t>D0554064:P14</t>
  </si>
  <si>
    <t>D0545758:K21</t>
  </si>
  <si>
    <t>D0554070:I10</t>
  </si>
  <si>
    <t>D0545752:P16</t>
  </si>
  <si>
    <t>D0554069:G13</t>
  </si>
  <si>
    <t>TR06470629-001</t>
  </si>
  <si>
    <t>D0545766:M01</t>
  </si>
  <si>
    <t>D0554071:B21</t>
  </si>
  <si>
    <t>D0545750:L11</t>
  </si>
  <si>
    <t>D0554067:G06</t>
  </si>
  <si>
    <t>D0545770:O19</t>
  </si>
  <si>
    <t>D0554069:A08</t>
  </si>
  <si>
    <t>TR06460745-001</t>
  </si>
  <si>
    <t>D0545744:D07</t>
  </si>
  <si>
    <t>D0554063:A22</t>
  </si>
  <si>
    <t>D0545744:K02</t>
  </si>
  <si>
    <t>D0554070:D21</t>
  </si>
  <si>
    <t>D0545760:P05</t>
  </si>
  <si>
    <t>D0554067:F08</t>
  </si>
  <si>
    <t>D0545750:K20</t>
  </si>
  <si>
    <t>D0554065:C15</t>
  </si>
  <si>
    <t>D0545766:G14</t>
  </si>
  <si>
    <t>D0554071:A07</t>
  </si>
  <si>
    <t>D0545768:M05</t>
  </si>
  <si>
    <t>D0554070:B06</t>
  </si>
  <si>
    <t>D0545760:I23</t>
  </si>
  <si>
    <t>D0554063:G06</t>
  </si>
  <si>
    <t>D0545760:K05</t>
  </si>
  <si>
    <t>D0554072:H05</t>
  </si>
  <si>
    <t>D0554072:G18</t>
  </si>
  <si>
    <t>D0554068:E04</t>
  </si>
  <si>
    <t>D0545744:J13</t>
  </si>
  <si>
    <t>D0554067:I03</t>
  </si>
  <si>
    <t>D0545764:A19</t>
  </si>
  <si>
    <t>D0554067:M19</t>
  </si>
  <si>
    <t>D0545752:N10</t>
  </si>
  <si>
    <t>D0554063:H16</t>
  </si>
  <si>
    <t>D0545768:I23</t>
  </si>
  <si>
    <t>D0554070:A14</t>
  </si>
  <si>
    <t>D0545764:H22</t>
  </si>
  <si>
    <t>D0554066:N06</t>
  </si>
  <si>
    <t>D0545752:E14</t>
  </si>
  <si>
    <t>D0554070:B17</t>
  </si>
  <si>
    <t>D0545746:C10</t>
  </si>
  <si>
    <t>D0554067:E17</t>
  </si>
  <si>
    <t>D0545770:H07</t>
  </si>
  <si>
    <t>D0554068:P05</t>
  </si>
  <si>
    <t>D0545762:B02</t>
  </si>
  <si>
    <t>D0554068:D19</t>
  </si>
  <si>
    <t>D0545766:M17</t>
  </si>
  <si>
    <t>D0554070:E17</t>
  </si>
  <si>
    <t>D0545766:M10</t>
  </si>
  <si>
    <t>D0554072:K14</t>
  </si>
  <si>
    <t>D0554064:L06</t>
  </si>
  <si>
    <t>D0545762:O03</t>
  </si>
  <si>
    <t>D0554070:B09</t>
  </si>
  <si>
    <t>D0545748:F17</t>
  </si>
  <si>
    <t>D0554069:P07</t>
  </si>
  <si>
    <t>TR06460717-001</t>
  </si>
  <si>
    <t>D0545756:G11</t>
  </si>
  <si>
    <t>D0554071:C02</t>
  </si>
  <si>
    <t>D0545770:F21</t>
  </si>
  <si>
    <t>D0554071:P01</t>
  </si>
  <si>
    <t>D0545764:M12</t>
  </si>
  <si>
    <t>D0554072:C03</t>
  </si>
  <si>
    <t>D0545746:K07</t>
  </si>
  <si>
    <t>D0554068:G17</t>
  </si>
  <si>
    <t>D0545766:O18</t>
  </si>
  <si>
    <t>D0554072:E06</t>
  </si>
  <si>
    <t>D0554072:J10</t>
  </si>
  <si>
    <t>D0554066:J17</t>
  </si>
  <si>
    <t>D0545758:E20</t>
  </si>
  <si>
    <t>D0554070:G11</t>
  </si>
  <si>
    <t>D0545762:K20</t>
  </si>
  <si>
    <t>D0554070:J13</t>
  </si>
  <si>
    <t>D0545768:J06</t>
  </si>
  <si>
    <t>D0554068:C21</t>
  </si>
  <si>
    <t>D0545760:P13</t>
  </si>
  <si>
    <t>D0554067:A17</t>
  </si>
  <si>
    <t>D0545768:I06</t>
  </si>
  <si>
    <t>D0554068:J21</t>
  </si>
  <si>
    <t>D0545744:N13</t>
  </si>
  <si>
    <t>D0554070:F21</t>
  </si>
  <si>
    <t>D0545768:F10</t>
  </si>
  <si>
    <t>D0554069:M23</t>
  </si>
  <si>
    <t>TR06482533-002</t>
  </si>
  <si>
    <t>D0545760:F06</t>
  </si>
  <si>
    <t>D0554066:F14</t>
  </si>
  <si>
    <t>D0545744:N07</t>
  </si>
  <si>
    <t>D0554064:A20</t>
  </si>
  <si>
    <t>D0552256:I16</t>
  </si>
  <si>
    <t>D0554070:H08</t>
  </si>
  <si>
    <t>D0545750:I09</t>
  </si>
  <si>
    <t>D0554063:C06</t>
  </si>
  <si>
    <t>D0545746:L02</t>
  </si>
  <si>
    <t>D0554068:K20</t>
  </si>
  <si>
    <t>D0545758:N20</t>
  </si>
  <si>
    <t>D0554069:B11</t>
  </si>
  <si>
    <t>TR06468004-001</t>
  </si>
  <si>
    <t>D0545768:O20</t>
  </si>
  <si>
    <t>D0554065:I12</t>
  </si>
  <si>
    <t>D0545748:P17</t>
  </si>
  <si>
    <t>D0554067:M15</t>
  </si>
  <si>
    <t>D0545748:J17</t>
  </si>
  <si>
    <t>D0554070:G10</t>
  </si>
  <si>
    <t>D0545744:D09</t>
  </si>
  <si>
    <t>D0554072:H10</t>
  </si>
  <si>
    <t>D0554070:N20</t>
  </si>
  <si>
    <t>D0545760:E10</t>
  </si>
  <si>
    <t>D0554070:K11</t>
  </si>
  <si>
    <t>D0545766:N20</t>
  </si>
  <si>
    <t>D0554068:K19</t>
  </si>
  <si>
    <t>D0545764:O11</t>
  </si>
  <si>
    <t>D0554071:C13</t>
  </si>
  <si>
    <t>TR06537569-001</t>
  </si>
  <si>
    <t>D0545770:H23</t>
  </si>
  <si>
    <t>D0554064:P19</t>
  </si>
  <si>
    <t>D0545760:P22</t>
  </si>
  <si>
    <t>D0554068:N12</t>
  </si>
  <si>
    <t>D0545752:D23</t>
  </si>
  <si>
    <t>D0554067:K08</t>
  </si>
  <si>
    <t>D0545754:A20</t>
  </si>
  <si>
    <t>D0554067:K15</t>
  </si>
  <si>
    <t>D0545758:G17</t>
  </si>
  <si>
    <t>D0554064:I13</t>
  </si>
  <si>
    <t>D0552256:B17</t>
  </si>
  <si>
    <t>D0554070:H13</t>
  </si>
  <si>
    <t>D0545752:I02</t>
  </si>
  <si>
    <t>D0554068:G05</t>
  </si>
  <si>
    <t>D0545744:G11</t>
  </si>
  <si>
    <t>D0554067:G04</t>
  </si>
  <si>
    <t>D0545750:L18</t>
  </si>
  <si>
    <t>D0554067:F21</t>
  </si>
  <si>
    <t>D0545748:C09</t>
  </si>
  <si>
    <t>D0554068:H11</t>
  </si>
  <si>
    <t>D0545764:N02</t>
  </si>
  <si>
    <t>D0554070:I16</t>
  </si>
  <si>
    <t>D0545762:O16</t>
  </si>
  <si>
    <t>D0554071:B10</t>
  </si>
  <si>
    <t>TR06532541-002</t>
  </si>
  <si>
    <t>D0545764:B04</t>
  </si>
  <si>
    <t>D0554065:G09</t>
  </si>
  <si>
    <t>D0545760:C07</t>
  </si>
  <si>
    <t>D0554066:B09</t>
  </si>
  <si>
    <t>D0545768:N14</t>
  </si>
  <si>
    <t>D0554065:I13</t>
  </si>
  <si>
    <t>D0545750:B23</t>
  </si>
  <si>
    <t>D0554070:F09</t>
  </si>
  <si>
    <t>D0545758:K07</t>
  </si>
  <si>
    <t>D0554071:I12</t>
  </si>
  <si>
    <t>TR06537277-001</t>
  </si>
  <si>
    <t>D0545760:N21</t>
  </si>
  <si>
    <t>D0554070:G18</t>
  </si>
  <si>
    <t>D0545768:C24</t>
  </si>
  <si>
    <t>D0554069:L07</t>
  </si>
  <si>
    <t>TR06460539-001</t>
  </si>
  <si>
    <t>D0545754:A18</t>
  </si>
  <si>
    <t>D0554071:L22</t>
  </si>
  <si>
    <t>D0545744:P13</t>
  </si>
  <si>
    <t>D0554071:A09</t>
  </si>
  <si>
    <t>D0545760:L09</t>
  </si>
  <si>
    <t>D0554066:O05</t>
  </si>
  <si>
    <t>D0552256:I12</t>
  </si>
  <si>
    <t>D0554068:E16</t>
  </si>
  <si>
    <t>D0545762:P02</t>
  </si>
  <si>
    <t>D0554072:F17</t>
  </si>
  <si>
    <t>D0554063:M07</t>
  </si>
  <si>
    <t>D0545758:A08</t>
  </si>
  <si>
    <t>D0554063:K11</t>
  </si>
  <si>
    <t>D0545746:D21</t>
  </si>
  <si>
    <t>D0554070:I05</t>
  </si>
  <si>
    <t>D0545764:D08</t>
  </si>
  <si>
    <t>D0554069:L09</t>
  </si>
  <si>
    <t>TR06466576-001</t>
  </si>
  <si>
    <t>D0545764:I23</t>
  </si>
  <si>
    <t>D0554064:A01</t>
  </si>
  <si>
    <t>D0545760:L03</t>
  </si>
  <si>
    <t>D0554071:K14</t>
  </si>
  <si>
    <t>TR06543070-001</t>
  </si>
  <si>
    <t>D0545744:O18</t>
  </si>
  <si>
    <t>D0554071:P02</t>
  </si>
  <si>
    <t>D0545770:K23</t>
  </si>
  <si>
    <t>D0554063:G22</t>
  </si>
  <si>
    <t>D0552256:M20</t>
  </si>
  <si>
    <t>D0554071:B19</t>
  </si>
  <si>
    <t>D0545770:C03</t>
  </si>
  <si>
    <t>D0554063:E11</t>
  </si>
  <si>
    <t>TR01196181-007</t>
  </si>
  <si>
    <t>D0545760:K19</t>
  </si>
  <si>
    <t>D0554064:O09</t>
  </si>
  <si>
    <t>D0545770:G21</t>
  </si>
  <si>
    <t>D0554072:K17</t>
  </si>
  <si>
    <t>D0554069:H20</t>
  </si>
  <si>
    <t>TR06475449-001</t>
  </si>
  <si>
    <t>D0545766:M18</t>
  </si>
  <si>
    <t>D0554063:B07</t>
  </si>
  <si>
    <t>D0545748:P03</t>
  </si>
  <si>
    <t>D0554063:G11</t>
  </si>
  <si>
    <t>D0545754:G08</t>
  </si>
  <si>
    <t>D0554069:A20</t>
  </si>
  <si>
    <t>TR06475231-001</t>
  </si>
  <si>
    <t>D0545752:M09</t>
  </si>
  <si>
    <t>D0554068:F21</t>
  </si>
  <si>
    <t>D0545766:J14</t>
  </si>
  <si>
    <t>D0554069:N10</t>
  </si>
  <si>
    <t>TR06467922-001</t>
  </si>
  <si>
    <t>D0545768:F03</t>
  </si>
  <si>
    <t>D0554072:J17</t>
  </si>
  <si>
    <t>D0554071:F16</t>
  </si>
  <si>
    <t>D0545768:P02</t>
  </si>
  <si>
    <t>D0554070:C20</t>
  </si>
  <si>
    <t>D0545766:D01</t>
  </si>
  <si>
    <t>D0554067:J19</t>
  </si>
  <si>
    <t>D0545770:B01</t>
  </si>
  <si>
    <t>D0554068:B17</t>
  </si>
  <si>
    <t>D0545770:E02</t>
  </si>
  <si>
    <t>D0554068:C10</t>
  </si>
  <si>
    <t>D0545750:P10</t>
  </si>
  <si>
    <t>D0554072:M14</t>
  </si>
  <si>
    <t>D0554070:E20</t>
  </si>
  <si>
    <t>D0545768:F09</t>
  </si>
  <si>
    <t>D0554064:A13</t>
  </si>
  <si>
    <t>D0552256:B19</t>
  </si>
  <si>
    <t>D0554070:O15</t>
  </si>
  <si>
    <t>D0545744:O23</t>
  </si>
  <si>
    <t>D0554070:B13</t>
  </si>
  <si>
    <t>D0545762:O20</t>
  </si>
  <si>
    <t>D0554072:I22</t>
  </si>
  <si>
    <t>D0554067:I10</t>
  </si>
  <si>
    <t>D0545752:M08</t>
  </si>
  <si>
    <t>D0554069:J15</t>
  </si>
  <si>
    <t>TR06471915-002</t>
  </si>
  <si>
    <t>D0545752:O06</t>
  </si>
  <si>
    <t>D0554065:K20</t>
  </si>
  <si>
    <t>D0545762:K01</t>
  </si>
  <si>
    <t>D0554065:M12</t>
  </si>
  <si>
    <t>D0552256:E14</t>
  </si>
  <si>
    <t>D0554070:C11</t>
  </si>
  <si>
    <t>D0545748:P02</t>
  </si>
  <si>
    <t>D0554072:K15</t>
  </si>
  <si>
    <t>D0554070:M08</t>
  </si>
  <si>
    <t>D0545760:N12</t>
  </si>
  <si>
    <t>D0554070:O18</t>
  </si>
  <si>
    <t>D0545748:E06</t>
  </si>
  <si>
    <t>D0554065:D20</t>
  </si>
  <si>
    <t>D0545764:F21</t>
  </si>
  <si>
    <t>D0554071:N16</t>
  </si>
  <si>
    <t>D0545764:B07</t>
  </si>
  <si>
    <t>D0554069:F18</t>
  </si>
  <si>
    <t>TR06473878-001</t>
  </si>
  <si>
    <t>D0545762:G08</t>
  </si>
  <si>
    <t>D0554066:G18</t>
  </si>
  <si>
    <t>D0545772:M09</t>
  </si>
  <si>
    <t>D0554072:F06</t>
  </si>
  <si>
    <t>D0554065:H03</t>
  </si>
  <si>
    <t>D0545760:N11</t>
  </si>
  <si>
    <t>D0554070:E21</t>
  </si>
  <si>
    <t>D0545768:N20</t>
  </si>
  <si>
    <t>D0554070:I04</t>
  </si>
  <si>
    <t>D0545770:C19</t>
  </si>
  <si>
    <t>D0554072:K18</t>
  </si>
  <si>
    <t>D0554063:H10</t>
  </si>
  <si>
    <t>D0545750:D05</t>
  </si>
  <si>
    <t>D0554070:L14</t>
  </si>
  <si>
    <t>D0545750:B12</t>
  </si>
  <si>
    <t>D0554071:G13</t>
  </si>
  <si>
    <t>TR06537657-001</t>
  </si>
  <si>
    <t>D0545746:M15</t>
  </si>
  <si>
    <t>D0554068:A08</t>
  </si>
  <si>
    <t>D0545752:E21</t>
  </si>
  <si>
    <t>D0554072:A08</t>
  </si>
  <si>
    <t>D0554063:I06</t>
  </si>
  <si>
    <t>D0545750:P24</t>
  </si>
  <si>
    <t>D0554063:F11</t>
  </si>
  <si>
    <t>D0545750:I07</t>
  </si>
  <si>
    <t>D0554068:H15</t>
  </si>
  <si>
    <t>D0545770:P03</t>
  </si>
  <si>
    <t>D0554067:I14</t>
  </si>
  <si>
    <t>D0545768:H19</t>
  </si>
  <si>
    <t>D0554068:J09</t>
  </si>
  <si>
    <t>D0545766:B18</t>
  </si>
  <si>
    <t>D0554071:D13</t>
  </si>
  <si>
    <t>TR06537609-001</t>
  </si>
  <si>
    <t>D0545770:D09</t>
  </si>
  <si>
    <t>D0554063:I11</t>
  </si>
  <si>
    <t>D0545758:J16</t>
  </si>
  <si>
    <t>D0554071:K07</t>
  </si>
  <si>
    <t>D0545752:L07</t>
  </si>
  <si>
    <t>D0554069:F07</t>
  </si>
  <si>
    <t>TR06460469-002</t>
  </si>
  <si>
    <t>D0545762:C16</t>
  </si>
  <si>
    <t>D0554072:D09</t>
  </si>
  <si>
    <t>D0554068:N06</t>
  </si>
  <si>
    <t>D0545768:O16</t>
  </si>
  <si>
    <t>D0554067:I02</t>
  </si>
  <si>
    <t>D0545744:A13</t>
  </si>
  <si>
    <t>D0554072:D12</t>
  </si>
  <si>
    <t>D0554068:B12</t>
  </si>
  <si>
    <t>D0545768:K13</t>
  </si>
  <si>
    <t>D0554071:D21</t>
  </si>
  <si>
    <t>D0545766:A19</t>
  </si>
  <si>
    <t>D0554065:M16</t>
  </si>
  <si>
    <t>D0545746:B08</t>
  </si>
  <si>
    <t>D0554070:F12</t>
  </si>
  <si>
    <t>D0545748:L20</t>
  </si>
  <si>
    <t>D0554070:L20</t>
  </si>
  <si>
    <t>D0545746:F02</t>
  </si>
  <si>
    <t>D0554068:M12</t>
  </si>
  <si>
    <t>D0545768:N22</t>
  </si>
  <si>
    <t>D0554067:E14</t>
  </si>
  <si>
    <t>D0545744:A03</t>
  </si>
  <si>
    <t>D0554072:D22</t>
  </si>
  <si>
    <t>D0554070:E18</t>
  </si>
  <si>
    <t>D0545760:D23</t>
  </si>
  <si>
    <t>D0554063:K14</t>
  </si>
  <si>
    <t>D0545768:G17</t>
  </si>
  <si>
    <t>D0554066:N10</t>
  </si>
  <si>
    <t>D0545746:J16</t>
  </si>
  <si>
    <t>D0554072:G06</t>
  </si>
  <si>
    <t>D0554070:L17</t>
  </si>
  <si>
    <t>D0545748:B23</t>
  </si>
  <si>
    <t>D0554065:N10</t>
  </si>
  <si>
    <t>D0545760:J08</t>
  </si>
  <si>
    <t>D0554068:F06</t>
  </si>
  <si>
    <t>D0545750:P12</t>
  </si>
  <si>
    <t>D0554070:F07</t>
  </si>
  <si>
    <t>D0545744:B20</t>
  </si>
  <si>
    <t>D0554067:I07</t>
  </si>
  <si>
    <t>D0545750:N16</t>
  </si>
  <si>
    <t>D0554063:L11</t>
  </si>
  <si>
    <t>D0545770:O04</t>
  </si>
  <si>
    <t>D0554071:N19</t>
  </si>
  <si>
    <t>D0545748:G14</t>
  </si>
  <si>
    <t>D0554064:I22</t>
  </si>
  <si>
    <t>D0552256:B20</t>
  </si>
  <si>
    <t>D0554071:B09</t>
  </si>
  <si>
    <t>D0545748:N06</t>
  </si>
  <si>
    <t>D0554064:K09</t>
  </si>
  <si>
    <t>D0545746:B22</t>
  </si>
  <si>
    <t>D0554064:K01</t>
  </si>
  <si>
    <t>D0545754:E01</t>
  </si>
  <si>
    <t>D0554069:J21</t>
  </si>
  <si>
    <t>TR06480321-002</t>
  </si>
  <si>
    <t>D0545770:G10</t>
  </si>
  <si>
    <t>D0554067:N08</t>
  </si>
  <si>
    <t>D0545746:K24</t>
  </si>
  <si>
    <t>D0554067:G03</t>
  </si>
  <si>
    <t>D0545762:O21</t>
  </si>
  <si>
    <t>D0554063:K03</t>
  </si>
  <si>
    <t>D0545744:A21</t>
  </si>
  <si>
    <t>D0554072:K02</t>
  </si>
  <si>
    <t>D0545764:C14</t>
  </si>
  <si>
    <t>D0554071:L03</t>
  </si>
  <si>
    <t>D0545766:D10</t>
  </si>
  <si>
    <t>D0554067:I15</t>
  </si>
  <si>
    <t>D0545750:O03</t>
  </si>
  <si>
    <t>D0554071:A21</t>
  </si>
  <si>
    <t>D0545762:H23</t>
  </si>
  <si>
    <t>D0554071:N17</t>
  </si>
  <si>
    <t>D0545768:G14</t>
  </si>
  <si>
    <t>D0554072:H17</t>
  </si>
  <si>
    <t>D0554064:C15</t>
  </si>
  <si>
    <t>D0545744:A05</t>
  </si>
  <si>
    <t>D0554064:H11</t>
  </si>
  <si>
    <t>D0545758:N11</t>
  </si>
  <si>
    <t>D0554063:E12</t>
  </si>
  <si>
    <t>D0545756:E11</t>
  </si>
  <si>
    <t>D0554067:K07</t>
  </si>
  <si>
    <t>D0545750:A01</t>
  </si>
  <si>
    <t>D0554067:C19</t>
  </si>
  <si>
    <t>D0545764:P17</t>
  </si>
  <si>
    <t>D0554064:H06</t>
  </si>
  <si>
    <t>D0552256:M11</t>
  </si>
  <si>
    <t>D0554068:K13</t>
  </si>
  <si>
    <t>D0545750:M13</t>
  </si>
  <si>
    <t>D0554072:H04</t>
  </si>
  <si>
    <t>D0554064:O16</t>
  </si>
  <si>
    <t>D0552256:J02</t>
  </si>
  <si>
    <t>D0554070:J06</t>
  </si>
  <si>
    <t>D0545752:E13</t>
  </si>
  <si>
    <t>D0554068:K05</t>
  </si>
  <si>
    <t>D0545746:D14</t>
  </si>
  <si>
    <t>D0554069:J11</t>
  </si>
  <si>
    <t>TR06468167-001</t>
  </si>
  <si>
    <t>D0545748:F13</t>
  </si>
  <si>
    <t>D0554065:D11</t>
  </si>
  <si>
    <t>D0552256:F16</t>
  </si>
  <si>
    <t>D0554072:N10</t>
  </si>
  <si>
    <t>D0554063:E19</t>
  </si>
  <si>
    <t>D0545764:D02</t>
  </si>
  <si>
    <t>D0554071:I11</t>
  </si>
  <si>
    <t>TR06536158-002</t>
  </si>
  <si>
    <t>D0545752:L12</t>
  </si>
  <si>
    <t>D0554071:G11</t>
  </si>
  <si>
    <t>TR06536131-002</t>
  </si>
  <si>
    <t>D0545752:N15</t>
  </si>
  <si>
    <t>D0554070:F17</t>
  </si>
  <si>
    <t>D0545744:K17</t>
  </si>
  <si>
    <t>D0554069:J09</t>
  </si>
  <si>
    <t>TR06466541-001</t>
  </si>
  <si>
    <t>D0545762:M12</t>
  </si>
  <si>
    <t>D0554071:D05</t>
  </si>
  <si>
    <t>D0545768:F12</t>
  </si>
  <si>
    <t>D0554070:C18</t>
  </si>
  <si>
    <t>D0545754:B11</t>
  </si>
  <si>
    <t>D0554068:H13</t>
  </si>
  <si>
    <t>D0545762:I11</t>
  </si>
  <si>
    <t>D0554065:A23</t>
  </si>
  <si>
    <t>D0545768:K02</t>
  </si>
  <si>
    <t>D0554071:I05</t>
  </si>
  <si>
    <t>D0545766:I18</t>
  </si>
  <si>
    <t>D0554067:K11</t>
  </si>
  <si>
    <t>D0545768:C12</t>
  </si>
  <si>
    <t>D0554063:I21</t>
  </si>
  <si>
    <t>D0545766:I02</t>
  </si>
  <si>
    <t>D0554064:E06</t>
  </si>
  <si>
    <t>D0545760:O24</t>
  </si>
  <si>
    <t>D0554071:G22</t>
  </si>
  <si>
    <t>D0545750:P13</t>
  </si>
  <si>
    <t>D0554068:M09</t>
  </si>
  <si>
    <t>D0545748:A04</t>
  </si>
  <si>
    <t>D0554072:G10</t>
  </si>
  <si>
    <t>D0554064:L11</t>
  </si>
  <si>
    <t>D0545758:D01</t>
  </si>
  <si>
    <t>D0554070:F10</t>
  </si>
  <si>
    <t>D0545754:K02</t>
  </si>
  <si>
    <t>D0554067:K10</t>
  </si>
  <si>
    <t>D0545768:P23</t>
  </si>
  <si>
    <t>D0554070:L19</t>
  </si>
  <si>
    <t>D0545758:H11</t>
  </si>
  <si>
    <t>D0554072:L14</t>
  </si>
  <si>
    <t>D0554065:M01</t>
  </si>
  <si>
    <t>D0545750:O16</t>
  </si>
  <si>
    <t>D0554066:F02</t>
  </si>
  <si>
    <t>D0545766:M07</t>
  </si>
  <si>
    <t>D0554068:I11</t>
  </si>
  <si>
    <t>D0545764:L14</t>
  </si>
  <si>
    <t>D0554072:M18</t>
  </si>
  <si>
    <t>D0554070:M13</t>
  </si>
  <si>
    <t>D0545770:H05</t>
  </si>
  <si>
    <t>D0554072:G19</t>
  </si>
  <si>
    <t>D0554069:F16</t>
  </si>
  <si>
    <t>TR06472168-001</t>
  </si>
  <si>
    <t>D0545760:H04</t>
  </si>
  <si>
    <t>D0554063:M12</t>
  </si>
  <si>
    <t>D0545746:I15</t>
  </si>
  <si>
    <t>D0554070:O04</t>
  </si>
  <si>
    <t>D0545768:B18</t>
  </si>
  <si>
    <t>D0554070:P05</t>
  </si>
  <si>
    <t>D0545746:D09</t>
  </si>
  <si>
    <t>D0554063:D15</t>
  </si>
  <si>
    <t>D0545768:G04</t>
  </si>
  <si>
    <t>D0554069:O21</t>
  </si>
  <si>
    <t>TR06480949-001</t>
  </si>
  <si>
    <t>D0545768:A08</t>
  </si>
  <si>
    <t>D0554072:D06</t>
  </si>
  <si>
    <t>D0554064:B05</t>
  </si>
  <si>
    <t>D0552256:F18</t>
  </si>
  <si>
    <t>D0554071:K01</t>
  </si>
  <si>
    <t>D0545766:E04</t>
  </si>
  <si>
    <t>D0554067:J11</t>
  </si>
  <si>
    <t>D0545746:P15</t>
  </si>
  <si>
    <t>D0554070:F18</t>
  </si>
  <si>
    <t>D0545768:J14</t>
  </si>
  <si>
    <t>D0554064:I20</t>
  </si>
  <si>
    <t>D0552256:M08</t>
  </si>
  <si>
    <t>D0554068:K11</t>
  </si>
  <si>
    <t>D0545764:B22</t>
  </si>
  <si>
    <t>D0554071:F21</t>
  </si>
  <si>
    <t>D0545766:B07</t>
  </si>
  <si>
    <t>D0554070:L09</t>
  </si>
  <si>
    <t>D0545764:O04</t>
  </si>
  <si>
    <t>D0554072:K16</t>
  </si>
  <si>
    <t>D0554064:P13</t>
  </si>
  <si>
    <t>D0545762:F20</t>
  </si>
  <si>
    <t>D0554068:M14</t>
  </si>
  <si>
    <t>D0545766:J03</t>
  </si>
  <si>
    <t>D0554068:L04</t>
  </si>
  <si>
    <t>D0545770:P15</t>
  </si>
  <si>
    <t>D0554068:I12</t>
  </si>
  <si>
    <t>D0545752:D11</t>
  </si>
  <si>
    <t>D0554063:H22</t>
  </si>
  <si>
    <t>D0545746:A18</t>
  </si>
  <si>
    <t>D0554069:N07</t>
  </si>
  <si>
    <t>TR06460553-001</t>
  </si>
  <si>
    <t>D0545760:K06</t>
  </si>
  <si>
    <t>D0554064:I04</t>
  </si>
  <si>
    <t>D0545760:J18</t>
  </si>
  <si>
    <t>D0554070:E10</t>
  </si>
  <si>
    <t>D0545764:L23</t>
  </si>
  <si>
    <t>D0554069:G03</t>
  </si>
  <si>
    <t>TR06446032-002</t>
  </si>
  <si>
    <t>D0545770:K13</t>
  </si>
  <si>
    <t>D0554072:F07</t>
  </si>
  <si>
    <t>D0554071:H04</t>
  </si>
  <si>
    <t>D0545768:I09</t>
  </si>
  <si>
    <t>D0554065:L16</t>
  </si>
  <si>
    <t>D0545744:A14</t>
  </si>
  <si>
    <t>D0554066:D05</t>
  </si>
  <si>
    <t>D0545750:M08</t>
  </si>
  <si>
    <t>D0554071:B03</t>
  </si>
  <si>
    <t>D0545770:L09</t>
  </si>
  <si>
    <t>D0554072:L02</t>
  </si>
  <si>
    <t>D0545748:O23</t>
  </si>
  <si>
    <t>D0554064:E05</t>
  </si>
  <si>
    <t>D0545768:C04</t>
  </si>
  <si>
    <t>D0554070:B04</t>
  </si>
  <si>
    <t>D0545768:M22</t>
  </si>
  <si>
    <t>D0554070:C04</t>
  </si>
  <si>
    <t>D0545762:C14</t>
  </si>
  <si>
    <t>D0554069:I12</t>
  </si>
  <si>
    <t>TR06470417-001</t>
  </si>
  <si>
    <t>D0545766:K21</t>
  </si>
  <si>
    <t>D0554069:M21</t>
  </si>
  <si>
    <t>TR06480420-002</t>
  </si>
  <si>
    <t>D0545754:B19</t>
  </si>
  <si>
    <t>D0554067:B03</t>
  </si>
  <si>
    <t>D0545760:N14</t>
  </si>
  <si>
    <t>D0554063:F12</t>
  </si>
  <si>
    <t>D0545764:K05</t>
  </si>
  <si>
    <t>D0554072:K12</t>
  </si>
  <si>
    <t>D0554072:F11</t>
  </si>
  <si>
    <t>D0554064:P08</t>
  </si>
  <si>
    <t>D0552256:F10</t>
  </si>
  <si>
    <t>D0554069:L05</t>
  </si>
  <si>
    <t>TR06459795-001</t>
  </si>
  <si>
    <t>D0545766:M16</t>
  </si>
  <si>
    <t>D0554065:I08</t>
  </si>
  <si>
    <t>D0545752:P07</t>
  </si>
  <si>
    <t>D0554067:G08</t>
  </si>
  <si>
    <t>D0545750:O05</t>
  </si>
  <si>
    <t>D0554067:L12</t>
  </si>
  <si>
    <t>D0545750:K01</t>
  </si>
  <si>
    <t>D0554070:F05</t>
  </si>
  <si>
    <t>D0545768:L24</t>
  </si>
  <si>
    <t>D0554072:B09</t>
  </si>
  <si>
    <t>D0554064:P18</t>
  </si>
  <si>
    <t>D0545766:O08</t>
  </si>
  <si>
    <t>D0554070:O06</t>
  </si>
  <si>
    <t>D0545760:B05</t>
  </si>
  <si>
    <t>D0554070:J09</t>
  </si>
  <si>
    <t>D0545768:O11</t>
  </si>
  <si>
    <t>D0554072:F10</t>
  </si>
  <si>
    <t>D0554070:F23</t>
  </si>
  <si>
    <t>D0545754:J19</t>
  </si>
  <si>
    <t>D0554068:L10</t>
  </si>
  <si>
    <t>D0545752:N05</t>
  </si>
  <si>
    <t>D0554068:D06</t>
  </si>
  <si>
    <t>D0545764:M21</t>
  </si>
  <si>
    <t>D0554071:H08</t>
  </si>
  <si>
    <t>D0545754:M09</t>
  </si>
  <si>
    <t>D0554067:O12</t>
  </si>
  <si>
    <t>D0552256:H06</t>
  </si>
  <si>
    <t>D0554070:K07</t>
  </si>
  <si>
    <t>D0545766:C23</t>
  </si>
  <si>
    <t>D0554068:F13</t>
  </si>
  <si>
    <t>D0545760:C11</t>
  </si>
  <si>
    <t>D0554067:K16</t>
  </si>
  <si>
    <t>D0545752:C14</t>
  </si>
  <si>
    <t>D0554066:L15</t>
  </si>
  <si>
    <t>D0545748:N03</t>
  </si>
  <si>
    <t>D0554071:J14</t>
  </si>
  <si>
    <t>TR06540845-002</t>
  </si>
  <si>
    <t>D0545748:A18</t>
  </si>
  <si>
    <t>D0554070:G16</t>
  </si>
  <si>
    <t>D0545746:K01</t>
  </si>
  <si>
    <t>D0554065:P15</t>
  </si>
  <si>
    <t>D0545760:J02</t>
  </si>
  <si>
    <t>D0554068:M15</t>
  </si>
  <si>
    <t>D0545746:G12</t>
  </si>
  <si>
    <t>D0554070:E07</t>
  </si>
  <si>
    <t>D0545770:F17</t>
  </si>
  <si>
    <t>D0554068:K06</t>
  </si>
  <si>
    <t>D0545768:B11</t>
  </si>
  <si>
    <t>D0554071:E04</t>
  </si>
  <si>
    <t>D0545746:P04</t>
  </si>
  <si>
    <t>D0554072:H13</t>
  </si>
  <si>
    <t>D0554071:H23</t>
  </si>
  <si>
    <t>D0545768:J15</t>
  </si>
  <si>
    <t>D0554069:C12</t>
  </si>
  <si>
    <t>TR06470297-001</t>
  </si>
  <si>
    <t>D0545760:C10</t>
  </si>
  <si>
    <t>D0554069:E18</t>
  </si>
  <si>
    <t>TR06473877-001</t>
  </si>
  <si>
    <t>D0545748:B15</t>
  </si>
  <si>
    <t>D0554072:L06</t>
  </si>
  <si>
    <t>D0554070:F14</t>
  </si>
  <si>
    <t>D0545758:I04</t>
  </si>
  <si>
    <t>D0554070:C03</t>
  </si>
  <si>
    <t>D0545766:P05</t>
  </si>
  <si>
    <t>D0554067:J10</t>
  </si>
  <si>
    <t>D0545762:L18</t>
  </si>
  <si>
    <t>D0554072:K04</t>
  </si>
  <si>
    <t>D0554067:D15</t>
  </si>
  <si>
    <t>D0545752:K23</t>
  </si>
  <si>
    <t>D0554072:L03</t>
  </si>
  <si>
    <t>D0545748:M06</t>
  </si>
  <si>
    <t>D0554072:K06</t>
  </si>
  <si>
    <t>D0554068:E15</t>
  </si>
  <si>
    <t>D0545752:H06</t>
  </si>
  <si>
    <t>D0554070:D22</t>
  </si>
  <si>
    <t>D0545746:N07</t>
  </si>
  <si>
    <t>D0554071:M11</t>
  </si>
  <si>
    <t>TR06536286-001</t>
  </si>
  <si>
    <t>D0545768:C09</t>
  </si>
  <si>
    <t>D0554071:A08</t>
  </si>
  <si>
    <t>D0552256:O16</t>
  </si>
  <si>
    <t>D0554070:B21</t>
  </si>
  <si>
    <t>D0545748:D14</t>
  </si>
  <si>
    <t>D0554071:C11</t>
  </si>
  <si>
    <t>TR06536026-001</t>
  </si>
  <si>
    <t>D0545770:D15</t>
  </si>
  <si>
    <t>D0554072:H07</t>
  </si>
  <si>
    <t>D0554072:F16</t>
  </si>
  <si>
    <t>D0554069:G05</t>
  </si>
  <si>
    <t>TR06456183-002</t>
  </si>
  <si>
    <t>D0545768:H04</t>
  </si>
  <si>
    <t>D0554072:H02</t>
  </si>
  <si>
    <t>D0545746:E20</t>
  </si>
  <si>
    <t>D0554068:J05</t>
  </si>
  <si>
    <t>D0545744:J19</t>
  </si>
  <si>
    <t>D0554071:A05</t>
  </si>
  <si>
    <t>D0545766:N11</t>
  </si>
  <si>
    <t>D0554069:I05</t>
  </si>
  <si>
    <t>TR06459792-001</t>
  </si>
  <si>
    <t>D0545762:M17</t>
  </si>
  <si>
    <t>D0554072:J08</t>
  </si>
  <si>
    <t>D0554070:H10</t>
  </si>
  <si>
    <t>D0545752:I14</t>
  </si>
  <si>
    <t>D0554070:H07</t>
  </si>
  <si>
    <t>D0545760:A13</t>
  </si>
  <si>
    <t>D0554071:E16</t>
  </si>
  <si>
    <t>D0545746:K05</t>
  </si>
  <si>
    <t>D0554066:K02</t>
  </si>
  <si>
    <t>D0552256:B09</t>
  </si>
  <si>
    <t>D0554072:H12</t>
  </si>
  <si>
    <t>D0554068:F17</t>
  </si>
  <si>
    <t>D0545754:C19</t>
  </si>
  <si>
    <t>D0554071:F14</t>
  </si>
  <si>
    <t>TR06540663-001</t>
  </si>
  <si>
    <t>D0545766:A02</t>
  </si>
  <si>
    <t>D0554068:G06</t>
  </si>
  <si>
    <t>D0545766:M24</t>
  </si>
  <si>
    <t>D0554068:D05</t>
  </si>
  <si>
    <t>D0545766:D02</t>
  </si>
  <si>
    <t>D0554068:G03</t>
  </si>
  <si>
    <t>D0545766:I19</t>
  </si>
  <si>
    <t>D0554068:J17</t>
  </si>
  <si>
    <t>D0545752:L16</t>
  </si>
  <si>
    <t>D0554068:F05</t>
  </si>
  <si>
    <t>D0545766:B13</t>
  </si>
  <si>
    <t>D0554072:E18</t>
  </si>
  <si>
    <t>D0554067:H05</t>
  </si>
  <si>
    <t>D0545766:H04</t>
  </si>
  <si>
    <t>D0554071:H09</t>
  </si>
  <si>
    <t>D0545756:K07</t>
  </si>
  <si>
    <t>D0554070:D14</t>
  </si>
  <si>
    <t>D0545754:C22</t>
  </si>
  <si>
    <t>D0554072:H09</t>
  </si>
  <si>
    <t>D0554067:P16</t>
  </si>
  <si>
    <t>D0545768:G07</t>
  </si>
  <si>
    <t>D0554067:L14</t>
  </si>
  <si>
    <t>D0545754:K03</t>
  </si>
  <si>
    <t>D0554070:C14</t>
  </si>
  <si>
    <t>D0545768:N21</t>
  </si>
  <si>
    <t>D0554072:K19</t>
  </si>
  <si>
    <t>D0554070:O09</t>
  </si>
  <si>
    <t>D0545770:J17</t>
  </si>
  <si>
    <t>D0554067:M12</t>
  </si>
  <si>
    <t>D0545760:C18</t>
  </si>
  <si>
    <t>D0554070:N14</t>
  </si>
  <si>
    <t>D0545758:C02</t>
  </si>
  <si>
    <t>D0554068:E08</t>
  </si>
  <si>
    <t>D0545748:A13</t>
  </si>
  <si>
    <t>D0554071:F06</t>
  </si>
  <si>
    <t>D0545758:K06</t>
  </si>
  <si>
    <t>D0554068:H12</t>
  </si>
  <si>
    <t>D0545768:J13</t>
  </si>
  <si>
    <t>D0554071:A10</t>
  </si>
  <si>
    <t>TR06532540-001</t>
  </si>
  <si>
    <t>D0545752:G17</t>
  </si>
  <si>
    <t>D0554067:D13</t>
  </si>
  <si>
    <t>D0545752:C06</t>
  </si>
  <si>
    <t>D0554070:D17</t>
  </si>
  <si>
    <t>D0545758:N09</t>
  </si>
  <si>
    <t>D0554065:N04</t>
  </si>
  <si>
    <t>D0545772:E05</t>
  </si>
  <si>
    <t>D0554068:M17</t>
  </si>
  <si>
    <t>D0545760:D07</t>
  </si>
  <si>
    <t>D0554063:M08</t>
  </si>
  <si>
    <t>D0545758:D21</t>
  </si>
  <si>
    <t>D0554068:N08</t>
  </si>
  <si>
    <t>D0545762:D07</t>
  </si>
  <si>
    <t>D0554069:J08</t>
  </si>
  <si>
    <t>TR06461082-001</t>
  </si>
  <si>
    <t>D0545748:H20</t>
  </si>
  <si>
    <t>D0554072:K11</t>
  </si>
  <si>
    <t>D0554070:H06</t>
  </si>
  <si>
    <t>D0545748:M04</t>
  </si>
  <si>
    <t>D0554071:C03</t>
  </si>
  <si>
    <t>D0545766:A24</t>
  </si>
  <si>
    <t>D0554070:P04</t>
  </si>
  <si>
    <t>D0545750:G14</t>
  </si>
  <si>
    <t>D0554063:C20</t>
  </si>
  <si>
    <t>D0545760:F14</t>
  </si>
  <si>
    <t>D0554070:N21</t>
  </si>
  <si>
    <t>D0545754:E05</t>
  </si>
  <si>
    <t>D0554072:J06</t>
  </si>
  <si>
    <t>D0554066:A06</t>
  </si>
  <si>
    <t>D0545758:F23</t>
  </si>
  <si>
    <t>D0554070:G09</t>
  </si>
  <si>
    <t>D0545760:N24</t>
  </si>
  <si>
    <t>D0554068:E10</t>
  </si>
  <si>
    <t>D0545744:J23</t>
  </si>
  <si>
    <t>D0554068:F04</t>
  </si>
  <si>
    <t>D0545770:N15</t>
  </si>
  <si>
    <t>D0554067:L08</t>
  </si>
  <si>
    <t>D0545758:M17</t>
  </si>
  <si>
    <t>D0554063:L18</t>
  </si>
  <si>
    <t>D0545746:N18</t>
  </si>
  <si>
    <t>D0554063:M13</t>
  </si>
  <si>
    <t>D0552256:N10</t>
  </si>
  <si>
    <t>D0554071:F15</t>
  </si>
  <si>
    <t>D0545770:M23</t>
  </si>
  <si>
    <t>D0554071:G09</t>
  </si>
  <si>
    <t>D0545754:F07</t>
  </si>
  <si>
    <t>D0554063:F07</t>
  </si>
  <si>
    <t>D0545758:L13</t>
  </si>
  <si>
    <t>D0554065:E05</t>
  </si>
  <si>
    <t>D0545744:H05</t>
  </si>
  <si>
    <t>D0554070:P15</t>
  </si>
  <si>
    <t>D0545748:E16</t>
  </si>
  <si>
    <t>D0554068:M13</t>
  </si>
  <si>
    <t>D0545762:J03</t>
  </si>
  <si>
    <t>D0554072:J05</t>
  </si>
  <si>
    <t>D0554069:C07</t>
  </si>
  <si>
    <t>TR06460423-001</t>
  </si>
  <si>
    <t>D0545746:C23</t>
  </si>
  <si>
    <t>D0554068:E06</t>
  </si>
  <si>
    <t>D0545762:E12</t>
  </si>
  <si>
    <t>D0554071:H16</t>
  </si>
  <si>
    <t>D0545770:I01</t>
  </si>
  <si>
    <t>D0554072:L10</t>
  </si>
  <si>
    <t>D0554063:E17</t>
  </si>
  <si>
    <t>D0545746:E11</t>
  </si>
  <si>
    <t>D0554063:L15</t>
  </si>
  <si>
    <t>D0545750:L01</t>
  </si>
  <si>
    <t>D0554070:I13</t>
  </si>
  <si>
    <t>D0545750:F02</t>
  </si>
  <si>
    <t>D0554072:E09</t>
  </si>
  <si>
    <t>D0554072:C11</t>
  </si>
  <si>
    <t>D0554070:G05</t>
  </si>
  <si>
    <t>D0545770:E05</t>
  </si>
  <si>
    <t>D0554071:B17</t>
  </si>
  <si>
    <t>D0545762:I06</t>
  </si>
  <si>
    <t>D0554071:D04</t>
  </si>
  <si>
    <t>D0545752:B09</t>
  </si>
  <si>
    <t>D0554070:L15</t>
  </si>
  <si>
    <t>D0545764:E14</t>
  </si>
  <si>
    <t>D0554070:F22</t>
  </si>
  <si>
    <t>D0545746:D18</t>
  </si>
  <si>
    <t>D0554072:M04</t>
  </si>
  <si>
    <t>D0554072:B11</t>
  </si>
  <si>
    <t>D0554070:N10</t>
  </si>
  <si>
    <t>D0545762:D02</t>
  </si>
  <si>
    <t>D0554066:J14</t>
  </si>
  <si>
    <t>D0545746:F07</t>
  </si>
  <si>
    <t>D0554070:F04</t>
  </si>
  <si>
    <t>D0545748:O19</t>
  </si>
  <si>
    <t>D0554068:G23</t>
  </si>
  <si>
    <t>D0545750:C05</t>
  </si>
  <si>
    <t>D0554070:A23</t>
  </si>
  <si>
    <t>D0545770:L07</t>
  </si>
  <si>
    <t>D0554071:B12</t>
  </si>
  <si>
    <t>TR06536368-001</t>
  </si>
  <si>
    <t>D0545768:O13</t>
  </si>
  <si>
    <t>D0554072:D17</t>
  </si>
  <si>
    <t>D0554071:E12</t>
  </si>
  <si>
    <t>TR06536371-001</t>
  </si>
  <si>
    <t>D0545770:G01</t>
  </si>
  <si>
    <t>D0554071:J02</t>
  </si>
  <si>
    <t>D0545762:M08</t>
  </si>
  <si>
    <t>D0554071:H06</t>
  </si>
  <si>
    <t>D0545766:B11</t>
  </si>
  <si>
    <t>D0554070:B15</t>
  </si>
  <si>
    <t>D0545768:O08</t>
  </si>
  <si>
    <t>D0554071:I20</t>
  </si>
  <si>
    <t>D0545752:C15</t>
  </si>
  <si>
    <t>D0554068:J18</t>
  </si>
  <si>
    <t>D0545744:M02</t>
  </si>
  <si>
    <t>D0554071:L09</t>
  </si>
  <si>
    <t>D0545754:J03</t>
  </si>
  <si>
    <t>D0554072:H15</t>
  </si>
  <si>
    <t>D0554070:M11</t>
  </si>
  <si>
    <t>D0545762:A06</t>
  </si>
  <si>
    <t>D0554070:H18</t>
  </si>
  <si>
    <t>D0545770:C13</t>
  </si>
  <si>
    <t>D0554068:D12</t>
  </si>
  <si>
    <t>D0545752:H09</t>
  </si>
  <si>
    <t>D0554069:I15</t>
  </si>
  <si>
    <t>TR06471886-001</t>
  </si>
  <si>
    <t>D0545770:I13</t>
  </si>
  <si>
    <t>D0554071:F20</t>
  </si>
  <si>
    <t>D0545752:H12</t>
  </si>
  <si>
    <t>D0554069:M01</t>
  </si>
  <si>
    <t>TR06445559-001</t>
  </si>
  <si>
    <t>D0545768:N12</t>
  </si>
  <si>
    <t>D0554063:J13</t>
  </si>
  <si>
    <t>D0545746:I06</t>
  </si>
  <si>
    <t>D0554067:G24</t>
  </si>
  <si>
    <t>D0545768:N10</t>
  </si>
  <si>
    <t>D0554072:J12</t>
  </si>
  <si>
    <t>D0554070:E06</t>
  </si>
  <si>
    <t>D0545768:G05</t>
  </si>
  <si>
    <t>D0554068:H14</t>
  </si>
  <si>
    <t>D0545768:N03</t>
  </si>
  <si>
    <t>D0554067:E11</t>
  </si>
  <si>
    <t>D0545748:K01</t>
  </si>
  <si>
    <t>D0554067:D09</t>
  </si>
  <si>
    <t>D0545760:N16</t>
  </si>
  <si>
    <t>D0554068:H18</t>
  </si>
  <si>
    <t>D0545770:D13</t>
  </si>
  <si>
    <t>D0554063:I16</t>
  </si>
  <si>
    <t>D0545748:O13</t>
  </si>
  <si>
    <t>D0554069:N02</t>
  </si>
  <si>
    <t>TR06445900-001</t>
  </si>
  <si>
    <t>D0545766:G24</t>
  </si>
  <si>
    <t>D0554068:G10</t>
  </si>
  <si>
    <t>D0545758:N12</t>
  </si>
  <si>
    <t>D0554071:K11</t>
  </si>
  <si>
    <t>TR06536233-001</t>
  </si>
  <si>
    <t>D0545766:M12</t>
  </si>
  <si>
    <t>D0554070:A05</t>
  </si>
  <si>
    <t>D0545766:A21</t>
  </si>
  <si>
    <t>D0554070:I08</t>
  </si>
  <si>
    <t>D0545762:M06</t>
  </si>
  <si>
    <t>D0554068:G04</t>
  </si>
  <si>
    <t>D0545770:F13</t>
  </si>
  <si>
    <t>D0554069:I18</t>
  </si>
  <si>
    <t>TR06473901-001</t>
  </si>
  <si>
    <t>D0545766:E18</t>
  </si>
  <si>
    <t>D0554071:L15</t>
  </si>
  <si>
    <t>D0545766:M11</t>
  </si>
  <si>
    <t>D0554071:F17</t>
  </si>
  <si>
    <t>D0545752:G05</t>
  </si>
  <si>
    <t>D0554067:F09</t>
  </si>
  <si>
    <t>D0545768:F21</t>
  </si>
  <si>
    <t>D0554072:J09</t>
  </si>
  <si>
    <t>D0554063:F05</t>
  </si>
  <si>
    <t>D0545760:K23</t>
  </si>
  <si>
    <t>D0554071:G10</t>
  </si>
  <si>
    <t>TR06532546-001</t>
  </si>
  <si>
    <t>D0545766:B17</t>
  </si>
  <si>
    <t>D0554070:J11</t>
  </si>
  <si>
    <t>TR06500669-001</t>
  </si>
  <si>
    <t>D0545762:D21</t>
  </si>
  <si>
    <t>D0554068:M08</t>
  </si>
  <si>
    <t>D0552256:J08</t>
  </si>
  <si>
    <t>D0554066:A15</t>
  </si>
  <si>
    <t>D0545766:O09</t>
  </si>
  <si>
    <t>D0554072:G07</t>
  </si>
  <si>
    <t>D0554067:F02</t>
  </si>
  <si>
    <t>D0545744:A07</t>
  </si>
  <si>
    <t>D0554070:G04</t>
  </si>
  <si>
    <t>D0545762:M09</t>
  </si>
  <si>
    <t>D0554067:J06</t>
  </si>
  <si>
    <t>D0552256:H13</t>
  </si>
  <si>
    <t>D0554071:D10</t>
  </si>
  <si>
    <t>TR06532543-001</t>
  </si>
  <si>
    <t>D0545768:B10</t>
  </si>
  <si>
    <t>D0554068:J06</t>
  </si>
  <si>
    <t>D0545772:C07</t>
  </si>
  <si>
    <t>D0554070:K06</t>
  </si>
  <si>
    <t>D0545750:D14</t>
  </si>
  <si>
    <t>D0554069:F19</t>
  </si>
  <si>
    <t>TR06475017-001</t>
  </si>
  <si>
    <t>D0545768:M13</t>
  </si>
  <si>
    <t>D0554068:F10</t>
  </si>
  <si>
    <t>D0545754:P13</t>
  </si>
  <si>
    <t>D0554070:O21</t>
  </si>
  <si>
    <t>D0552256:D22</t>
  </si>
  <si>
    <t>D0554066:N07</t>
  </si>
  <si>
    <t>D0545760:J05</t>
  </si>
  <si>
    <t>D0554070:L04</t>
  </si>
  <si>
    <t>D0545770:P09</t>
  </si>
  <si>
    <t>D0554070:F06</t>
  </si>
  <si>
    <t>D0545748:B11</t>
  </si>
  <si>
    <t>D0554069:M14</t>
  </si>
  <si>
    <t>TR06471004-001</t>
  </si>
  <si>
    <t>D0545754:O12</t>
  </si>
  <si>
    <t>D0554070:H09</t>
  </si>
  <si>
    <t>D0545748:J24</t>
  </si>
  <si>
    <t>D0554066:I06</t>
  </si>
  <si>
    <t>D0552256:D09</t>
  </si>
  <si>
    <t>D0554071:E19</t>
  </si>
  <si>
    <t>D0545766:J24</t>
  </si>
  <si>
    <t>D0554070:H11</t>
  </si>
  <si>
    <t>D0545766:F02</t>
  </si>
  <si>
    <t>D0554068:L05</t>
  </si>
  <si>
    <t>D0545768:A23</t>
  </si>
  <si>
    <t>D0554070:K19</t>
  </si>
  <si>
    <t>D0545762:K10</t>
  </si>
  <si>
    <t>D0554067:N03</t>
  </si>
  <si>
    <t>D0552256:K08</t>
  </si>
  <si>
    <t>D0554068:F09</t>
  </si>
  <si>
    <t>D0545762:P10</t>
  </si>
  <si>
    <t>D0554067:K09</t>
  </si>
  <si>
    <t>D0545764:H09</t>
  </si>
  <si>
    <t>D0554069:J18</t>
  </si>
  <si>
    <t>TR06473922-001</t>
  </si>
  <si>
    <t>D0545766:C18</t>
  </si>
  <si>
    <t>D0554068:E18</t>
  </si>
  <si>
    <t>D0545768:N07</t>
  </si>
  <si>
    <t>D0554068:H16</t>
  </si>
  <si>
    <t>D0545770:M19</t>
  </si>
  <si>
    <t>D0554071:E17</t>
  </si>
  <si>
    <t>D0545770:M04</t>
  </si>
  <si>
    <t>D0554068:A09</t>
  </si>
  <si>
    <t>D0545748:G15</t>
  </si>
  <si>
    <t>D0554066:K16</t>
  </si>
  <si>
    <t>D0552256:L23</t>
  </si>
  <si>
    <t>D0554068:L09</t>
  </si>
  <si>
    <t>D0545768:L05</t>
  </si>
  <si>
    <t>D0554068:G16</t>
  </si>
  <si>
    <t>D0545750:I20</t>
  </si>
  <si>
    <t>D0554067:J08</t>
  </si>
  <si>
    <t>D0545764:C09</t>
  </si>
  <si>
    <t>D0554071:E21</t>
  </si>
  <si>
    <t>D0545750:H13</t>
  </si>
  <si>
    <t>D0554068:M04</t>
  </si>
  <si>
    <t>D0545768:I21</t>
  </si>
  <si>
    <t>D0554071:D12</t>
  </si>
  <si>
    <t>TR06536370-002</t>
  </si>
  <si>
    <t>D0545762:J23</t>
  </si>
  <si>
    <t>D0554068:E07</t>
  </si>
  <si>
    <t>D0545770:A05</t>
  </si>
  <si>
    <t>D0554065:L20</t>
  </si>
  <si>
    <t>D0545758:N21</t>
  </si>
  <si>
    <t>D0554066:D04</t>
  </si>
  <si>
    <t>D0545768:P17</t>
  </si>
  <si>
    <t>D0554071:I10</t>
  </si>
  <si>
    <t>TR06532591-001</t>
  </si>
  <si>
    <t>D0545770:B15</t>
  </si>
  <si>
    <t>D0554068:G07</t>
  </si>
  <si>
    <t>D0545744:L05</t>
  </si>
  <si>
    <t>D0554071:I16</t>
  </si>
  <si>
    <t>D0545750:B13</t>
  </si>
  <si>
    <t>D0554069:J04</t>
  </si>
  <si>
    <t>TR06449184-001</t>
  </si>
  <si>
    <t>D0545766:A04</t>
  </si>
  <si>
    <t>D0554070:J15</t>
  </si>
  <si>
    <t>D0545770:K19</t>
  </si>
  <si>
    <t>D0554067:H17</t>
  </si>
  <si>
    <t>D0545744:E12</t>
  </si>
  <si>
    <t>D0554068:J14</t>
  </si>
  <si>
    <t>D0545752:L22</t>
  </si>
  <si>
    <t>D0554068:C15</t>
  </si>
  <si>
    <t>D0545760:L19</t>
  </si>
  <si>
    <t>D0554068:I16</t>
  </si>
  <si>
    <t>D0545750:H18</t>
  </si>
  <si>
    <t>D0554067:F10</t>
  </si>
  <si>
    <t>D0545764:D23</t>
  </si>
  <si>
    <t>D0554070:O11</t>
  </si>
  <si>
    <t>D0545766:N16</t>
  </si>
  <si>
    <t>D0554071:E08</t>
  </si>
  <si>
    <t>D0545750:F24</t>
  </si>
  <si>
    <t>D0554067:I20</t>
  </si>
  <si>
    <t>D0545770:A07</t>
  </si>
  <si>
    <t>D0554067:N13</t>
  </si>
  <si>
    <t>D0552256:E10</t>
  </si>
  <si>
    <t>D0554069:A17</t>
  </si>
  <si>
    <t>TR06472664-001</t>
  </si>
  <si>
    <t>D0545764:M16</t>
  </si>
  <si>
    <t>D0554071:K13</t>
  </si>
  <si>
    <t>TR06540177-001</t>
  </si>
  <si>
    <t>D0545768:D18</t>
  </si>
  <si>
    <t>D0554069:B09</t>
  </si>
  <si>
    <t>TR06466290-002</t>
  </si>
  <si>
    <t>D0545754:E23</t>
  </si>
  <si>
    <t>D0554068:J10</t>
  </si>
  <si>
    <t>D0545746:H23</t>
  </si>
  <si>
    <t>D0554065:E09</t>
  </si>
  <si>
    <t>D0552256:C06</t>
  </si>
  <si>
    <t>D0554070:D16</t>
  </si>
  <si>
    <t>D0545756:I09</t>
  </si>
  <si>
    <t>D0554069:O06</t>
  </si>
  <si>
    <t>TR06460380-001</t>
  </si>
  <si>
    <t>D0545768:M11</t>
  </si>
  <si>
    <t>D0554072:G16</t>
  </si>
  <si>
    <t>D0554068:C11</t>
  </si>
  <si>
    <t>D0545760:I05</t>
  </si>
  <si>
    <t>D0554068:K16</t>
  </si>
  <si>
    <t>D0545766:B05</t>
  </si>
  <si>
    <t>D0554066:I08</t>
  </si>
  <si>
    <t>D0545744:M17</t>
  </si>
  <si>
    <t>D0554071:E05</t>
  </si>
  <si>
    <t>D0545748:H02</t>
  </si>
  <si>
    <t>D0554072:G15</t>
  </si>
  <si>
    <t>D0554070:J17</t>
  </si>
  <si>
    <t>D0545748:H22</t>
  </si>
  <si>
    <t>D0554068:L16</t>
  </si>
  <si>
    <t>D0545770:F23</t>
  </si>
  <si>
    <t>D0554071:G02</t>
  </si>
  <si>
    <t>D0545744:O08</t>
  </si>
  <si>
    <t>D0554069:K12</t>
  </si>
  <si>
    <t>TR06470451-001</t>
  </si>
  <si>
    <t>D0545766:I24</t>
  </si>
  <si>
    <t>D0554070:J08</t>
  </si>
  <si>
    <t>D0545750:I14</t>
  </si>
  <si>
    <t>D0554071:K16</t>
  </si>
  <si>
    <t>D0545748:J11</t>
  </si>
  <si>
    <t>D0554068:E17</t>
  </si>
  <si>
    <t>D0545744:L23</t>
  </si>
  <si>
    <t>D0554068:L13</t>
  </si>
  <si>
    <t>D0545762:E09</t>
  </si>
  <si>
    <t>D0554070:G13</t>
  </si>
  <si>
    <t>D0545758:A11</t>
  </si>
  <si>
    <t>D0554071:G07</t>
  </si>
  <si>
    <t>D0545768:H18</t>
  </si>
  <si>
    <t>D0554063:L12</t>
  </si>
  <si>
    <t>D0552256:L16</t>
  </si>
  <si>
    <t>D0554065:F10</t>
  </si>
  <si>
    <t>D0545766:O23</t>
  </si>
  <si>
    <t>D0554068:L08</t>
  </si>
  <si>
    <t>D0545746:J14</t>
  </si>
  <si>
    <t>D0554068:H04</t>
  </si>
  <si>
    <t>D0545748:F05</t>
  </si>
  <si>
    <t>D0554071:A22</t>
  </si>
  <si>
    <t>D0545768:I22</t>
  </si>
  <si>
    <t>D0554072:J18</t>
  </si>
  <si>
    <t>D0554071:C20</t>
  </si>
  <si>
    <t>D0545764:F10</t>
  </si>
  <si>
    <t>D0554072:I16</t>
  </si>
  <si>
    <t>D0554071:H11</t>
  </si>
  <si>
    <t>TR06536133-001</t>
  </si>
  <si>
    <t>D0545746:E01</t>
  </si>
  <si>
    <t>D0554067:E10</t>
  </si>
  <si>
    <t>D0545768:E05</t>
  </si>
  <si>
    <t>D0554066:P09</t>
  </si>
  <si>
    <t>D0545758:H05</t>
  </si>
  <si>
    <t>D0554068:L02</t>
  </si>
  <si>
    <t>D0545764:D12</t>
  </si>
  <si>
    <t>D0554069:E09</t>
  </si>
  <si>
    <t>TR06466412-001</t>
  </si>
  <si>
    <t>D0545760:J14</t>
  </si>
  <si>
    <t>D0554071:F04</t>
  </si>
  <si>
    <t>D0545748:G07</t>
  </si>
  <si>
    <t>D0554067:C15</t>
  </si>
  <si>
    <t>D0545756:C11</t>
  </si>
  <si>
    <t>D0554071:F13</t>
  </si>
  <si>
    <t>TR06537649-001</t>
  </si>
  <si>
    <t>D0545752:P03</t>
  </si>
  <si>
    <t>D0554068:C05</t>
  </si>
  <si>
    <t>D0545758:G20</t>
  </si>
  <si>
    <t>D0554067:C17</t>
  </si>
  <si>
    <t>D0545764:I06</t>
  </si>
  <si>
    <t>D0554068:H09</t>
  </si>
  <si>
    <t>D0545762:P14</t>
  </si>
  <si>
    <t>D0554072:D16</t>
  </si>
  <si>
    <t>D0554066:J21</t>
  </si>
  <si>
    <t>D0545766:I09</t>
  </si>
  <si>
    <t>D0554072:C02</t>
  </si>
  <si>
    <t>D0545770:K17</t>
  </si>
  <si>
    <t>D0554071:G12</t>
  </si>
  <si>
    <t>TR06536403-001</t>
  </si>
  <si>
    <t>D0545764:E06</t>
  </si>
  <si>
    <t>D0554070:A13</t>
  </si>
  <si>
    <t>D0545770:G03</t>
  </si>
  <si>
    <t>D0554070:G08</t>
  </si>
  <si>
    <t>D0545746:I14</t>
  </si>
  <si>
    <t>D0554071:A03</t>
  </si>
  <si>
    <t>D0545764:L05</t>
  </si>
  <si>
    <t>D0554071:L10</t>
  </si>
  <si>
    <t>TR06532594-001</t>
  </si>
  <si>
    <t>D0545770:A10</t>
  </si>
  <si>
    <t>D0554068:K10</t>
  </si>
  <si>
    <t>D0545762:L24</t>
  </si>
  <si>
    <t>D0554070:K15</t>
  </si>
  <si>
    <t>D0545766:C02</t>
  </si>
  <si>
    <t>D0554065:D10</t>
  </si>
  <si>
    <t>D0545758:B15</t>
  </si>
  <si>
    <t>D0554070:K13</t>
  </si>
  <si>
    <t>D0545750:D01</t>
  </si>
  <si>
    <t>D0554069:L10</t>
  </si>
  <si>
    <t>TR06467878-001</t>
  </si>
  <si>
    <t>D0545746:L10</t>
  </si>
  <si>
    <t>D0554067:C03</t>
  </si>
  <si>
    <t>D0545768:N19</t>
  </si>
  <si>
    <t>D0554072:G08</t>
  </si>
  <si>
    <t>D0554067:C10</t>
  </si>
  <si>
    <t>D0545744:C12</t>
  </si>
  <si>
    <t>D0554071:H14</t>
  </si>
  <si>
    <t>TR06540685-001</t>
  </si>
  <si>
    <t>D0545766:L19</t>
  </si>
  <si>
    <t>D0554066:C09</t>
  </si>
  <si>
    <t>D0545758:F18</t>
  </si>
  <si>
    <t>D0554071:E09</t>
  </si>
  <si>
    <t>D0545768:M16</t>
  </si>
  <si>
    <t>D0554071:K06</t>
  </si>
  <si>
    <t>D0545766:K10</t>
  </si>
  <si>
    <t>D0554066:P16</t>
  </si>
  <si>
    <t>D0552256:F11</t>
  </si>
  <si>
    <t>D0554068:H08</t>
  </si>
  <si>
    <t>D0545748:J20</t>
  </si>
  <si>
    <t>D0554071:M05</t>
  </si>
  <si>
    <t>D0545770:E17</t>
  </si>
  <si>
    <t>D0554071:F23</t>
  </si>
  <si>
    <t>D0545768:G09</t>
  </si>
  <si>
    <t>D0554066:M15</t>
  </si>
  <si>
    <t>D0545758:G19</t>
  </si>
  <si>
    <t>D0554066:H21</t>
  </si>
  <si>
    <t>D0545766:P04</t>
  </si>
  <si>
    <t>D0554071:M23</t>
  </si>
  <si>
    <t>D0545772:G19</t>
  </si>
  <si>
    <t>D0554068:L20</t>
  </si>
  <si>
    <t>D0545754:M04</t>
  </si>
  <si>
    <t>D0554068:J13</t>
  </si>
  <si>
    <t>D0545762:G11</t>
  </si>
  <si>
    <t>D0554068:I07</t>
  </si>
  <si>
    <t>D0545754:L07</t>
  </si>
  <si>
    <t>D0554067:O20</t>
  </si>
  <si>
    <t>D0545758:E22</t>
  </si>
  <si>
    <t>D0554070:G12</t>
  </si>
  <si>
    <t>D0545746:M24</t>
  </si>
  <si>
    <t>D0554063:A04</t>
  </si>
  <si>
    <t>D0545750:K13</t>
  </si>
  <si>
    <t>D0554068:B08</t>
  </si>
  <si>
    <t>D0545746:M10</t>
  </si>
  <si>
    <t>D0554071:G08</t>
  </si>
  <si>
    <t>D0545768:M10</t>
  </si>
  <si>
    <t>D0554071:I09</t>
  </si>
  <si>
    <t>D0545766:O21</t>
  </si>
  <si>
    <t>D0554068:H07</t>
  </si>
  <si>
    <t>D0545770:B19</t>
  </si>
  <si>
    <t>D0554068:D08</t>
  </si>
  <si>
    <t>D0545754:H17</t>
  </si>
  <si>
    <t>D0554066:C08</t>
  </si>
  <si>
    <t>D0545772:G03</t>
  </si>
  <si>
    <t>D0554070:E12</t>
  </si>
  <si>
    <t>D0545766:E13</t>
  </si>
  <si>
    <t>D0554067:O11</t>
  </si>
  <si>
    <t>D0545750:N09</t>
  </si>
  <si>
    <t>D0554068:D16</t>
  </si>
  <si>
    <t>D0545762:P18</t>
  </si>
  <si>
    <t>D0554065:F24</t>
  </si>
  <si>
    <t>D0545760:G11</t>
  </si>
  <si>
    <t>D0554069:A05</t>
  </si>
  <si>
    <t>TR06449417-001</t>
  </si>
  <si>
    <t>D0545768:F01</t>
  </si>
  <si>
    <t>D0554072:E13</t>
  </si>
  <si>
    <t>D0554068:L12</t>
  </si>
  <si>
    <t>D0545744:F03</t>
  </si>
  <si>
    <t>D0554065:I03</t>
  </si>
  <si>
    <t>D0545758:D02</t>
  </si>
  <si>
    <t>D0554065:D21</t>
  </si>
  <si>
    <t>D0545758:H09</t>
  </si>
  <si>
    <t>D0554070:G14</t>
  </si>
  <si>
    <t>D0545760:C13</t>
  </si>
  <si>
    <t>D0554071:K03</t>
  </si>
  <si>
    <t>D0545768:L01</t>
  </si>
  <si>
    <t>D0554069:L12</t>
  </si>
  <si>
    <t>TR06470486-001</t>
  </si>
  <si>
    <t>D0545750:J10</t>
  </si>
  <si>
    <t>D0554068:G15</t>
  </si>
  <si>
    <t>D0545752:P14</t>
  </si>
  <si>
    <t>D0554065:G02</t>
  </si>
  <si>
    <t>D0552256:N04</t>
  </si>
  <si>
    <t>D0554065:G08</t>
  </si>
  <si>
    <t>D0545770:M01</t>
  </si>
  <si>
    <t>D0554067:G10</t>
  </si>
  <si>
    <t>D0545772:A01</t>
  </si>
  <si>
    <t>D0554069:B10</t>
  </si>
  <si>
    <t>TR06466741-001</t>
  </si>
  <si>
    <t>D0545750:C15</t>
  </si>
  <si>
    <t>D0554068:F12</t>
  </si>
  <si>
    <t>D0545768:I24</t>
  </si>
  <si>
    <t>D0554071:K15</t>
  </si>
  <si>
    <t>D0545762:A14</t>
  </si>
  <si>
    <t>D0554070:O14</t>
  </si>
  <si>
    <t>D0545768:A06</t>
  </si>
  <si>
    <t>D0554066:K04</t>
  </si>
  <si>
    <t>D0552256:M10</t>
  </si>
  <si>
    <t>D0554070:M06</t>
  </si>
  <si>
    <t>D0545770:M02</t>
  </si>
  <si>
    <t>D0554066:B20</t>
  </si>
  <si>
    <t>D0552256:H12</t>
  </si>
  <si>
    <t>D0554068:H10</t>
  </si>
  <si>
    <t>D0545746:K12</t>
  </si>
  <si>
    <t>D0554066:C19</t>
  </si>
  <si>
    <t>D0545760:D14</t>
  </si>
  <si>
    <t>D0554065:P16</t>
  </si>
  <si>
    <t>D0545748:M14</t>
  </si>
  <si>
    <t>D0554065:C18</t>
  </si>
  <si>
    <t>D0552256:I04</t>
  </si>
  <si>
    <t>D0554068:D04</t>
  </si>
  <si>
    <t>D0545748:O02</t>
  </si>
  <si>
    <t>D0554071:E10</t>
  </si>
  <si>
    <t>TR06532544-001</t>
  </si>
  <si>
    <t>D0545768:L14</t>
  </si>
  <si>
    <t>D0554071:I07</t>
  </si>
  <si>
    <t>D0545752:B17</t>
  </si>
  <si>
    <t>D0554070:G07</t>
  </si>
  <si>
    <t>TR06493663-002</t>
  </si>
  <si>
    <t>D0545762:F14</t>
  </si>
  <si>
    <t>D0554065:H12</t>
  </si>
  <si>
    <t>D0545766:F05</t>
  </si>
  <si>
    <t>D0554068:E11</t>
  </si>
  <si>
    <t>D0545754:C08</t>
  </si>
  <si>
    <t>D0554070:L10</t>
  </si>
  <si>
    <t>D0545748:P23</t>
  </si>
  <si>
    <t>D0554070:C08</t>
  </si>
  <si>
    <t>D0545770:C02</t>
  </si>
  <si>
    <t>D0554068:M06</t>
  </si>
  <si>
    <t>D0545750:N05</t>
  </si>
  <si>
    <t>D0554070:L13</t>
  </si>
  <si>
    <t>D0545764:M18</t>
  </si>
  <si>
    <t>D0554068:K08</t>
  </si>
  <si>
    <t>D0545770:D21</t>
  </si>
  <si>
    <t>D0554071:G18</t>
  </si>
  <si>
    <t>D0545752:I06</t>
  </si>
  <si>
    <t>D0554071:L05</t>
  </si>
  <si>
    <t>D0545748:M02</t>
  </si>
  <si>
    <t>D0554069:E23</t>
  </si>
  <si>
    <t>TR06481397-001</t>
  </si>
  <si>
    <t>D0545764:D05</t>
  </si>
  <si>
    <t>D0554070:K10</t>
  </si>
  <si>
    <t>D0545762:N13</t>
  </si>
  <si>
    <t>D0554066:J09</t>
  </si>
  <si>
    <t>D0545764:N18</t>
  </si>
  <si>
    <t>D0554069:D14</t>
  </si>
  <si>
    <t>TR06470900-001</t>
  </si>
  <si>
    <t>D0545748:F08</t>
  </si>
  <si>
    <t>D0554071:M06</t>
  </si>
  <si>
    <t>D0545750:K06</t>
  </si>
  <si>
    <t>D0554068:K17</t>
  </si>
  <si>
    <t>D0545754:G18</t>
  </si>
  <si>
    <t>D0554065:P21</t>
  </si>
  <si>
    <t>D0552256:L14</t>
  </si>
  <si>
    <t>D0554066:C07</t>
  </si>
  <si>
    <t>D0552256:N02</t>
  </si>
  <si>
    <t>D0554068:H20</t>
  </si>
  <si>
    <t>D0545748:A02</t>
  </si>
  <si>
    <t>D0554071:A12</t>
  </si>
  <si>
    <t>TR06536341-001</t>
  </si>
  <si>
    <t>D0545768:D02</t>
  </si>
  <si>
    <t>D0554070:I06</t>
  </si>
  <si>
    <t>D0545764:L11</t>
  </si>
  <si>
    <t>D0554063:K13</t>
  </si>
  <si>
    <t>D0545744:H13</t>
  </si>
  <si>
    <t>D0554071:H22</t>
  </si>
  <si>
    <t>D0545766:G10</t>
  </si>
  <si>
    <t>D0554066:K07</t>
  </si>
  <si>
    <t>D0545746:B21</t>
  </si>
  <si>
    <t>D0554068:F07</t>
  </si>
  <si>
    <t>D0545760:E14</t>
  </si>
  <si>
    <t>D0554069:O04</t>
  </si>
  <si>
    <t>TR06449339-001</t>
  </si>
  <si>
    <t>D0545768:H12</t>
  </si>
  <si>
    <t>D0554070:B11</t>
  </si>
  <si>
    <t>D0545746:J15</t>
  </si>
  <si>
    <t>D0554071:P18</t>
  </si>
  <si>
    <t>D0545768:C21</t>
  </si>
  <si>
    <t>D0554068:I05</t>
  </si>
  <si>
    <t>D0545746:M07</t>
  </si>
  <si>
    <t>D0554071:C16</t>
  </si>
  <si>
    <t>D0545766:B12</t>
  </si>
  <si>
    <t>D0554068:I08</t>
  </si>
  <si>
    <t>D0545760:H24</t>
  </si>
  <si>
    <t>D0554071:H15</t>
  </si>
  <si>
    <t>D0545760:P23</t>
  </si>
  <si>
    <t>D0554069:I17</t>
  </si>
  <si>
    <t>TR06473753-001</t>
  </si>
  <si>
    <t>D0545768:D24</t>
  </si>
  <si>
    <t>D0554070:J02</t>
  </si>
  <si>
    <t>D0545750:L22</t>
  </si>
  <si>
    <t>D0554071:K10</t>
  </si>
  <si>
    <t>TR06532593-001</t>
  </si>
  <si>
    <t>D0545764:E19</t>
  </si>
  <si>
    <t>D0554071:G06</t>
  </si>
  <si>
    <t>D0545762:C21</t>
  </si>
  <si>
    <t>D0554068:K14</t>
  </si>
  <si>
    <t>D0545744:I17</t>
  </si>
  <si>
    <t>D0554071:K09</t>
  </si>
  <si>
    <t>D0545752:A03</t>
  </si>
  <si>
    <t>D0554070:I14</t>
  </si>
  <si>
    <t>D0545768:C08</t>
  </si>
  <si>
    <t>D0554065:I21</t>
  </si>
  <si>
    <t>D0545758:J17</t>
  </si>
  <si>
    <t>D0554070:P19</t>
  </si>
  <si>
    <t>D0545766:C08</t>
  </si>
  <si>
    <t>D0554070:K09</t>
  </si>
  <si>
    <t>D0545748:J18</t>
  </si>
  <si>
    <t>D0554068:A04</t>
  </si>
  <si>
    <t>D0545770:K07</t>
  </si>
  <si>
    <t>D0554071:D07</t>
  </si>
  <si>
    <t>D0545766:O20</t>
  </si>
  <si>
    <t>D0554068:N10</t>
  </si>
  <si>
    <t>D0545770:N13</t>
  </si>
  <si>
    <t>D0554068:L14</t>
  </si>
  <si>
    <t>D0545768:L10</t>
  </si>
  <si>
    <t>D0554070:E05</t>
  </si>
  <si>
    <t>D0545766:P22</t>
  </si>
  <si>
    <t>D0554070:C21</t>
  </si>
  <si>
    <t>D0552256:D23</t>
  </si>
  <si>
    <t>D0554065:B16</t>
  </si>
  <si>
    <t>D0545758:D03</t>
  </si>
  <si>
    <t>D0554066:C14</t>
  </si>
  <si>
    <t>D0552256:I10</t>
  </si>
  <si>
    <t>D0554069:C09</t>
  </si>
  <si>
    <t>TR06466329-001</t>
  </si>
  <si>
    <t>D0545750:L03</t>
  </si>
  <si>
    <t>D0554068:J19</t>
  </si>
  <si>
    <t>D0545772:C15</t>
  </si>
  <si>
    <t>D0554063:M03</t>
  </si>
  <si>
    <t>D0545758:C09</t>
  </si>
  <si>
    <t>D0554071:N13</t>
  </si>
  <si>
    <t>TR06540625-001</t>
  </si>
  <si>
    <t>D0545768:K18</t>
  </si>
  <si>
    <t>D0554066:N22</t>
  </si>
  <si>
    <t>D0545766:D12</t>
  </si>
  <si>
    <t>D0554065:J04</t>
  </si>
  <si>
    <t>D0545772:A17</t>
  </si>
  <si>
    <t>D0554068:O12</t>
  </si>
  <si>
    <t>D0545748:B03</t>
  </si>
  <si>
    <t>D0554068:D07</t>
  </si>
  <si>
    <t>D0545756:G15</t>
  </si>
  <si>
    <t>D0554068:O09</t>
  </si>
  <si>
    <t>D0545746:M09</t>
  </si>
  <si>
    <t>D0554066:I22</t>
  </si>
  <si>
    <t>D0545758:I20</t>
  </si>
  <si>
    <t>D0554071:G17</t>
  </si>
  <si>
    <t>D0545746:A20</t>
  </si>
  <si>
    <t>D0554071:M09</t>
  </si>
  <si>
    <t>TR06532494-001</t>
  </si>
  <si>
    <t>D0545754:C02</t>
  </si>
  <si>
    <t>D0554068:L18</t>
  </si>
  <si>
    <t>D0545748:K07</t>
  </si>
  <si>
    <t>D0554069:H10</t>
  </si>
  <si>
    <t>TR06467798-001</t>
  </si>
  <si>
    <t>D0545760:F16</t>
  </si>
  <si>
    <t>D0554066:J07</t>
  </si>
  <si>
    <t>D0552256:O06</t>
  </si>
  <si>
    <t>D0554070:J07</t>
  </si>
  <si>
    <t>D0545760:F23</t>
  </si>
  <si>
    <t>D0554070:E11</t>
  </si>
  <si>
    <t>D0545766:D23</t>
  </si>
  <si>
    <t>D0554071:I18</t>
  </si>
  <si>
    <t>D0545768:N17</t>
  </si>
  <si>
    <t>D0554071:F08</t>
  </si>
  <si>
    <t>D0545766:O14</t>
  </si>
  <si>
    <t>D0554071:I17</t>
  </si>
  <si>
    <t>D0545766:E22</t>
  </si>
  <si>
    <t>D0554066:E06</t>
  </si>
  <si>
    <t>D0545744:K08</t>
  </si>
  <si>
    <t>D0554068:M03</t>
  </si>
  <si>
    <t>D0545758:F13</t>
  </si>
  <si>
    <t>D0554068:C16</t>
  </si>
  <si>
    <t>D0545768:A10</t>
  </si>
  <si>
    <t>D0554067:J03</t>
  </si>
  <si>
    <t>D0552256:C02</t>
  </si>
  <si>
    <t>D0554066:B21</t>
  </si>
  <si>
    <t>D0545758:F01</t>
  </si>
  <si>
    <t>D0554070:N05</t>
  </si>
  <si>
    <t>D0545748:O07</t>
  </si>
  <si>
    <t>D0554066:A08</t>
  </si>
  <si>
    <t>D0545768:I17</t>
  </si>
  <si>
    <t>D0554066:F23</t>
  </si>
  <si>
    <t>D0545768:E01</t>
  </si>
  <si>
    <t>D0554063:J14</t>
  </si>
  <si>
    <t>D0545760:P11</t>
  </si>
  <si>
    <t>D0554066:E13</t>
  </si>
  <si>
    <t>D0545766:M05</t>
  </si>
  <si>
    <t>D0554071:G04</t>
  </si>
  <si>
    <t>D0545762:N04</t>
  </si>
  <si>
    <t>D0554067:O06</t>
  </si>
  <si>
    <t>D0545754:I03</t>
  </si>
  <si>
    <t>D0554063:A14</t>
  </si>
  <si>
    <t>D0552256:H07</t>
  </si>
  <si>
    <t>D0554071:I04</t>
  </si>
  <si>
    <t>D0545770:B17</t>
  </si>
  <si>
    <t>D0554066:L19</t>
  </si>
  <si>
    <t>D0545760:L07</t>
  </si>
  <si>
    <t>D0554063:I08</t>
  </si>
  <si>
    <t>D0545766:K13</t>
  </si>
  <si>
    <t>D0554063:H14</t>
  </si>
  <si>
    <t>D0545756:I01</t>
  </si>
  <si>
    <t>D0554063:C03</t>
  </si>
  <si>
    <t>D0545760:H22</t>
  </si>
  <si>
    <t>D0554066:N18</t>
  </si>
  <si>
    <t>D0552256:E13</t>
  </si>
  <si>
    <t>D0554066:L20</t>
  </si>
  <si>
    <t>D0545766:E02</t>
  </si>
  <si>
    <t>D0554071:O04</t>
  </si>
  <si>
    <t>D0545762:O12</t>
  </si>
  <si>
    <t>D0554067:B10</t>
  </si>
  <si>
    <t>D0545772:C01</t>
  </si>
  <si>
    <t>D0554070:O10</t>
  </si>
  <si>
    <t>D0545744:A12</t>
  </si>
  <si>
    <t>D0554066:G22</t>
  </si>
  <si>
    <t>D0545766:J13</t>
  </si>
  <si>
    <t>D0554063:P13</t>
  </si>
  <si>
    <t>D0545758:A19</t>
  </si>
  <si>
    <t>D0554067:B07</t>
  </si>
  <si>
    <t>D0552256:B05</t>
  </si>
  <si>
    <t>D0554066:I11</t>
  </si>
  <si>
    <t>D0545744:M09</t>
  </si>
  <si>
    <t>D0554066:K05</t>
  </si>
  <si>
    <t>D0545772:K09</t>
  </si>
  <si>
    <t>D0554066:B22</t>
  </si>
  <si>
    <t>D0545762:O15</t>
  </si>
  <si>
    <t>D0554066:L21</t>
  </si>
  <si>
    <t>D0552256:E12</t>
  </si>
  <si>
    <t>D0554066:B10</t>
  </si>
  <si>
    <t>D0545744:I08</t>
  </si>
  <si>
    <t>D0554070:J04</t>
  </si>
  <si>
    <t>D0545752:M02</t>
  </si>
  <si>
    <t>D0554068:J07</t>
  </si>
  <si>
    <t>D0545770:O09</t>
  </si>
  <si>
    <t>D0554066:E02</t>
  </si>
  <si>
    <t>D0552256:C10</t>
  </si>
  <si>
    <t>D0554066:G03</t>
  </si>
  <si>
    <t>D0545760:F09</t>
  </si>
  <si>
    <t>D0554066:J02</t>
  </si>
  <si>
    <t>D0545760:J10</t>
  </si>
  <si>
    <t>D0554065:I04</t>
  </si>
  <si>
    <t>D0545760:B11</t>
  </si>
  <si>
    <t>D0554070:H05</t>
  </si>
  <si>
    <t>D0545770:I17</t>
  </si>
  <si>
    <t>D0554068:K09</t>
  </si>
  <si>
    <t>D0545768:K11</t>
  </si>
  <si>
    <t>D0554071:F24</t>
  </si>
  <si>
    <t>D0552256:D13</t>
  </si>
  <si>
    <t>D0554070:N15</t>
  </si>
  <si>
    <t>D0545766:C17</t>
  </si>
  <si>
    <t>D0554066:B14</t>
  </si>
  <si>
    <t>D0545766:A18</t>
  </si>
  <si>
    <t>D0554071:B11</t>
  </si>
  <si>
    <t>TR06536025-001</t>
  </si>
  <si>
    <t>D0545770:L23</t>
  </si>
  <si>
    <t>D0554068:P04</t>
  </si>
  <si>
    <t>D0545768:I07</t>
  </si>
  <si>
    <t>D0554070:I03</t>
  </si>
  <si>
    <t>D0552256:H22</t>
  </si>
  <si>
    <t>D0554066:D09</t>
  </si>
  <si>
    <t>D0552256:F07</t>
  </si>
  <si>
    <t>D0554069:L06</t>
  </si>
  <si>
    <t>TR06460356-001</t>
  </si>
  <si>
    <t>D0545766:G09</t>
  </si>
  <si>
    <t>D0554067:F20</t>
  </si>
  <si>
    <t>D0545754:P07</t>
  </si>
  <si>
    <t>D0554063:I19</t>
  </si>
  <si>
    <t>D0545758:K17</t>
  </si>
  <si>
    <t>D0554070:B12</t>
  </si>
  <si>
    <t>D0545766:F10</t>
  </si>
  <si>
    <t>D0554066:F21</t>
  </si>
  <si>
    <t>D0545768:M04</t>
  </si>
  <si>
    <t>D0554071:I08</t>
  </si>
  <si>
    <t>D0545766:K01</t>
  </si>
  <si>
    <t>D0554065:H06</t>
  </si>
  <si>
    <t>D0545758:G16</t>
  </si>
  <si>
    <t>D0554066:H05</t>
  </si>
  <si>
    <t>D0545766:I14</t>
  </si>
  <si>
    <t>D0554066:K20</t>
  </si>
  <si>
    <t>D0552256:D06</t>
  </si>
  <si>
    <t>D0554063:J12</t>
  </si>
  <si>
    <t>D0552256:H11</t>
  </si>
  <si>
    <t>D0554069:A22</t>
  </si>
  <si>
    <t>TR06480988-002</t>
  </si>
  <si>
    <t>D0545754:E07</t>
  </si>
  <si>
    <t>D0554066:N12</t>
  </si>
  <si>
    <t>D0552256:E02</t>
  </si>
  <si>
    <t>D0554071:B02</t>
  </si>
  <si>
    <t>D0545772:I17</t>
  </si>
  <si>
    <t>D0554071:C22</t>
  </si>
  <si>
    <t>D0545770:B07</t>
  </si>
  <si>
    <t>D0554066:G15</t>
  </si>
  <si>
    <t>D0545744:O01</t>
  </si>
  <si>
    <t>D0554066:B24</t>
  </si>
  <si>
    <t>D0545766:I17</t>
  </si>
  <si>
    <t>D0554071:G05</t>
  </si>
  <si>
    <t>D0545748:J14</t>
  </si>
  <si>
    <t>D0554066:L03</t>
  </si>
  <si>
    <t>D0545770:D07</t>
  </si>
  <si>
    <t>D0554068:L03</t>
  </si>
  <si>
    <t>D0545766:C13</t>
  </si>
  <si>
    <t>D0554070:M05</t>
  </si>
  <si>
    <t>D0545748:D22</t>
  </si>
  <si>
    <t>D0554068:P09</t>
  </si>
  <si>
    <t>D0552256:F14</t>
  </si>
  <si>
    <t>D0554071:F07</t>
  </si>
  <si>
    <t>D0545770:I05</t>
  </si>
  <si>
    <t>D0554067:E13</t>
  </si>
  <si>
    <t>D0545744:D18</t>
  </si>
  <si>
    <t>D0554071:G15</t>
  </si>
  <si>
    <t>D0545762:N16</t>
  </si>
  <si>
    <t>D0554068:M18</t>
  </si>
  <si>
    <t>D0545772:G11</t>
  </si>
  <si>
    <t>D0554070:L03</t>
  </si>
  <si>
    <t>D0545746:E04</t>
  </si>
  <si>
    <t>D0554067:L02</t>
  </si>
  <si>
    <t>D0552256:O11</t>
  </si>
  <si>
    <t>D0554065:K18</t>
  </si>
  <si>
    <t>D0545772:K17</t>
  </si>
  <si>
    <t>D0554063:A17</t>
  </si>
  <si>
    <t>D0545762:G17</t>
  </si>
  <si>
    <t>D0554068:K15</t>
  </si>
  <si>
    <t>D0545766:I13</t>
  </si>
  <si>
    <t>D0554067:H01</t>
  </si>
  <si>
    <t>D0545762:K05</t>
  </si>
  <si>
    <t>D0554065:O18</t>
  </si>
  <si>
    <t>D0545744:O21</t>
  </si>
  <si>
    <t>D0554071:J03</t>
  </si>
  <si>
    <t>D0545768:H03</t>
  </si>
  <si>
    <t>D0554071:K02</t>
  </si>
  <si>
    <t>D0545770:E13</t>
  </si>
  <si>
    <t>D0554065:E18</t>
  </si>
  <si>
    <t>D0552256:O14</t>
  </si>
  <si>
    <t>D0554068:D01</t>
  </si>
  <si>
    <t>D0545770:I03</t>
  </si>
  <si>
    <t>D0554067:M08</t>
  </si>
  <si>
    <t>D0552256:H02</t>
  </si>
  <si>
    <t>D0554067:O01</t>
  </si>
  <si>
    <t>D0545772:G01</t>
  </si>
  <si>
    <t>D0554063:C08</t>
  </si>
  <si>
    <t>D0545762:C09</t>
  </si>
  <si>
    <t>D0554065:B02</t>
  </si>
  <si>
    <t>D0545758:I06</t>
  </si>
  <si>
    <t>D0554065:A15</t>
  </si>
  <si>
    <t>D0545760:H06</t>
  </si>
  <si>
    <t>D0554071:F03</t>
  </si>
  <si>
    <t>D0545766:N23</t>
  </si>
  <si>
    <t>D0554063:O23</t>
  </si>
  <si>
    <t>D0552256:K10</t>
  </si>
  <si>
    <t>D0554069:L16</t>
  </si>
  <si>
    <t>TR06472261-001</t>
  </si>
  <si>
    <t>D0545766:J11</t>
  </si>
  <si>
    <t>D0554068:M07</t>
  </si>
  <si>
    <t>D0545752:O03</t>
  </si>
  <si>
    <t>D0554068:N17</t>
  </si>
  <si>
    <t>D0545766:L22</t>
  </si>
  <si>
    <t>D0554071:L11</t>
  </si>
  <si>
    <t>TR06536258-001</t>
  </si>
  <si>
    <t>D0545768:C03</t>
  </si>
  <si>
    <t>D0554063:B16</t>
  </si>
  <si>
    <t>D0552256:J13</t>
  </si>
  <si>
    <t>D0554071:J16</t>
  </si>
  <si>
    <t>D0545770:E09</t>
  </si>
  <si>
    <t>D0554069:J06</t>
  </si>
  <si>
    <t>TR06460315-001</t>
  </si>
  <si>
    <t>D0545766:C04</t>
  </si>
  <si>
    <t>D0554067:D01</t>
  </si>
  <si>
    <t>D0552256:M02</t>
  </si>
  <si>
    <t>D0554065:O10</t>
  </si>
  <si>
    <t>D0552256:L12</t>
  </si>
  <si>
    <t>D0554067:D10</t>
  </si>
  <si>
    <t>D0545758:A21</t>
  </si>
  <si>
    <t>D0554063:N19</t>
  </si>
  <si>
    <t>D0545762:E18</t>
  </si>
  <si>
    <t>D0554063:B21</t>
  </si>
  <si>
    <t>D0552256:L02</t>
  </si>
  <si>
    <t>D0554063:B05</t>
  </si>
  <si>
    <t>D0552256:I11</t>
  </si>
  <si>
    <t>D0554063:J19</t>
  </si>
  <si>
    <t>D0545760:D18</t>
  </si>
  <si>
    <t>D0554063:J07</t>
  </si>
  <si>
    <t>D0545766:P19</t>
  </si>
  <si>
    <t>D0554065:C04</t>
  </si>
  <si>
    <t>D0545762:K15</t>
  </si>
  <si>
    <t>D0554071:M07</t>
  </si>
  <si>
    <t>D0552256:J15</t>
  </si>
  <si>
    <t>D0554063:B04</t>
  </si>
  <si>
    <t>D0545762:C03</t>
  </si>
  <si>
    <t>D0554063:A09</t>
  </si>
  <si>
    <t>D0552256:B08</t>
  </si>
  <si>
    <t>D0554063:O10</t>
  </si>
  <si>
    <t>D0545744:I07</t>
  </si>
  <si>
    <t>D0554065:N19</t>
  </si>
  <si>
    <t>D0545758:E06</t>
  </si>
  <si>
    <t>D0554071:B16</t>
  </si>
  <si>
    <t>D0545762:G10</t>
  </si>
  <si>
    <t>D0554065:J02</t>
  </si>
  <si>
    <t>D0545766:K12</t>
  </si>
  <si>
    <t>D0554063:C05</t>
  </si>
  <si>
    <t>D0545766:H13</t>
  </si>
  <si>
    <t>D0554063:D19</t>
  </si>
  <si>
    <t>D0552256:K02</t>
  </si>
  <si>
    <t>D0554067:B02</t>
  </si>
  <si>
    <t>D0545760:N09</t>
  </si>
  <si>
    <t>D0554063:G02</t>
  </si>
  <si>
    <t>D0552256:G12</t>
  </si>
  <si>
    <t>D0554063:J09</t>
  </si>
  <si>
    <t>D0552256:N11</t>
  </si>
  <si>
    <t>D0554070:D18</t>
  </si>
  <si>
    <t>D0545760:A06</t>
  </si>
  <si>
    <t>D0554065:O19</t>
  </si>
  <si>
    <t>D0545758:C03</t>
  </si>
  <si>
    <t>D0554065:F23</t>
  </si>
  <si>
    <t>D0545760:F07</t>
  </si>
  <si>
    <t>D0554063:O08</t>
  </si>
  <si>
    <t>D0545744:J07</t>
  </si>
  <si>
    <t>D0554063:F18</t>
  </si>
  <si>
    <t>D0545758:A16</t>
  </si>
  <si>
    <t>D0554070:K03</t>
  </si>
  <si>
    <t>D0545768:O17</t>
  </si>
  <si>
    <t>D0554065:L05</t>
  </si>
  <si>
    <t>D0552256:G10</t>
  </si>
  <si>
    <t>D0554065:O15</t>
  </si>
  <si>
    <t>D0552256:H16</t>
  </si>
  <si>
    <t>D0554063:C07</t>
  </si>
  <si>
    <t>D0552256:D02</t>
  </si>
  <si>
    <t>D0554065:G05</t>
  </si>
  <si>
    <t>D0545772:E01</t>
  </si>
  <si>
    <t>D0554065:O21</t>
  </si>
  <si>
    <t>D0552256:I13</t>
  </si>
  <si>
    <t>D0554070:K05</t>
  </si>
  <si>
    <t>D0545758:D22</t>
  </si>
  <si>
    <t>D0554065:C07</t>
  </si>
  <si>
    <t>D0552256:M04</t>
  </si>
  <si>
    <t>D0554071:I15</t>
  </si>
  <si>
    <t>D0545762:K07</t>
  </si>
  <si>
    <t>D0554063:K22</t>
  </si>
  <si>
    <t>D0545760:B14</t>
  </si>
  <si>
    <t>D0554068:C19</t>
  </si>
  <si>
    <t>D0552256:C20</t>
  </si>
  <si>
    <t>D0554070:A08</t>
  </si>
  <si>
    <t>D0545770:G17</t>
  </si>
  <si>
    <t>D0554063:B11</t>
  </si>
  <si>
    <t>D0552256:L18</t>
  </si>
  <si>
    <t>D0554063:E20</t>
  </si>
  <si>
    <t>D0552256:G14</t>
  </si>
  <si>
    <t>D0554065:F08</t>
  </si>
  <si>
    <t>D0545768:C10</t>
  </si>
  <si>
    <t>D0554063:A10</t>
  </si>
  <si>
    <t>D0552256:N08</t>
  </si>
  <si>
    <t>D0554063:E18</t>
  </si>
  <si>
    <t>D0552256:L08</t>
  </si>
  <si>
    <t>D0554065:C19</t>
  </si>
  <si>
    <t>D0545758:J15</t>
  </si>
  <si>
    <t>D0554063:B20</t>
  </si>
  <si>
    <t>D0545760:G24</t>
  </si>
  <si>
    <t>D0554065:E02</t>
  </si>
  <si>
    <t>D0545758:P13</t>
  </si>
  <si>
    <t>D0554063:D09</t>
  </si>
  <si>
    <t>D0552256:N03</t>
  </si>
  <si>
    <t>D0554065:I01</t>
  </si>
  <si>
    <t>D0552256:E06</t>
  </si>
  <si>
    <t>D0554065:A06</t>
  </si>
  <si>
    <t>D0545772:C09</t>
  </si>
  <si>
    <t>D0554063:G08</t>
  </si>
  <si>
    <t>D0545760:F04</t>
  </si>
  <si>
    <t>D0554065:L08</t>
  </si>
  <si>
    <t>D0552256:F09</t>
  </si>
  <si>
    <t>D0554063:D18</t>
  </si>
  <si>
    <t>D0545744:O11</t>
  </si>
  <si>
    <t>D0554065:C21</t>
  </si>
  <si>
    <t>D0552256:N19</t>
  </si>
  <si>
    <t>D0554063:N16</t>
  </si>
  <si>
    <t>D0552256:K14</t>
  </si>
  <si>
    <t>D0554065:A09</t>
  </si>
  <si>
    <t>D0545772:A03</t>
  </si>
  <si>
    <t>D0554063:L07</t>
  </si>
  <si>
    <t>D0552256:M14</t>
  </si>
  <si>
    <t>D0554063:O01</t>
  </si>
  <si>
    <t>D0545760:L11</t>
  </si>
  <si>
    <t>D0554065:L06</t>
  </si>
  <si>
    <t>D0545758:I23</t>
  </si>
  <si>
    <t>D0554065:L03</t>
  </si>
  <si>
    <t>D0552256:K04</t>
  </si>
  <si>
    <t>D0554065:F05</t>
  </si>
  <si>
    <t>D0552256:C13</t>
  </si>
  <si>
    <t>D0554065:H21</t>
  </si>
  <si>
    <t>D0545764:P20</t>
  </si>
  <si>
    <t>D0554071:I22</t>
  </si>
  <si>
    <t>D0545766:J04</t>
  </si>
  <si>
    <t>D0554069:I03</t>
  </si>
  <si>
    <t>TR06446075-002</t>
  </si>
  <si>
    <t>D0545768:K19</t>
  </si>
  <si>
    <t>D0554063:J22</t>
  </si>
  <si>
    <t>D0545770:M13</t>
  </si>
  <si>
    <t>D0554063:F13</t>
  </si>
  <si>
    <t>D0552256:K16</t>
  </si>
  <si>
    <t>D0554069:O19</t>
  </si>
  <si>
    <t>TR06475156-002</t>
  </si>
  <si>
    <t>D0545766:N05</t>
  </si>
  <si>
    <t>D0554065:P14</t>
  </si>
  <si>
    <t>D0545766:D17</t>
  </si>
  <si>
    <t>D0554065:K08</t>
  </si>
  <si>
    <t>D0545760:L08</t>
  </si>
  <si>
    <t>D0554065:G14</t>
  </si>
  <si>
    <t>D0545762:D03</t>
  </si>
  <si>
    <t>D0554063:P11</t>
  </si>
  <si>
    <t>D0545758:O19</t>
  </si>
  <si>
    <t>D0554065:E13</t>
  </si>
  <si>
    <t>D0552256:D11</t>
  </si>
  <si>
    <t>D0554070:C07</t>
  </si>
  <si>
    <t>D0545766:O04</t>
  </si>
  <si>
    <t>D0554065:K02</t>
  </si>
  <si>
    <t>D0552256:G16</t>
  </si>
  <si>
    <t>D0554063:I14</t>
  </si>
  <si>
    <t>D0552256:M16</t>
  </si>
  <si>
    <t>D0554067:P08</t>
  </si>
  <si>
    <t>D0545760:P24</t>
  </si>
  <si>
    <t>D0554065:D09</t>
  </si>
  <si>
    <t>D0545766:K15</t>
  </si>
  <si>
    <t>D0554065:O14</t>
  </si>
  <si>
    <t>D0545772:O17</t>
  </si>
  <si>
    <t>D0554067:J02</t>
  </si>
  <si>
    <t>D0545744:E11</t>
  </si>
  <si>
    <t>D0554067:I06</t>
  </si>
  <si>
    <t>D0545758:C07</t>
  </si>
  <si>
    <t>D0554067:H10</t>
  </si>
  <si>
    <t>D0552256:J06</t>
  </si>
  <si>
    <t>D0554067:A09</t>
  </si>
  <si>
    <t>D0545768:K17</t>
  </si>
  <si>
    <t>D0554070:M17</t>
  </si>
  <si>
    <t>D0545768:J05</t>
  </si>
  <si>
    <t>D0554071:E24</t>
  </si>
  <si>
    <t>D0545762:P12</t>
  </si>
  <si>
    <t>D0554067:M06</t>
  </si>
  <si>
    <t>D0545760:A14</t>
  </si>
  <si>
    <t>D0554067:M01</t>
  </si>
  <si>
    <t>D0545758:N04</t>
  </si>
  <si>
    <t>D0554069:C10</t>
  </si>
  <si>
    <t>TR06466788-001</t>
  </si>
  <si>
    <t>D0545750:K08</t>
  </si>
  <si>
    <t>D0554069:E01</t>
  </si>
  <si>
    <t>TR06445505-001</t>
  </si>
  <si>
    <t>D0545762:A15</t>
  </si>
  <si>
    <t>D0554070:K14</t>
  </si>
  <si>
    <t>D0545748:I11</t>
  </si>
  <si>
    <t>D0554067:N15</t>
  </si>
  <si>
    <t>D0545766:J19</t>
  </si>
  <si>
    <t>D0554069:K05</t>
  </si>
  <si>
    <t>TR06459794-001</t>
  </si>
  <si>
    <t>D0552256:B15</t>
  </si>
  <si>
    <t>D0554070:A20</t>
  </si>
  <si>
    <t>D0545766:L17</t>
  </si>
  <si>
    <t>D0554068:F15</t>
  </si>
  <si>
    <t>D0545766:A03</t>
  </si>
  <si>
    <t>D0554068:G08</t>
  </si>
  <si>
    <t>D0545770:D01</t>
  </si>
  <si>
    <t>D0554069:K23</t>
  </si>
  <si>
    <t>TR06482248-002</t>
  </si>
  <si>
    <t>D0545754:C11</t>
  </si>
  <si>
    <t>D0554067:G01</t>
  </si>
  <si>
    <t>D0545744:K13</t>
  </si>
  <si>
    <t>D0554069:A02</t>
  </si>
  <si>
    <t>TR06445653-002</t>
  </si>
  <si>
    <t>D0545760:N05</t>
  </si>
  <si>
    <t>D0554067:P18</t>
  </si>
  <si>
    <t>D0552256:F15</t>
  </si>
  <si>
    <t>D0554072:O01</t>
  </si>
  <si>
    <t>D0552256:N15</t>
  </si>
  <si>
    <t>D0554069:D05</t>
  </si>
  <si>
    <t>TR06449544-001</t>
  </si>
  <si>
    <t>D0545770:M08</t>
  </si>
  <si>
    <t>D0554069:D01</t>
  </si>
  <si>
    <t>TR06445504-002</t>
  </si>
  <si>
    <t>D0552256:E09</t>
  </si>
  <si>
    <t>D0554069:E19</t>
  </si>
  <si>
    <t>TR06474986-001</t>
  </si>
  <si>
    <t>D0545768:I08</t>
  </si>
  <si>
    <t>D0554071:H17</t>
  </si>
  <si>
    <t>D0545766:O22</t>
  </si>
  <si>
    <t>D0554069:P20</t>
  </si>
  <si>
    <t>TR06480106-001</t>
  </si>
  <si>
    <t>D0552256:B21</t>
  </si>
  <si>
    <t>D0554069:G12</t>
  </si>
  <si>
    <t>TR06470375-001</t>
  </si>
  <si>
    <t>D0545768:L15</t>
  </si>
  <si>
    <t>D0554069:D21</t>
  </si>
  <si>
    <t>TR06480183-001</t>
  </si>
  <si>
    <t>D0552256:K07</t>
  </si>
  <si>
    <t>D0554069:I23</t>
  </si>
  <si>
    <t>TR06481516-001</t>
  </si>
  <si>
    <t>D0552256:E03</t>
  </si>
  <si>
    <t>D0554069:O05</t>
  </si>
  <si>
    <t>TR06459823-001</t>
  </si>
  <si>
    <t>D0552256:J21</t>
  </si>
  <si>
    <t>D0554067:F03</t>
  </si>
  <si>
    <t>D0545766:B04</t>
  </si>
  <si>
    <t>D0554067:L10</t>
  </si>
  <si>
    <t>D0545758:L11</t>
  </si>
  <si>
    <t>D0554067:O10</t>
  </si>
  <si>
    <t>D0545760:P08</t>
  </si>
  <si>
    <t>D0554067:F15</t>
  </si>
  <si>
    <t>D0545754:P19</t>
  </si>
  <si>
    <t>D0554067:C21</t>
  </si>
  <si>
    <t>D0552256:M13</t>
  </si>
  <si>
    <t>D0554067:F04</t>
  </si>
  <si>
    <t>D0545758:C01</t>
  </si>
  <si>
    <t>D0554069:K09</t>
  </si>
  <si>
    <t>TR06466575-001</t>
  </si>
  <si>
    <t>D0545768:G01</t>
  </si>
  <si>
    <t>D0554067:P09</t>
  </si>
  <si>
    <t>D0545762:G16</t>
  </si>
  <si>
    <t>D0554069:M18</t>
  </si>
  <si>
    <t>TR06473965-001</t>
  </si>
  <si>
    <t>D0545766:F23</t>
  </si>
  <si>
    <t>D0554067:O16</t>
  </si>
  <si>
    <t>D0545766:D24</t>
  </si>
  <si>
    <t>D0554070:M23</t>
  </si>
  <si>
    <t>D0552256:D19</t>
  </si>
  <si>
    <t>D0554069:H24</t>
  </si>
  <si>
    <t>TR06482891-001</t>
  </si>
  <si>
    <t>D0545766:D19</t>
  </si>
  <si>
    <t>D0554071:N05</t>
  </si>
  <si>
    <t>D0545754:A14</t>
  </si>
  <si>
    <t>D0554067:F23</t>
  </si>
  <si>
    <t>D0552256:O20</t>
  </si>
  <si>
    <t>D0554068:C13</t>
  </si>
  <si>
    <t>D0545770:H03</t>
  </si>
  <si>
    <t>D0554067:B21</t>
  </si>
  <si>
    <t>D0552256:J17</t>
  </si>
  <si>
    <t>D0554067:J09</t>
  </si>
  <si>
    <t>D0545758:M07</t>
  </si>
  <si>
    <t>D0554067:M17</t>
  </si>
  <si>
    <t>D0545762:K09</t>
  </si>
  <si>
    <t>D0554069:C21</t>
  </si>
  <si>
    <t>TR06480182-002</t>
  </si>
  <si>
    <t>D0552256:E05</t>
  </si>
  <si>
    <t>D0554067:G11</t>
  </si>
  <si>
    <t>D0552256:E16</t>
  </si>
  <si>
    <t>D0554069:H06</t>
  </si>
  <si>
    <t>TR06460079-002</t>
  </si>
  <si>
    <t>D0545768:H15</t>
  </si>
  <si>
    <t>D0554069:P10</t>
  </si>
  <si>
    <t>TR06467963-001</t>
  </si>
  <si>
    <t>D0545768:A14</t>
  </si>
  <si>
    <t>D0554070:H02</t>
  </si>
  <si>
    <t>D0545758:C16</t>
  </si>
  <si>
    <t>D0554070:N17</t>
  </si>
  <si>
    <t>D0552256:F23</t>
  </si>
  <si>
    <t>D0554069:G15</t>
  </si>
  <si>
    <t>TR06471854-001</t>
  </si>
  <si>
    <t>D0545766:N22</t>
  </si>
  <si>
    <t>D0554069:F11</t>
  </si>
  <si>
    <t>TR06468091-002</t>
  </si>
  <si>
    <t>D0552256:F12</t>
  </si>
  <si>
    <t>D0554069:D08</t>
  </si>
  <si>
    <t>TR06460783-002</t>
  </si>
  <si>
    <t>D0545766:M14</t>
  </si>
  <si>
    <t>D0554067:K02</t>
  </si>
  <si>
    <t>D0545768:M08</t>
  </si>
  <si>
    <t>D0554069:B19</t>
  </si>
  <si>
    <t>TR06474916-002</t>
  </si>
  <si>
    <t>D0552256:D08</t>
  </si>
  <si>
    <t>D0554067:G16</t>
  </si>
  <si>
    <t>D0545770:A09</t>
  </si>
  <si>
    <t>D0554067:L01</t>
  </si>
  <si>
    <t>D0545758:I21</t>
  </si>
  <si>
    <t>D0554067:A05</t>
  </si>
  <si>
    <t>D0545746:B19</t>
  </si>
  <si>
    <t>D0554067:I05</t>
  </si>
  <si>
    <t>D0552256:F03</t>
  </si>
  <si>
    <t>D0554070:H17</t>
  </si>
  <si>
    <t>D0545766:F18</t>
  </si>
  <si>
    <t>D0554070:G15</t>
  </si>
  <si>
    <t>D0545762:D24</t>
  </si>
  <si>
    <t>D0554068:B20</t>
  </si>
  <si>
    <t>D0552256:K03</t>
  </si>
  <si>
    <t>D0554069:E14</t>
  </si>
  <si>
    <t>TR06470902-001</t>
  </si>
  <si>
    <t>D0552256:J07</t>
  </si>
  <si>
    <t>D0554069:A14</t>
  </si>
  <si>
    <t>TR06470830-002</t>
  </si>
  <si>
    <t>D0545758:A15</t>
  </si>
  <si>
    <t>D0554069:M02</t>
  </si>
  <si>
    <t>TR06445892-001</t>
  </si>
  <si>
    <t>D0552256:F21</t>
  </si>
  <si>
    <t>D0554069:O07</t>
  </si>
  <si>
    <t>TR06460556-001</t>
  </si>
  <si>
    <t>D0545760:I10</t>
  </si>
  <si>
    <t>D0554069:G01</t>
  </si>
  <si>
    <t>TR06445507-001</t>
  </si>
  <si>
    <t>D0552256:O10</t>
  </si>
  <si>
    <t>D0554067:E06</t>
  </si>
  <si>
    <t>D0545750:H20</t>
  </si>
  <si>
    <t>D0554068:J08</t>
  </si>
  <si>
    <t>D0545750:E14</t>
  </si>
  <si>
    <t>D0554067:H18</t>
  </si>
  <si>
    <t>D0545764:L03</t>
  </si>
  <si>
    <t>D0554068:F08</t>
  </si>
  <si>
    <t>D0545758:E10</t>
  </si>
  <si>
    <t>D0554069:A11</t>
  </si>
  <si>
    <t>TR06468002-002</t>
  </si>
  <si>
    <t>D0545748:P09</t>
  </si>
  <si>
    <t>D0554067:P04</t>
  </si>
  <si>
    <t>D0545744:D13</t>
  </si>
  <si>
    <t>D0554067:B09</t>
  </si>
  <si>
    <t>D0552256:D10</t>
  </si>
  <si>
    <t>D0554067:J20</t>
  </si>
  <si>
    <t>D0552256:H09</t>
  </si>
  <si>
    <t>D0554069:K11</t>
  </si>
  <si>
    <t>TR06468208-001</t>
  </si>
  <si>
    <t>D0545770:E19</t>
  </si>
  <si>
    <t>D0554069:N06</t>
  </si>
  <si>
    <t>TR06460379-002</t>
  </si>
  <si>
    <t>D0545758:F03</t>
  </si>
  <si>
    <t>D0554067:F06</t>
  </si>
  <si>
    <t>D0552256:C03</t>
  </si>
  <si>
    <t>D0554067:P01</t>
  </si>
  <si>
    <t>D0552256:F04</t>
  </si>
  <si>
    <t>D0554067:G14</t>
  </si>
  <si>
    <t>D0552256:O08</t>
  </si>
  <si>
    <t>D0554072:E02</t>
  </si>
  <si>
    <t>D0545770:A03</t>
  </si>
  <si>
    <t>D0554067:N01</t>
  </si>
  <si>
    <t>D0552256:N05</t>
  </si>
  <si>
    <t>D0554069:F20</t>
  </si>
  <si>
    <t>TR06475416-001</t>
  </si>
  <si>
    <t>D0552256:J09</t>
  </si>
  <si>
    <t>D0554069:G20</t>
  </si>
  <si>
    <t>TR06475418-001</t>
  </si>
  <si>
    <t>D0545754:C12</t>
  </si>
  <si>
    <t>D0554069:M10</t>
  </si>
  <si>
    <t>TR06467921-002</t>
  </si>
  <si>
    <t>D0545758:H03</t>
  </si>
  <si>
    <t>D0554069:M17</t>
  </si>
  <si>
    <t>TR06473786-002</t>
  </si>
  <si>
    <t>D0545770:N09</t>
  </si>
  <si>
    <t>D0554067:M14</t>
  </si>
  <si>
    <t>D0545754:B05</t>
  </si>
  <si>
    <t>D0554067:C11</t>
  </si>
  <si>
    <t>D0552256:G03</t>
  </si>
  <si>
    <t>D0554069:L01</t>
  </si>
  <si>
    <t>TR06445557-001</t>
  </si>
  <si>
    <t>D0545766:F24</t>
  </si>
  <si>
    <t>D0554068:A16</t>
  </si>
  <si>
    <t>D0552256:I03</t>
  </si>
  <si>
    <t>D0554069:E16</t>
  </si>
  <si>
    <t>TR06472138-001</t>
  </si>
  <si>
    <t>D0545758:C23</t>
  </si>
  <si>
    <t>D0554071:O18</t>
  </si>
  <si>
    <t>D0545770:E11</t>
  </si>
  <si>
    <t>D0554070:K17</t>
  </si>
  <si>
    <t>D0545766:M03</t>
  </si>
  <si>
    <t>D0554069:K01</t>
  </si>
  <si>
    <t>TR06445556-001</t>
  </si>
  <si>
    <t>D0552256:N23</t>
  </si>
  <si>
    <t>D0554069:C01</t>
  </si>
  <si>
    <t>TR06445467-002</t>
  </si>
  <si>
    <t>D0545766:L13</t>
  </si>
  <si>
    <t>D0554072:A01</t>
  </si>
  <si>
    <t>D0545770:I19</t>
  </si>
  <si>
    <t>D0554070:N04</t>
  </si>
  <si>
    <t>D0552256:M07</t>
  </si>
  <si>
    <t>D0554072:F02</t>
  </si>
  <si>
    <t>D0545766:O13</t>
  </si>
  <si>
    <t>D0554070:G06</t>
  </si>
  <si>
    <t>D0545770:G07</t>
  </si>
  <si>
    <t>D0554068:G14</t>
  </si>
  <si>
    <t>D0545752:L20</t>
  </si>
  <si>
    <t>D0554070:F02</t>
  </si>
  <si>
    <t>D0552256:D21</t>
  </si>
  <si>
    <t>D0554071:J22</t>
  </si>
  <si>
    <t>D0545766:L08</t>
  </si>
  <si>
    <t>D0554072:H19</t>
  </si>
  <si>
    <t>D0554070:I07</t>
  </si>
  <si>
    <t>D0545760:N08</t>
  </si>
  <si>
    <t>D0554070:H22</t>
  </si>
  <si>
    <t>D0552256:E04</t>
  </si>
  <si>
    <t>D0554070:N16</t>
  </si>
  <si>
    <t>D0545770:A23</t>
  </si>
  <si>
    <t>D0554070:L07</t>
  </si>
  <si>
    <t>D0545766:D08</t>
  </si>
  <si>
    <t>D0554071:I23</t>
  </si>
  <si>
    <t>D0552256:C05</t>
  </si>
  <si>
    <t>D0554070:F11</t>
  </si>
  <si>
    <t>D0545770:L01</t>
  </si>
  <si>
    <t>D0554070:I17</t>
  </si>
  <si>
    <t>D0552256:D17</t>
  </si>
  <si>
    <t>D0554068:H03</t>
  </si>
  <si>
    <t>D0552256:M05</t>
  </si>
  <si>
    <t>D0554068:N19</t>
  </si>
  <si>
    <t>D0545768:G16</t>
  </si>
  <si>
    <t>D0554070:A18</t>
  </si>
  <si>
    <t>D0552256:J23</t>
  </si>
  <si>
    <t>D0554070:A12</t>
  </si>
  <si>
    <t>D0552256:F17</t>
  </si>
  <si>
    <t>D0554070:M07</t>
  </si>
  <si>
    <t>D0545768:C07</t>
  </si>
  <si>
    <t>D0554070:N06</t>
  </si>
  <si>
    <t>D0545758:B03</t>
  </si>
  <si>
    <t>D0554068:I21</t>
  </si>
  <si>
    <t>D0545770:G15</t>
  </si>
  <si>
    <t>D0554068:C14</t>
  </si>
  <si>
    <t>D0545766:A22</t>
  </si>
  <si>
    <t>D0554070:P20</t>
  </si>
  <si>
    <t>D0545766:E20</t>
  </si>
  <si>
    <t>D0554068:O05</t>
  </si>
  <si>
    <t>D0545766:N02</t>
  </si>
  <si>
    <t>D0554070:E14</t>
  </si>
  <si>
    <t>D0552256:O07</t>
  </si>
  <si>
    <t>D0554070:D04</t>
  </si>
  <si>
    <t>D0545766:C11</t>
  </si>
  <si>
    <t>D0554070:E24</t>
  </si>
  <si>
    <t>D0552256:O03</t>
  </si>
  <si>
    <t>D0554070:D11</t>
  </si>
  <si>
    <t>D0552256:F13</t>
  </si>
  <si>
    <t>D0554071:N21</t>
  </si>
  <si>
    <t>D0545768:A18</t>
  </si>
  <si>
    <t>D0554070:K01</t>
  </si>
  <si>
    <t>D0552256:G09</t>
  </si>
  <si>
    <t>D0554068:G22</t>
  </si>
  <si>
    <t>D0552256:G05</t>
  </si>
  <si>
    <t>D0554071:E01</t>
  </si>
  <si>
    <t>D0545764:H03</t>
  </si>
  <si>
    <t>D0554071:K21</t>
  </si>
  <si>
    <t>D0545766:I23</t>
  </si>
  <si>
    <t>D0554068:D22</t>
  </si>
  <si>
    <t>D0545754:O09</t>
  </si>
  <si>
    <t>D0554071:I01</t>
  </si>
  <si>
    <t>D0545764:J17</t>
  </si>
  <si>
    <t>D0554071:E11</t>
  </si>
  <si>
    <t>TR06536079-001</t>
  </si>
  <si>
    <t>D0545770:A08</t>
  </si>
  <si>
    <t>D0554071:P13</t>
  </si>
  <si>
    <t>TR06540642-001</t>
  </si>
  <si>
    <t>D0545768:A21</t>
  </si>
  <si>
    <t>D0554071:F10</t>
  </si>
  <si>
    <t>TR06532545-001</t>
  </si>
  <si>
    <t>D0545770:N03</t>
  </si>
  <si>
    <t>D0554068:J16</t>
  </si>
  <si>
    <t>D0545754:A17</t>
  </si>
  <si>
    <t>D0554071:P14</t>
  </si>
  <si>
    <t>D0545768:P14</t>
  </si>
  <si>
    <t>D0554071:F09</t>
  </si>
  <si>
    <t>D0545750:K09</t>
  </si>
  <si>
    <t>D0554068:P19</t>
  </si>
  <si>
    <t>D0545768:D01</t>
  </si>
  <si>
    <t>D0554071:I21</t>
  </si>
  <si>
    <t>D0545766:D18</t>
  </si>
  <si>
    <t>D0554068:B07</t>
  </si>
  <si>
    <t>D0545768:E17</t>
  </si>
  <si>
    <t>D0554071:J09</t>
  </si>
  <si>
    <t>D0545758:E16</t>
  </si>
  <si>
    <t>D0554068:M23</t>
  </si>
  <si>
    <t>D0545768:L08</t>
  </si>
  <si>
    <t>D0554071:B22</t>
  </si>
  <si>
    <t>D0545768:B06</t>
  </si>
  <si>
    <t>D0554071:G14</t>
  </si>
  <si>
    <t>TR06540665-002</t>
  </si>
  <si>
    <t>D0552256:I20</t>
  </si>
  <si>
    <t>D0554071:M16</t>
  </si>
  <si>
    <t>D0545770:M17</t>
  </si>
  <si>
    <t>D0554068:O10</t>
  </si>
  <si>
    <t>D0545770:G11</t>
  </si>
  <si>
    <t>D0554071:L19</t>
  </si>
  <si>
    <t>D0545770:K10</t>
  </si>
  <si>
    <t>D0554071:P20</t>
  </si>
  <si>
    <t>D0545764:B05</t>
  </si>
  <si>
    <t>D0554068:C20</t>
  </si>
  <si>
    <t>D0552256:F19</t>
  </si>
  <si>
    <t>D0554068:O23</t>
  </si>
  <si>
    <t>D0545766:H08</t>
  </si>
  <si>
    <t>D0554068:G01</t>
  </si>
  <si>
    <t>D0545770:E10</t>
  </si>
  <si>
    <t>D0554068:N13</t>
  </si>
  <si>
    <t>D0545760:N17</t>
  </si>
  <si>
    <t>D0554071:L13</t>
  </si>
  <si>
    <t>TR06540608-001</t>
  </si>
  <si>
    <t>D0545766:H18</t>
  </si>
  <si>
    <t>D0554068:G09</t>
  </si>
  <si>
    <t>D0545766:L23</t>
  </si>
  <si>
    <t>D0554068:B18</t>
  </si>
  <si>
    <t>D0545770:O23</t>
  </si>
  <si>
    <t>D0554068:L15</t>
  </si>
  <si>
    <t>D0552256:B18</t>
  </si>
  <si>
    <t>D0554068:G21</t>
  </si>
  <si>
    <t>D0552256:N17</t>
  </si>
  <si>
    <t>D0554068:M10</t>
  </si>
  <si>
    <t>D0545772:K13</t>
  </si>
  <si>
    <t>D0554068:F03</t>
  </si>
  <si>
    <t>D0545772:O15</t>
  </si>
  <si>
    <t>D0554068:O15</t>
  </si>
  <si>
    <t>D0545766:E08</t>
  </si>
  <si>
    <t>D0554068:H06</t>
  </si>
  <si>
    <t>D0545766:M09</t>
  </si>
  <si>
    <t>D0554071:J04</t>
  </si>
  <si>
    <t>D0545770:D05</t>
  </si>
  <si>
    <t>D0554068:C07</t>
  </si>
  <si>
    <t>D0545758:N05</t>
  </si>
  <si>
    <t>D0554068:G20</t>
  </si>
  <si>
    <t>D0545744:M13</t>
  </si>
  <si>
    <t>D0554071:E18</t>
  </si>
  <si>
    <t>D0545754:M11</t>
  </si>
  <si>
    <t>D0554071:N01</t>
  </si>
  <si>
    <t>D0545766:K24</t>
  </si>
  <si>
    <t>D0554068:A03</t>
  </si>
  <si>
    <t>D0552256:O04</t>
  </si>
  <si>
    <t>D0554068:O04</t>
  </si>
  <si>
    <t>D0545768:B16</t>
  </si>
  <si>
    <t>D0554071:E23</t>
  </si>
  <si>
    <t>D0552256:L15</t>
  </si>
  <si>
    <t>D0554071:J13</t>
  </si>
  <si>
    <t>TR06537730-001</t>
  </si>
  <si>
    <t>D0552256:I09</t>
  </si>
  <si>
    <t>D0554071:K18</t>
  </si>
  <si>
    <t>D0552256:H23</t>
  </si>
  <si>
    <t>D0554068:J20</t>
  </si>
  <si>
    <t>D0545764:A03</t>
  </si>
  <si>
    <t>D0554071:J10</t>
  </si>
  <si>
    <t>TR06532592-001</t>
  </si>
  <si>
    <t>D0545768:G22</t>
  </si>
  <si>
    <t>D0554071:C04</t>
  </si>
  <si>
    <t>D0545766:C09</t>
  </si>
  <si>
    <t>D0554068:M22</t>
  </si>
  <si>
    <t>D0545746:D19</t>
  </si>
  <si>
    <t>D0554071:M08</t>
  </si>
  <si>
    <t>D0545754:E06</t>
  </si>
  <si>
    <t>D0554068:L06</t>
  </si>
  <si>
    <t>D0552256:H21</t>
  </si>
  <si>
    <t>D0554068:L07</t>
  </si>
  <si>
    <t>D0552256:D18</t>
  </si>
  <si>
    <t>D0554071:D17</t>
  </si>
  <si>
    <t>D0545770:H01</t>
  </si>
  <si>
    <t>D0554068:N18</t>
  </si>
  <si>
    <t>D0545750:B15</t>
  </si>
  <si>
    <t>D0554068:I20</t>
  </si>
  <si>
    <t>D0545758:E17</t>
  </si>
  <si>
    <t>D0554071:A13</t>
  </si>
  <si>
    <t>TR06537483-002</t>
  </si>
  <si>
    <t>D0545768:G13</t>
  </si>
  <si>
    <t>D0554068:P18</t>
  </si>
  <si>
    <t>D0552256:I07</t>
  </si>
  <si>
    <t>D0554071:J11</t>
  </si>
  <si>
    <t>TR06536207-001</t>
  </si>
  <si>
    <t>D0552256:B13</t>
  </si>
  <si>
    <t>D0554071:J12</t>
  </si>
  <si>
    <t>TR06537326-001</t>
  </si>
  <si>
    <t>D0545760:O02</t>
  </si>
  <si>
    <t>STDEV</t>
  </si>
  <si>
    <t>1x</t>
  </si>
  <si>
    <t>2x</t>
  </si>
  <si>
    <t>D0554056:G11</t>
  </si>
  <si>
    <t>10-D06</t>
  </si>
  <si>
    <t>D0554056:D06</t>
  </si>
  <si>
    <t>10-E11</t>
  </si>
  <si>
    <t>D0554056:E11</t>
  </si>
  <si>
    <t>11-A23</t>
  </si>
  <si>
    <t>D0554056:A23</t>
  </si>
  <si>
    <t>top 10 hits</t>
  </si>
  <si>
    <t>Compound ID</t>
  </si>
  <si>
    <t>10 uM plates</t>
  </si>
  <si>
    <t>*</t>
  </si>
  <si>
    <t>a DNA synthesis inhibitor, also inhibits Akt in PC3 cell line</t>
  </si>
  <si>
    <t>a potent autophagy inhibitor</t>
  </si>
  <si>
    <t>1 uM plates</t>
  </si>
  <si>
    <t>SYR232841,PIK-III,VPS34-IN2</t>
  </si>
  <si>
    <t>Positive controls</t>
  </si>
  <si>
    <t>Negative controls</t>
  </si>
  <si>
    <t>2x (from positive)</t>
  </si>
  <si>
    <t>3x (from positive)</t>
  </si>
  <si>
    <t>2x (from negative)</t>
  </si>
  <si>
    <t>3x (from negative)</t>
  </si>
  <si>
    <t>Average</t>
  </si>
  <si>
    <t>STDEV (10 uM)</t>
  </si>
  <si>
    <t>STDEV (1 uM)</t>
  </si>
  <si>
    <t>compound stock 10 mM</t>
  </si>
  <si>
    <t xml:space="preserve">FTX-6058 </t>
  </si>
  <si>
    <t xml:space="preserve">MAK683 </t>
  </si>
  <si>
    <t>DMSO</t>
  </si>
  <si>
    <t xml:space="preserve">TR06628096-001 </t>
  </si>
  <si>
    <t xml:space="preserve">TR06628097-001 </t>
  </si>
  <si>
    <t>dilution</t>
  </si>
  <si>
    <t>media</t>
  </si>
  <si>
    <t>Stock</t>
  </si>
  <si>
    <t>2xConcentration</t>
  </si>
  <si>
    <t>1xconcentration</t>
  </si>
  <si>
    <t>Cells for two plates</t>
  </si>
  <si>
    <t>Volume ul</t>
  </si>
  <si>
    <t>concentration per ml</t>
  </si>
  <si>
    <t>Idoxuridine</t>
  </si>
  <si>
    <t xml:space="preserve">HiBiT </t>
  </si>
  <si>
    <t>CellTiter</t>
  </si>
  <si>
    <t>avergae</t>
  </si>
  <si>
    <t>1 HiBiT</t>
  </si>
  <si>
    <t>PIK III</t>
  </si>
  <si>
    <t>2-HiBiT</t>
  </si>
  <si>
    <t>TR06628096-PROTAK</t>
  </si>
  <si>
    <t xml:space="preserve">TR06628097-PROTAK </t>
  </si>
  <si>
    <t>3 plate 1 CellTiter</t>
  </si>
  <si>
    <t>4. plate 2 CellTiter</t>
  </si>
  <si>
    <t>10 uM</t>
  </si>
  <si>
    <t>3.3 uM</t>
  </si>
  <si>
    <t>1.1 uM</t>
  </si>
  <si>
    <t>0.37 uM</t>
  </si>
  <si>
    <t>TR06428693</t>
  </si>
  <si>
    <t>TR06444119</t>
  </si>
  <si>
    <t>TR06413120</t>
  </si>
  <si>
    <t>SYR918613Z</t>
  </si>
  <si>
    <t>S8245</t>
  </si>
  <si>
    <t>D0539576</t>
  </si>
  <si>
    <t>SELLECK CHEMICALS LLC</t>
  </si>
  <si>
    <t>Sirtuin</t>
  </si>
  <si>
    <t>TR01512012</t>
  </si>
  <si>
    <t>TR06547740</t>
  </si>
  <si>
    <t>TR06417128</t>
  </si>
  <si>
    <t>SYR918564Z</t>
  </si>
  <si>
    <t>S8190</t>
  </si>
  <si>
    <t>TR06445421</t>
  </si>
  <si>
    <t>TR06468130</t>
  </si>
  <si>
    <t>SYR917306Z</t>
  </si>
  <si>
    <t>S4059</t>
  </si>
  <si>
    <t>D0539566</t>
  </si>
  <si>
    <t>TR06403857</t>
  </si>
  <si>
    <t>VPS34-IN2</t>
  </si>
  <si>
    <t>PIK-III</t>
  </si>
  <si>
    <t>TR06482719</t>
  </si>
  <si>
    <t>SYR232841Z</t>
  </si>
  <si>
    <t>S7683</t>
  </si>
  <si>
    <t>From Bioduro</t>
  </si>
  <si>
    <t>FIX-6058 (Fulcrum)</t>
  </si>
  <si>
    <t>TR06682164</t>
  </si>
  <si>
    <t>MAK683 (Fulcrum)</t>
  </si>
  <si>
    <t>TR06620821</t>
  </si>
  <si>
    <t>TR06554093</t>
  </si>
  <si>
    <t>SYR102952</t>
  </si>
  <si>
    <t>TR01078258</t>
  </si>
  <si>
    <t>TR01406268</t>
  </si>
  <si>
    <t>TR02163630</t>
  </si>
  <si>
    <t>From HRI library</t>
  </si>
  <si>
    <t>TR06160425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</si>
</sst>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"/>
    <numFmt numFmtId="165" formatCode="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8"/>
      <name val="Arial"/>
    </font>
    <font>
      <b/>
      <sz val="18"/>
      <color rgb="FFFFFFFF"/>
      <name val="Calibri"/>
    </font>
    <font>
      <sz val="12"/>
      <color rgb="FF000000"/>
      <name val="Calibri"/>
      <family val="2"/>
    </font>
    <font>
      <sz val="9"/>
      <color theme="1"/>
      <name val="Arial"/>
      <family val="2"/>
    </font>
    <font>
      <sz val="10"/>
      <color theme="1"/>
      <name val="Arial"/>
    </font>
    <font>
      <sz val="1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E1100"/>
        <bgColor indexed="64"/>
      </patternFill>
    </fill>
    <fill>
      <patternFill patternType="solid">
        <fgColor rgb="FFF8CCCB"/>
        <bgColor indexed="64"/>
      </patternFill>
    </fill>
    <fill>
      <patternFill patternType="solid">
        <fgColor rgb="FFFCE7E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8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6">
    <xf numFmtId="0" fontId="0" fillId="0" borderId="0" xfId="0"/>
    <xf numFmtId="11" fontId="0" fillId="0" borderId="0" xfId="0" applyNumberFormat="1"/>
    <xf numFmtId="0" fontId="0" fillId="0" borderId="10" xfId="0" applyBorder="1"/>
    <xf numFmtId="164" fontId="0" fillId="33" borderId="10" xfId="0" applyNumberFormat="1" applyFill="1" applyBorder="1" applyAlignment="1">
      <alignment horizontal="left"/>
    </xf>
    <xf numFmtId="164" fontId="0" fillId="0" borderId="10" xfId="0" applyNumberFormat="1" applyBorder="1" applyAlignment="1">
      <alignment horizontal="left"/>
    </xf>
    <xf numFmtId="0" fontId="0" fillId="34" borderId="10" xfId="0" applyFill="1" applyBorder="1"/>
    <xf numFmtId="0" fontId="0" fillId="35" borderId="10" xfId="0" applyFill="1" applyBorder="1"/>
    <xf numFmtId="164" fontId="0" fillId="34" borderId="10" xfId="0" applyNumberFormat="1" applyFill="1" applyBorder="1" applyAlignment="1">
      <alignment horizontal="left"/>
    </xf>
    <xf numFmtId="0" fontId="0" fillId="35" borderId="0" xfId="0" applyFill="1"/>
    <xf numFmtId="0" fontId="0" fillId="34" borderId="10" xfId="0" applyFill="1" applyBorder="1" applyAlignment="1">
      <alignment wrapText="1"/>
    </xf>
    <xf numFmtId="0" fontId="0" fillId="35" borderId="10" xfId="0" applyFill="1" applyBorder="1" applyAlignment="1">
      <alignment wrapText="1"/>
    </xf>
    <xf numFmtId="0" fontId="0" fillId="39" borderId="0" xfId="0" applyFill="1"/>
    <xf numFmtId="164" fontId="0" fillId="39" borderId="0" xfId="0" applyNumberFormat="1" applyFill="1" applyAlignment="1">
      <alignment horizontal="left"/>
    </xf>
    <xf numFmtId="0" fontId="0" fillId="40" borderId="0" xfId="0" applyFill="1"/>
    <xf numFmtId="0" fontId="0" fillId="41" borderId="10" xfId="0" applyFill="1" applyBorder="1"/>
    <xf numFmtId="0" fontId="0" fillId="42" borderId="10" xfId="0" applyFill="1" applyBorder="1"/>
    <xf numFmtId="0" fontId="0" fillId="39" borderId="10" xfId="0" applyFill="1" applyBorder="1"/>
    <xf numFmtId="0" fontId="0" fillId="34" borderId="0" xfId="0" applyFill="1"/>
    <xf numFmtId="0" fontId="0" fillId="34" borderId="10" xfId="0" applyFill="1" applyBorder="1" applyAlignment="1">
      <alignment vertical="top" wrapText="1"/>
    </xf>
    <xf numFmtId="0" fontId="0" fillId="34" borderId="10" xfId="0" applyFill="1" applyBorder="1" applyAlignment="1">
      <alignment vertical="top"/>
    </xf>
    <xf numFmtId="0" fontId="22" fillId="0" borderId="11" xfId="0" applyFont="1" applyBorder="1" applyAlignment="1">
      <alignment horizontal="center" vertical="center" wrapText="1"/>
    </xf>
    <xf numFmtId="0" fontId="0" fillId="33" borderId="0" xfId="0" applyFill="1"/>
    <xf numFmtId="2" fontId="0" fillId="0" borderId="10" xfId="0" applyNumberFormat="1" applyBorder="1"/>
    <xf numFmtId="0" fontId="0" fillId="34" borderId="12" xfId="0" applyFill="1" applyBorder="1"/>
    <xf numFmtId="0" fontId="19" fillId="36" borderId="10" xfId="0" applyFont="1" applyFill="1" applyBorder="1" applyAlignment="1">
      <alignment vertical="top" wrapText="1"/>
    </xf>
    <xf numFmtId="0" fontId="20" fillId="36" borderId="10" xfId="0" applyFont="1" applyFill="1" applyBorder="1" applyAlignment="1">
      <alignment horizontal="left" vertical="center" wrapText="1" readingOrder="1"/>
    </xf>
    <xf numFmtId="0" fontId="21" fillId="37" borderId="10" xfId="0" applyFont="1" applyFill="1" applyBorder="1" applyAlignment="1">
      <alignment horizontal="left" vertical="center" wrapText="1" readingOrder="1"/>
    </xf>
    <xf numFmtId="0" fontId="21" fillId="37" borderId="10" xfId="0" applyFont="1" applyFill="1" applyBorder="1" applyAlignment="1">
      <alignment horizontal="center" wrapText="1" readingOrder="1"/>
    </xf>
    <xf numFmtId="0" fontId="21" fillId="37" borderId="10" xfId="0" applyFont="1" applyFill="1" applyBorder="1" applyAlignment="1">
      <alignment horizontal="center" vertical="center" wrapText="1" readingOrder="1"/>
    </xf>
    <xf numFmtId="0" fontId="21" fillId="38" borderId="10" xfId="0" applyFont="1" applyFill="1" applyBorder="1" applyAlignment="1">
      <alignment horizontal="left" vertical="center" wrapText="1" readingOrder="1"/>
    </xf>
    <xf numFmtId="2" fontId="21" fillId="38" borderId="10" xfId="0" applyNumberFormat="1" applyFont="1" applyFill="1" applyBorder="1" applyAlignment="1">
      <alignment horizontal="center" vertical="center" wrapText="1" readingOrder="1"/>
    </xf>
    <xf numFmtId="2" fontId="21" fillId="37" borderId="10" xfId="0" applyNumberFormat="1" applyFont="1" applyFill="1" applyBorder="1" applyAlignment="1">
      <alignment horizontal="center" vertical="center" wrapText="1" readingOrder="1"/>
    </xf>
    <xf numFmtId="0" fontId="0" fillId="43" borderId="10" xfId="0" applyFill="1" applyBorder="1"/>
    <xf numFmtId="0" fontId="0" fillId="0" borderId="0" xfId="0" applyAlignment="1">
      <alignment horizontal="center"/>
    </xf>
    <xf numFmtId="165" fontId="0" fillId="39" borderId="10" xfId="0" applyNumberFormat="1" applyFill="1" applyBorder="1"/>
    <xf numFmtId="2" fontId="0" fillId="39" borderId="10" xfId="0" applyNumberFormat="1" applyFill="1" applyBorder="1"/>
    <xf numFmtId="0" fontId="0" fillId="39" borderId="13" xfId="0" applyFill="1" applyBorder="1"/>
    <xf numFmtId="2" fontId="0" fillId="39" borderId="13" xfId="0" applyNumberFormat="1" applyFill="1" applyBorder="1"/>
    <xf numFmtId="0" fontId="0" fillId="0" borderId="10" xfId="0" applyBorder="1" applyAlignment="1">
      <alignment horizontal="center"/>
    </xf>
    <xf numFmtId="0" fontId="0" fillId="44" borderId="10" xfId="0" applyFill="1" applyBorder="1"/>
    <xf numFmtId="0" fontId="22" fillId="33" borderId="11" xfId="0" applyFont="1" applyFill="1" applyBorder="1" applyAlignment="1">
      <alignment horizontal="center" vertical="center" wrapText="1"/>
    </xf>
    <xf numFmtId="0" fontId="23" fillId="0" borderId="14" xfId="0" applyFont="1" applyBorder="1"/>
    <xf numFmtId="0" fontId="0" fillId="45" borderId="0" xfId="0" applyFill="1"/>
    <xf numFmtId="0" fontId="0" fillId="45" borderId="10" xfId="0" applyFill="1" applyBorder="1"/>
    <xf numFmtId="0" fontId="0" fillId="42" borderId="0" xfId="0" applyFill="1"/>
    <xf numFmtId="0" fontId="24" fillId="41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0.123 uM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'experiement design (96-well (2)'!$BE$41:$BE$56</c:f>
              <c:strCache>
                <c:ptCount val="16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  <c:pt idx="13">
                  <c:v>TR06628096-PROTAK</c:v>
                </c:pt>
                <c:pt idx="14">
                  <c:v>TR06628097-PROTAK </c:v>
                </c:pt>
                <c:pt idx="15">
                  <c:v>DMSO</c:v>
                </c:pt>
              </c:strCache>
            </c:strRef>
          </c:cat>
          <c:val>
            <c:numRef>
              <c:f>'experiement design (96-well (2)'!$AS$41:$AS$56</c:f>
              <c:numCache>
                <c:formatCode>General</c:formatCode>
                <c:ptCount val="16"/>
                <c:pt idx="0">
                  <c:v>2.8311858307167901</c:v>
                </c:pt>
                <c:pt idx="1">
                  <c:v>3.6998465920145369</c:v>
                </c:pt>
                <c:pt idx="2">
                  <c:v>0.75706910935287786</c:v>
                </c:pt>
                <c:pt idx="3">
                  <c:v>0.63622846013458023</c:v>
                </c:pt>
                <c:pt idx="4">
                  <c:v>0.13776131650938195</c:v>
                </c:pt>
                <c:pt idx="5">
                  <c:v>0.32336336095840051</c:v>
                </c:pt>
                <c:pt idx="6">
                  <c:v>2.5764160255071902</c:v>
                </c:pt>
                <c:pt idx="7">
                  <c:v>1.15945692870568</c:v>
                </c:pt>
                <c:pt idx="8">
                  <c:v>3.6824490973175275</c:v>
                </c:pt>
                <c:pt idx="9">
                  <c:v>0.72721764512476361</c:v>
                </c:pt>
                <c:pt idx="10">
                  <c:v>4.2184504366975375</c:v>
                </c:pt>
                <c:pt idx="11">
                  <c:v>2.5940324686266756</c:v>
                </c:pt>
                <c:pt idx="12">
                  <c:v>11.115518515563501</c:v>
                </c:pt>
                <c:pt idx="13">
                  <c:v>0.88563569023434252</c:v>
                </c:pt>
                <c:pt idx="14">
                  <c:v>0.75692242231393059</c:v>
                </c:pt>
                <c:pt idx="15">
                  <c:v>0.98214108392986366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47-4A75-A1C6-F18089A15679}"/>
            </c:ext>
          </c:extLst>
        </c:ser>
        <c:ser>
          <c:idx val="1"/>
          <c:order val="1"/>
          <c:tx>
            <c:v>0.37 uM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'experiement design (96-well (2)'!$BE$41:$BE$56</c:f>
              <c:strCache>
                <c:ptCount val="16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  <c:pt idx="13">
                  <c:v>TR06628096-PROTAK</c:v>
                </c:pt>
                <c:pt idx="14">
                  <c:v>TR06628097-PROTAK </c:v>
                </c:pt>
                <c:pt idx="15">
                  <c:v>DMSO</c:v>
                </c:pt>
              </c:strCache>
            </c:strRef>
          </c:cat>
          <c:val>
            <c:numRef>
              <c:f>'experiement design (96-well (2)'!$AT$41:$AT$56</c:f>
              <c:numCache>
                <c:formatCode>General</c:formatCode>
                <c:ptCount val="16"/>
                <c:pt idx="0">
                  <c:v>3.2442980190717314</c:v>
                </c:pt>
                <c:pt idx="1">
                  <c:v>4.9815055831638411</c:v>
                </c:pt>
                <c:pt idx="2">
                  <c:v>0.65361198271895149</c:v>
                </c:pt>
                <c:pt idx="3">
                  <c:v>0.54055041316360142</c:v>
                </c:pt>
                <c:pt idx="4">
                  <c:v>0.14412094890535138</c:v>
                </c:pt>
                <c:pt idx="5">
                  <c:v>0.17539757379916668</c:v>
                </c:pt>
                <c:pt idx="6">
                  <c:v>2.9497657818020304</c:v>
                </c:pt>
                <c:pt idx="7">
                  <c:v>1.3761504420668946</c:v>
                </c:pt>
                <c:pt idx="8">
                  <c:v>2.1564808531839268</c:v>
                </c:pt>
                <c:pt idx="9">
                  <c:v>0.5058408001996697</c:v>
                </c:pt>
                <c:pt idx="10">
                  <c:v>3.4940967008225412</c:v>
                </c:pt>
                <c:pt idx="11">
                  <c:v>2.0591336414462469</c:v>
                </c:pt>
                <c:pt idx="12">
                  <c:v>7.1034802712441634</c:v>
                </c:pt>
                <c:pt idx="13">
                  <c:v>0.82415974054420404</c:v>
                </c:pt>
                <c:pt idx="14">
                  <c:v>0.59088368168671446</c:v>
                </c:pt>
                <c:pt idx="15">
                  <c:v>1.1578717519130199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47-4A75-A1C6-F18089A15679}"/>
            </c:ext>
          </c:extLst>
        </c:ser>
        <c:ser>
          <c:idx val="2"/>
          <c:order val="2"/>
          <c:tx>
            <c:v>1.11 uM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'experiement design (96-well (2)'!$BE$41:$BE$56</c:f>
              <c:strCache>
                <c:ptCount val="16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  <c:pt idx="13">
                  <c:v>TR06628096-PROTAK</c:v>
                </c:pt>
                <c:pt idx="14">
                  <c:v>TR06628097-PROTAK </c:v>
                </c:pt>
                <c:pt idx="15">
                  <c:v>DMSO</c:v>
                </c:pt>
              </c:strCache>
            </c:strRef>
          </c:cat>
          <c:val>
            <c:numRef>
              <c:f>'experiement design (96-well (2)'!$AU$41:$AU$56</c:f>
              <c:numCache>
                <c:formatCode>General</c:formatCode>
                <c:ptCount val="16"/>
                <c:pt idx="0">
                  <c:v>4.1022651862964059</c:v>
                </c:pt>
                <c:pt idx="1">
                  <c:v>6.0966800886545185</c:v>
                </c:pt>
                <c:pt idx="2">
                  <c:v>0.12059118222134325</c:v>
                </c:pt>
                <c:pt idx="3">
                  <c:v>0.38541280894091184</c:v>
                </c:pt>
                <c:pt idx="4">
                  <c:v>0.17978957199368856</c:v>
                </c:pt>
                <c:pt idx="5">
                  <c:v>3.5340442854882165E-2</c:v>
                </c:pt>
                <c:pt idx="6">
                  <c:v>2.8244058524245634</c:v>
                </c:pt>
                <c:pt idx="7">
                  <c:v>1.9625135082548837</c:v>
                </c:pt>
                <c:pt idx="8">
                  <c:v>1.2131948541785214</c:v>
                </c:pt>
                <c:pt idx="9">
                  <c:v>0.32587072734454292</c:v>
                </c:pt>
                <c:pt idx="10">
                  <c:v>3.7377690506304377</c:v>
                </c:pt>
                <c:pt idx="11">
                  <c:v>1.111844978665073</c:v>
                </c:pt>
                <c:pt idx="12">
                  <c:v>4.5738678618305446</c:v>
                </c:pt>
                <c:pt idx="13">
                  <c:v>0.78252961385886355</c:v>
                </c:pt>
                <c:pt idx="14">
                  <c:v>0.25524053682308456</c:v>
                </c:pt>
                <c:pt idx="15">
                  <c:v>0.96583854561173355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47-4A75-A1C6-F18089A15679}"/>
            </c:ext>
          </c:extLst>
        </c:ser>
        <c:ser>
          <c:idx val="3"/>
          <c:order val="3"/>
          <c:tx>
            <c:v>3.33 uM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'experiement design (96-well (2)'!$BE$41:$BE$56</c:f>
              <c:strCache>
                <c:ptCount val="16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  <c:pt idx="13">
                  <c:v>TR06628096-PROTAK</c:v>
                </c:pt>
                <c:pt idx="14">
                  <c:v>TR06628097-PROTAK </c:v>
                </c:pt>
                <c:pt idx="15">
                  <c:v>DMSO</c:v>
                </c:pt>
              </c:strCache>
            </c:strRef>
          </c:cat>
          <c:val>
            <c:numRef>
              <c:f>'experiement design (96-well (2)'!$AV$41:$AV$56</c:f>
              <c:numCache>
                <c:formatCode>General</c:formatCode>
                <c:ptCount val="16"/>
                <c:pt idx="0">
                  <c:v>4.9260185708375106</c:v>
                </c:pt>
                <c:pt idx="1">
                  <c:v>5.4617763486038911</c:v>
                </c:pt>
                <c:pt idx="2">
                  <c:v>3.0064791530511212E-2</c:v>
                </c:pt>
                <c:pt idx="3">
                  <c:v>0.22844174119502147</c:v>
                </c:pt>
                <c:pt idx="4">
                  <c:v>8.6628186794601922E-2</c:v>
                </c:pt>
                <c:pt idx="5">
                  <c:v>1.2999751593982426E-2</c:v>
                </c:pt>
                <c:pt idx="6">
                  <c:v>1.896019492732713</c:v>
                </c:pt>
                <c:pt idx="7">
                  <c:v>1.9399496552634916</c:v>
                </c:pt>
                <c:pt idx="8">
                  <c:v>0.80804061751729606</c:v>
                </c:pt>
                <c:pt idx="9">
                  <c:v>0.15293759865662165</c:v>
                </c:pt>
                <c:pt idx="10">
                  <c:v>2.6675944825568312</c:v>
                </c:pt>
                <c:pt idx="11">
                  <c:v>0.36153684157900712</c:v>
                </c:pt>
                <c:pt idx="12">
                  <c:v>3.7349357391797477</c:v>
                </c:pt>
                <c:pt idx="13">
                  <c:v>0.81561480302091338</c:v>
                </c:pt>
                <c:pt idx="14">
                  <c:v>8.3723044293984149E-3</c:v>
                </c:pt>
                <c:pt idx="15">
                  <c:v>0.93411051855525229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47-4A75-A1C6-F18089A15679}"/>
            </c:ext>
          </c:extLst>
        </c:ser>
        <c:ser>
          <c:idx val="4"/>
          <c:order val="4"/>
          <c:tx>
            <c:v>10 uM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'experiement design (96-well (2)'!$BE$41:$BE$56</c:f>
              <c:strCache>
                <c:ptCount val="16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  <c:pt idx="13">
                  <c:v>TR06628096-PROTAK</c:v>
                </c:pt>
                <c:pt idx="14">
                  <c:v>TR06628097-PROTAK </c:v>
                </c:pt>
                <c:pt idx="15">
                  <c:v>DMSO</c:v>
                </c:pt>
              </c:strCache>
            </c:strRef>
          </c:cat>
          <c:val>
            <c:numRef>
              <c:f>'experiement design (96-well (2)'!$AW$41:$AW$56</c:f>
              <c:numCache>
                <c:formatCode>General</c:formatCode>
                <c:ptCount val="16"/>
                <c:pt idx="0">
                  <c:v>5.6152200945187802</c:v>
                </c:pt>
                <c:pt idx="1">
                  <c:v>6.1721411138821622</c:v>
                </c:pt>
                <c:pt idx="2">
                  <c:v>2.5379526391354337E-2</c:v>
                </c:pt>
                <c:pt idx="3">
                  <c:v>0.15188909467387476</c:v>
                </c:pt>
                <c:pt idx="4">
                  <c:v>4.2973847618100885E-2</c:v>
                </c:pt>
                <c:pt idx="5">
                  <c:v>1.5849609731586289E-2</c:v>
                </c:pt>
                <c:pt idx="6">
                  <c:v>0.8098129991026275</c:v>
                </c:pt>
                <c:pt idx="7">
                  <c:v>1.8766205236785898</c:v>
                </c:pt>
                <c:pt idx="8">
                  <c:v>0.72909022376624111</c:v>
                </c:pt>
                <c:pt idx="9">
                  <c:v>9.1443313649289426E-2</c:v>
                </c:pt>
                <c:pt idx="10">
                  <c:v>1.7809027930628356</c:v>
                </c:pt>
                <c:pt idx="11">
                  <c:v>9.378218620157161E-2</c:v>
                </c:pt>
                <c:pt idx="12">
                  <c:v>3.6796873677644162</c:v>
                </c:pt>
                <c:pt idx="13">
                  <c:v>0.58115658716313789</c:v>
                </c:pt>
                <c:pt idx="14">
                  <c:v>6.5931279846048818E-3</c:v>
                </c:pt>
                <c:pt idx="15">
                  <c:v>0.95166720494827595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47-4A75-A1C6-F18089A15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5715144"/>
        <c:axId val="815716784"/>
      </c:barChart>
      <c:catAx>
        <c:axId val="815715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716784"/>
        <c:crosses val="autoZero"/>
        <c:auto val="1"/>
        <c:lblAlgn val="ctr"/>
        <c:lblOffset val="100"/>
        <c:noMultiLvlLbl val="0"/>
      </c:catAx>
      <c:valAx>
        <c:axId val="81571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715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0.123 uM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'experiement design (96-well (2)'!$BE$41:$BE$56</c:f>
              <c:strCache>
                <c:ptCount val="16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  <c:pt idx="13">
                  <c:v>TR06628096-PROTAK</c:v>
                </c:pt>
                <c:pt idx="14">
                  <c:v>TR06628097-PROTAK </c:v>
                </c:pt>
                <c:pt idx="15">
                  <c:v>DMSO</c:v>
                </c:pt>
              </c:strCache>
            </c:strRef>
          </c:cat>
          <c:val>
            <c:numRef>
              <c:f>'experiement design (96-well (2)'!$AY$41:$AY$56</c:f>
              <c:numCache>
                <c:formatCode>General</c:formatCode>
                <c:ptCount val="16"/>
                <c:pt idx="0">
                  <c:v>66.417901901484399</c:v>
                </c:pt>
                <c:pt idx="1">
                  <c:v>67.154358565704001</c:v>
                </c:pt>
                <c:pt idx="2">
                  <c:v>79.814682046091548</c:v>
                </c:pt>
                <c:pt idx="3">
                  <c:v>11.300779009065199</c:v>
                </c:pt>
                <c:pt idx="4">
                  <c:v>14.072274150717641</c:v>
                </c:pt>
                <c:pt idx="5">
                  <c:v>82.525703296980723</c:v>
                </c:pt>
                <c:pt idx="6">
                  <c:v>75.635470925972271</c:v>
                </c:pt>
                <c:pt idx="7">
                  <c:v>97.162091161573215</c:v>
                </c:pt>
                <c:pt idx="8">
                  <c:v>8.9377944154036193</c:v>
                </c:pt>
                <c:pt idx="9">
                  <c:v>86.332697824656748</c:v>
                </c:pt>
                <c:pt idx="10">
                  <c:v>56.634040880702202</c:v>
                </c:pt>
                <c:pt idx="11">
                  <c:v>70.177278426982653</c:v>
                </c:pt>
                <c:pt idx="12">
                  <c:v>48.677656424659538</c:v>
                </c:pt>
                <c:pt idx="13">
                  <c:v>91.394206207587089</c:v>
                </c:pt>
                <c:pt idx="14">
                  <c:v>80.023955253359034</c:v>
                </c:pt>
                <c:pt idx="15">
                  <c:v>104.8468404775261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3-4103-8B66-B25FB5483567}"/>
            </c:ext>
          </c:extLst>
        </c:ser>
        <c:ser>
          <c:idx val="1"/>
          <c:order val="1"/>
          <c:tx>
            <c:v>0.37 uM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'experiement design (96-well (2)'!$BE$41:$BE$56</c:f>
              <c:strCache>
                <c:ptCount val="16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  <c:pt idx="13">
                  <c:v>TR06628096-PROTAK</c:v>
                </c:pt>
                <c:pt idx="14">
                  <c:v>TR06628097-PROTAK </c:v>
                </c:pt>
                <c:pt idx="15">
                  <c:v>DMSO</c:v>
                </c:pt>
              </c:strCache>
            </c:strRef>
          </c:cat>
          <c:val>
            <c:numRef>
              <c:f>'experiement design (96-well (2)'!$AZ$41:$AZ$56</c:f>
              <c:numCache>
                <c:formatCode>General</c:formatCode>
                <c:ptCount val="16"/>
                <c:pt idx="0">
                  <c:v>67.346070002469133</c:v>
                </c:pt>
                <c:pt idx="1">
                  <c:v>63.906476651633859</c:v>
                </c:pt>
                <c:pt idx="2">
                  <c:v>63.325694408465544</c:v>
                </c:pt>
                <c:pt idx="3">
                  <c:v>7.1212470170109903</c:v>
                </c:pt>
                <c:pt idx="4">
                  <c:v>9.8184048225717682</c:v>
                </c:pt>
                <c:pt idx="5">
                  <c:v>51.355499144672308</c:v>
                </c:pt>
                <c:pt idx="6">
                  <c:v>70.007993976892337</c:v>
                </c:pt>
                <c:pt idx="7">
                  <c:v>94.721022146996702</c:v>
                </c:pt>
                <c:pt idx="8">
                  <c:v>4.1546010819206254</c:v>
                </c:pt>
                <c:pt idx="9">
                  <c:v>84.261948148330944</c:v>
                </c:pt>
                <c:pt idx="10">
                  <c:v>49.287006314057905</c:v>
                </c:pt>
                <c:pt idx="11">
                  <c:v>58.393363961401349</c:v>
                </c:pt>
                <c:pt idx="12">
                  <c:v>39.975544759488422</c:v>
                </c:pt>
                <c:pt idx="13">
                  <c:v>90.679437351102592</c:v>
                </c:pt>
                <c:pt idx="14">
                  <c:v>65.426806190706174</c:v>
                </c:pt>
                <c:pt idx="15">
                  <c:v>101.86132255233645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63-4103-8B66-B25FB5483567}"/>
            </c:ext>
          </c:extLst>
        </c:ser>
        <c:ser>
          <c:idx val="2"/>
          <c:order val="2"/>
          <c:tx>
            <c:v>1.11 uM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'experiement design (96-well (2)'!$BE$41:$BE$56</c:f>
              <c:strCache>
                <c:ptCount val="16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  <c:pt idx="13">
                  <c:v>TR06628096-PROTAK</c:v>
                </c:pt>
                <c:pt idx="14">
                  <c:v>TR06628097-PROTAK </c:v>
                </c:pt>
                <c:pt idx="15">
                  <c:v>DMSO</c:v>
                </c:pt>
              </c:strCache>
            </c:strRef>
          </c:cat>
          <c:val>
            <c:numRef>
              <c:f>'experiement design (96-well (2)'!$BA$41:$BA$56</c:f>
              <c:numCache>
                <c:formatCode>General</c:formatCode>
                <c:ptCount val="16"/>
                <c:pt idx="0">
                  <c:v>67.87718302821898</c:v>
                </c:pt>
                <c:pt idx="1">
                  <c:v>62.520683602856387</c:v>
                </c:pt>
                <c:pt idx="2">
                  <c:v>8.2538293740973803</c:v>
                </c:pt>
                <c:pt idx="3">
                  <c:v>3.5873483386740008</c:v>
                </c:pt>
                <c:pt idx="4">
                  <c:v>4.1342080176677101</c:v>
                </c:pt>
                <c:pt idx="5">
                  <c:v>1.8576075623824884</c:v>
                </c:pt>
                <c:pt idx="6">
                  <c:v>52.494374242816122</c:v>
                </c:pt>
                <c:pt idx="7">
                  <c:v>85.111443862601547</c:v>
                </c:pt>
                <c:pt idx="8">
                  <c:v>2.2910518003482072</c:v>
                </c:pt>
                <c:pt idx="9">
                  <c:v>60.411798297649</c:v>
                </c:pt>
                <c:pt idx="10">
                  <c:v>36.610801845552828</c:v>
                </c:pt>
                <c:pt idx="11">
                  <c:v>39.878207690249724</c:v>
                </c:pt>
                <c:pt idx="12">
                  <c:v>35.06889871305853</c:v>
                </c:pt>
                <c:pt idx="13">
                  <c:v>82.811555296216028</c:v>
                </c:pt>
                <c:pt idx="14">
                  <c:v>29.928374529086049</c:v>
                </c:pt>
                <c:pt idx="15">
                  <c:v>104.05541306709711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63-4103-8B66-B25FB5483567}"/>
            </c:ext>
          </c:extLst>
        </c:ser>
        <c:ser>
          <c:idx val="3"/>
          <c:order val="3"/>
          <c:tx>
            <c:v>3.33 uM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'experiement design (96-well (2)'!$BE$41:$BE$56</c:f>
              <c:strCache>
                <c:ptCount val="16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  <c:pt idx="13">
                  <c:v>TR06628096-PROTAK</c:v>
                </c:pt>
                <c:pt idx="14">
                  <c:v>TR06628097-PROTAK </c:v>
                </c:pt>
                <c:pt idx="15">
                  <c:v>DMSO</c:v>
                </c:pt>
              </c:strCache>
            </c:strRef>
          </c:cat>
          <c:val>
            <c:numRef>
              <c:f>'experiement design (96-well (2)'!$BB$41:$BB$56</c:f>
              <c:numCache>
                <c:formatCode>General</c:formatCode>
                <c:ptCount val="16"/>
                <c:pt idx="0">
                  <c:v>63.161133452740629</c:v>
                </c:pt>
                <c:pt idx="1">
                  <c:v>60.994702739496056</c:v>
                </c:pt>
                <c:pt idx="2">
                  <c:v>0.56622620281133373</c:v>
                </c:pt>
                <c:pt idx="3">
                  <c:v>2.1215579437030598</c:v>
                </c:pt>
                <c:pt idx="4">
                  <c:v>2.9991660196117067</c:v>
                </c:pt>
                <c:pt idx="5">
                  <c:v>0.27824539784872987</c:v>
                </c:pt>
                <c:pt idx="6">
                  <c:v>27.440693177809965</c:v>
                </c:pt>
                <c:pt idx="7">
                  <c:v>76.138254782679724</c:v>
                </c:pt>
                <c:pt idx="8">
                  <c:v>2.1128060986891493</c:v>
                </c:pt>
                <c:pt idx="9">
                  <c:v>26.715971593231707</c:v>
                </c:pt>
                <c:pt idx="10">
                  <c:v>25.711876138949865</c:v>
                </c:pt>
                <c:pt idx="11">
                  <c:v>15.204905088448967</c:v>
                </c:pt>
                <c:pt idx="12">
                  <c:v>33.830565978251556</c:v>
                </c:pt>
                <c:pt idx="13">
                  <c:v>85.336009368699138</c:v>
                </c:pt>
                <c:pt idx="14">
                  <c:v>0.59614846831527357</c:v>
                </c:pt>
                <c:pt idx="15">
                  <c:v>98.882995748244952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63-4103-8B66-B25FB5483567}"/>
            </c:ext>
          </c:extLst>
        </c:ser>
        <c:ser>
          <c:idx val="4"/>
          <c:order val="4"/>
          <c:tx>
            <c:v>10 uM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'experiement design (96-well (2)'!$BE$41:$BE$56</c:f>
              <c:strCache>
                <c:ptCount val="16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  <c:pt idx="13">
                  <c:v>TR06628096-PROTAK</c:v>
                </c:pt>
                <c:pt idx="14">
                  <c:v>TR06628097-PROTAK </c:v>
                </c:pt>
                <c:pt idx="15">
                  <c:v>DMSO</c:v>
                </c:pt>
              </c:strCache>
            </c:strRef>
          </c:cat>
          <c:val>
            <c:numRef>
              <c:f>'experiement design (96-well (2)'!$BC$41:$BC$56</c:f>
              <c:numCache>
                <c:formatCode>General</c:formatCode>
                <c:ptCount val="16"/>
                <c:pt idx="0">
                  <c:v>65.539501986244048</c:v>
                </c:pt>
                <c:pt idx="1">
                  <c:v>61.172592389147475</c:v>
                </c:pt>
                <c:pt idx="2">
                  <c:v>0.50713155672831611</c:v>
                </c:pt>
                <c:pt idx="3">
                  <c:v>1.5354977615029295</c:v>
                </c:pt>
                <c:pt idx="4">
                  <c:v>1.3454246658003899</c:v>
                </c:pt>
                <c:pt idx="5">
                  <c:v>0.46141377286215207</c:v>
                </c:pt>
                <c:pt idx="6">
                  <c:v>9.1016954256484315</c:v>
                </c:pt>
                <c:pt idx="7">
                  <c:v>75.408285767010966</c:v>
                </c:pt>
                <c:pt idx="8">
                  <c:v>1.4867394840213595</c:v>
                </c:pt>
                <c:pt idx="9">
                  <c:v>13.973790623199982</c:v>
                </c:pt>
                <c:pt idx="10">
                  <c:v>18.255321430991337</c:v>
                </c:pt>
                <c:pt idx="11">
                  <c:v>3.6893622682691323</c:v>
                </c:pt>
                <c:pt idx="12">
                  <c:v>31.06934782804295</c:v>
                </c:pt>
                <c:pt idx="13">
                  <c:v>86.278139922742525</c:v>
                </c:pt>
                <c:pt idx="14">
                  <c:v>0.43293235180931866</c:v>
                </c:pt>
                <c:pt idx="15">
                  <c:v>90.353428154795409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63-4103-8B66-B25FB5483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2074848"/>
        <c:axId val="782075176"/>
      </c:barChart>
      <c:catAx>
        <c:axId val="78207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075176"/>
        <c:crosses val="autoZero"/>
        <c:auto val="1"/>
        <c:lblAlgn val="ctr"/>
        <c:lblOffset val="100"/>
        <c:noMultiLvlLbl val="0"/>
      </c:catAx>
      <c:valAx>
        <c:axId val="782075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07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'experiement design (96-well (2)'!$BE$41:$BE$53</c:f>
              <c:strCache>
                <c:ptCount val="13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</c:strCache>
            </c:strRef>
          </c:cat>
          <c:val>
            <c:numRef>
              <c:f>'experiement design (96-well (2)'!$AT$41:$AT$53</c:f>
              <c:numCache>
                <c:formatCode>General</c:formatCode>
                <c:ptCount val="13"/>
                <c:pt idx="0">
                  <c:v>3.2442980190717314</c:v>
                </c:pt>
                <c:pt idx="1">
                  <c:v>4.9815055831638411</c:v>
                </c:pt>
                <c:pt idx="2">
                  <c:v>0.65361198271895149</c:v>
                </c:pt>
                <c:pt idx="3">
                  <c:v>0.54055041316360142</c:v>
                </c:pt>
                <c:pt idx="4">
                  <c:v>0.14412094890535138</c:v>
                </c:pt>
                <c:pt idx="5">
                  <c:v>0.17539757379916668</c:v>
                </c:pt>
                <c:pt idx="6">
                  <c:v>2.9497657818020304</c:v>
                </c:pt>
                <c:pt idx="7">
                  <c:v>1.3761504420668946</c:v>
                </c:pt>
                <c:pt idx="8">
                  <c:v>2.1564808531839268</c:v>
                </c:pt>
                <c:pt idx="9">
                  <c:v>0.5058408001996697</c:v>
                </c:pt>
                <c:pt idx="10">
                  <c:v>3.4940967008225412</c:v>
                </c:pt>
                <c:pt idx="11">
                  <c:v>2.0591336414462469</c:v>
                </c:pt>
                <c:pt idx="12">
                  <c:v>7.1034802712441634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5-44E6-A73B-1DCBB9BCC1D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'experiement design (96-well (2)'!$BE$41:$BE$53</c:f>
              <c:strCache>
                <c:ptCount val="13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</c:strCache>
            </c:strRef>
          </c:cat>
          <c:val>
            <c:numRef>
              <c:f>'experiement design (96-well (2)'!$AU$41:$AU$53</c:f>
              <c:numCache>
                <c:formatCode>General</c:formatCode>
                <c:ptCount val="13"/>
                <c:pt idx="0">
                  <c:v>4.1022651862964059</c:v>
                </c:pt>
                <c:pt idx="1">
                  <c:v>6.0966800886545185</c:v>
                </c:pt>
                <c:pt idx="2">
                  <c:v>0.12059118222134325</c:v>
                </c:pt>
                <c:pt idx="3">
                  <c:v>0.38541280894091184</c:v>
                </c:pt>
                <c:pt idx="4">
                  <c:v>0.17978957199368856</c:v>
                </c:pt>
                <c:pt idx="5">
                  <c:v>3.5340442854882165E-2</c:v>
                </c:pt>
                <c:pt idx="6">
                  <c:v>2.8244058524245634</c:v>
                </c:pt>
                <c:pt idx="7">
                  <c:v>1.9625135082548837</c:v>
                </c:pt>
                <c:pt idx="8">
                  <c:v>1.2131948541785214</c:v>
                </c:pt>
                <c:pt idx="9">
                  <c:v>0.32587072734454292</c:v>
                </c:pt>
                <c:pt idx="10">
                  <c:v>3.7377690506304377</c:v>
                </c:pt>
                <c:pt idx="11">
                  <c:v>1.111844978665073</c:v>
                </c:pt>
                <c:pt idx="12">
                  <c:v>4.5738678618305446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85-44E6-A73B-1DCBB9BCC1D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'experiement design (96-well (2)'!$BE$41:$BE$53</c:f>
              <c:strCache>
                <c:ptCount val="13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</c:strCache>
            </c:strRef>
          </c:cat>
          <c:val>
            <c:numRef>
              <c:f>'experiement design (96-well (2)'!$AV$41:$AV$53</c:f>
              <c:numCache>
                <c:formatCode>General</c:formatCode>
                <c:ptCount val="13"/>
                <c:pt idx="0">
                  <c:v>4.9260185708375106</c:v>
                </c:pt>
                <c:pt idx="1">
                  <c:v>5.4617763486038911</c:v>
                </c:pt>
                <c:pt idx="2">
                  <c:v>3.0064791530511212E-2</c:v>
                </c:pt>
                <c:pt idx="3">
                  <c:v>0.22844174119502147</c:v>
                </c:pt>
                <c:pt idx="4">
                  <c:v>8.6628186794601922E-2</c:v>
                </c:pt>
                <c:pt idx="5">
                  <c:v>1.2999751593982426E-2</c:v>
                </c:pt>
                <c:pt idx="6">
                  <c:v>1.896019492732713</c:v>
                </c:pt>
                <c:pt idx="7">
                  <c:v>1.9399496552634916</c:v>
                </c:pt>
                <c:pt idx="8">
                  <c:v>0.80804061751729606</c:v>
                </c:pt>
                <c:pt idx="9">
                  <c:v>0.15293759865662165</c:v>
                </c:pt>
                <c:pt idx="10">
                  <c:v>2.6675944825568312</c:v>
                </c:pt>
                <c:pt idx="11">
                  <c:v>0.36153684157900712</c:v>
                </c:pt>
                <c:pt idx="12">
                  <c:v>3.7349357391797477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85-44E6-A73B-1DCBB9BCC1D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'experiement design (96-well (2)'!$BE$41:$BE$53</c:f>
              <c:strCache>
                <c:ptCount val="13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</c:strCache>
            </c:strRef>
          </c:cat>
          <c:val>
            <c:numRef>
              <c:f>'experiement design (96-well (2)'!$AW$41:$AW$53</c:f>
              <c:numCache>
                <c:formatCode>General</c:formatCode>
                <c:ptCount val="13"/>
                <c:pt idx="0">
                  <c:v>5.6152200945187802</c:v>
                </c:pt>
                <c:pt idx="1">
                  <c:v>6.1721411138821622</c:v>
                </c:pt>
                <c:pt idx="2">
                  <c:v>2.5379526391354337E-2</c:v>
                </c:pt>
                <c:pt idx="3">
                  <c:v>0.15188909467387476</c:v>
                </c:pt>
                <c:pt idx="4">
                  <c:v>4.2973847618100885E-2</c:v>
                </c:pt>
                <c:pt idx="5">
                  <c:v>1.5849609731586289E-2</c:v>
                </c:pt>
                <c:pt idx="6">
                  <c:v>0.8098129991026275</c:v>
                </c:pt>
                <c:pt idx="7">
                  <c:v>1.8766205236785898</c:v>
                </c:pt>
                <c:pt idx="8">
                  <c:v>0.72909022376624111</c:v>
                </c:pt>
                <c:pt idx="9">
                  <c:v>9.1443313649289426E-2</c:v>
                </c:pt>
                <c:pt idx="10">
                  <c:v>1.7809027930628356</c:v>
                </c:pt>
                <c:pt idx="11">
                  <c:v>9.378218620157161E-2</c:v>
                </c:pt>
                <c:pt idx="12">
                  <c:v>3.6796873677644162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85-44E6-A73B-1DCBB9BCC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2627512"/>
        <c:axId val="902628168"/>
      </c:barChart>
      <c:catAx>
        <c:axId val="902627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628168"/>
        <c:crosses val="autoZero"/>
        <c:auto val="1"/>
        <c:lblAlgn val="ctr"/>
        <c:lblOffset val="100"/>
        <c:noMultiLvlLbl val="0"/>
      </c:catAx>
      <c:valAx>
        <c:axId val="902628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627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'experiement design (96-well (2)'!$BE$41:$BE$53</c:f>
              <c:strCache>
                <c:ptCount val="13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</c:strCache>
            </c:strRef>
          </c:cat>
          <c:val>
            <c:numRef>
              <c:f>'experiement design (96-well (2)'!$AZ$41:$AZ$53</c:f>
              <c:numCache>
                <c:formatCode>General</c:formatCode>
                <c:ptCount val="13"/>
                <c:pt idx="0">
                  <c:v>67.346070002469133</c:v>
                </c:pt>
                <c:pt idx="1">
                  <c:v>63.906476651633859</c:v>
                </c:pt>
                <c:pt idx="2">
                  <c:v>63.325694408465544</c:v>
                </c:pt>
                <c:pt idx="3">
                  <c:v>7.1212470170109903</c:v>
                </c:pt>
                <c:pt idx="4">
                  <c:v>9.8184048225717682</c:v>
                </c:pt>
                <c:pt idx="5">
                  <c:v>51.355499144672308</c:v>
                </c:pt>
                <c:pt idx="6">
                  <c:v>70.007993976892337</c:v>
                </c:pt>
                <c:pt idx="7">
                  <c:v>94.721022146996702</c:v>
                </c:pt>
                <c:pt idx="8">
                  <c:v>4.1546010819206254</c:v>
                </c:pt>
                <c:pt idx="9">
                  <c:v>84.261948148330944</c:v>
                </c:pt>
                <c:pt idx="10">
                  <c:v>49.287006314057905</c:v>
                </c:pt>
                <c:pt idx="11">
                  <c:v>58.393363961401349</c:v>
                </c:pt>
                <c:pt idx="12">
                  <c:v>39.975544759488422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D-451F-B781-B7EE8386882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'experiement design (96-well (2)'!$BE$41:$BE$53</c:f>
              <c:strCache>
                <c:ptCount val="13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</c:strCache>
            </c:strRef>
          </c:cat>
          <c:val>
            <c:numRef>
              <c:f>'experiement design (96-well (2)'!$BA$41:$BA$53</c:f>
              <c:numCache>
                <c:formatCode>General</c:formatCode>
                <c:ptCount val="13"/>
                <c:pt idx="0">
                  <c:v>67.87718302821898</c:v>
                </c:pt>
                <c:pt idx="1">
                  <c:v>62.520683602856387</c:v>
                </c:pt>
                <c:pt idx="2">
                  <c:v>8.2538293740973803</c:v>
                </c:pt>
                <c:pt idx="3">
                  <c:v>3.5873483386740008</c:v>
                </c:pt>
                <c:pt idx="4">
                  <c:v>4.1342080176677101</c:v>
                </c:pt>
                <c:pt idx="5">
                  <c:v>1.8576075623824884</c:v>
                </c:pt>
                <c:pt idx="6">
                  <c:v>52.494374242816122</c:v>
                </c:pt>
                <c:pt idx="7">
                  <c:v>85.111443862601547</c:v>
                </c:pt>
                <c:pt idx="8">
                  <c:v>2.2910518003482072</c:v>
                </c:pt>
                <c:pt idx="9">
                  <c:v>60.411798297649</c:v>
                </c:pt>
                <c:pt idx="10">
                  <c:v>36.610801845552828</c:v>
                </c:pt>
                <c:pt idx="11">
                  <c:v>39.878207690249724</c:v>
                </c:pt>
                <c:pt idx="12">
                  <c:v>35.06889871305853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4D-451F-B781-B7EE8386882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'experiement design (96-well (2)'!$BE$41:$BE$53</c:f>
              <c:strCache>
                <c:ptCount val="13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</c:strCache>
            </c:strRef>
          </c:cat>
          <c:val>
            <c:numRef>
              <c:f>'experiement design (96-well (2)'!$BB$41:$BB$53</c:f>
              <c:numCache>
                <c:formatCode>General</c:formatCode>
                <c:ptCount val="13"/>
                <c:pt idx="0">
                  <c:v>63.161133452740629</c:v>
                </c:pt>
                <c:pt idx="1">
                  <c:v>60.994702739496056</c:v>
                </c:pt>
                <c:pt idx="2">
                  <c:v>0.56622620281133373</c:v>
                </c:pt>
                <c:pt idx="3">
                  <c:v>2.1215579437030598</c:v>
                </c:pt>
                <c:pt idx="4">
                  <c:v>2.9991660196117067</c:v>
                </c:pt>
                <c:pt idx="5">
                  <c:v>0.27824539784872987</c:v>
                </c:pt>
                <c:pt idx="6">
                  <c:v>27.440693177809965</c:v>
                </c:pt>
                <c:pt idx="7">
                  <c:v>76.138254782679724</c:v>
                </c:pt>
                <c:pt idx="8">
                  <c:v>2.1128060986891493</c:v>
                </c:pt>
                <c:pt idx="9">
                  <c:v>26.715971593231707</c:v>
                </c:pt>
                <c:pt idx="10">
                  <c:v>25.711876138949865</c:v>
                </c:pt>
                <c:pt idx="11">
                  <c:v>15.204905088448967</c:v>
                </c:pt>
                <c:pt idx="12">
                  <c:v>33.830565978251556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4D-451F-B781-B7EE8386882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'experiement design (96-well (2)'!$BE$41:$BE$53</c:f>
              <c:strCache>
                <c:ptCount val="13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</c:strCache>
            </c:strRef>
          </c:cat>
          <c:val>
            <c:numRef>
              <c:f>'experiement design (96-well (2)'!$BC$41:$BC$53</c:f>
              <c:numCache>
                <c:formatCode>General</c:formatCode>
                <c:ptCount val="13"/>
                <c:pt idx="0">
                  <c:v>65.539501986244048</c:v>
                </c:pt>
                <c:pt idx="1">
                  <c:v>61.172592389147475</c:v>
                </c:pt>
                <c:pt idx="2">
                  <c:v>0.50713155672831611</c:v>
                </c:pt>
                <c:pt idx="3">
                  <c:v>1.5354977615029295</c:v>
                </c:pt>
                <c:pt idx="4">
                  <c:v>1.3454246658003899</c:v>
                </c:pt>
                <c:pt idx="5">
                  <c:v>0.46141377286215207</c:v>
                </c:pt>
                <c:pt idx="6">
                  <c:v>9.1016954256484315</c:v>
                </c:pt>
                <c:pt idx="7">
                  <c:v>75.408285767010966</c:v>
                </c:pt>
                <c:pt idx="8">
                  <c:v>1.4867394840213595</c:v>
                </c:pt>
                <c:pt idx="9">
                  <c:v>13.973790623199982</c:v>
                </c:pt>
                <c:pt idx="10">
                  <c:v>18.255321430991337</c:v>
                </c:pt>
                <c:pt idx="11">
                  <c:v>3.6893622682691323</c:v>
                </c:pt>
                <c:pt idx="12">
                  <c:v>31.06934782804295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4D-451F-B781-B7EE83868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7415496"/>
        <c:axId val="897417464"/>
      </c:barChart>
      <c:catAx>
        <c:axId val="897415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417464"/>
        <c:crosses val="autoZero"/>
        <c:auto val="1"/>
        <c:lblAlgn val="ctr"/>
        <c:lblOffset val="100"/>
        <c:noMultiLvlLbl val="0"/>
      </c:catAx>
      <c:valAx>
        <c:axId val="897417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415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0.123 uM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'experiement design (96-well (2)'!$BE$41:$BE$55</c:f>
              <c:strCache>
                <c:ptCount val="15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  <c:pt idx="13">
                  <c:v>TR06628096-PROTAK</c:v>
                </c:pt>
                <c:pt idx="14">
                  <c:v>TR06628097-PROTAK </c:v>
                </c:pt>
              </c:strCache>
            </c:strRef>
          </c:cat>
          <c:val>
            <c:numRef>
              <c:f>'experiement design (96-well (2)'!$AS$41:$AS$55</c:f>
              <c:numCache>
                <c:formatCode>General</c:formatCode>
                <c:ptCount val="15"/>
                <c:pt idx="0">
                  <c:v>2.8311858307167901</c:v>
                </c:pt>
                <c:pt idx="1">
                  <c:v>3.6998465920145369</c:v>
                </c:pt>
                <c:pt idx="2">
                  <c:v>0.75706910935287786</c:v>
                </c:pt>
                <c:pt idx="3">
                  <c:v>0.63622846013458023</c:v>
                </c:pt>
                <c:pt idx="4">
                  <c:v>0.13776131650938195</c:v>
                </c:pt>
                <c:pt idx="5">
                  <c:v>0.32336336095840051</c:v>
                </c:pt>
                <c:pt idx="6">
                  <c:v>2.5764160255071902</c:v>
                </c:pt>
                <c:pt idx="7">
                  <c:v>1.15945692870568</c:v>
                </c:pt>
                <c:pt idx="8">
                  <c:v>3.6824490973175275</c:v>
                </c:pt>
                <c:pt idx="9">
                  <c:v>0.72721764512476361</c:v>
                </c:pt>
                <c:pt idx="10">
                  <c:v>4.2184504366975375</c:v>
                </c:pt>
                <c:pt idx="11">
                  <c:v>2.5940324686266756</c:v>
                </c:pt>
                <c:pt idx="12">
                  <c:v>11.115518515563501</c:v>
                </c:pt>
                <c:pt idx="13">
                  <c:v>0.88563569023434252</c:v>
                </c:pt>
                <c:pt idx="14">
                  <c:v>0.75692242231393059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4-432E-9FD2-87AFDC94D868}"/>
            </c:ext>
          </c:extLst>
        </c:ser>
        <c:ser>
          <c:idx val="1"/>
          <c:order val="1"/>
          <c:tx>
            <c:v>0.37 uM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'experiement design (96-well (2)'!$BE$41:$BE$55</c:f>
              <c:strCache>
                <c:ptCount val="15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  <c:pt idx="13">
                  <c:v>TR06628096-PROTAK</c:v>
                </c:pt>
                <c:pt idx="14">
                  <c:v>TR06628097-PROTAK </c:v>
                </c:pt>
              </c:strCache>
            </c:strRef>
          </c:cat>
          <c:val>
            <c:numRef>
              <c:f>'experiement design (96-well (2)'!$AT$41:$AT$55</c:f>
              <c:numCache>
                <c:formatCode>General</c:formatCode>
                <c:ptCount val="15"/>
                <c:pt idx="0">
                  <c:v>3.2442980190717314</c:v>
                </c:pt>
                <c:pt idx="1">
                  <c:v>4.9815055831638411</c:v>
                </c:pt>
                <c:pt idx="2">
                  <c:v>0.65361198271895149</c:v>
                </c:pt>
                <c:pt idx="3">
                  <c:v>0.54055041316360142</c:v>
                </c:pt>
                <c:pt idx="4">
                  <c:v>0.14412094890535138</c:v>
                </c:pt>
                <c:pt idx="5">
                  <c:v>0.17539757379916668</c:v>
                </c:pt>
                <c:pt idx="6">
                  <c:v>2.9497657818020304</c:v>
                </c:pt>
                <c:pt idx="7">
                  <c:v>1.3761504420668946</c:v>
                </c:pt>
                <c:pt idx="8">
                  <c:v>2.1564808531839268</c:v>
                </c:pt>
                <c:pt idx="9">
                  <c:v>0.5058408001996697</c:v>
                </c:pt>
                <c:pt idx="10">
                  <c:v>3.4940967008225412</c:v>
                </c:pt>
                <c:pt idx="11">
                  <c:v>2.0591336414462469</c:v>
                </c:pt>
                <c:pt idx="12">
                  <c:v>7.1034802712441634</c:v>
                </c:pt>
                <c:pt idx="13">
                  <c:v>0.82415974054420404</c:v>
                </c:pt>
                <c:pt idx="14">
                  <c:v>0.59088368168671446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94-432E-9FD2-87AFDC94D868}"/>
            </c:ext>
          </c:extLst>
        </c:ser>
        <c:ser>
          <c:idx val="2"/>
          <c:order val="2"/>
          <c:tx>
            <c:v>1.11 uM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'experiement design (96-well (2)'!$BE$41:$BE$55</c:f>
              <c:strCache>
                <c:ptCount val="15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  <c:pt idx="13">
                  <c:v>TR06628096-PROTAK</c:v>
                </c:pt>
                <c:pt idx="14">
                  <c:v>TR06628097-PROTAK </c:v>
                </c:pt>
              </c:strCache>
            </c:strRef>
          </c:cat>
          <c:val>
            <c:numRef>
              <c:f>'experiement design (96-well (2)'!$AU$41:$AU$55</c:f>
              <c:numCache>
                <c:formatCode>General</c:formatCode>
                <c:ptCount val="15"/>
                <c:pt idx="0">
                  <c:v>4.1022651862964059</c:v>
                </c:pt>
                <c:pt idx="1">
                  <c:v>6.0966800886545185</c:v>
                </c:pt>
                <c:pt idx="2">
                  <c:v>0.12059118222134325</c:v>
                </c:pt>
                <c:pt idx="3">
                  <c:v>0.38541280894091184</c:v>
                </c:pt>
                <c:pt idx="4">
                  <c:v>0.17978957199368856</c:v>
                </c:pt>
                <c:pt idx="5">
                  <c:v>3.5340442854882165E-2</c:v>
                </c:pt>
                <c:pt idx="6">
                  <c:v>2.8244058524245634</c:v>
                </c:pt>
                <c:pt idx="7">
                  <c:v>1.9625135082548837</c:v>
                </c:pt>
                <c:pt idx="8">
                  <c:v>1.2131948541785214</c:v>
                </c:pt>
                <c:pt idx="9">
                  <c:v>0.32587072734454292</c:v>
                </c:pt>
                <c:pt idx="10">
                  <c:v>3.7377690506304377</c:v>
                </c:pt>
                <c:pt idx="11">
                  <c:v>1.111844978665073</c:v>
                </c:pt>
                <c:pt idx="12">
                  <c:v>4.5738678618305446</c:v>
                </c:pt>
                <c:pt idx="13">
                  <c:v>0.78252961385886355</c:v>
                </c:pt>
                <c:pt idx="14">
                  <c:v>0.25524053682308456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94-432E-9FD2-87AFDC94D868}"/>
            </c:ext>
          </c:extLst>
        </c:ser>
        <c:ser>
          <c:idx val="3"/>
          <c:order val="3"/>
          <c:tx>
            <c:v>3.33 uM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'experiement design (96-well (2)'!$BE$41:$BE$55</c:f>
              <c:strCache>
                <c:ptCount val="15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  <c:pt idx="13">
                  <c:v>TR06628096-PROTAK</c:v>
                </c:pt>
                <c:pt idx="14">
                  <c:v>TR06628097-PROTAK </c:v>
                </c:pt>
              </c:strCache>
            </c:strRef>
          </c:cat>
          <c:val>
            <c:numRef>
              <c:f>'experiement design (96-well (2)'!$AV$41:$AV$55</c:f>
              <c:numCache>
                <c:formatCode>General</c:formatCode>
                <c:ptCount val="15"/>
                <c:pt idx="0">
                  <c:v>4.9260185708375106</c:v>
                </c:pt>
                <c:pt idx="1">
                  <c:v>5.4617763486038911</c:v>
                </c:pt>
                <c:pt idx="2">
                  <c:v>3.0064791530511212E-2</c:v>
                </c:pt>
                <c:pt idx="3">
                  <c:v>0.22844174119502147</c:v>
                </c:pt>
                <c:pt idx="4">
                  <c:v>8.6628186794601922E-2</c:v>
                </c:pt>
                <c:pt idx="5">
                  <c:v>1.2999751593982426E-2</c:v>
                </c:pt>
                <c:pt idx="6">
                  <c:v>1.896019492732713</c:v>
                </c:pt>
                <c:pt idx="7">
                  <c:v>1.9399496552634916</c:v>
                </c:pt>
                <c:pt idx="8">
                  <c:v>0.80804061751729606</c:v>
                </c:pt>
                <c:pt idx="9">
                  <c:v>0.15293759865662165</c:v>
                </c:pt>
                <c:pt idx="10">
                  <c:v>2.6675944825568312</c:v>
                </c:pt>
                <c:pt idx="11">
                  <c:v>0.36153684157900712</c:v>
                </c:pt>
                <c:pt idx="12">
                  <c:v>3.7349357391797477</c:v>
                </c:pt>
                <c:pt idx="13">
                  <c:v>0.81561480302091338</c:v>
                </c:pt>
                <c:pt idx="14">
                  <c:v>8.3723044293984149E-3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94-432E-9FD2-87AFDC94D868}"/>
            </c:ext>
          </c:extLst>
        </c:ser>
        <c:ser>
          <c:idx val="4"/>
          <c:order val="4"/>
          <c:tx>
            <c:v>10 uM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'experiement design (96-well (2)'!$BE$41:$BE$55</c:f>
              <c:strCache>
                <c:ptCount val="15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  <c:pt idx="13">
                  <c:v>TR06628096-PROTAK</c:v>
                </c:pt>
                <c:pt idx="14">
                  <c:v>TR06628097-PROTAK </c:v>
                </c:pt>
              </c:strCache>
            </c:strRef>
          </c:cat>
          <c:val>
            <c:numRef>
              <c:f>'experiement design (96-well (2)'!$AW$41:$AW$55</c:f>
              <c:numCache>
                <c:formatCode>General</c:formatCode>
                <c:ptCount val="15"/>
                <c:pt idx="0">
                  <c:v>5.6152200945187802</c:v>
                </c:pt>
                <c:pt idx="1">
                  <c:v>6.1721411138821622</c:v>
                </c:pt>
                <c:pt idx="2">
                  <c:v>2.5379526391354337E-2</c:v>
                </c:pt>
                <c:pt idx="3">
                  <c:v>0.15188909467387476</c:v>
                </c:pt>
                <c:pt idx="4">
                  <c:v>4.2973847618100885E-2</c:v>
                </c:pt>
                <c:pt idx="5">
                  <c:v>1.5849609731586289E-2</c:v>
                </c:pt>
                <c:pt idx="6">
                  <c:v>0.8098129991026275</c:v>
                </c:pt>
                <c:pt idx="7">
                  <c:v>1.8766205236785898</c:v>
                </c:pt>
                <c:pt idx="8">
                  <c:v>0.72909022376624111</c:v>
                </c:pt>
                <c:pt idx="9">
                  <c:v>9.1443313649289426E-2</c:v>
                </c:pt>
                <c:pt idx="10">
                  <c:v>1.7809027930628356</c:v>
                </c:pt>
                <c:pt idx="11">
                  <c:v>9.378218620157161E-2</c:v>
                </c:pt>
                <c:pt idx="12">
                  <c:v>3.6796873677644162</c:v>
                </c:pt>
                <c:pt idx="13">
                  <c:v>0.58115658716313789</c:v>
                </c:pt>
                <c:pt idx="14">
                  <c:v>6.5931279846048818E-3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94-432E-9FD2-87AFDC94D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6833368"/>
        <c:axId val="776822216"/>
      </c:barChart>
      <c:catAx>
        <c:axId val="776833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822216"/>
        <c:crosses val="autoZero"/>
        <c:auto val="1"/>
        <c:lblAlgn val="ctr"/>
        <c:lblOffset val="100"/>
        <c:noMultiLvlLbl val="0"/>
      </c:catAx>
      <c:valAx>
        <c:axId val="776822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833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0.123 uM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'experiement design (96-well (2)'!$BE$41:$BE$55</c:f>
              <c:strCache>
                <c:ptCount val="15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  <c:pt idx="13">
                  <c:v>TR06628096-PROTAK</c:v>
                </c:pt>
                <c:pt idx="14">
                  <c:v>TR06628097-PROTAK </c:v>
                </c:pt>
              </c:strCache>
            </c:strRef>
          </c:cat>
          <c:val>
            <c:numRef>
              <c:f>'experiement design (96-well (2)'!$AY$41:$AY$55</c:f>
              <c:numCache>
                <c:formatCode>General</c:formatCode>
                <c:ptCount val="15"/>
                <c:pt idx="0">
                  <c:v>66.417901901484399</c:v>
                </c:pt>
                <c:pt idx="1">
                  <c:v>67.154358565704001</c:v>
                </c:pt>
                <c:pt idx="2">
                  <c:v>79.814682046091548</c:v>
                </c:pt>
                <c:pt idx="3">
                  <c:v>11.300779009065199</c:v>
                </c:pt>
                <c:pt idx="4">
                  <c:v>14.072274150717641</c:v>
                </c:pt>
                <c:pt idx="5">
                  <c:v>82.525703296980723</c:v>
                </c:pt>
                <c:pt idx="6">
                  <c:v>75.635470925972271</c:v>
                </c:pt>
                <c:pt idx="7">
                  <c:v>97.162091161573215</c:v>
                </c:pt>
                <c:pt idx="8">
                  <c:v>8.9377944154036193</c:v>
                </c:pt>
                <c:pt idx="9">
                  <c:v>86.332697824656748</c:v>
                </c:pt>
                <c:pt idx="10">
                  <c:v>56.634040880702202</c:v>
                </c:pt>
                <c:pt idx="11">
                  <c:v>70.177278426982653</c:v>
                </c:pt>
                <c:pt idx="12">
                  <c:v>48.677656424659538</c:v>
                </c:pt>
                <c:pt idx="13">
                  <c:v>91.394206207587089</c:v>
                </c:pt>
                <c:pt idx="14">
                  <c:v>80.023955253359034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1-407C-95E7-50DDA18BA731}"/>
            </c:ext>
          </c:extLst>
        </c:ser>
        <c:ser>
          <c:idx val="1"/>
          <c:order val="1"/>
          <c:tx>
            <c:v>0.37 uM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'experiement design (96-well (2)'!$BE$41:$BE$55</c:f>
              <c:strCache>
                <c:ptCount val="15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  <c:pt idx="13">
                  <c:v>TR06628096-PROTAK</c:v>
                </c:pt>
                <c:pt idx="14">
                  <c:v>TR06628097-PROTAK </c:v>
                </c:pt>
              </c:strCache>
            </c:strRef>
          </c:cat>
          <c:val>
            <c:numRef>
              <c:f>'experiement design (96-well (2)'!$AZ$41:$AZ$55</c:f>
              <c:numCache>
                <c:formatCode>General</c:formatCode>
                <c:ptCount val="15"/>
                <c:pt idx="0">
                  <c:v>67.346070002469133</c:v>
                </c:pt>
                <c:pt idx="1">
                  <c:v>63.906476651633859</c:v>
                </c:pt>
                <c:pt idx="2">
                  <c:v>63.325694408465544</c:v>
                </c:pt>
                <c:pt idx="3">
                  <c:v>7.1212470170109903</c:v>
                </c:pt>
                <c:pt idx="4">
                  <c:v>9.8184048225717682</c:v>
                </c:pt>
                <c:pt idx="5">
                  <c:v>51.355499144672308</c:v>
                </c:pt>
                <c:pt idx="6">
                  <c:v>70.007993976892337</c:v>
                </c:pt>
                <c:pt idx="7">
                  <c:v>94.721022146996702</c:v>
                </c:pt>
                <c:pt idx="8">
                  <c:v>4.1546010819206254</c:v>
                </c:pt>
                <c:pt idx="9">
                  <c:v>84.261948148330944</c:v>
                </c:pt>
                <c:pt idx="10">
                  <c:v>49.287006314057905</c:v>
                </c:pt>
                <c:pt idx="11">
                  <c:v>58.393363961401349</c:v>
                </c:pt>
                <c:pt idx="12">
                  <c:v>39.975544759488422</c:v>
                </c:pt>
                <c:pt idx="13">
                  <c:v>90.679437351102592</c:v>
                </c:pt>
                <c:pt idx="14">
                  <c:v>65.426806190706174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91-407C-95E7-50DDA18BA731}"/>
            </c:ext>
          </c:extLst>
        </c:ser>
        <c:ser>
          <c:idx val="2"/>
          <c:order val="2"/>
          <c:tx>
            <c:v>1.11 uM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'experiement design (96-well (2)'!$BE$41:$BE$55</c:f>
              <c:strCache>
                <c:ptCount val="15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  <c:pt idx="13">
                  <c:v>TR06628096-PROTAK</c:v>
                </c:pt>
                <c:pt idx="14">
                  <c:v>TR06628097-PROTAK </c:v>
                </c:pt>
              </c:strCache>
            </c:strRef>
          </c:cat>
          <c:val>
            <c:numRef>
              <c:f>'experiement design (96-well (2)'!$BA$41:$BA$55</c:f>
              <c:numCache>
                <c:formatCode>General</c:formatCode>
                <c:ptCount val="15"/>
                <c:pt idx="0">
                  <c:v>67.87718302821898</c:v>
                </c:pt>
                <c:pt idx="1">
                  <c:v>62.520683602856387</c:v>
                </c:pt>
                <c:pt idx="2">
                  <c:v>8.2538293740973803</c:v>
                </c:pt>
                <c:pt idx="3">
                  <c:v>3.5873483386740008</c:v>
                </c:pt>
                <c:pt idx="4">
                  <c:v>4.1342080176677101</c:v>
                </c:pt>
                <c:pt idx="5">
                  <c:v>1.8576075623824884</c:v>
                </c:pt>
                <c:pt idx="6">
                  <c:v>52.494374242816122</c:v>
                </c:pt>
                <c:pt idx="7">
                  <c:v>85.111443862601547</c:v>
                </c:pt>
                <c:pt idx="8">
                  <c:v>2.2910518003482072</c:v>
                </c:pt>
                <c:pt idx="9">
                  <c:v>60.411798297649</c:v>
                </c:pt>
                <c:pt idx="10">
                  <c:v>36.610801845552828</c:v>
                </c:pt>
                <c:pt idx="11">
                  <c:v>39.878207690249724</c:v>
                </c:pt>
                <c:pt idx="12">
                  <c:v>35.06889871305853</c:v>
                </c:pt>
                <c:pt idx="13">
                  <c:v>82.811555296216028</c:v>
                </c:pt>
                <c:pt idx="14">
                  <c:v>29.928374529086049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91-407C-95E7-50DDA18BA731}"/>
            </c:ext>
          </c:extLst>
        </c:ser>
        <c:ser>
          <c:idx val="3"/>
          <c:order val="3"/>
          <c:tx>
            <c:v>3.33 uM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'experiement design (96-well (2)'!$BE$41:$BE$55</c:f>
              <c:strCache>
                <c:ptCount val="15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  <c:pt idx="13">
                  <c:v>TR06628096-PROTAK</c:v>
                </c:pt>
                <c:pt idx="14">
                  <c:v>TR06628097-PROTAK </c:v>
                </c:pt>
              </c:strCache>
            </c:strRef>
          </c:cat>
          <c:val>
            <c:numRef>
              <c:f>'experiement design (96-well (2)'!$BB$41:$BB$55</c:f>
              <c:numCache>
                <c:formatCode>General</c:formatCode>
                <c:ptCount val="15"/>
                <c:pt idx="0">
                  <c:v>63.161133452740629</c:v>
                </c:pt>
                <c:pt idx="1">
                  <c:v>60.994702739496056</c:v>
                </c:pt>
                <c:pt idx="2">
                  <c:v>0.56622620281133373</c:v>
                </c:pt>
                <c:pt idx="3">
                  <c:v>2.1215579437030598</c:v>
                </c:pt>
                <c:pt idx="4">
                  <c:v>2.9991660196117067</c:v>
                </c:pt>
                <c:pt idx="5">
                  <c:v>0.27824539784872987</c:v>
                </c:pt>
                <c:pt idx="6">
                  <c:v>27.440693177809965</c:v>
                </c:pt>
                <c:pt idx="7">
                  <c:v>76.138254782679724</c:v>
                </c:pt>
                <c:pt idx="8">
                  <c:v>2.1128060986891493</c:v>
                </c:pt>
                <c:pt idx="9">
                  <c:v>26.715971593231707</c:v>
                </c:pt>
                <c:pt idx="10">
                  <c:v>25.711876138949865</c:v>
                </c:pt>
                <c:pt idx="11">
                  <c:v>15.204905088448967</c:v>
                </c:pt>
                <c:pt idx="12">
                  <c:v>33.830565978251556</c:v>
                </c:pt>
                <c:pt idx="13">
                  <c:v>85.336009368699138</c:v>
                </c:pt>
                <c:pt idx="14">
                  <c:v>0.59614846831527357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91-407C-95E7-50DDA18BA731}"/>
            </c:ext>
          </c:extLst>
        </c:ser>
        <c:ser>
          <c:idx val="4"/>
          <c:order val="4"/>
          <c:tx>
            <c:v>10 uM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'experiement design (96-well (2)'!$BE$41:$BE$55</c:f>
              <c:strCache>
                <c:ptCount val="15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  <c:pt idx="13">
                  <c:v>TR06628096-PROTAK</c:v>
                </c:pt>
                <c:pt idx="14">
                  <c:v>TR06628097-PROTAK </c:v>
                </c:pt>
              </c:strCache>
            </c:strRef>
          </c:cat>
          <c:val>
            <c:numRef>
              <c:f>'experiement design (96-well (2)'!$BC$41:$BC$55</c:f>
              <c:numCache>
                <c:formatCode>General</c:formatCode>
                <c:ptCount val="15"/>
                <c:pt idx="0">
                  <c:v>65.539501986244048</c:v>
                </c:pt>
                <c:pt idx="1">
                  <c:v>61.172592389147475</c:v>
                </c:pt>
                <c:pt idx="2">
                  <c:v>0.50713155672831611</c:v>
                </c:pt>
                <c:pt idx="3">
                  <c:v>1.5354977615029295</c:v>
                </c:pt>
                <c:pt idx="4">
                  <c:v>1.3454246658003899</c:v>
                </c:pt>
                <c:pt idx="5">
                  <c:v>0.46141377286215207</c:v>
                </c:pt>
                <c:pt idx="6">
                  <c:v>9.1016954256484315</c:v>
                </c:pt>
                <c:pt idx="7">
                  <c:v>75.408285767010966</c:v>
                </c:pt>
                <c:pt idx="8">
                  <c:v>1.4867394840213595</c:v>
                </c:pt>
                <c:pt idx="9">
                  <c:v>13.973790623199982</c:v>
                </c:pt>
                <c:pt idx="10">
                  <c:v>18.255321430991337</c:v>
                </c:pt>
                <c:pt idx="11">
                  <c:v>3.6893622682691323</c:v>
                </c:pt>
                <c:pt idx="12">
                  <c:v>31.06934782804295</c:v>
                </c:pt>
                <c:pt idx="13">
                  <c:v>86.278139922742525</c:v>
                </c:pt>
                <c:pt idx="14">
                  <c:v>0.43293235180931866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91-407C-95E7-50DDA18BA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7096568"/>
        <c:axId val="807095256"/>
      </c:barChart>
      <c:catAx>
        <c:axId val="807096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095256"/>
        <c:crosses val="autoZero"/>
        <c:auto val="1"/>
        <c:lblAlgn val="ctr"/>
        <c:lblOffset val="100"/>
        <c:noMultiLvlLbl val="0"/>
      </c:catAx>
      <c:valAx>
        <c:axId val="807095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096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HiBiT Signal 0.37 - 10uM Hit Drugs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 4C Raw Data'!$I$29:$I$41</c:f>
              <c:strCache>
                <c:ptCount val="13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</c:strCache>
            </c:strRef>
          </c:cat>
          <c:val>
            <c:numRef>
              <c:f>'Fig 4C Raw Data'!$D$29:$D$41</c:f>
              <c:numCache>
                <c:formatCode>General</c:formatCode>
                <c:ptCount val="13"/>
                <c:pt idx="0">
                  <c:v>6.7013763725327324</c:v>
                </c:pt>
                <c:pt idx="1">
                  <c:v>8.6579505809853092</c:v>
                </c:pt>
                <c:pt idx="2">
                  <c:v>0.904625627298003</c:v>
                </c:pt>
                <c:pt idx="3">
                  <c:v>3.1609863741940338</c:v>
                </c:pt>
                <c:pt idx="4">
                  <c:v>2.9329179035003308</c:v>
                </c:pt>
                <c:pt idx="5">
                  <c:v>1.264595159657333</c:v>
                </c:pt>
                <c:pt idx="6">
                  <c:v>2.5630432533923462</c:v>
                </c:pt>
                <c:pt idx="7">
                  <c:v>0.82977302861513291</c:v>
                </c:pt>
                <c:pt idx="8">
                  <c:v>29.75221532973698</c:v>
                </c:pt>
                <c:pt idx="9">
                  <c:v>1.2997019061082604</c:v>
                </c:pt>
                <c:pt idx="10">
                  <c:v>7.9184520432439891</c:v>
                </c:pt>
                <c:pt idx="11">
                  <c:v>4.4356120328373461</c:v>
                </c:pt>
                <c:pt idx="12">
                  <c:v>16.380431750290729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F-482E-ACDA-B5C217E8F24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 4C Raw Data'!$I$29:$I$41</c:f>
              <c:strCache>
                <c:ptCount val="13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</c:strCache>
            </c:strRef>
          </c:cat>
          <c:val>
            <c:numRef>
              <c:f>'Fig 4C Raw Data'!$E$29:$E$41</c:f>
              <c:numCache>
                <c:formatCode>General</c:formatCode>
                <c:ptCount val="13"/>
                <c:pt idx="0">
                  <c:v>13.07914377153031</c:v>
                </c:pt>
                <c:pt idx="1">
                  <c:v>15.879659088415714</c:v>
                </c:pt>
                <c:pt idx="2">
                  <c:v>0.93910546756230662</c:v>
                </c:pt>
                <c:pt idx="3">
                  <c:v>4.4160525598146867</c:v>
                </c:pt>
                <c:pt idx="4">
                  <c:v>3.6138634034109964</c:v>
                </c:pt>
                <c:pt idx="5">
                  <c:v>1.0148357349064498</c:v>
                </c:pt>
                <c:pt idx="6">
                  <c:v>4.2885398414554254</c:v>
                </c:pt>
                <c:pt idx="7">
                  <c:v>0.85948838186109644</c:v>
                </c:pt>
                <c:pt idx="8">
                  <c:v>12.00324737404671</c:v>
                </c:pt>
                <c:pt idx="9">
                  <c:v>1.1043579383563147</c:v>
                </c:pt>
                <c:pt idx="10">
                  <c:v>7.4939111736624175</c:v>
                </c:pt>
                <c:pt idx="11">
                  <c:v>5.7368185137935033</c:v>
                </c:pt>
                <c:pt idx="12">
                  <c:v>25.909405786971007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9F-482E-ACDA-B5C217E8F24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 4C Raw Data'!$I$29:$I$41</c:f>
              <c:strCache>
                <c:ptCount val="13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</c:strCache>
            </c:strRef>
          </c:cat>
          <c:val>
            <c:numRef>
              <c:f>'Fig 4C Raw Data'!$F$29:$F$41</c:f>
              <c:numCache>
                <c:formatCode>General</c:formatCode>
                <c:ptCount val="13"/>
                <c:pt idx="0">
                  <c:v>17.202556523429053</c:v>
                </c:pt>
                <c:pt idx="1">
                  <c:v>26.989189002811674</c:v>
                </c:pt>
                <c:pt idx="2">
                  <c:v>0.64646565964636227</c:v>
                </c:pt>
                <c:pt idx="3">
                  <c:v>4.0659881452040105</c:v>
                </c:pt>
                <c:pt idx="4">
                  <c:v>1.3244020098612344</c:v>
                </c:pt>
                <c:pt idx="5">
                  <c:v>0.12726195588461164</c:v>
                </c:pt>
                <c:pt idx="6">
                  <c:v>2.0721757092659869</c:v>
                </c:pt>
                <c:pt idx="7">
                  <c:v>1.1576449642193294</c:v>
                </c:pt>
                <c:pt idx="8">
                  <c:v>1.9795189748830035</c:v>
                </c:pt>
                <c:pt idx="9">
                  <c:v>0.61725183134969763</c:v>
                </c:pt>
                <c:pt idx="10">
                  <c:v>5.5718168054741453</c:v>
                </c:pt>
                <c:pt idx="11">
                  <c:v>2.9127315242910474</c:v>
                </c:pt>
                <c:pt idx="12">
                  <c:v>12.242224012387666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9F-482E-ACDA-B5C217E8F249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 4C Raw Data'!$I$29:$I$41</c:f>
              <c:strCache>
                <c:ptCount val="13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</c:strCache>
            </c:strRef>
          </c:cat>
          <c:val>
            <c:numRef>
              <c:f>'Fig 4C Raw Data'!$G$29:$G$41</c:f>
              <c:numCache>
                <c:formatCode>General</c:formatCode>
                <c:ptCount val="13"/>
                <c:pt idx="0">
                  <c:v>19.970096574898051</c:v>
                </c:pt>
                <c:pt idx="1">
                  <c:v>26.119043215777975</c:v>
                </c:pt>
                <c:pt idx="2">
                  <c:v>4.3131145639710745E-2</c:v>
                </c:pt>
                <c:pt idx="3">
                  <c:v>1.2505524610769621</c:v>
                </c:pt>
                <c:pt idx="4">
                  <c:v>0.6573738272936146</c:v>
                </c:pt>
                <c:pt idx="5">
                  <c:v>4.6140295335504518E-2</c:v>
                </c:pt>
                <c:pt idx="6">
                  <c:v>6.595053083281352E-2</c:v>
                </c:pt>
                <c:pt idx="7">
                  <c:v>1.066994329633542</c:v>
                </c:pt>
                <c:pt idx="8">
                  <c:v>0.60295837029467725</c:v>
                </c:pt>
                <c:pt idx="9">
                  <c:v>7.0464255376504178E-2</c:v>
                </c:pt>
                <c:pt idx="10">
                  <c:v>3.39469700056735</c:v>
                </c:pt>
                <c:pt idx="11">
                  <c:v>0.32285668611120688</c:v>
                </c:pt>
                <c:pt idx="12">
                  <c:v>4.8985195610402883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9F-482E-ACDA-B5C217E8F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1097712"/>
        <c:axId val="801102960"/>
      </c:barChart>
      <c:catAx>
        <c:axId val="801097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Drug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102960"/>
        <c:crosses val="autoZero"/>
        <c:auto val="1"/>
        <c:lblAlgn val="ctr"/>
        <c:lblOffset val="100"/>
        <c:noMultiLvlLbl val="0"/>
      </c:catAx>
      <c:valAx>
        <c:axId val="80110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Fold</a:t>
                </a:r>
                <a:r>
                  <a:rPr lang="en-US" baseline="0"/>
                  <a:t> Change HiBiT Signal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09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CTG (Viability) Signal 0.37 - 10uM Hit Drugs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 4C Raw Data'!$I$29:$I$41</c:f>
              <c:strCache>
                <c:ptCount val="13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</c:strCache>
            </c:strRef>
          </c:cat>
          <c:val>
            <c:numRef>
              <c:f>'Fig 4C Raw Data'!$K$29:$K$41</c:f>
              <c:numCache>
                <c:formatCode>General</c:formatCode>
                <c:ptCount val="13"/>
                <c:pt idx="0">
                  <c:v>92.485948269865659</c:v>
                </c:pt>
                <c:pt idx="1">
                  <c:v>87.77831615500051</c:v>
                </c:pt>
                <c:pt idx="2">
                  <c:v>121.13995237195032</c:v>
                </c:pt>
                <c:pt idx="3">
                  <c:v>109.54688363926905</c:v>
                </c:pt>
                <c:pt idx="4">
                  <c:v>92.352585668969994</c:v>
                </c:pt>
                <c:pt idx="5">
                  <c:v>116.04847967481189</c:v>
                </c:pt>
                <c:pt idx="6">
                  <c:v>85.465795116119395</c:v>
                </c:pt>
                <c:pt idx="7">
                  <c:v>98.030989203552792</c:v>
                </c:pt>
                <c:pt idx="8">
                  <c:v>54.728084995979664</c:v>
                </c:pt>
                <c:pt idx="9">
                  <c:v>87.249604524038531</c:v>
                </c:pt>
                <c:pt idx="10">
                  <c:v>69.657249653604183</c:v>
                </c:pt>
                <c:pt idx="11">
                  <c:v>76.912987503348873</c:v>
                </c:pt>
                <c:pt idx="12">
                  <c:v>80.108951152224108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D-401D-9849-1423F8B42EA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 4C Raw Data'!$I$29:$I$41</c:f>
              <c:strCache>
                <c:ptCount val="13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</c:strCache>
            </c:strRef>
          </c:cat>
          <c:val>
            <c:numRef>
              <c:f>'Fig 4C Raw Data'!$L$29:$L$41</c:f>
              <c:numCache>
                <c:formatCode>General</c:formatCode>
                <c:ptCount val="13"/>
                <c:pt idx="0">
                  <c:v>98.688324662789782</c:v>
                </c:pt>
                <c:pt idx="1">
                  <c:v>86.730370438317848</c:v>
                </c:pt>
                <c:pt idx="2">
                  <c:v>99.274578532716902</c:v>
                </c:pt>
                <c:pt idx="3">
                  <c:v>54.413295100464524</c:v>
                </c:pt>
                <c:pt idx="4">
                  <c:v>78.764493662991697</c:v>
                </c:pt>
                <c:pt idx="5">
                  <c:v>127.0051989412905</c:v>
                </c:pt>
                <c:pt idx="6">
                  <c:v>73.099629478753627</c:v>
                </c:pt>
                <c:pt idx="7">
                  <c:v>77.613648883689024</c:v>
                </c:pt>
                <c:pt idx="8">
                  <c:v>22.255984096679086</c:v>
                </c:pt>
                <c:pt idx="9">
                  <c:v>40.968043240623196</c:v>
                </c:pt>
                <c:pt idx="10">
                  <c:v>57.633629579960278</c:v>
                </c:pt>
                <c:pt idx="11">
                  <c:v>57.93014135251002</c:v>
                </c:pt>
                <c:pt idx="12">
                  <c:v>54.038255095915297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AD-401D-9849-1423F8B42EA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 4C Raw Data'!$I$29:$I$41</c:f>
              <c:strCache>
                <c:ptCount val="13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</c:strCache>
            </c:strRef>
          </c:cat>
          <c:val>
            <c:numRef>
              <c:f>'Fig 4C Raw Data'!$M$29:$M$41</c:f>
              <c:numCache>
                <c:formatCode>General</c:formatCode>
                <c:ptCount val="13"/>
                <c:pt idx="0">
                  <c:v>97.890179959967526</c:v>
                </c:pt>
                <c:pt idx="1">
                  <c:v>104.95772083992037</c:v>
                </c:pt>
                <c:pt idx="2">
                  <c:v>99.411325971198764</c:v>
                </c:pt>
                <c:pt idx="3">
                  <c:v>32.042903493372407</c:v>
                </c:pt>
                <c:pt idx="4">
                  <c:v>68.397413104026384</c:v>
                </c:pt>
                <c:pt idx="5">
                  <c:v>25.497304569209184</c:v>
                </c:pt>
                <c:pt idx="6">
                  <c:v>21.106493252410893</c:v>
                </c:pt>
                <c:pt idx="7">
                  <c:v>63.840067777987827</c:v>
                </c:pt>
                <c:pt idx="8">
                  <c:v>8.9948674015261894</c:v>
                </c:pt>
                <c:pt idx="9">
                  <c:v>11.28369457730402</c:v>
                </c:pt>
                <c:pt idx="10">
                  <c:v>50.956698957453092</c:v>
                </c:pt>
                <c:pt idx="11">
                  <c:v>39.272239609944855</c:v>
                </c:pt>
                <c:pt idx="12">
                  <c:v>38.881629352499189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AD-401D-9849-1423F8B42EA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 4C Raw Data'!$I$29:$I$41</c:f>
              <c:strCache>
                <c:ptCount val="13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</c:strCache>
            </c:strRef>
          </c:cat>
          <c:val>
            <c:numRef>
              <c:f>'Fig 4C Raw Data'!$N$29:$N$41</c:f>
              <c:numCache>
                <c:formatCode>General</c:formatCode>
                <c:ptCount val="13"/>
                <c:pt idx="0">
                  <c:v>114.23352976109986</c:v>
                </c:pt>
                <c:pt idx="1">
                  <c:v>92.812923580691049</c:v>
                </c:pt>
                <c:pt idx="2">
                  <c:v>4.9689415765185689</c:v>
                </c:pt>
                <c:pt idx="3">
                  <c:v>17.656666784571843</c:v>
                </c:pt>
                <c:pt idx="4">
                  <c:v>45.581576870592414</c:v>
                </c:pt>
                <c:pt idx="5">
                  <c:v>4.2588026509371009</c:v>
                </c:pt>
                <c:pt idx="6">
                  <c:v>3.986661709007882</c:v>
                </c:pt>
                <c:pt idx="7">
                  <c:v>99.014623006097963</c:v>
                </c:pt>
                <c:pt idx="8">
                  <c:v>9.4247417749715972</c:v>
                </c:pt>
                <c:pt idx="9">
                  <c:v>10.253350016069517</c:v>
                </c:pt>
                <c:pt idx="10">
                  <c:v>31.518253667513836</c:v>
                </c:pt>
                <c:pt idx="11">
                  <c:v>6.1583735043037366</c:v>
                </c:pt>
                <c:pt idx="12">
                  <c:v>32.941916356262958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AD-401D-9849-1423F8B42EA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'Fig 4C Raw Data'!$I$29:$I$41</c:f>
              <c:strCache>
                <c:ptCount val="13"/>
                <c:pt idx="0">
                  <c:v>Pomalidomide</c:v>
                </c:pt>
                <c:pt idx="1">
                  <c:v>Avadomide(CC-122)</c:v>
                </c:pt>
                <c:pt idx="2">
                  <c:v>Thiomyristoyl</c:v>
                </c:pt>
                <c:pt idx="3">
                  <c:v>Triciribine</c:v>
                </c:pt>
                <c:pt idx="4">
                  <c:v>Autophinib</c:v>
                </c:pt>
                <c:pt idx="5">
                  <c:v>CPI-637</c:v>
                </c:pt>
                <c:pt idx="6">
                  <c:v>Tazemetostat</c:v>
                </c:pt>
                <c:pt idx="7">
                  <c:v>Sodium Nitroprusside</c:v>
                </c:pt>
                <c:pt idx="8">
                  <c:v>Decitabine</c:v>
                </c:pt>
                <c:pt idx="9">
                  <c:v>PIK III</c:v>
                </c:pt>
                <c:pt idx="10">
                  <c:v>FTX-6058 </c:v>
                </c:pt>
                <c:pt idx="11">
                  <c:v>MAK683 </c:v>
                </c:pt>
                <c:pt idx="12">
                  <c:v>Idoxuridine</c:v>
                </c:pt>
              </c:strCache>
            </c:strRef>
          </c:cat>
          <c:val>
            <c:numRef>
              <c:f>'Fig 4C Raw Data'!$O$29:$O$41</c:f>
              <c:numCache>
                <c:formatCode>General</c:formatCode>
                <c:ptCount val="13"/>
                <c:pt idx="0">
                  <c:v>97.890179959967526</c:v>
                </c:pt>
                <c:pt idx="1">
                  <c:v>104.95772083992037</c:v>
                </c:pt>
                <c:pt idx="2">
                  <c:v>99.411325971198764</c:v>
                </c:pt>
                <c:pt idx="3">
                  <c:v>32.042903493372407</c:v>
                </c:pt>
                <c:pt idx="4">
                  <c:v>68.397413104026384</c:v>
                </c:pt>
                <c:pt idx="5">
                  <c:v>25.497304569209184</c:v>
                </c:pt>
                <c:pt idx="6">
                  <c:v>21.106493252410893</c:v>
                </c:pt>
                <c:pt idx="7">
                  <c:v>63.840067777987827</c:v>
                </c:pt>
                <c:pt idx="8">
                  <c:v>8.9948674015261894</c:v>
                </c:pt>
                <c:pt idx="9">
                  <c:v>11.28369457730402</c:v>
                </c:pt>
                <c:pt idx="10">
                  <c:v>50.956698957453092</c:v>
                </c:pt>
                <c:pt idx="11">
                  <c:v>39.272239609944855</c:v>
                </c:pt>
                <c:pt idx="12">
                  <c:v>38.881629352499189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AD-401D-9849-1423F8B42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6827792"/>
        <c:axId val="776831400"/>
      </c:barChart>
      <c:catAx>
        <c:axId val="77682779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831400"/>
        <c:crosses val="autoZero"/>
        <c:auto val="1"/>
        <c:lblAlgn val="ctr"/>
        <c:lblOffset val="100"/>
        <c:noMultiLvlLbl val="0"/>
      </c:catAx>
      <c:valAx>
        <c:axId val="776831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827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352425</xdr:colOff>
      <xdr:row>71</xdr:row>
      <xdr:rowOff>14287</xdr:rowOff>
    </xdr:from>
    <xdr:to>
      <xdr:col>47</xdr:col>
      <xdr:colOff>47625</xdr:colOff>
      <xdr:row>90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AC7E82-6622-4411-A140-75A28EF218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50</xdr:col>
      <xdr:colOff>561975</xdr:colOff>
      <xdr:row>57</xdr:row>
      <xdr:rowOff>119062</xdr:rowOff>
    </xdr:from>
    <xdr:to>
      <xdr:col>58</xdr:col>
      <xdr:colOff>257175</xdr:colOff>
      <xdr:row>72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46055B-A7B7-4A29-9783-026B7E0BB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9525</xdr:colOff>
      <xdr:row>64</xdr:row>
      <xdr:rowOff>185737</xdr:rowOff>
    </xdr:from>
    <xdr:to>
      <xdr:col>43</xdr:col>
      <xdr:colOff>314325</xdr:colOff>
      <xdr:row>79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F7A812-3656-4CEA-A99E-0DCB35F72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523875</xdr:colOff>
      <xdr:row>60</xdr:row>
      <xdr:rowOff>138112</xdr:rowOff>
    </xdr:from>
    <xdr:to>
      <xdr:col>58</xdr:col>
      <xdr:colOff>219075</xdr:colOff>
      <xdr:row>75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05BF9C-A763-4D99-A8D6-0278B76D3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59</xdr:col>
      <xdr:colOff>381000</xdr:colOff>
      <xdr:row>49</xdr:row>
      <xdr:rowOff>80962</xdr:rowOff>
    </xdr:from>
    <xdr:to>
      <xdr:col>67</xdr:col>
      <xdr:colOff>76200</xdr:colOff>
      <xdr:row>63</xdr:row>
      <xdr:rowOff>157162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8EAC83-7804-4938-A315-BFE86AB19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43</xdr:col>
      <xdr:colOff>361950</xdr:colOff>
      <xdr:row>61</xdr:row>
      <xdr:rowOff>166687</xdr:rowOff>
    </xdr:from>
    <xdr:to>
      <xdr:col>51</xdr:col>
      <xdr:colOff>57150</xdr:colOff>
      <xdr:row>76</xdr:row>
      <xdr:rowOff>52387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790B708-4486-4A37-94BF-54F61BDE1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571501</xdr:colOff>
      <xdr:row>42</xdr:row>
      <xdr:rowOff>114300</xdr:rowOff>
    </xdr:from>
    <xdr:to>
      <xdr:col>8</xdr:col>
      <xdr:colOff>647701</xdr:colOff>
      <xdr:row>61</xdr:row>
      <xdr:rowOff>150812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33C459-85EA-4100-867B-79E5A7E53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</xdr:colOff>
      <xdr:row>42</xdr:row>
      <xdr:rowOff>119062</xdr:rowOff>
    </xdr:from>
    <xdr:to>
      <xdr:col>20</xdr:col>
      <xdr:colOff>50800</xdr:colOff>
      <xdr:row>62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939F8E-5B47-4768-861F-F60C657F5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86"/>
  <sheetViews>
    <sheetView topLeftCell="E7" workbookViewId="0">
      <selection activeCell="F1" sqref="F1:G30"/>
    </sheetView>
  </sheetViews>
  <sheetFormatPr baseColWidth="10" defaultColWidth="8.83203125" defaultRowHeight="15" x14ac:dyDescent="0.2"/>
  <cols>
    <col min="2" max="2" width="15.6640625" customWidth="1"/>
    <col min="3" max="3" width="13.5" customWidth="1"/>
    <col min="5" max="5" width="18.83203125" customWidth="1"/>
    <col min="6" max="6" width="7.83203125" customWidth="1"/>
    <col min="7" max="7" width="22.83203125" customWidth="1"/>
    <col min="8" max="8" width="28.1640625" customWidth="1"/>
    <col min="9" max="9" width="31.33203125" customWidth="1"/>
    <col min="10" max="10" width="25.5" customWidth="1"/>
    <col min="11" max="11" width="24" customWidth="1"/>
    <col min="12" max="12" width="22" customWidth="1"/>
    <col min="13" max="13" width="31.83203125" style="21" customWidth="1"/>
  </cols>
  <sheetData>
    <row r="1" spans="1:14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5"/>
      <c r="G1" s="5" t="s">
        <v>5</v>
      </c>
      <c r="H1" s="5" t="s">
        <v>6</v>
      </c>
      <c r="I1" s="9" t="s">
        <v>7</v>
      </c>
      <c r="J1" t="s">
        <v>8</v>
      </c>
      <c r="K1" t="s">
        <v>9</v>
      </c>
      <c r="L1" t="s">
        <v>10</v>
      </c>
      <c r="M1" s="21" t="s">
        <v>11</v>
      </c>
      <c r="N1" t="s">
        <v>12</v>
      </c>
    </row>
    <row r="2" spans="1:14" x14ac:dyDescent="0.2">
      <c r="A2" t="s">
        <v>13</v>
      </c>
      <c r="B2">
        <v>1818720</v>
      </c>
      <c r="C2" t="s">
        <v>14</v>
      </c>
      <c r="D2" t="s">
        <v>13</v>
      </c>
      <c r="E2" t="s">
        <v>15</v>
      </c>
      <c r="F2" s="5">
        <v>1</v>
      </c>
      <c r="G2" s="5" t="s">
        <v>16</v>
      </c>
      <c r="H2" s="5" t="s">
        <v>17</v>
      </c>
      <c r="I2" s="9"/>
      <c r="J2">
        <v>6.7484204910000001</v>
      </c>
      <c r="K2">
        <v>0.48629166299999999</v>
      </c>
      <c r="L2">
        <v>0.375053939</v>
      </c>
      <c r="M2" s="17">
        <v>0.406830733</v>
      </c>
      <c r="N2">
        <v>8.3291865089999995</v>
      </c>
    </row>
    <row r="3" spans="1:14" x14ac:dyDescent="0.2">
      <c r="A3" t="s">
        <v>18</v>
      </c>
      <c r="B3">
        <v>1573240</v>
      </c>
      <c r="C3" t="s">
        <v>14</v>
      </c>
      <c r="D3" t="s">
        <v>19</v>
      </c>
      <c r="E3" t="s">
        <v>20</v>
      </c>
      <c r="F3" s="5">
        <v>2</v>
      </c>
      <c r="G3" s="5" t="s">
        <v>21</v>
      </c>
      <c r="H3" s="5" t="s">
        <v>22</v>
      </c>
      <c r="I3" s="9"/>
      <c r="J3">
        <v>6.7484204910000001</v>
      </c>
      <c r="K3">
        <v>0.48629166299999999</v>
      </c>
      <c r="L3">
        <v>0.375053939</v>
      </c>
      <c r="M3" s="17">
        <v>0.13785282300000001</v>
      </c>
      <c r="N3">
        <v>6.9473463009999996</v>
      </c>
    </row>
    <row r="4" spans="1:14" x14ac:dyDescent="0.2">
      <c r="A4" t="s">
        <v>23</v>
      </c>
      <c r="B4">
        <v>1448720</v>
      </c>
      <c r="C4" t="s">
        <v>14</v>
      </c>
      <c r="D4" t="s">
        <v>23</v>
      </c>
      <c r="E4" t="s">
        <v>24</v>
      </c>
      <c r="F4" s="5">
        <v>3</v>
      </c>
      <c r="G4" s="5" t="s">
        <v>25</v>
      </c>
      <c r="H4" s="5" t="s">
        <v>26</v>
      </c>
      <c r="I4" s="9"/>
      <c r="J4">
        <v>6.7484204910000001</v>
      </c>
      <c r="K4">
        <v>0.48629166299999999</v>
      </c>
      <c r="L4">
        <v>0.375053939</v>
      </c>
      <c r="M4" s="17">
        <v>1.413482E-3</v>
      </c>
      <c r="N4">
        <v>6.2464063359999997</v>
      </c>
    </row>
    <row r="5" spans="1:14" x14ac:dyDescent="0.2">
      <c r="A5" t="s">
        <v>27</v>
      </c>
      <c r="B5">
        <v>1054320</v>
      </c>
      <c r="C5" t="s">
        <v>28</v>
      </c>
      <c r="D5" t="s">
        <v>29</v>
      </c>
      <c r="E5" t="s">
        <v>30</v>
      </c>
      <c r="F5" s="5">
        <v>4</v>
      </c>
      <c r="G5" s="5" t="s">
        <v>31</v>
      </c>
      <c r="H5" s="5" t="s">
        <v>32</v>
      </c>
      <c r="I5" s="17"/>
      <c r="J5">
        <v>5.8462906840000004</v>
      </c>
      <c r="K5">
        <v>0.60615847</v>
      </c>
      <c r="L5">
        <v>0.28550877299999999</v>
      </c>
      <c r="M5" s="17">
        <v>-0.39717419799999998</v>
      </c>
      <c r="N5">
        <v>4.1987122289999999</v>
      </c>
    </row>
    <row r="6" spans="1:14" x14ac:dyDescent="0.2">
      <c r="A6" t="s">
        <v>33</v>
      </c>
      <c r="B6">
        <v>951320</v>
      </c>
      <c r="C6" t="s">
        <v>34</v>
      </c>
      <c r="D6" t="s">
        <v>33</v>
      </c>
      <c r="E6" t="s">
        <v>35</v>
      </c>
      <c r="F6" s="5">
        <v>5</v>
      </c>
      <c r="G6" s="5" t="s">
        <v>36</v>
      </c>
      <c r="H6" s="5" t="s">
        <v>37</v>
      </c>
      <c r="I6" s="9"/>
      <c r="J6">
        <v>7.0544859390000001</v>
      </c>
      <c r="K6">
        <v>0.623000361</v>
      </c>
      <c r="L6">
        <v>0.42866702800000001</v>
      </c>
      <c r="M6" s="11">
        <v>-0.46613864500000002</v>
      </c>
      <c r="N6">
        <v>3.8444160470000002</v>
      </c>
    </row>
    <row r="7" spans="1:14" x14ac:dyDescent="0.2">
      <c r="A7" t="s">
        <v>38</v>
      </c>
      <c r="B7">
        <v>936640</v>
      </c>
      <c r="C7" t="s">
        <v>34</v>
      </c>
      <c r="D7" t="s">
        <v>38</v>
      </c>
      <c r="E7" t="s">
        <v>39</v>
      </c>
      <c r="F7" s="5">
        <v>6</v>
      </c>
      <c r="G7" s="5" t="s">
        <v>40</v>
      </c>
      <c r="H7" s="5" t="s">
        <v>41</v>
      </c>
      <c r="I7" s="9"/>
      <c r="J7">
        <v>7.0544859390000001</v>
      </c>
      <c r="K7">
        <v>0.623000361</v>
      </c>
      <c r="L7">
        <v>0.42866702800000001</v>
      </c>
      <c r="M7" s="11">
        <v>-0.47904323199999999</v>
      </c>
      <c r="N7">
        <v>3.7781203539999999</v>
      </c>
    </row>
    <row r="8" spans="1:14" ht="32" x14ac:dyDescent="0.2">
      <c r="A8" t="s">
        <v>42</v>
      </c>
      <c r="B8">
        <v>997440</v>
      </c>
      <c r="C8" t="s">
        <v>14</v>
      </c>
      <c r="D8" t="s">
        <v>42</v>
      </c>
      <c r="E8" t="s">
        <v>43</v>
      </c>
      <c r="F8" s="5">
        <v>7</v>
      </c>
      <c r="G8" s="5" t="s">
        <v>44</v>
      </c>
      <c r="H8" s="5" t="s">
        <v>45</v>
      </c>
      <c r="I8" s="9" t="s">
        <v>46</v>
      </c>
      <c r="J8">
        <v>6.7484204910000001</v>
      </c>
      <c r="K8">
        <v>0.48629166299999999</v>
      </c>
      <c r="L8">
        <v>0.375053939</v>
      </c>
      <c r="M8" s="11">
        <v>-0.49306407800000002</v>
      </c>
      <c r="N8">
        <v>3.7060900210000001</v>
      </c>
    </row>
    <row r="9" spans="1:14" x14ac:dyDescent="0.2">
      <c r="A9" t="s">
        <v>47</v>
      </c>
      <c r="B9">
        <v>944640</v>
      </c>
      <c r="C9" t="s">
        <v>28</v>
      </c>
      <c r="D9" t="s">
        <v>48</v>
      </c>
      <c r="E9" t="s">
        <v>49</v>
      </c>
      <c r="F9" s="5">
        <v>8</v>
      </c>
      <c r="G9" s="5" t="s">
        <v>50</v>
      </c>
      <c r="H9" s="5" t="s">
        <v>51</v>
      </c>
      <c r="I9" s="9"/>
      <c r="J9">
        <v>5.8462906840000004</v>
      </c>
      <c r="K9">
        <v>0.60615847</v>
      </c>
      <c r="L9">
        <v>0.28550877299999999</v>
      </c>
      <c r="M9" s="11">
        <v>-0.49619464600000002</v>
      </c>
      <c r="N9">
        <v>3.6900071190000001</v>
      </c>
    </row>
    <row r="10" spans="1:14" x14ac:dyDescent="0.2">
      <c r="A10" t="s">
        <v>52</v>
      </c>
      <c r="B10">
        <v>938520</v>
      </c>
      <c r="C10" t="s">
        <v>28</v>
      </c>
      <c r="D10" t="s">
        <v>53</v>
      </c>
      <c r="E10" t="s">
        <v>54</v>
      </c>
      <c r="F10" s="5">
        <v>9</v>
      </c>
      <c r="G10" s="5" t="s">
        <v>55</v>
      </c>
      <c r="H10" s="5" t="s">
        <v>56</v>
      </c>
      <c r="I10" s="9"/>
      <c r="J10">
        <v>5.8462906840000004</v>
      </c>
      <c r="K10">
        <v>0.60615847</v>
      </c>
      <c r="L10">
        <v>0.28550877299999999</v>
      </c>
      <c r="M10" s="11">
        <v>-0.50171985699999999</v>
      </c>
      <c r="N10">
        <v>3.6616220419999999</v>
      </c>
    </row>
    <row r="11" spans="1:14" x14ac:dyDescent="0.2">
      <c r="A11" t="s">
        <v>57</v>
      </c>
      <c r="B11">
        <v>1024840</v>
      </c>
      <c r="C11" t="s">
        <v>58</v>
      </c>
      <c r="D11" t="s">
        <v>59</v>
      </c>
      <c r="E11" t="s">
        <v>60</v>
      </c>
      <c r="F11" s="5">
        <v>10</v>
      </c>
      <c r="G11" s="5" t="s">
        <v>61</v>
      </c>
      <c r="H11" s="5" t="s">
        <v>62</v>
      </c>
      <c r="I11" s="9"/>
      <c r="J11">
        <v>4.5363847230000003</v>
      </c>
      <c r="K11">
        <v>0.245646371</v>
      </c>
      <c r="L11">
        <v>7.5242279999999995E-2</v>
      </c>
      <c r="M11" s="11">
        <v>-0.52093211900000003</v>
      </c>
      <c r="N11">
        <v>3.5629214619999998</v>
      </c>
    </row>
    <row r="12" spans="1:14" x14ac:dyDescent="0.2">
      <c r="A12" t="s">
        <v>63</v>
      </c>
      <c r="B12">
        <v>888320</v>
      </c>
      <c r="C12" t="s">
        <v>34</v>
      </c>
      <c r="D12" t="s">
        <v>63</v>
      </c>
      <c r="E12" t="s">
        <v>64</v>
      </c>
      <c r="F12" s="5">
        <v>11</v>
      </c>
      <c r="G12" s="5" t="s">
        <v>65</v>
      </c>
      <c r="H12" s="5" t="s">
        <v>66</v>
      </c>
      <c r="I12" s="9"/>
      <c r="J12">
        <v>7.0544859390000001</v>
      </c>
      <c r="K12">
        <v>0.623000361</v>
      </c>
      <c r="L12">
        <v>0.42866702800000001</v>
      </c>
      <c r="M12" s="11">
        <v>-0.52151936600000004</v>
      </c>
      <c r="N12">
        <v>3.5599045560000002</v>
      </c>
    </row>
    <row r="13" spans="1:14" ht="32" x14ac:dyDescent="0.2">
      <c r="A13" t="s">
        <v>67</v>
      </c>
      <c r="B13">
        <v>875480</v>
      </c>
      <c r="C13" t="s">
        <v>68</v>
      </c>
      <c r="D13" t="s">
        <v>69</v>
      </c>
      <c r="E13" t="s">
        <v>70</v>
      </c>
      <c r="F13" s="5">
        <v>12</v>
      </c>
      <c r="G13" s="5" t="s">
        <v>71</v>
      </c>
      <c r="H13" s="5" t="s">
        <v>72</v>
      </c>
      <c r="I13" s="9" t="s">
        <v>73</v>
      </c>
      <c r="J13">
        <v>6.4561903559999996</v>
      </c>
      <c r="K13">
        <v>0.47291064100000002</v>
      </c>
      <c r="L13">
        <v>0.34414126499999997</v>
      </c>
      <c r="M13" s="11">
        <v>-0.56854951799999998</v>
      </c>
      <c r="N13">
        <v>3.3182930599999998</v>
      </c>
    </row>
    <row r="14" spans="1:14" x14ac:dyDescent="0.2">
      <c r="A14" t="s">
        <v>74</v>
      </c>
      <c r="B14">
        <v>969680</v>
      </c>
      <c r="C14" t="s">
        <v>58</v>
      </c>
      <c r="D14" t="s">
        <v>75</v>
      </c>
      <c r="E14" t="s">
        <v>76</v>
      </c>
      <c r="F14" s="5">
        <v>13</v>
      </c>
      <c r="G14" s="5" t="s">
        <v>77</v>
      </c>
      <c r="H14" s="5" t="s">
        <v>78</v>
      </c>
      <c r="I14" s="9"/>
      <c r="J14">
        <v>4.5363847230000003</v>
      </c>
      <c r="K14">
        <v>0.245646371</v>
      </c>
      <c r="L14">
        <v>7.5242279999999995E-2</v>
      </c>
      <c r="M14" s="11">
        <v>-0.57420158600000004</v>
      </c>
      <c r="N14">
        <v>3.2892562719999998</v>
      </c>
    </row>
    <row r="15" spans="1:14" x14ac:dyDescent="0.2">
      <c r="A15" t="s">
        <v>79</v>
      </c>
      <c r="B15">
        <v>845880</v>
      </c>
      <c r="C15" t="s">
        <v>28</v>
      </c>
      <c r="D15" t="s">
        <v>80</v>
      </c>
      <c r="E15" t="s">
        <v>81</v>
      </c>
      <c r="F15" s="5">
        <v>14</v>
      </c>
      <c r="G15" s="5" t="s">
        <v>82</v>
      </c>
      <c r="H15" s="5" t="s">
        <v>83</v>
      </c>
      <c r="I15" s="9"/>
      <c r="J15">
        <v>5.8462906840000004</v>
      </c>
      <c r="K15">
        <v>0.60615847</v>
      </c>
      <c r="L15">
        <v>0.28550877299999999</v>
      </c>
      <c r="M15" s="11">
        <v>-0.58535638499999998</v>
      </c>
      <c r="N15">
        <v>3.2319498919999998</v>
      </c>
    </row>
    <row r="16" spans="1:14" ht="32" x14ac:dyDescent="0.2">
      <c r="A16" t="s">
        <v>79</v>
      </c>
      <c r="B16">
        <v>744360</v>
      </c>
      <c r="C16" t="s">
        <v>84</v>
      </c>
      <c r="D16" t="s">
        <v>80</v>
      </c>
      <c r="E16" t="s">
        <v>85</v>
      </c>
      <c r="F16" s="5">
        <v>15</v>
      </c>
      <c r="G16" s="5" t="s">
        <v>86</v>
      </c>
      <c r="H16" s="5" t="s">
        <v>87</v>
      </c>
      <c r="I16" s="9" t="s">
        <v>88</v>
      </c>
      <c r="J16">
        <v>3.600219579</v>
      </c>
      <c r="K16">
        <v>-0.293098474</v>
      </c>
      <c r="L16">
        <v>-0.153917466</v>
      </c>
      <c r="M16" s="11">
        <v>-0.60662024599999997</v>
      </c>
      <c r="N16">
        <v>3.1227094809999998</v>
      </c>
    </row>
    <row r="17" spans="1:14" x14ac:dyDescent="0.2">
      <c r="A17" t="s">
        <v>89</v>
      </c>
      <c r="B17">
        <v>741480</v>
      </c>
      <c r="C17" t="s">
        <v>84</v>
      </c>
      <c r="D17" t="s">
        <v>90</v>
      </c>
      <c r="E17" t="s">
        <v>91</v>
      </c>
      <c r="F17" s="5">
        <v>16</v>
      </c>
      <c r="G17" s="5" t="s">
        <v>92</v>
      </c>
      <c r="H17" s="5" t="s">
        <v>93</v>
      </c>
      <c r="I17" s="9"/>
      <c r="J17">
        <v>3.600219579</v>
      </c>
      <c r="K17">
        <v>-0.293098474</v>
      </c>
      <c r="L17">
        <v>-0.153917466</v>
      </c>
      <c r="M17" s="11">
        <v>-0.61038977999999999</v>
      </c>
      <c r="N17">
        <v>3.1033439700000001</v>
      </c>
    </row>
    <row r="18" spans="1:14" x14ac:dyDescent="0.2">
      <c r="A18" t="s">
        <v>94</v>
      </c>
      <c r="B18">
        <v>767360</v>
      </c>
      <c r="C18" t="s">
        <v>34</v>
      </c>
      <c r="D18" t="s">
        <v>95</v>
      </c>
      <c r="E18" t="s">
        <v>96</v>
      </c>
      <c r="F18" s="5">
        <v>17</v>
      </c>
      <c r="G18" s="5" t="s">
        <v>97</v>
      </c>
      <c r="H18" s="5" t="s">
        <v>98</v>
      </c>
      <c r="I18" s="9"/>
      <c r="J18">
        <v>7.0544859390000001</v>
      </c>
      <c r="K18">
        <v>0.623000361</v>
      </c>
      <c r="L18">
        <v>0.42866702800000001</v>
      </c>
      <c r="M18" s="11">
        <v>-0.62785034900000003</v>
      </c>
      <c r="N18">
        <v>3.0136424929999999</v>
      </c>
    </row>
    <row r="19" spans="1:14" ht="16" x14ac:dyDescent="0.2">
      <c r="A19" t="s">
        <v>99</v>
      </c>
      <c r="B19">
        <v>892720</v>
      </c>
      <c r="C19" t="s">
        <v>100</v>
      </c>
      <c r="D19" t="s">
        <v>101</v>
      </c>
      <c r="E19" t="s">
        <v>102</v>
      </c>
      <c r="F19" s="5">
        <v>18</v>
      </c>
      <c r="G19" s="5" t="s">
        <v>103</v>
      </c>
      <c r="H19" s="5" t="s">
        <v>104</v>
      </c>
      <c r="I19" s="9" t="s">
        <v>105</v>
      </c>
      <c r="J19">
        <v>5.9110743220000002</v>
      </c>
      <c r="K19">
        <v>0.71598987199999997</v>
      </c>
      <c r="L19">
        <v>0.29077365599999999</v>
      </c>
      <c r="M19" s="11">
        <v>-0.63138562899999995</v>
      </c>
      <c r="N19">
        <v>2.9954804340000001</v>
      </c>
    </row>
    <row r="20" spans="1:14" x14ac:dyDescent="0.2">
      <c r="A20" t="s">
        <v>106</v>
      </c>
      <c r="B20">
        <v>725000</v>
      </c>
      <c r="C20" t="s">
        <v>84</v>
      </c>
      <c r="D20" t="s">
        <v>107</v>
      </c>
      <c r="E20" t="s">
        <v>108</v>
      </c>
      <c r="F20" s="5">
        <v>19</v>
      </c>
      <c r="G20" s="5" t="s">
        <v>109</v>
      </c>
      <c r="H20" s="5" t="s">
        <v>110</v>
      </c>
      <c r="I20" s="9"/>
      <c r="J20">
        <v>3.600219579</v>
      </c>
      <c r="K20">
        <v>-0.293098474</v>
      </c>
      <c r="L20">
        <v>-0.153917466</v>
      </c>
      <c r="M20" s="11">
        <v>-0.63195989600000002</v>
      </c>
      <c r="N20">
        <v>2.99253021</v>
      </c>
    </row>
    <row r="21" spans="1:14" x14ac:dyDescent="0.2">
      <c r="A21" t="s">
        <v>111</v>
      </c>
      <c r="B21">
        <v>755760</v>
      </c>
      <c r="C21" t="s">
        <v>34</v>
      </c>
      <c r="D21" t="s">
        <v>112</v>
      </c>
      <c r="E21" t="s">
        <v>113</v>
      </c>
      <c r="F21" s="5">
        <v>20</v>
      </c>
      <c r="G21" s="5" t="s">
        <v>114</v>
      </c>
      <c r="H21" s="5" t="s">
        <v>115</v>
      </c>
      <c r="I21" s="9"/>
      <c r="J21">
        <v>7.0544859390000001</v>
      </c>
      <c r="K21">
        <v>0.623000361</v>
      </c>
      <c r="L21">
        <v>0.42866702800000001</v>
      </c>
      <c r="M21" s="11">
        <v>-0.63804743399999997</v>
      </c>
      <c r="N21">
        <v>2.961256251</v>
      </c>
    </row>
    <row r="22" spans="1:14" x14ac:dyDescent="0.2">
      <c r="A22" t="s">
        <v>116</v>
      </c>
      <c r="B22">
        <v>714480</v>
      </c>
      <c r="C22" t="s">
        <v>34</v>
      </c>
      <c r="D22" t="s">
        <v>117</v>
      </c>
      <c r="E22" t="s">
        <v>118</v>
      </c>
      <c r="F22" s="23">
        <v>21</v>
      </c>
      <c r="G22" t="s">
        <v>119</v>
      </c>
      <c r="H22" t="s">
        <v>120</v>
      </c>
      <c r="J22">
        <v>7.0544859390000001</v>
      </c>
      <c r="K22">
        <v>0.623000361</v>
      </c>
      <c r="L22">
        <v>0.42866702800000001</v>
      </c>
      <c r="M22" s="11">
        <v>-0.67433499200000002</v>
      </c>
      <c r="N22">
        <v>2.7748334830000001</v>
      </c>
    </row>
    <row r="23" spans="1:14" x14ac:dyDescent="0.2">
      <c r="A23" t="s">
        <v>99</v>
      </c>
      <c r="B23">
        <v>746640</v>
      </c>
      <c r="C23" t="s">
        <v>28</v>
      </c>
      <c r="D23" t="s">
        <v>101</v>
      </c>
      <c r="E23" t="s">
        <v>121</v>
      </c>
      <c r="F23" s="23">
        <v>22</v>
      </c>
      <c r="G23" t="s">
        <v>122</v>
      </c>
      <c r="H23" t="s">
        <v>123</v>
      </c>
      <c r="J23">
        <v>5.8462906840000004</v>
      </c>
      <c r="K23">
        <v>0.60615847</v>
      </c>
      <c r="L23">
        <v>0.28550877299999999</v>
      </c>
      <c r="M23" s="11">
        <v>-0.674951474</v>
      </c>
      <c r="N23">
        <v>2.771666384</v>
      </c>
    </row>
    <row r="24" spans="1:14" x14ac:dyDescent="0.2">
      <c r="A24" t="s">
        <v>124</v>
      </c>
      <c r="B24">
        <v>744640</v>
      </c>
      <c r="C24" t="s">
        <v>28</v>
      </c>
      <c r="D24" t="s">
        <v>125</v>
      </c>
      <c r="E24" t="s">
        <v>126</v>
      </c>
      <c r="F24" s="23">
        <v>23</v>
      </c>
      <c r="G24" t="s">
        <v>127</v>
      </c>
      <c r="H24" t="s">
        <v>128</v>
      </c>
      <c r="J24">
        <v>5.8462906840000004</v>
      </c>
      <c r="K24">
        <v>0.60615847</v>
      </c>
      <c r="L24">
        <v>0.28550877299999999</v>
      </c>
      <c r="M24" s="11">
        <v>-0.67675709799999995</v>
      </c>
      <c r="N24">
        <v>2.7623902149999999</v>
      </c>
    </row>
    <row r="25" spans="1:14" x14ac:dyDescent="0.2">
      <c r="A25" t="s">
        <v>129</v>
      </c>
      <c r="B25">
        <v>942480</v>
      </c>
      <c r="C25" t="s">
        <v>130</v>
      </c>
      <c r="D25" t="s">
        <v>129</v>
      </c>
      <c r="E25" t="s">
        <v>131</v>
      </c>
      <c r="F25" s="23">
        <v>24</v>
      </c>
      <c r="G25" t="s">
        <v>132</v>
      </c>
      <c r="H25" t="s">
        <v>133</v>
      </c>
      <c r="J25">
        <v>5.1222566499999997</v>
      </c>
      <c r="K25">
        <v>0.21422175600000001</v>
      </c>
      <c r="L25">
        <v>0.25354511400000002</v>
      </c>
      <c r="M25" s="11">
        <v>-0.68076081300000002</v>
      </c>
      <c r="N25">
        <v>2.7418216329999998</v>
      </c>
    </row>
    <row r="26" spans="1:14" x14ac:dyDescent="0.2">
      <c r="A26" t="s">
        <v>134</v>
      </c>
      <c r="B26">
        <v>854760</v>
      </c>
      <c r="C26" t="s">
        <v>58</v>
      </c>
      <c r="D26" t="s">
        <v>135</v>
      </c>
      <c r="E26" t="s">
        <v>136</v>
      </c>
      <c r="F26" s="23">
        <v>25</v>
      </c>
      <c r="G26" t="s">
        <v>137</v>
      </c>
      <c r="H26" t="s">
        <v>138</v>
      </c>
      <c r="J26">
        <v>4.5363847230000003</v>
      </c>
      <c r="K26">
        <v>0.245646371</v>
      </c>
      <c r="L26">
        <v>7.5242279999999995E-2</v>
      </c>
      <c r="M26" s="11">
        <v>-0.68518285999999995</v>
      </c>
      <c r="N26">
        <v>2.719103922</v>
      </c>
    </row>
    <row r="27" spans="1:14" x14ac:dyDescent="0.2">
      <c r="A27" t="s">
        <v>139</v>
      </c>
      <c r="B27">
        <v>734040</v>
      </c>
      <c r="C27" t="s">
        <v>28</v>
      </c>
      <c r="D27" t="s">
        <v>139</v>
      </c>
      <c r="E27" t="s">
        <v>140</v>
      </c>
      <c r="F27" s="23">
        <v>26</v>
      </c>
      <c r="G27" t="s">
        <v>141</v>
      </c>
      <c r="H27" t="s">
        <v>142</v>
      </c>
      <c r="J27">
        <v>5.8462906840000004</v>
      </c>
      <c r="K27">
        <v>0.60615847</v>
      </c>
      <c r="L27">
        <v>0.28550877299999999</v>
      </c>
      <c r="M27" s="11">
        <v>-0.68632690799999996</v>
      </c>
      <c r="N27">
        <v>2.713226519</v>
      </c>
    </row>
    <row r="28" spans="1:14" x14ac:dyDescent="0.2">
      <c r="A28" t="s">
        <v>143</v>
      </c>
      <c r="B28">
        <v>751960</v>
      </c>
      <c r="C28" t="s">
        <v>68</v>
      </c>
      <c r="D28" t="s">
        <v>144</v>
      </c>
      <c r="E28" t="s">
        <v>145</v>
      </c>
      <c r="F28" s="23">
        <v>27</v>
      </c>
      <c r="G28" t="s">
        <v>146</v>
      </c>
      <c r="H28" t="s">
        <v>147</v>
      </c>
      <c r="J28">
        <v>6.4561903559999996</v>
      </c>
      <c r="K28">
        <v>0.47291064100000002</v>
      </c>
      <c r="L28">
        <v>0.34414126499999997</v>
      </c>
      <c r="M28" s="11">
        <v>-0.687999845</v>
      </c>
      <c r="N28">
        <v>2.7046320160000001</v>
      </c>
    </row>
    <row r="29" spans="1:14" x14ac:dyDescent="0.2">
      <c r="A29" t="s">
        <v>148</v>
      </c>
      <c r="B29">
        <v>886080</v>
      </c>
      <c r="C29" t="s">
        <v>149</v>
      </c>
      <c r="D29" t="s">
        <v>148</v>
      </c>
      <c r="E29" t="s">
        <v>150</v>
      </c>
      <c r="F29" s="23">
        <v>28</v>
      </c>
      <c r="G29" t="s">
        <v>151</v>
      </c>
      <c r="H29" t="s">
        <v>152</v>
      </c>
      <c r="J29">
        <v>5.0381074159999999</v>
      </c>
      <c r="K29">
        <v>0.81312368999999995</v>
      </c>
      <c r="L29">
        <v>0.16969141800000001</v>
      </c>
      <c r="M29" s="11">
        <v>-0.696041719</v>
      </c>
      <c r="N29">
        <v>2.6633179020000002</v>
      </c>
    </row>
    <row r="30" spans="1:14" x14ac:dyDescent="0.2">
      <c r="A30" t="s">
        <v>153</v>
      </c>
      <c r="B30">
        <v>742080</v>
      </c>
      <c r="C30" t="s">
        <v>68</v>
      </c>
      <c r="D30" t="s">
        <v>153</v>
      </c>
      <c r="E30" t="s">
        <v>154</v>
      </c>
      <c r="F30" s="23">
        <v>29</v>
      </c>
      <c r="G30" t="s">
        <v>155</v>
      </c>
      <c r="H30" t="s">
        <v>156</v>
      </c>
      <c r="J30">
        <v>6.4561903559999996</v>
      </c>
      <c r="K30">
        <v>0.47291064100000002</v>
      </c>
      <c r="L30">
        <v>0.34414126499999997</v>
      </c>
      <c r="M30" s="11">
        <v>-0.69755432399999995</v>
      </c>
      <c r="N30">
        <v>2.6555470809999999</v>
      </c>
    </row>
    <row r="31" spans="1:14" x14ac:dyDescent="0.2">
      <c r="A31" t="s">
        <v>157</v>
      </c>
      <c r="B31">
        <v>684120</v>
      </c>
      <c r="C31" t="s">
        <v>34</v>
      </c>
      <c r="D31" t="s">
        <v>157</v>
      </c>
      <c r="J31">
        <v>7.0544859390000001</v>
      </c>
      <c r="K31">
        <v>0.623000361</v>
      </c>
      <c r="L31">
        <v>0.42866702800000001</v>
      </c>
      <c r="M31" s="21">
        <v>-0.70102322500000003</v>
      </c>
      <c r="N31">
        <v>2.6377260410000001</v>
      </c>
    </row>
    <row r="32" spans="1:14" x14ac:dyDescent="0.2">
      <c r="A32" t="s">
        <v>158</v>
      </c>
      <c r="B32">
        <v>837880</v>
      </c>
      <c r="C32" t="s">
        <v>58</v>
      </c>
      <c r="D32" t="s">
        <v>158</v>
      </c>
      <c r="E32" t="s">
        <v>159</v>
      </c>
      <c r="G32" t="s">
        <v>160</v>
      </c>
      <c r="J32">
        <v>4.5363847230000003</v>
      </c>
      <c r="K32">
        <v>0.245646371</v>
      </c>
      <c r="L32">
        <v>7.5242279999999995E-2</v>
      </c>
      <c r="M32" s="21">
        <v>-0.70148432100000002</v>
      </c>
      <c r="N32">
        <v>2.6353572139999999</v>
      </c>
    </row>
    <row r="33" spans="1:14" x14ac:dyDescent="0.2">
      <c r="A33" t="s">
        <v>158</v>
      </c>
      <c r="B33">
        <v>734160</v>
      </c>
      <c r="C33" t="s">
        <v>68</v>
      </c>
      <c r="D33" t="s">
        <v>158</v>
      </c>
      <c r="E33" t="s">
        <v>161</v>
      </c>
      <c r="G33" t="s">
        <v>162</v>
      </c>
      <c r="J33">
        <v>6.4561903559999996</v>
      </c>
      <c r="K33">
        <v>0.47291064100000002</v>
      </c>
      <c r="L33">
        <v>0.34414126499999997</v>
      </c>
      <c r="M33" s="21">
        <v>-0.70521338</v>
      </c>
      <c r="N33">
        <v>2.6161996439999999</v>
      </c>
    </row>
    <row r="34" spans="1:14" x14ac:dyDescent="0.2">
      <c r="A34" t="s">
        <v>106</v>
      </c>
      <c r="B34">
        <v>803160</v>
      </c>
      <c r="C34" t="s">
        <v>14</v>
      </c>
      <c r="D34" t="s">
        <v>107</v>
      </c>
      <c r="E34" t="s">
        <v>163</v>
      </c>
      <c r="G34" t="s">
        <v>164</v>
      </c>
      <c r="J34">
        <v>6.7484204910000001</v>
      </c>
      <c r="K34">
        <v>0.48629166299999999</v>
      </c>
      <c r="L34">
        <v>0.375053939</v>
      </c>
      <c r="M34" s="21">
        <v>-0.70594100599999998</v>
      </c>
      <c r="N34">
        <v>2.612461556</v>
      </c>
    </row>
    <row r="35" spans="1:14" x14ac:dyDescent="0.2">
      <c r="A35" t="s">
        <v>165</v>
      </c>
      <c r="B35">
        <v>802960</v>
      </c>
      <c r="C35" t="s">
        <v>14</v>
      </c>
      <c r="D35" t="s">
        <v>166</v>
      </c>
      <c r="E35" t="s">
        <v>167</v>
      </c>
      <c r="G35" t="s">
        <v>168</v>
      </c>
      <c r="J35">
        <v>6.7484204910000001</v>
      </c>
      <c r="K35">
        <v>0.48629166299999999</v>
      </c>
      <c r="L35">
        <v>0.375053939</v>
      </c>
      <c r="M35" s="21">
        <v>-0.70616015099999996</v>
      </c>
      <c r="N35">
        <v>2.6113357289999999</v>
      </c>
    </row>
    <row r="36" spans="1:14" x14ac:dyDescent="0.2">
      <c r="A36" t="s">
        <v>169</v>
      </c>
      <c r="B36">
        <v>709240</v>
      </c>
      <c r="C36" t="s">
        <v>28</v>
      </c>
      <c r="D36" t="s">
        <v>169</v>
      </c>
      <c r="E36" t="s">
        <v>170</v>
      </c>
      <c r="G36" t="s">
        <v>171</v>
      </c>
      <c r="J36">
        <v>5.8462906840000004</v>
      </c>
      <c r="K36">
        <v>0.60615847</v>
      </c>
      <c r="L36">
        <v>0.28550877299999999</v>
      </c>
      <c r="M36" s="21">
        <v>-0.708716652</v>
      </c>
      <c r="N36">
        <v>2.5982020229999998</v>
      </c>
    </row>
    <row r="37" spans="1:14" x14ac:dyDescent="0.2">
      <c r="A37" t="s">
        <v>172</v>
      </c>
      <c r="B37">
        <v>800480</v>
      </c>
      <c r="C37" t="s">
        <v>14</v>
      </c>
      <c r="D37" t="s">
        <v>172</v>
      </c>
      <c r="E37" t="s">
        <v>173</v>
      </c>
      <c r="G37" t="s">
        <v>174</v>
      </c>
      <c r="J37">
        <v>6.7484204910000001</v>
      </c>
      <c r="K37">
        <v>0.48629166299999999</v>
      </c>
      <c r="L37">
        <v>0.375053939</v>
      </c>
      <c r="M37" s="21">
        <v>-0.70887754199999997</v>
      </c>
      <c r="N37">
        <v>2.597375473</v>
      </c>
    </row>
    <row r="38" spans="1:14" x14ac:dyDescent="0.2">
      <c r="A38" t="s">
        <v>175</v>
      </c>
      <c r="B38">
        <v>673240</v>
      </c>
      <c r="C38" t="s">
        <v>34</v>
      </c>
      <c r="D38" t="s">
        <v>175</v>
      </c>
      <c r="E38" t="s">
        <v>176</v>
      </c>
      <c r="G38" t="s">
        <v>177</v>
      </c>
      <c r="J38">
        <v>7.0544859390000001</v>
      </c>
      <c r="K38">
        <v>0.623000361</v>
      </c>
      <c r="L38">
        <v>0.42866702800000001</v>
      </c>
      <c r="M38" s="21">
        <v>-0.71058738700000001</v>
      </c>
      <c r="N38">
        <v>2.588591358</v>
      </c>
    </row>
    <row r="39" spans="1:14" x14ac:dyDescent="0.2">
      <c r="A39" t="s">
        <v>178</v>
      </c>
      <c r="B39">
        <v>663200</v>
      </c>
      <c r="C39" t="s">
        <v>34</v>
      </c>
      <c r="D39" t="s">
        <v>178</v>
      </c>
      <c r="E39" t="s">
        <v>179</v>
      </c>
      <c r="G39" t="s">
        <v>180</v>
      </c>
      <c r="J39">
        <v>7.0544859390000001</v>
      </c>
      <c r="K39">
        <v>0.623000361</v>
      </c>
      <c r="L39">
        <v>0.42866702800000001</v>
      </c>
      <c r="M39" s="21">
        <v>-0.71941314000000001</v>
      </c>
      <c r="N39">
        <v>2.5432501620000001</v>
      </c>
    </row>
    <row r="40" spans="1:14" x14ac:dyDescent="0.2">
      <c r="A40" t="s">
        <v>27</v>
      </c>
      <c r="B40">
        <v>715440</v>
      </c>
      <c r="C40" t="s">
        <v>68</v>
      </c>
      <c r="D40" t="s">
        <v>29</v>
      </c>
      <c r="E40" t="s">
        <v>181</v>
      </c>
      <c r="G40" t="s">
        <v>182</v>
      </c>
      <c r="J40">
        <v>6.4561903559999996</v>
      </c>
      <c r="K40">
        <v>0.47291064100000002</v>
      </c>
      <c r="L40">
        <v>0.34414126499999997</v>
      </c>
      <c r="M40" s="21">
        <v>-0.723316603</v>
      </c>
      <c r="N40">
        <v>2.5231966099999998</v>
      </c>
    </row>
    <row r="41" spans="1:14" x14ac:dyDescent="0.2">
      <c r="A41" t="s">
        <v>165</v>
      </c>
      <c r="B41">
        <v>655160</v>
      </c>
      <c r="C41" t="s">
        <v>84</v>
      </c>
      <c r="D41" t="s">
        <v>166</v>
      </c>
      <c r="E41" t="s">
        <v>183</v>
      </c>
      <c r="G41" t="s">
        <v>184</v>
      </c>
      <c r="J41">
        <v>3.600219579</v>
      </c>
      <c r="K41">
        <v>-0.293098474</v>
      </c>
      <c r="L41">
        <v>-0.153917466</v>
      </c>
      <c r="M41" s="21">
        <v>-0.72337111600000004</v>
      </c>
      <c r="N41">
        <v>2.5229165579999999</v>
      </c>
    </row>
    <row r="42" spans="1:14" x14ac:dyDescent="0.2">
      <c r="A42" t="s">
        <v>185</v>
      </c>
      <c r="B42">
        <v>710760</v>
      </c>
      <c r="C42" t="s">
        <v>68</v>
      </c>
      <c r="D42" t="s">
        <v>185</v>
      </c>
      <c r="E42" t="s">
        <v>186</v>
      </c>
      <c r="G42" t="s">
        <v>187</v>
      </c>
      <c r="J42">
        <v>6.4561903559999996</v>
      </c>
      <c r="K42">
        <v>0.47291064100000002</v>
      </c>
      <c r="L42">
        <v>0.34414126499999997</v>
      </c>
      <c r="M42" s="21">
        <v>-0.72784240899999997</v>
      </c>
      <c r="N42">
        <v>2.4999458520000002</v>
      </c>
    </row>
    <row r="43" spans="1:14" x14ac:dyDescent="0.2">
      <c r="A43" t="s">
        <v>158</v>
      </c>
      <c r="B43">
        <v>872600</v>
      </c>
      <c r="C43" t="s">
        <v>130</v>
      </c>
      <c r="D43" t="s">
        <v>158</v>
      </c>
      <c r="E43" t="s">
        <v>188</v>
      </c>
      <c r="G43" t="s">
        <v>189</v>
      </c>
      <c r="J43">
        <v>5.1222566499999997</v>
      </c>
      <c r="K43">
        <v>0.21422175600000001</v>
      </c>
      <c r="L43">
        <v>0.25354511400000002</v>
      </c>
      <c r="M43" s="21">
        <v>-0.73637340299999998</v>
      </c>
      <c r="N43">
        <v>2.4561189410000002</v>
      </c>
    </row>
    <row r="44" spans="1:14" x14ac:dyDescent="0.2">
      <c r="A44" t="s">
        <v>190</v>
      </c>
      <c r="B44">
        <v>632920</v>
      </c>
      <c r="C44" t="s">
        <v>34</v>
      </c>
      <c r="D44" t="s">
        <v>190</v>
      </c>
      <c r="J44">
        <v>7.0544859390000001</v>
      </c>
      <c r="K44">
        <v>0.623000361</v>
      </c>
      <c r="L44">
        <v>0.42866702800000001</v>
      </c>
      <c r="M44" s="21">
        <v>-0.74603104799999997</v>
      </c>
      <c r="N44">
        <v>2.4065040039999999</v>
      </c>
    </row>
    <row r="45" spans="1:14" x14ac:dyDescent="0.2">
      <c r="A45" t="s">
        <v>191</v>
      </c>
      <c r="B45">
        <v>631200</v>
      </c>
      <c r="C45" t="s">
        <v>34</v>
      </c>
      <c r="D45" t="s">
        <v>192</v>
      </c>
      <c r="E45" t="s">
        <v>193</v>
      </c>
      <c r="G45" t="s">
        <v>194</v>
      </c>
      <c r="J45">
        <v>7.0544859390000001</v>
      </c>
      <c r="K45">
        <v>0.623000361</v>
      </c>
      <c r="L45">
        <v>0.42866702800000001</v>
      </c>
      <c r="M45" s="21">
        <v>-0.74754303</v>
      </c>
      <c r="N45">
        <v>2.3987363880000001</v>
      </c>
    </row>
    <row r="46" spans="1:14" x14ac:dyDescent="0.2">
      <c r="A46" t="s">
        <v>195</v>
      </c>
      <c r="B46">
        <v>664600</v>
      </c>
      <c r="C46" t="s">
        <v>28</v>
      </c>
      <c r="D46" t="s">
        <v>195</v>
      </c>
      <c r="E46" t="s">
        <v>196</v>
      </c>
      <c r="G46" t="s">
        <v>197</v>
      </c>
      <c r="J46">
        <v>5.8462906840000004</v>
      </c>
      <c r="K46">
        <v>0.60615847</v>
      </c>
      <c r="L46">
        <v>0.28550877299999999</v>
      </c>
      <c r="M46" s="21">
        <v>-0.74901819199999997</v>
      </c>
      <c r="N46">
        <v>2.3911579299999999</v>
      </c>
    </row>
    <row r="47" spans="1:14" x14ac:dyDescent="0.2">
      <c r="A47" t="s">
        <v>198</v>
      </c>
      <c r="B47">
        <v>634280</v>
      </c>
      <c r="C47" t="s">
        <v>84</v>
      </c>
      <c r="D47" t="s">
        <v>199</v>
      </c>
      <c r="E47" t="s">
        <v>200</v>
      </c>
      <c r="G47" t="s">
        <v>201</v>
      </c>
      <c r="J47">
        <v>3.600219579</v>
      </c>
      <c r="K47">
        <v>-0.293098474</v>
      </c>
      <c r="L47">
        <v>-0.153917466</v>
      </c>
      <c r="M47" s="21">
        <v>-0.75070024300000004</v>
      </c>
      <c r="N47">
        <v>2.3825166009999998</v>
      </c>
    </row>
    <row r="48" spans="1:14" x14ac:dyDescent="0.2">
      <c r="A48" t="s">
        <v>202</v>
      </c>
      <c r="B48">
        <v>623040</v>
      </c>
      <c r="C48" t="s">
        <v>34</v>
      </c>
      <c r="D48" t="s">
        <v>202</v>
      </c>
      <c r="J48">
        <v>7.0544859390000001</v>
      </c>
      <c r="K48">
        <v>0.623000361</v>
      </c>
      <c r="L48">
        <v>0.42866702800000001</v>
      </c>
      <c r="M48" s="21">
        <v>-0.75471615199999997</v>
      </c>
      <c r="N48">
        <v>2.361885376</v>
      </c>
    </row>
    <row r="49" spans="1:14" x14ac:dyDescent="0.2">
      <c r="A49" t="s">
        <v>203</v>
      </c>
      <c r="B49">
        <v>618600</v>
      </c>
      <c r="C49" t="s">
        <v>34</v>
      </c>
      <c r="D49" t="s">
        <v>204</v>
      </c>
      <c r="E49" t="s">
        <v>205</v>
      </c>
      <c r="G49" t="s">
        <v>206</v>
      </c>
      <c r="J49">
        <v>7.0544859390000001</v>
      </c>
      <c r="K49">
        <v>0.623000361</v>
      </c>
      <c r="L49">
        <v>0.42866702800000001</v>
      </c>
      <c r="M49" s="21">
        <v>-0.75861917400000001</v>
      </c>
      <c r="N49">
        <v>2.3418340899999999</v>
      </c>
    </row>
    <row r="50" spans="1:14" x14ac:dyDescent="0.2">
      <c r="A50" t="s">
        <v>207</v>
      </c>
      <c r="B50">
        <v>650000</v>
      </c>
      <c r="C50" t="s">
        <v>28</v>
      </c>
      <c r="D50" t="s">
        <v>207</v>
      </c>
      <c r="E50" t="s">
        <v>208</v>
      </c>
      <c r="G50" t="s">
        <v>209</v>
      </c>
      <c r="J50">
        <v>5.8462906840000004</v>
      </c>
      <c r="K50">
        <v>0.60615847</v>
      </c>
      <c r="L50">
        <v>0.28550877299999999</v>
      </c>
      <c r="M50" s="21">
        <v>-0.76219925099999997</v>
      </c>
      <c r="N50">
        <v>2.3234418959999998</v>
      </c>
    </row>
    <row r="51" spans="1:14" x14ac:dyDescent="0.2">
      <c r="A51" t="s">
        <v>63</v>
      </c>
      <c r="B51">
        <v>771480</v>
      </c>
      <c r="C51" t="s">
        <v>58</v>
      </c>
      <c r="D51" t="s">
        <v>63</v>
      </c>
      <c r="E51" t="s">
        <v>210</v>
      </c>
      <c r="G51" t="s">
        <v>211</v>
      </c>
      <c r="J51">
        <v>4.5363847230000003</v>
      </c>
      <c r="K51">
        <v>0.245646371</v>
      </c>
      <c r="L51">
        <v>7.5242279999999995E-2</v>
      </c>
      <c r="M51" s="21">
        <v>-0.765608552</v>
      </c>
      <c r="N51">
        <v>2.305927037</v>
      </c>
    </row>
    <row r="52" spans="1:14" x14ac:dyDescent="0.2">
      <c r="A52" t="s">
        <v>33</v>
      </c>
      <c r="B52">
        <v>668520</v>
      </c>
      <c r="C52" t="s">
        <v>68</v>
      </c>
      <c r="D52" t="s">
        <v>33</v>
      </c>
      <c r="E52" t="s">
        <v>212</v>
      </c>
      <c r="G52" t="s">
        <v>213</v>
      </c>
      <c r="J52">
        <v>6.4561903559999996</v>
      </c>
      <c r="K52">
        <v>0.47291064100000002</v>
      </c>
      <c r="L52">
        <v>0.34414126499999997</v>
      </c>
      <c r="M52" s="21">
        <v>-0.76869070799999994</v>
      </c>
      <c r="N52">
        <v>2.2900928519999999</v>
      </c>
    </row>
    <row r="53" spans="1:14" x14ac:dyDescent="0.2">
      <c r="A53" t="s">
        <v>214</v>
      </c>
      <c r="B53">
        <v>642000</v>
      </c>
      <c r="C53" t="s">
        <v>28</v>
      </c>
      <c r="D53" t="s">
        <v>215</v>
      </c>
      <c r="E53" t="s">
        <v>216</v>
      </c>
      <c r="G53" t="s">
        <v>217</v>
      </c>
      <c r="J53">
        <v>5.8462906840000004</v>
      </c>
      <c r="K53">
        <v>0.60615847</v>
      </c>
      <c r="L53">
        <v>0.28550877299999999</v>
      </c>
      <c r="M53" s="21">
        <v>-0.76942174900000004</v>
      </c>
      <c r="N53">
        <v>2.2863372200000001</v>
      </c>
    </row>
    <row r="54" spans="1:14" x14ac:dyDescent="0.2">
      <c r="A54" t="s">
        <v>218</v>
      </c>
      <c r="B54">
        <v>661880</v>
      </c>
      <c r="C54" t="s">
        <v>68</v>
      </c>
      <c r="D54" t="s">
        <v>218</v>
      </c>
      <c r="E54" t="s">
        <v>219</v>
      </c>
      <c r="G54" t="s">
        <v>220</v>
      </c>
      <c r="J54">
        <v>6.4561903559999996</v>
      </c>
      <c r="K54">
        <v>0.47291064100000002</v>
      </c>
      <c r="L54">
        <v>0.34414126499999997</v>
      </c>
      <c r="M54" s="21">
        <v>-0.77511193599999995</v>
      </c>
      <c r="N54">
        <v>2.2571045970000001</v>
      </c>
    </row>
    <row r="55" spans="1:14" x14ac:dyDescent="0.2">
      <c r="A55" t="s">
        <v>221</v>
      </c>
      <c r="B55">
        <v>595520</v>
      </c>
      <c r="C55" t="s">
        <v>34</v>
      </c>
      <c r="D55" t="s">
        <v>221</v>
      </c>
      <c r="J55">
        <v>7.0544859390000001</v>
      </c>
      <c r="K55">
        <v>0.623000361</v>
      </c>
      <c r="L55">
        <v>0.42866702800000001</v>
      </c>
      <c r="M55" s="21">
        <v>-0.77890785699999998</v>
      </c>
      <c r="N55">
        <v>2.237603531</v>
      </c>
    </row>
    <row r="56" spans="1:14" x14ac:dyDescent="0.2">
      <c r="A56" t="s">
        <v>222</v>
      </c>
      <c r="B56">
        <v>590080</v>
      </c>
      <c r="C56" t="s">
        <v>34</v>
      </c>
      <c r="D56" t="s">
        <v>222</v>
      </c>
      <c r="E56" t="s">
        <v>223</v>
      </c>
      <c r="G56" t="s">
        <v>224</v>
      </c>
      <c r="J56">
        <v>7.0544859390000001</v>
      </c>
      <c r="K56">
        <v>0.623000361</v>
      </c>
      <c r="L56">
        <v>0.42866702800000001</v>
      </c>
      <c r="M56" s="21">
        <v>-0.78368993799999997</v>
      </c>
      <c r="N56">
        <v>2.21303619</v>
      </c>
    </row>
    <row r="57" spans="1:14" x14ac:dyDescent="0.2">
      <c r="A57" t="s">
        <v>225</v>
      </c>
      <c r="B57">
        <v>625600</v>
      </c>
      <c r="C57" t="s">
        <v>28</v>
      </c>
      <c r="D57" t="s">
        <v>225</v>
      </c>
      <c r="E57" t="s">
        <v>226</v>
      </c>
      <c r="G57" t="s">
        <v>227</v>
      </c>
      <c r="J57">
        <v>5.8462906840000004</v>
      </c>
      <c r="K57">
        <v>0.60615847</v>
      </c>
      <c r="L57">
        <v>0.28550877299999999</v>
      </c>
      <c r="M57" s="21">
        <v>-0.78422787000000005</v>
      </c>
      <c r="N57">
        <v>2.2102726339999998</v>
      </c>
    </row>
    <row r="58" spans="1:14" x14ac:dyDescent="0.2">
      <c r="A58" t="s">
        <v>52</v>
      </c>
      <c r="B58">
        <v>587840</v>
      </c>
      <c r="C58" t="s">
        <v>34</v>
      </c>
      <c r="D58" t="s">
        <v>53</v>
      </c>
      <c r="E58" t="s">
        <v>228</v>
      </c>
      <c r="G58" t="s">
        <v>229</v>
      </c>
      <c r="J58">
        <v>7.0544859390000001</v>
      </c>
      <c r="K58">
        <v>0.623000361</v>
      </c>
      <c r="L58">
        <v>0.42866702800000001</v>
      </c>
      <c r="M58" s="21">
        <v>-0.78565903100000001</v>
      </c>
      <c r="N58">
        <v>2.2029202259999998</v>
      </c>
    </row>
    <row r="59" spans="1:14" x14ac:dyDescent="0.2">
      <c r="A59" t="s">
        <v>94</v>
      </c>
      <c r="B59">
        <v>603000</v>
      </c>
      <c r="C59" t="s">
        <v>84</v>
      </c>
      <c r="D59" t="s">
        <v>95</v>
      </c>
      <c r="E59" t="s">
        <v>230</v>
      </c>
      <c r="G59" t="s">
        <v>231</v>
      </c>
      <c r="J59">
        <v>3.600219579</v>
      </c>
      <c r="K59">
        <v>-0.293098474</v>
      </c>
      <c r="L59">
        <v>-0.153917466</v>
      </c>
      <c r="M59" s="21">
        <v>-0.79164157999999996</v>
      </c>
      <c r="N59">
        <v>2.1721856289999999</v>
      </c>
    </row>
    <row r="60" spans="1:14" x14ac:dyDescent="0.2">
      <c r="A60" t="s">
        <v>232</v>
      </c>
      <c r="B60">
        <v>728800</v>
      </c>
      <c r="C60" t="s">
        <v>100</v>
      </c>
      <c r="D60" t="s">
        <v>233</v>
      </c>
      <c r="E60" t="s">
        <v>234</v>
      </c>
      <c r="G60" t="s">
        <v>235</v>
      </c>
      <c r="J60">
        <v>5.9110743220000002</v>
      </c>
      <c r="K60">
        <v>0.71598987199999997</v>
      </c>
      <c r="L60">
        <v>0.29077365599999999</v>
      </c>
      <c r="M60" s="21">
        <v>-0.794111224</v>
      </c>
      <c r="N60">
        <v>2.1594981459999998</v>
      </c>
    </row>
    <row r="61" spans="1:14" x14ac:dyDescent="0.2">
      <c r="A61" t="s">
        <v>236</v>
      </c>
      <c r="B61">
        <v>573880</v>
      </c>
      <c r="C61" t="s">
        <v>34</v>
      </c>
      <c r="D61" t="s">
        <v>236</v>
      </c>
      <c r="E61" t="s">
        <v>237</v>
      </c>
      <c r="G61" t="s">
        <v>238</v>
      </c>
      <c r="J61">
        <v>7.0544859390000001</v>
      </c>
      <c r="K61">
        <v>0.623000361</v>
      </c>
      <c r="L61">
        <v>0.42866702800000001</v>
      </c>
      <c r="M61" s="21">
        <v>-0.79793069500000002</v>
      </c>
      <c r="N61">
        <v>2.1398760920000002</v>
      </c>
    </row>
    <row r="62" spans="1:14" x14ac:dyDescent="0.2">
      <c r="A62" t="s">
        <v>239</v>
      </c>
      <c r="B62">
        <v>718240</v>
      </c>
      <c r="C62" t="s">
        <v>14</v>
      </c>
      <c r="D62" t="s">
        <v>240</v>
      </c>
      <c r="E62" t="s">
        <v>241</v>
      </c>
      <c r="G62" t="s">
        <v>242</v>
      </c>
      <c r="J62">
        <v>6.7484204910000001</v>
      </c>
      <c r="K62">
        <v>0.48629166299999999</v>
      </c>
      <c r="L62">
        <v>0.375053939</v>
      </c>
      <c r="M62" s="21">
        <v>-0.798989744</v>
      </c>
      <c r="N62">
        <v>2.134435361</v>
      </c>
    </row>
    <row r="63" spans="1:14" x14ac:dyDescent="0.2">
      <c r="A63" t="s">
        <v>243</v>
      </c>
      <c r="B63">
        <v>608480</v>
      </c>
      <c r="C63" t="s">
        <v>28</v>
      </c>
      <c r="D63" t="s">
        <v>243</v>
      </c>
      <c r="E63" t="s">
        <v>244</v>
      </c>
      <c r="G63" t="s">
        <v>245</v>
      </c>
      <c r="J63">
        <v>5.8462906840000004</v>
      </c>
      <c r="K63">
        <v>0.60615847</v>
      </c>
      <c r="L63">
        <v>0.28550877299999999</v>
      </c>
      <c r="M63" s="21">
        <v>-0.79968401600000005</v>
      </c>
      <c r="N63">
        <v>2.1308686269999999</v>
      </c>
    </row>
    <row r="64" spans="1:14" x14ac:dyDescent="0.2">
      <c r="A64" t="s">
        <v>246</v>
      </c>
      <c r="B64">
        <v>608280</v>
      </c>
      <c r="C64" t="s">
        <v>28</v>
      </c>
      <c r="D64" t="s">
        <v>246</v>
      </c>
      <c r="E64" t="s">
        <v>247</v>
      </c>
      <c r="G64" t="s">
        <v>248</v>
      </c>
      <c r="J64">
        <v>5.8462906840000004</v>
      </c>
      <c r="K64">
        <v>0.60615847</v>
      </c>
      <c r="L64">
        <v>0.28550877299999999</v>
      </c>
      <c r="M64" s="21">
        <v>-0.79986457799999999</v>
      </c>
      <c r="N64">
        <v>2.12994101</v>
      </c>
    </row>
    <row r="65" spans="1:14" x14ac:dyDescent="0.2">
      <c r="A65" t="s">
        <v>67</v>
      </c>
      <c r="B65">
        <v>596000</v>
      </c>
      <c r="C65" t="s">
        <v>84</v>
      </c>
      <c r="D65" t="s">
        <v>69</v>
      </c>
      <c r="E65" t="s">
        <v>249</v>
      </c>
      <c r="G65" t="s">
        <v>250</v>
      </c>
      <c r="J65">
        <v>3.600219579</v>
      </c>
      <c r="K65">
        <v>-0.293098474</v>
      </c>
      <c r="L65">
        <v>-0.153917466</v>
      </c>
      <c r="M65" s="21">
        <v>-0.80080364400000004</v>
      </c>
      <c r="N65">
        <v>2.1251166779999999</v>
      </c>
    </row>
    <row r="66" spans="1:14" x14ac:dyDescent="0.2">
      <c r="A66" t="s">
        <v>185</v>
      </c>
      <c r="B66">
        <v>715160</v>
      </c>
      <c r="C66" t="s">
        <v>14</v>
      </c>
      <c r="D66" t="s">
        <v>185</v>
      </c>
      <c r="E66" t="s">
        <v>251</v>
      </c>
      <c r="G66" t="s">
        <v>252</v>
      </c>
      <c r="J66">
        <v>6.7484204910000001</v>
      </c>
      <c r="K66">
        <v>0.48629166299999999</v>
      </c>
      <c r="L66">
        <v>0.375053939</v>
      </c>
      <c r="M66" s="21">
        <v>-0.80236456899999997</v>
      </c>
      <c r="N66">
        <v>2.1170976229999998</v>
      </c>
    </row>
    <row r="67" spans="1:14" x14ac:dyDescent="0.2">
      <c r="A67" t="s">
        <v>253</v>
      </c>
      <c r="B67">
        <v>714320</v>
      </c>
      <c r="C67" t="s">
        <v>14</v>
      </c>
      <c r="D67" t="s">
        <v>254</v>
      </c>
      <c r="E67" t="s">
        <v>255</v>
      </c>
      <c r="G67" t="s">
        <v>256</v>
      </c>
      <c r="J67">
        <v>6.7484204910000001</v>
      </c>
      <c r="K67">
        <v>0.48629166299999999</v>
      </c>
      <c r="L67">
        <v>0.375053939</v>
      </c>
      <c r="M67" s="21">
        <v>-0.80328497499999996</v>
      </c>
      <c r="N67">
        <v>2.1123691490000001</v>
      </c>
    </row>
    <row r="68" spans="1:14" x14ac:dyDescent="0.2">
      <c r="A68" t="s">
        <v>13</v>
      </c>
      <c r="B68">
        <v>713280</v>
      </c>
      <c r="C68" t="s">
        <v>100</v>
      </c>
      <c r="D68" t="s">
        <v>13</v>
      </c>
      <c r="E68" t="s">
        <v>257</v>
      </c>
      <c r="G68" t="s">
        <v>258</v>
      </c>
      <c r="J68">
        <v>5.9110743220000002</v>
      </c>
      <c r="K68">
        <v>0.71598987199999997</v>
      </c>
      <c r="L68">
        <v>0.29077365599999999</v>
      </c>
      <c r="M68" s="21">
        <v>-0.80951813699999997</v>
      </c>
      <c r="N68">
        <v>2.0803470659999999</v>
      </c>
    </row>
    <row r="69" spans="1:14" x14ac:dyDescent="0.2">
      <c r="A69" t="s">
        <v>259</v>
      </c>
      <c r="B69">
        <v>596680</v>
      </c>
      <c r="C69" t="s">
        <v>28</v>
      </c>
      <c r="D69" t="s">
        <v>260</v>
      </c>
      <c r="E69" t="s">
        <v>261</v>
      </c>
      <c r="G69" t="s">
        <v>262</v>
      </c>
      <c r="J69">
        <v>5.8462906840000004</v>
      </c>
      <c r="K69">
        <v>0.60615847</v>
      </c>
      <c r="L69">
        <v>0.28550877299999999</v>
      </c>
      <c r="M69" s="21">
        <v>-0.81033719999999998</v>
      </c>
      <c r="N69">
        <v>2.0761392299999999</v>
      </c>
    </row>
    <row r="70" spans="1:14" x14ac:dyDescent="0.2">
      <c r="A70" t="s">
        <v>263</v>
      </c>
      <c r="B70">
        <v>623920</v>
      </c>
      <c r="C70" t="s">
        <v>68</v>
      </c>
      <c r="D70" t="s">
        <v>264</v>
      </c>
      <c r="E70" t="s">
        <v>265</v>
      </c>
      <c r="G70" t="s">
        <v>266</v>
      </c>
      <c r="J70">
        <v>6.4561903559999996</v>
      </c>
      <c r="K70">
        <v>0.47291064100000002</v>
      </c>
      <c r="L70">
        <v>0.34414126499999997</v>
      </c>
      <c r="M70" s="21">
        <v>-0.81182125000000005</v>
      </c>
      <c r="N70">
        <v>2.068515111</v>
      </c>
    </row>
    <row r="71" spans="1:14" x14ac:dyDescent="0.2">
      <c r="A71" t="s">
        <v>267</v>
      </c>
      <c r="B71">
        <v>557760</v>
      </c>
      <c r="C71" t="s">
        <v>34</v>
      </c>
      <c r="D71" t="s">
        <v>268</v>
      </c>
      <c r="E71" t="s">
        <v>269</v>
      </c>
      <c r="G71" t="s">
        <v>270</v>
      </c>
      <c r="J71">
        <v>7.0544859390000001</v>
      </c>
      <c r="K71">
        <v>0.623000361</v>
      </c>
      <c r="L71">
        <v>0.42866702800000001</v>
      </c>
      <c r="M71" s="21">
        <v>-0.81210112700000003</v>
      </c>
      <c r="N71">
        <v>2.0670772789999998</v>
      </c>
    </row>
    <row r="72" spans="1:14" x14ac:dyDescent="0.2">
      <c r="A72" t="s">
        <v>99</v>
      </c>
      <c r="B72">
        <v>556360</v>
      </c>
      <c r="C72" t="s">
        <v>34</v>
      </c>
      <c r="D72" t="s">
        <v>101</v>
      </c>
      <c r="E72" t="s">
        <v>271</v>
      </c>
      <c r="G72" t="s">
        <v>272</v>
      </c>
      <c r="J72">
        <v>7.0544859390000001</v>
      </c>
      <c r="K72">
        <v>0.623000361</v>
      </c>
      <c r="L72">
        <v>0.42866702800000001</v>
      </c>
      <c r="M72" s="21">
        <v>-0.81333180999999999</v>
      </c>
      <c r="N72">
        <v>2.0607548009999999</v>
      </c>
    </row>
    <row r="73" spans="1:14" x14ac:dyDescent="0.2">
      <c r="A73" t="s">
        <v>74</v>
      </c>
      <c r="B73">
        <v>555160</v>
      </c>
      <c r="C73" t="s">
        <v>34</v>
      </c>
      <c r="D73" t="s">
        <v>75</v>
      </c>
      <c r="E73" t="s">
        <v>273</v>
      </c>
      <c r="G73" t="s">
        <v>274</v>
      </c>
      <c r="J73">
        <v>7.0544859390000001</v>
      </c>
      <c r="K73">
        <v>0.623000361</v>
      </c>
      <c r="L73">
        <v>0.42866702800000001</v>
      </c>
      <c r="M73" s="21">
        <v>-0.81438668000000003</v>
      </c>
      <c r="N73">
        <v>2.0553355350000002</v>
      </c>
    </row>
    <row r="74" spans="1:14" x14ac:dyDescent="0.2">
      <c r="A74" t="s">
        <v>47</v>
      </c>
      <c r="B74">
        <v>706920</v>
      </c>
      <c r="C74" t="s">
        <v>100</v>
      </c>
      <c r="D74" t="s">
        <v>48</v>
      </c>
      <c r="E74" t="s">
        <v>275</v>
      </c>
      <c r="G74" t="s">
        <v>276</v>
      </c>
      <c r="J74">
        <v>5.9110743220000002</v>
      </c>
      <c r="K74">
        <v>0.71598987199999997</v>
      </c>
      <c r="L74">
        <v>0.29077365599999999</v>
      </c>
      <c r="M74" s="21">
        <v>-0.81583179500000003</v>
      </c>
      <c r="N74">
        <v>2.0479114420000002</v>
      </c>
    </row>
    <row r="75" spans="1:14" x14ac:dyDescent="0.2">
      <c r="A75" t="s">
        <v>277</v>
      </c>
      <c r="B75">
        <v>706640</v>
      </c>
      <c r="C75" t="s">
        <v>100</v>
      </c>
      <c r="D75" t="s">
        <v>277</v>
      </c>
      <c r="E75" t="s">
        <v>278</v>
      </c>
      <c r="G75" t="s">
        <v>279</v>
      </c>
      <c r="J75">
        <v>5.9110743220000002</v>
      </c>
      <c r="K75">
        <v>0.71598987199999997</v>
      </c>
      <c r="L75">
        <v>0.29077365599999999</v>
      </c>
      <c r="M75" s="21">
        <v>-0.81610975399999997</v>
      </c>
      <c r="N75">
        <v>2.0464834590000001</v>
      </c>
    </row>
    <row r="76" spans="1:14" x14ac:dyDescent="0.2">
      <c r="A76" t="s">
        <v>280</v>
      </c>
      <c r="B76">
        <v>701360</v>
      </c>
      <c r="C76" t="s">
        <v>14</v>
      </c>
      <c r="D76" t="s">
        <v>280</v>
      </c>
      <c r="E76" t="s">
        <v>281</v>
      </c>
      <c r="G76" t="s">
        <v>282</v>
      </c>
      <c r="J76">
        <v>6.7484204910000001</v>
      </c>
      <c r="K76">
        <v>0.48629166299999999</v>
      </c>
      <c r="L76">
        <v>0.375053939</v>
      </c>
      <c r="M76" s="21">
        <v>-0.81748553599999996</v>
      </c>
      <c r="N76">
        <v>2.0394155519999999</v>
      </c>
    </row>
    <row r="77" spans="1:14" x14ac:dyDescent="0.2">
      <c r="A77" t="s">
        <v>283</v>
      </c>
      <c r="B77">
        <v>587360</v>
      </c>
      <c r="C77" t="s">
        <v>28</v>
      </c>
      <c r="D77" t="s">
        <v>284</v>
      </c>
      <c r="E77" t="s">
        <v>285</v>
      </c>
      <c r="G77" t="s">
        <v>286</v>
      </c>
      <c r="J77">
        <v>5.8462906840000004</v>
      </c>
      <c r="K77">
        <v>0.60615847</v>
      </c>
      <c r="L77">
        <v>0.28550877299999999</v>
      </c>
      <c r="M77" s="21">
        <v>-0.81875141100000004</v>
      </c>
      <c r="N77">
        <v>2.0329122819999998</v>
      </c>
    </row>
    <row r="78" spans="1:14" x14ac:dyDescent="0.2">
      <c r="A78" t="s">
        <v>158</v>
      </c>
      <c r="B78">
        <v>585520</v>
      </c>
      <c r="C78" t="s">
        <v>28</v>
      </c>
      <c r="D78" t="s">
        <v>158</v>
      </c>
      <c r="E78" t="s">
        <v>287</v>
      </c>
      <c r="G78" t="s">
        <v>288</v>
      </c>
      <c r="J78">
        <v>5.8462906840000004</v>
      </c>
      <c r="K78">
        <v>0.60615847</v>
      </c>
      <c r="L78">
        <v>0.28550877299999999</v>
      </c>
      <c r="M78" s="21">
        <v>-0.82041258500000003</v>
      </c>
      <c r="N78">
        <v>2.0243782069999998</v>
      </c>
    </row>
    <row r="79" spans="1:14" x14ac:dyDescent="0.2">
      <c r="A79" t="s">
        <v>289</v>
      </c>
      <c r="B79">
        <v>697120</v>
      </c>
      <c r="C79" t="s">
        <v>14</v>
      </c>
      <c r="D79" t="s">
        <v>290</v>
      </c>
      <c r="E79" t="s">
        <v>291</v>
      </c>
      <c r="G79" t="s">
        <v>292</v>
      </c>
      <c r="J79">
        <v>6.7484204910000001</v>
      </c>
      <c r="K79">
        <v>0.48629166299999999</v>
      </c>
      <c r="L79">
        <v>0.375053939</v>
      </c>
      <c r="M79" s="21">
        <v>-0.82213139899999998</v>
      </c>
      <c r="N79">
        <v>2.015548017</v>
      </c>
    </row>
    <row r="80" spans="1:14" x14ac:dyDescent="0.2">
      <c r="A80" t="s">
        <v>293</v>
      </c>
      <c r="B80">
        <v>579240</v>
      </c>
      <c r="C80" t="s">
        <v>84</v>
      </c>
      <c r="D80" t="s">
        <v>293</v>
      </c>
      <c r="E80" t="s">
        <v>294</v>
      </c>
      <c r="J80">
        <v>3.600219579</v>
      </c>
      <c r="K80">
        <v>-0.293098474</v>
      </c>
      <c r="L80">
        <v>-0.153917466</v>
      </c>
      <c r="M80" s="21">
        <v>-0.82274024199999995</v>
      </c>
      <c r="N80">
        <v>2.01242016</v>
      </c>
    </row>
    <row r="81" spans="1:14" x14ac:dyDescent="0.2">
      <c r="A81" t="s">
        <v>295</v>
      </c>
      <c r="B81">
        <v>611760</v>
      </c>
      <c r="C81" t="s">
        <v>68</v>
      </c>
      <c r="D81" t="s">
        <v>295</v>
      </c>
      <c r="E81" t="s">
        <v>296</v>
      </c>
      <c r="G81" t="s">
        <v>297</v>
      </c>
      <c r="J81">
        <v>6.4561903559999996</v>
      </c>
      <c r="K81">
        <v>0.47291064100000002</v>
      </c>
      <c r="L81">
        <v>0.34414126499999997</v>
      </c>
      <c r="M81" s="21">
        <v>-0.82358060899999996</v>
      </c>
      <c r="N81">
        <v>2.0081028839999999</v>
      </c>
    </row>
    <row r="82" spans="1:14" x14ac:dyDescent="0.2">
      <c r="A82" t="s">
        <v>295</v>
      </c>
      <c r="B82">
        <v>543120</v>
      </c>
      <c r="C82" t="s">
        <v>34</v>
      </c>
      <c r="D82" t="s">
        <v>295</v>
      </c>
      <c r="E82" t="s">
        <v>298</v>
      </c>
      <c r="G82" t="s">
        <v>299</v>
      </c>
      <c r="J82">
        <v>7.0544859390000001</v>
      </c>
      <c r="K82">
        <v>0.623000361</v>
      </c>
      <c r="L82">
        <v>0.42866702800000001</v>
      </c>
      <c r="M82" s="21">
        <v>-0.82497055200000002</v>
      </c>
      <c r="N82">
        <v>2.0009622280000001</v>
      </c>
    </row>
    <row r="83" spans="1:14" x14ac:dyDescent="0.2">
      <c r="A83" t="s">
        <v>300</v>
      </c>
      <c r="B83">
        <v>540160</v>
      </c>
      <c r="C83" t="s">
        <v>34</v>
      </c>
      <c r="D83" t="s">
        <v>300</v>
      </c>
      <c r="E83" t="s">
        <v>301</v>
      </c>
      <c r="G83" t="s">
        <v>302</v>
      </c>
      <c r="J83">
        <v>7.0544859390000001</v>
      </c>
      <c r="K83">
        <v>0.623000361</v>
      </c>
      <c r="L83">
        <v>0.42866702800000001</v>
      </c>
      <c r="M83" s="21">
        <v>-0.82757256599999995</v>
      </c>
      <c r="N83">
        <v>1.9875947039999999</v>
      </c>
    </row>
    <row r="84" spans="1:14" x14ac:dyDescent="0.2">
      <c r="A84" t="s">
        <v>303</v>
      </c>
      <c r="B84">
        <v>576920</v>
      </c>
      <c r="C84" t="s">
        <v>28</v>
      </c>
      <c r="D84" t="s">
        <v>304</v>
      </c>
      <c r="E84" t="s">
        <v>305</v>
      </c>
      <c r="G84" t="s">
        <v>306</v>
      </c>
      <c r="J84">
        <v>5.8462906840000004</v>
      </c>
      <c r="K84">
        <v>0.60615847</v>
      </c>
      <c r="L84">
        <v>0.28550877299999999</v>
      </c>
      <c r="M84" s="21">
        <v>-0.82817677099999998</v>
      </c>
      <c r="N84">
        <v>1.98449068</v>
      </c>
    </row>
    <row r="85" spans="1:14" x14ac:dyDescent="0.2">
      <c r="A85" t="s">
        <v>307</v>
      </c>
      <c r="B85">
        <v>576400</v>
      </c>
      <c r="C85" t="s">
        <v>28</v>
      </c>
      <c r="D85" t="s">
        <v>308</v>
      </c>
      <c r="E85" t="s">
        <v>309</v>
      </c>
      <c r="G85" t="s">
        <v>310</v>
      </c>
      <c r="J85">
        <v>5.8462906840000004</v>
      </c>
      <c r="K85">
        <v>0.60615847</v>
      </c>
      <c r="L85">
        <v>0.28550877299999999</v>
      </c>
      <c r="M85" s="21">
        <v>-0.82864623299999995</v>
      </c>
      <c r="N85">
        <v>1.9820788760000001</v>
      </c>
    </row>
    <row r="86" spans="1:14" x14ac:dyDescent="0.2">
      <c r="A86" t="s">
        <v>311</v>
      </c>
      <c r="B86">
        <v>537320</v>
      </c>
      <c r="C86" t="s">
        <v>34</v>
      </c>
      <c r="D86" t="s">
        <v>311</v>
      </c>
      <c r="E86" t="s">
        <v>312</v>
      </c>
      <c r="G86" t="s">
        <v>313</v>
      </c>
      <c r="J86">
        <v>7.0544859390000001</v>
      </c>
      <c r="K86">
        <v>0.623000361</v>
      </c>
      <c r="L86">
        <v>0.42866702800000001</v>
      </c>
      <c r="M86" s="21">
        <v>-0.83006909399999995</v>
      </c>
      <c r="N86">
        <v>1.9747691060000001</v>
      </c>
    </row>
    <row r="87" spans="1:14" x14ac:dyDescent="0.2">
      <c r="A87" t="s">
        <v>314</v>
      </c>
      <c r="B87">
        <v>535480</v>
      </c>
      <c r="C87" t="s">
        <v>34</v>
      </c>
      <c r="D87" t="s">
        <v>315</v>
      </c>
      <c r="E87" t="s">
        <v>316</v>
      </c>
      <c r="G87" t="s">
        <v>317</v>
      </c>
      <c r="J87">
        <v>7.0544859390000001</v>
      </c>
      <c r="K87">
        <v>0.623000361</v>
      </c>
      <c r="L87">
        <v>0.42866702800000001</v>
      </c>
      <c r="M87" s="21">
        <v>-0.83168656299999999</v>
      </c>
      <c r="N87">
        <v>1.966459564</v>
      </c>
    </row>
    <row r="88" spans="1:14" x14ac:dyDescent="0.2">
      <c r="A88" t="s">
        <v>280</v>
      </c>
      <c r="B88">
        <v>752360</v>
      </c>
      <c r="C88" t="s">
        <v>130</v>
      </c>
      <c r="D88" t="s">
        <v>280</v>
      </c>
      <c r="E88" t="s">
        <v>318</v>
      </c>
      <c r="G88" t="s">
        <v>319</v>
      </c>
      <c r="J88">
        <v>5.1222566499999997</v>
      </c>
      <c r="K88">
        <v>0.21422175600000001</v>
      </c>
      <c r="L88">
        <v>0.25354511400000002</v>
      </c>
      <c r="M88" s="21">
        <v>-0.83206398500000001</v>
      </c>
      <c r="N88">
        <v>1.964520606</v>
      </c>
    </row>
    <row r="89" spans="1:14" x14ac:dyDescent="0.2">
      <c r="A89" t="s">
        <v>320</v>
      </c>
      <c r="B89">
        <v>601880</v>
      </c>
      <c r="C89" t="s">
        <v>68</v>
      </c>
      <c r="D89" t="s">
        <v>320</v>
      </c>
      <c r="E89" t="s">
        <v>321</v>
      </c>
      <c r="G89" t="s">
        <v>322</v>
      </c>
      <c r="J89">
        <v>6.4561903559999996</v>
      </c>
      <c r="K89">
        <v>0.47291064100000002</v>
      </c>
      <c r="L89">
        <v>0.34414126499999997</v>
      </c>
      <c r="M89" s="21">
        <v>-0.83313508800000002</v>
      </c>
      <c r="N89">
        <v>1.95901795</v>
      </c>
    </row>
    <row r="90" spans="1:14" x14ac:dyDescent="0.2">
      <c r="A90" t="s">
        <v>33</v>
      </c>
      <c r="B90">
        <v>684920</v>
      </c>
      <c r="C90" t="s">
        <v>14</v>
      </c>
      <c r="D90" t="s">
        <v>33</v>
      </c>
      <c r="E90" t="s">
        <v>323</v>
      </c>
      <c r="G90" t="s">
        <v>324</v>
      </c>
      <c r="J90">
        <v>6.7484204910000001</v>
      </c>
      <c r="K90">
        <v>0.48629166299999999</v>
      </c>
      <c r="L90">
        <v>0.375053939</v>
      </c>
      <c r="M90" s="21">
        <v>-0.83549921100000002</v>
      </c>
      <c r="N90">
        <v>1.946872562</v>
      </c>
    </row>
    <row r="91" spans="1:14" x14ac:dyDescent="0.2">
      <c r="A91" t="s">
        <v>325</v>
      </c>
      <c r="B91">
        <v>568560</v>
      </c>
      <c r="C91" t="s">
        <v>28</v>
      </c>
      <c r="D91" t="s">
        <v>326</v>
      </c>
      <c r="E91" t="s">
        <v>327</v>
      </c>
      <c r="G91" t="s">
        <v>328</v>
      </c>
      <c r="J91">
        <v>5.8462906840000004</v>
      </c>
      <c r="K91">
        <v>0.60615847</v>
      </c>
      <c r="L91">
        <v>0.28550877299999999</v>
      </c>
      <c r="M91" s="21">
        <v>-0.83572428099999996</v>
      </c>
      <c r="N91">
        <v>1.945716293</v>
      </c>
    </row>
    <row r="92" spans="1:14" x14ac:dyDescent="0.2">
      <c r="A92" t="s">
        <v>329</v>
      </c>
      <c r="B92">
        <v>568480</v>
      </c>
      <c r="C92" t="s">
        <v>28</v>
      </c>
      <c r="D92" t="s">
        <v>329</v>
      </c>
      <c r="E92" t="s">
        <v>330</v>
      </c>
      <c r="G92" t="s">
        <v>331</v>
      </c>
      <c r="J92">
        <v>5.8462906840000004</v>
      </c>
      <c r="K92">
        <v>0.60615847</v>
      </c>
      <c r="L92">
        <v>0.28550877299999999</v>
      </c>
      <c r="M92" s="21">
        <v>-0.83579650599999999</v>
      </c>
      <c r="N92">
        <v>1.945345246</v>
      </c>
    </row>
    <row r="93" spans="1:14" x14ac:dyDescent="0.2">
      <c r="A93" t="s">
        <v>153</v>
      </c>
      <c r="B93">
        <v>568240</v>
      </c>
      <c r="C93" t="s">
        <v>84</v>
      </c>
      <c r="D93" t="s">
        <v>153</v>
      </c>
      <c r="E93" t="s">
        <v>332</v>
      </c>
      <c r="J93">
        <v>3.600219579</v>
      </c>
      <c r="K93">
        <v>-0.293098474</v>
      </c>
      <c r="L93">
        <v>-0.153917466</v>
      </c>
      <c r="M93" s="21">
        <v>-0.83713777099999997</v>
      </c>
      <c r="N93">
        <v>1.9384546650000001</v>
      </c>
    </row>
    <row r="94" spans="1:14" x14ac:dyDescent="0.2">
      <c r="A94" t="s">
        <v>333</v>
      </c>
      <c r="B94">
        <v>682800</v>
      </c>
      <c r="C94" t="s">
        <v>14</v>
      </c>
      <c r="D94" t="s">
        <v>334</v>
      </c>
      <c r="E94" t="s">
        <v>335</v>
      </c>
      <c r="G94" t="s">
        <v>336</v>
      </c>
      <c r="J94">
        <v>6.7484204910000001</v>
      </c>
      <c r="K94">
        <v>0.48629166299999999</v>
      </c>
      <c r="L94">
        <v>0.375053939</v>
      </c>
      <c r="M94" s="21">
        <v>-0.83782214200000005</v>
      </c>
      <c r="N94">
        <v>1.9349387950000001</v>
      </c>
    </row>
    <row r="95" spans="1:14" x14ac:dyDescent="0.2">
      <c r="A95" t="s">
        <v>337</v>
      </c>
      <c r="B95">
        <v>564720</v>
      </c>
      <c r="C95" t="s">
        <v>28</v>
      </c>
      <c r="D95" t="s">
        <v>337</v>
      </c>
      <c r="E95" t="s">
        <v>338</v>
      </c>
      <c r="G95" t="s">
        <v>339</v>
      </c>
      <c r="J95">
        <v>5.8462906840000004</v>
      </c>
      <c r="K95">
        <v>0.60615847</v>
      </c>
      <c r="L95">
        <v>0.28550877299999999</v>
      </c>
      <c r="M95" s="21">
        <v>-0.83919107999999998</v>
      </c>
      <c r="N95">
        <v>1.927906049</v>
      </c>
    </row>
    <row r="96" spans="1:14" x14ac:dyDescent="0.2">
      <c r="A96" t="s">
        <v>89</v>
      </c>
      <c r="B96">
        <v>681000</v>
      </c>
      <c r="C96" t="s">
        <v>14</v>
      </c>
      <c r="D96" t="s">
        <v>90</v>
      </c>
      <c r="E96" t="s">
        <v>340</v>
      </c>
      <c r="G96" t="s">
        <v>341</v>
      </c>
      <c r="J96">
        <v>6.7484204910000001</v>
      </c>
      <c r="K96">
        <v>0.48629166299999999</v>
      </c>
      <c r="L96">
        <v>0.375053939</v>
      </c>
      <c r="M96" s="21">
        <v>-0.83979444199999997</v>
      </c>
      <c r="N96">
        <v>1.924806351</v>
      </c>
    </row>
    <row r="97" spans="1:14" x14ac:dyDescent="0.2">
      <c r="A97" t="s">
        <v>342</v>
      </c>
      <c r="B97">
        <v>594360</v>
      </c>
      <c r="C97" t="s">
        <v>68</v>
      </c>
      <c r="D97" t="s">
        <v>342</v>
      </c>
      <c r="E97" t="s">
        <v>343</v>
      </c>
      <c r="G97" t="s">
        <v>344</v>
      </c>
      <c r="J97">
        <v>6.4561903559999996</v>
      </c>
      <c r="K97">
        <v>0.47291064100000002</v>
      </c>
      <c r="L97">
        <v>0.34414126499999997</v>
      </c>
      <c r="M97" s="21">
        <v>-0.84040732299999998</v>
      </c>
      <c r="N97">
        <v>1.921657757</v>
      </c>
    </row>
    <row r="98" spans="1:14" x14ac:dyDescent="0.2">
      <c r="A98" t="s">
        <v>345</v>
      </c>
      <c r="B98">
        <v>562800</v>
      </c>
      <c r="C98" t="s">
        <v>28</v>
      </c>
      <c r="D98" t="s">
        <v>345</v>
      </c>
      <c r="E98" t="s">
        <v>346</v>
      </c>
      <c r="G98" t="s">
        <v>347</v>
      </c>
      <c r="J98">
        <v>5.8462906840000004</v>
      </c>
      <c r="K98">
        <v>0.60615847</v>
      </c>
      <c r="L98">
        <v>0.28550877299999999</v>
      </c>
      <c r="M98" s="21">
        <v>-0.84092447999999997</v>
      </c>
      <c r="N98">
        <v>1.9190009260000001</v>
      </c>
    </row>
    <row r="99" spans="1:14" x14ac:dyDescent="0.2">
      <c r="A99" t="s">
        <v>348</v>
      </c>
      <c r="B99">
        <v>592080</v>
      </c>
      <c r="C99" t="s">
        <v>68</v>
      </c>
      <c r="D99" t="s">
        <v>349</v>
      </c>
      <c r="E99" t="s">
        <v>350</v>
      </c>
      <c r="G99" t="s">
        <v>351</v>
      </c>
      <c r="J99">
        <v>6.4561903559999996</v>
      </c>
      <c r="K99">
        <v>0.47291064100000002</v>
      </c>
      <c r="L99">
        <v>0.34414126499999997</v>
      </c>
      <c r="M99" s="21">
        <v>-0.84261220199999998</v>
      </c>
      <c r="N99">
        <v>1.9103304640000001</v>
      </c>
    </row>
    <row r="100" spans="1:14" x14ac:dyDescent="0.2">
      <c r="A100" t="s">
        <v>352</v>
      </c>
      <c r="B100">
        <v>559160</v>
      </c>
      <c r="C100" t="s">
        <v>28</v>
      </c>
      <c r="D100" t="s">
        <v>352</v>
      </c>
      <c r="E100" t="s">
        <v>353</v>
      </c>
      <c r="G100" t="s">
        <v>354</v>
      </c>
      <c r="J100">
        <v>5.8462906840000004</v>
      </c>
      <c r="K100">
        <v>0.60615847</v>
      </c>
      <c r="L100">
        <v>0.28550877299999999</v>
      </c>
      <c r="M100" s="21">
        <v>-0.84421071599999997</v>
      </c>
      <c r="N100">
        <v>1.9021182990000001</v>
      </c>
    </row>
    <row r="101" spans="1:14" x14ac:dyDescent="0.2">
      <c r="A101" t="s">
        <v>355</v>
      </c>
      <c r="B101">
        <v>676040</v>
      </c>
      <c r="C101" t="s">
        <v>100</v>
      </c>
      <c r="D101" t="s">
        <v>356</v>
      </c>
      <c r="E101" t="s">
        <v>357</v>
      </c>
      <c r="G101" t="s">
        <v>358</v>
      </c>
      <c r="J101">
        <v>5.9110743220000002</v>
      </c>
      <c r="K101">
        <v>0.71598987199999997</v>
      </c>
      <c r="L101">
        <v>0.29077365599999999</v>
      </c>
      <c r="M101" s="21">
        <v>-0.84648678700000002</v>
      </c>
      <c r="N101">
        <v>1.8904252720000001</v>
      </c>
    </row>
    <row r="102" spans="1:14" x14ac:dyDescent="0.2">
      <c r="A102" t="s">
        <v>165</v>
      </c>
      <c r="B102">
        <v>734080</v>
      </c>
      <c r="C102" t="s">
        <v>130</v>
      </c>
      <c r="D102" t="s">
        <v>166</v>
      </c>
      <c r="E102" t="s">
        <v>359</v>
      </c>
      <c r="G102" t="s">
        <v>360</v>
      </c>
      <c r="J102">
        <v>5.1222566499999997</v>
      </c>
      <c r="K102">
        <v>0.21422175600000001</v>
      </c>
      <c r="L102">
        <v>0.25354511400000002</v>
      </c>
      <c r="M102" s="21">
        <v>-0.84661175399999999</v>
      </c>
      <c r="N102">
        <v>1.889783268</v>
      </c>
    </row>
    <row r="103" spans="1:14" x14ac:dyDescent="0.2">
      <c r="A103" t="s">
        <v>361</v>
      </c>
      <c r="B103">
        <v>674440</v>
      </c>
      <c r="C103" t="s">
        <v>100</v>
      </c>
      <c r="D103" t="s">
        <v>361</v>
      </c>
      <c r="E103" t="s">
        <v>362</v>
      </c>
      <c r="G103" t="s">
        <v>363</v>
      </c>
      <c r="J103">
        <v>5.9110743220000002</v>
      </c>
      <c r="K103">
        <v>0.71598987199999997</v>
      </c>
      <c r="L103">
        <v>0.29077365599999999</v>
      </c>
      <c r="M103" s="21">
        <v>-0.84807512900000004</v>
      </c>
      <c r="N103">
        <v>1.882265367</v>
      </c>
    </row>
    <row r="104" spans="1:14" x14ac:dyDescent="0.2">
      <c r="A104" t="s">
        <v>364</v>
      </c>
      <c r="B104">
        <v>584320</v>
      </c>
      <c r="C104" t="s">
        <v>68</v>
      </c>
      <c r="D104" t="s">
        <v>364</v>
      </c>
      <c r="E104" t="s">
        <v>365</v>
      </c>
      <c r="G104" t="s">
        <v>366</v>
      </c>
      <c r="J104">
        <v>6.4561903559999996</v>
      </c>
      <c r="K104">
        <v>0.47291064100000002</v>
      </c>
      <c r="L104">
        <v>0.34414126499999997</v>
      </c>
      <c r="M104" s="21">
        <v>-0.85011652999999998</v>
      </c>
      <c r="N104">
        <v>1.8717779240000001</v>
      </c>
    </row>
    <row r="105" spans="1:14" x14ac:dyDescent="0.2">
      <c r="A105" t="s">
        <v>158</v>
      </c>
      <c r="B105">
        <v>718400</v>
      </c>
      <c r="C105" t="s">
        <v>149</v>
      </c>
      <c r="D105" t="s">
        <v>158</v>
      </c>
      <c r="E105" t="s">
        <v>367</v>
      </c>
      <c r="G105" t="s">
        <v>368</v>
      </c>
      <c r="J105">
        <v>5.0381074159999999</v>
      </c>
      <c r="K105">
        <v>0.81312368999999995</v>
      </c>
      <c r="L105">
        <v>0.16969141800000001</v>
      </c>
      <c r="M105" s="21">
        <v>-0.85108133799999997</v>
      </c>
      <c r="N105">
        <v>1.8668213410000001</v>
      </c>
    </row>
    <row r="106" spans="1:14" x14ac:dyDescent="0.2">
      <c r="A106" t="s">
        <v>369</v>
      </c>
      <c r="B106">
        <v>583080</v>
      </c>
      <c r="C106" t="s">
        <v>68</v>
      </c>
      <c r="D106" t="s">
        <v>369</v>
      </c>
      <c r="E106" t="s">
        <v>370</v>
      </c>
      <c r="G106" t="s">
        <v>371</v>
      </c>
      <c r="J106">
        <v>6.4561903559999996</v>
      </c>
      <c r="K106">
        <v>0.47291064100000002</v>
      </c>
      <c r="L106">
        <v>0.34414126499999997</v>
      </c>
      <c r="M106" s="21">
        <v>-0.85131567500000005</v>
      </c>
      <c r="N106">
        <v>1.8656174670000001</v>
      </c>
    </row>
    <row r="107" spans="1:14" x14ac:dyDescent="0.2">
      <c r="A107" t="s">
        <v>372</v>
      </c>
      <c r="B107">
        <v>715200</v>
      </c>
      <c r="C107" t="s">
        <v>149</v>
      </c>
      <c r="D107" t="s">
        <v>372</v>
      </c>
      <c r="E107" t="s">
        <v>373</v>
      </c>
      <c r="G107" t="s">
        <v>374</v>
      </c>
      <c r="J107">
        <v>5.0381074159999999</v>
      </c>
      <c r="K107">
        <v>0.81312368999999995</v>
      </c>
      <c r="L107">
        <v>0.16969141800000001</v>
      </c>
      <c r="M107" s="21">
        <v>-0.85404011000000002</v>
      </c>
      <c r="N107">
        <v>1.851621025</v>
      </c>
    </row>
    <row r="108" spans="1:14" x14ac:dyDescent="0.2">
      <c r="A108" t="s">
        <v>375</v>
      </c>
      <c r="B108">
        <v>545240</v>
      </c>
      <c r="C108" t="s">
        <v>28</v>
      </c>
      <c r="D108" t="s">
        <v>375</v>
      </c>
      <c r="E108" t="s">
        <v>376</v>
      </c>
      <c r="G108" t="s">
        <v>377</v>
      </c>
      <c r="J108">
        <v>5.8462906840000004</v>
      </c>
      <c r="K108">
        <v>0.60615847</v>
      </c>
      <c r="L108">
        <v>0.28550877299999999</v>
      </c>
      <c r="M108" s="21">
        <v>-0.85677786300000003</v>
      </c>
      <c r="N108">
        <v>1.837556162</v>
      </c>
    </row>
    <row r="109" spans="1:14" x14ac:dyDescent="0.2">
      <c r="A109" t="s">
        <v>325</v>
      </c>
      <c r="B109">
        <v>506640</v>
      </c>
      <c r="C109" t="s">
        <v>34</v>
      </c>
      <c r="D109" t="s">
        <v>326</v>
      </c>
      <c r="E109" t="s">
        <v>378</v>
      </c>
      <c r="G109" t="s">
        <v>379</v>
      </c>
      <c r="J109">
        <v>7.0544859390000001</v>
      </c>
      <c r="K109">
        <v>0.623000361</v>
      </c>
      <c r="L109">
        <v>0.42866702800000001</v>
      </c>
      <c r="M109" s="21">
        <v>-0.85703862600000003</v>
      </c>
      <c r="N109">
        <v>1.8362165260000001</v>
      </c>
    </row>
    <row r="110" spans="1:14" x14ac:dyDescent="0.2">
      <c r="A110" t="s">
        <v>380</v>
      </c>
      <c r="B110">
        <v>664520</v>
      </c>
      <c r="C110" t="s">
        <v>14</v>
      </c>
      <c r="D110" t="s">
        <v>380</v>
      </c>
      <c r="E110" t="s">
        <v>381</v>
      </c>
      <c r="G110" t="s">
        <v>382</v>
      </c>
      <c r="J110">
        <v>6.7484204910000001</v>
      </c>
      <c r="K110">
        <v>0.48629166299999999</v>
      </c>
      <c r="L110">
        <v>0.375053939</v>
      </c>
      <c r="M110" s="21">
        <v>-0.85785194600000003</v>
      </c>
      <c r="N110">
        <v>1.8320381960000001</v>
      </c>
    </row>
    <row r="111" spans="1:14" x14ac:dyDescent="0.2">
      <c r="A111" t="s">
        <v>345</v>
      </c>
      <c r="B111">
        <v>709920</v>
      </c>
      <c r="C111" t="s">
        <v>149</v>
      </c>
      <c r="D111" t="s">
        <v>345</v>
      </c>
      <c r="E111" t="s">
        <v>383</v>
      </c>
      <c r="G111" t="s">
        <v>384</v>
      </c>
      <c r="J111">
        <v>5.0381074159999999</v>
      </c>
      <c r="K111">
        <v>0.81312368999999995</v>
      </c>
      <c r="L111">
        <v>0.16969141800000001</v>
      </c>
      <c r="M111" s="21">
        <v>-0.85892208299999995</v>
      </c>
      <c r="N111">
        <v>1.826540504</v>
      </c>
    </row>
    <row r="112" spans="1:14" x14ac:dyDescent="0.2">
      <c r="A112" t="s">
        <v>385</v>
      </c>
      <c r="B112">
        <v>504320</v>
      </c>
      <c r="C112" t="s">
        <v>34</v>
      </c>
      <c r="D112" t="s">
        <v>386</v>
      </c>
      <c r="E112" t="s">
        <v>387</v>
      </c>
      <c r="G112" t="s">
        <v>388</v>
      </c>
      <c r="J112">
        <v>7.0544859390000001</v>
      </c>
      <c r="K112">
        <v>0.623000361</v>
      </c>
      <c r="L112">
        <v>0.42866702800000001</v>
      </c>
      <c r="M112" s="21">
        <v>-0.85907804300000001</v>
      </c>
      <c r="N112">
        <v>1.8257392779999999</v>
      </c>
    </row>
    <row r="113" spans="1:14" x14ac:dyDescent="0.2">
      <c r="A113" t="s">
        <v>389</v>
      </c>
      <c r="B113">
        <v>663120</v>
      </c>
      <c r="C113" t="s">
        <v>14</v>
      </c>
      <c r="D113" t="s">
        <v>389</v>
      </c>
      <c r="E113" t="s">
        <v>390</v>
      </c>
      <c r="G113" t="s">
        <v>391</v>
      </c>
      <c r="J113">
        <v>6.7484204910000001</v>
      </c>
      <c r="K113">
        <v>0.48629166299999999</v>
      </c>
      <c r="L113">
        <v>0.375053939</v>
      </c>
      <c r="M113" s="21">
        <v>-0.85938595699999998</v>
      </c>
      <c r="N113">
        <v>1.8241574060000001</v>
      </c>
    </row>
    <row r="114" spans="1:14" x14ac:dyDescent="0.2">
      <c r="A114" t="s">
        <v>392</v>
      </c>
      <c r="B114">
        <v>503640</v>
      </c>
      <c r="C114" t="s">
        <v>34</v>
      </c>
      <c r="D114" t="s">
        <v>392</v>
      </c>
      <c r="E114" t="s">
        <v>393</v>
      </c>
      <c r="G114" t="s">
        <v>394</v>
      </c>
      <c r="J114">
        <v>7.0544859390000001</v>
      </c>
      <c r="K114">
        <v>0.623000361</v>
      </c>
      <c r="L114">
        <v>0.42866702800000001</v>
      </c>
      <c r="M114" s="21">
        <v>-0.85967580300000002</v>
      </c>
      <c r="N114">
        <v>1.82266836</v>
      </c>
    </row>
    <row r="115" spans="1:14" x14ac:dyDescent="0.2">
      <c r="A115" t="s">
        <v>369</v>
      </c>
      <c r="B115">
        <v>716320</v>
      </c>
      <c r="C115" t="s">
        <v>130</v>
      </c>
      <c r="D115" t="s">
        <v>369</v>
      </c>
      <c r="E115" t="s">
        <v>395</v>
      </c>
      <c r="G115" t="s">
        <v>396</v>
      </c>
      <c r="J115">
        <v>5.1222566499999997</v>
      </c>
      <c r="K115">
        <v>0.21422175600000001</v>
      </c>
      <c r="L115">
        <v>0.25354511400000002</v>
      </c>
      <c r="M115" s="21">
        <v>-0.86074569300000003</v>
      </c>
      <c r="N115">
        <v>1.8171719369999999</v>
      </c>
    </row>
    <row r="116" spans="1:14" x14ac:dyDescent="0.2">
      <c r="A116" t="s">
        <v>397</v>
      </c>
      <c r="B116">
        <v>572680</v>
      </c>
      <c r="C116" t="s">
        <v>68</v>
      </c>
      <c r="D116" t="s">
        <v>397</v>
      </c>
      <c r="E116" t="s">
        <v>398</v>
      </c>
      <c r="G116" t="s">
        <v>399</v>
      </c>
      <c r="J116">
        <v>6.4561903559999996</v>
      </c>
      <c r="K116">
        <v>0.47291064100000002</v>
      </c>
      <c r="L116">
        <v>0.34414126499999997</v>
      </c>
      <c r="M116" s="21">
        <v>-0.86137302100000002</v>
      </c>
      <c r="N116">
        <v>1.813949115</v>
      </c>
    </row>
    <row r="117" spans="1:14" x14ac:dyDescent="0.2">
      <c r="A117" t="s">
        <v>400</v>
      </c>
      <c r="B117">
        <v>540120</v>
      </c>
      <c r="C117" t="s">
        <v>28</v>
      </c>
      <c r="D117" t="s">
        <v>400</v>
      </c>
      <c r="E117" t="s">
        <v>401</v>
      </c>
      <c r="G117" t="s">
        <v>402</v>
      </c>
      <c r="J117">
        <v>5.8462906840000004</v>
      </c>
      <c r="K117">
        <v>0.60615847</v>
      </c>
      <c r="L117">
        <v>0.28550877299999999</v>
      </c>
      <c r="M117" s="21">
        <v>-0.86140026199999997</v>
      </c>
      <c r="N117">
        <v>1.813809169</v>
      </c>
    </row>
    <row r="118" spans="1:14" x14ac:dyDescent="0.2">
      <c r="A118" t="s">
        <v>239</v>
      </c>
      <c r="B118">
        <v>715280</v>
      </c>
      <c r="C118" t="s">
        <v>130</v>
      </c>
      <c r="D118" t="s">
        <v>240</v>
      </c>
      <c r="E118" t="s">
        <v>403</v>
      </c>
      <c r="G118" t="s">
        <v>404</v>
      </c>
      <c r="J118">
        <v>5.1222566499999997</v>
      </c>
      <c r="K118">
        <v>0.21422175600000001</v>
      </c>
      <c r="L118">
        <v>0.25354511400000002</v>
      </c>
      <c r="M118" s="21">
        <v>-0.86157335599999996</v>
      </c>
      <c r="N118">
        <v>1.8129199220000001</v>
      </c>
    </row>
    <row r="119" spans="1:14" x14ac:dyDescent="0.2">
      <c r="A119" t="s">
        <v>405</v>
      </c>
      <c r="B119">
        <v>704560</v>
      </c>
      <c r="C119" t="s">
        <v>149</v>
      </c>
      <c r="D119" t="s">
        <v>405</v>
      </c>
      <c r="E119" t="s">
        <v>406</v>
      </c>
      <c r="G119" t="s">
        <v>407</v>
      </c>
      <c r="J119">
        <v>5.0381074159999999</v>
      </c>
      <c r="K119">
        <v>0.81312368999999995</v>
      </c>
      <c r="L119">
        <v>0.16969141800000001</v>
      </c>
      <c r="M119" s="21">
        <v>-0.86387802499999999</v>
      </c>
      <c r="N119">
        <v>1.8010799740000001</v>
      </c>
    </row>
    <row r="120" spans="1:14" x14ac:dyDescent="0.2">
      <c r="A120" t="s">
        <v>408</v>
      </c>
      <c r="B120">
        <v>569680</v>
      </c>
      <c r="C120" t="s">
        <v>68</v>
      </c>
      <c r="D120" t="s">
        <v>408</v>
      </c>
      <c r="E120" t="s">
        <v>409</v>
      </c>
      <c r="G120" t="s">
        <v>410</v>
      </c>
      <c r="J120">
        <v>6.4561903559999996</v>
      </c>
      <c r="K120">
        <v>0.47291064100000002</v>
      </c>
      <c r="L120">
        <v>0.34414126499999997</v>
      </c>
      <c r="M120" s="21">
        <v>-0.86427417900000003</v>
      </c>
      <c r="N120">
        <v>1.799044783</v>
      </c>
    </row>
    <row r="121" spans="1:14" x14ac:dyDescent="0.2">
      <c r="A121" t="s">
        <v>253</v>
      </c>
      <c r="B121">
        <v>536600</v>
      </c>
      <c r="C121" t="s">
        <v>28</v>
      </c>
      <c r="D121" t="s">
        <v>254</v>
      </c>
      <c r="E121" t="s">
        <v>411</v>
      </c>
      <c r="G121" t="s">
        <v>412</v>
      </c>
      <c r="J121">
        <v>5.8462906840000004</v>
      </c>
      <c r="K121">
        <v>0.60615847</v>
      </c>
      <c r="L121">
        <v>0.28550877299999999</v>
      </c>
      <c r="M121" s="21">
        <v>-0.86457816099999996</v>
      </c>
      <c r="N121">
        <v>1.7974831120000001</v>
      </c>
    </row>
    <row r="122" spans="1:14" x14ac:dyDescent="0.2">
      <c r="A122" t="s">
        <v>280</v>
      </c>
      <c r="B122">
        <v>497600</v>
      </c>
      <c r="C122" t="s">
        <v>34</v>
      </c>
      <c r="D122" t="s">
        <v>280</v>
      </c>
      <c r="E122" t="s">
        <v>413</v>
      </c>
      <c r="G122" t="s">
        <v>414</v>
      </c>
      <c r="J122">
        <v>7.0544859390000001</v>
      </c>
      <c r="K122">
        <v>0.623000361</v>
      </c>
      <c r="L122">
        <v>0.42866702800000001</v>
      </c>
      <c r="M122" s="21">
        <v>-0.86498531999999995</v>
      </c>
      <c r="N122">
        <v>1.7953913850000001</v>
      </c>
    </row>
    <row r="123" spans="1:14" x14ac:dyDescent="0.2">
      <c r="A123" t="s">
        <v>415</v>
      </c>
      <c r="B123">
        <v>496840</v>
      </c>
      <c r="C123" t="s">
        <v>34</v>
      </c>
      <c r="D123" t="s">
        <v>415</v>
      </c>
      <c r="E123" t="s">
        <v>416</v>
      </c>
      <c r="G123" t="s">
        <v>417</v>
      </c>
      <c r="J123">
        <v>7.0544859390000001</v>
      </c>
      <c r="K123">
        <v>0.623000361</v>
      </c>
      <c r="L123">
        <v>0.42866702800000001</v>
      </c>
      <c r="M123" s="21">
        <v>-0.86565340499999999</v>
      </c>
      <c r="N123">
        <v>1.7919591829999999</v>
      </c>
    </row>
    <row r="124" spans="1:14" x14ac:dyDescent="0.2">
      <c r="A124" t="s">
        <v>345</v>
      </c>
      <c r="B124">
        <v>494040</v>
      </c>
      <c r="C124" t="s">
        <v>34</v>
      </c>
      <c r="D124" t="s">
        <v>345</v>
      </c>
      <c r="E124" t="s">
        <v>418</v>
      </c>
      <c r="G124" t="s">
        <v>419</v>
      </c>
      <c r="J124">
        <v>7.0544859390000001</v>
      </c>
      <c r="K124">
        <v>0.623000361</v>
      </c>
      <c r="L124">
        <v>0.42866702800000001</v>
      </c>
      <c r="M124" s="21">
        <v>-0.86811477000000004</v>
      </c>
      <c r="N124">
        <v>1.7793142280000001</v>
      </c>
    </row>
    <row r="125" spans="1:14" x14ac:dyDescent="0.2">
      <c r="A125" t="s">
        <v>191</v>
      </c>
      <c r="B125">
        <v>530600</v>
      </c>
      <c r="C125" t="s">
        <v>28</v>
      </c>
      <c r="D125" t="s">
        <v>192</v>
      </c>
      <c r="E125" t="s">
        <v>420</v>
      </c>
      <c r="G125" t="s">
        <v>421</v>
      </c>
      <c r="J125">
        <v>5.8462906840000004</v>
      </c>
      <c r="K125">
        <v>0.60615847</v>
      </c>
      <c r="L125">
        <v>0.28550877299999999</v>
      </c>
      <c r="M125" s="21">
        <v>-0.86999503499999997</v>
      </c>
      <c r="N125">
        <v>1.7696546049999999</v>
      </c>
    </row>
    <row r="126" spans="1:14" x14ac:dyDescent="0.2">
      <c r="A126" t="s">
        <v>422</v>
      </c>
      <c r="B126">
        <v>541640</v>
      </c>
      <c r="C126" t="s">
        <v>84</v>
      </c>
      <c r="D126" t="s">
        <v>423</v>
      </c>
      <c r="E126" t="s">
        <v>424</v>
      </c>
      <c r="G126" t="s">
        <v>425</v>
      </c>
      <c r="J126">
        <v>3.600219579</v>
      </c>
      <c r="K126">
        <v>-0.293098474</v>
      </c>
      <c r="L126">
        <v>-0.153917466</v>
      </c>
      <c r="M126" s="21">
        <v>-0.87195361400000004</v>
      </c>
      <c r="N126">
        <v>1.7595926500000001</v>
      </c>
    </row>
    <row r="127" spans="1:14" x14ac:dyDescent="0.2">
      <c r="A127" t="s">
        <v>426</v>
      </c>
      <c r="B127">
        <v>557760</v>
      </c>
      <c r="C127" t="s">
        <v>68</v>
      </c>
      <c r="D127" t="s">
        <v>426</v>
      </c>
      <c r="E127" t="s">
        <v>427</v>
      </c>
      <c r="G127" t="s">
        <v>428</v>
      </c>
      <c r="J127">
        <v>6.4561903559999996</v>
      </c>
      <c r="K127">
        <v>0.47291064100000002</v>
      </c>
      <c r="L127">
        <v>0.34414126499999997</v>
      </c>
      <c r="M127" s="21">
        <v>-0.87580144500000001</v>
      </c>
      <c r="N127">
        <v>1.7398249020000001</v>
      </c>
    </row>
    <row r="128" spans="1:14" x14ac:dyDescent="0.2">
      <c r="A128" t="s">
        <v>38</v>
      </c>
      <c r="B128">
        <v>522360</v>
      </c>
      <c r="C128" t="s">
        <v>28</v>
      </c>
      <c r="D128" t="s">
        <v>38</v>
      </c>
      <c r="E128" t="s">
        <v>429</v>
      </c>
      <c r="G128" t="s">
        <v>430</v>
      </c>
      <c r="J128">
        <v>5.8462906840000004</v>
      </c>
      <c r="K128">
        <v>0.60615847</v>
      </c>
      <c r="L128">
        <v>0.28550877299999999</v>
      </c>
      <c r="M128" s="21">
        <v>-0.87743420800000005</v>
      </c>
      <c r="N128">
        <v>1.7314367879999999</v>
      </c>
    </row>
    <row r="129" spans="1:14" x14ac:dyDescent="0.2">
      <c r="A129" t="s">
        <v>431</v>
      </c>
      <c r="B129">
        <v>689880</v>
      </c>
      <c r="C129" t="s">
        <v>149</v>
      </c>
      <c r="D129" t="s">
        <v>432</v>
      </c>
      <c r="E129" t="s">
        <v>433</v>
      </c>
      <c r="G129" t="s">
        <v>434</v>
      </c>
      <c r="J129">
        <v>5.0381074159999999</v>
      </c>
      <c r="K129">
        <v>0.81312368999999995</v>
      </c>
      <c r="L129">
        <v>0.16969141800000001</v>
      </c>
      <c r="M129" s="21">
        <v>-0.877451388</v>
      </c>
      <c r="N129">
        <v>1.7313485239999999</v>
      </c>
    </row>
    <row r="130" spans="1:14" x14ac:dyDescent="0.2">
      <c r="A130" t="s">
        <v>435</v>
      </c>
      <c r="B130">
        <v>553480</v>
      </c>
      <c r="C130" t="s">
        <v>68</v>
      </c>
      <c r="D130" t="s">
        <v>435</v>
      </c>
      <c r="E130" t="s">
        <v>436</v>
      </c>
      <c r="G130" t="s">
        <v>437</v>
      </c>
      <c r="J130">
        <v>6.4561903559999996</v>
      </c>
      <c r="K130">
        <v>0.47291064100000002</v>
      </c>
      <c r="L130">
        <v>0.34414126499999997</v>
      </c>
      <c r="M130" s="21">
        <v>-0.87994043</v>
      </c>
      <c r="N130">
        <v>1.7185613879999999</v>
      </c>
    </row>
    <row r="131" spans="1:14" x14ac:dyDescent="0.2">
      <c r="A131" t="s">
        <v>438</v>
      </c>
      <c r="B131">
        <v>518760</v>
      </c>
      <c r="C131" t="s">
        <v>28</v>
      </c>
      <c r="D131" t="s">
        <v>438</v>
      </c>
      <c r="E131" t="s">
        <v>439</v>
      </c>
      <c r="G131" t="s">
        <v>440</v>
      </c>
      <c r="J131">
        <v>5.8462906840000004</v>
      </c>
      <c r="K131">
        <v>0.60615847</v>
      </c>
      <c r="L131">
        <v>0.28550877299999999</v>
      </c>
      <c r="M131" s="21">
        <v>-0.88068433199999996</v>
      </c>
      <c r="N131">
        <v>1.714739684</v>
      </c>
    </row>
    <row r="132" spans="1:14" x14ac:dyDescent="0.2">
      <c r="A132" t="s">
        <v>441</v>
      </c>
      <c r="B132">
        <v>534920</v>
      </c>
      <c r="C132" t="s">
        <v>84</v>
      </c>
      <c r="D132" t="s">
        <v>442</v>
      </c>
      <c r="E132" t="s">
        <v>443</v>
      </c>
      <c r="J132">
        <v>3.600219579</v>
      </c>
      <c r="K132">
        <v>-0.293098474</v>
      </c>
      <c r="L132">
        <v>-0.153917466</v>
      </c>
      <c r="M132" s="21">
        <v>-0.88074919500000004</v>
      </c>
      <c r="N132">
        <v>1.7144064569999999</v>
      </c>
    </row>
    <row r="133" spans="1:14" x14ac:dyDescent="0.2">
      <c r="A133" t="s">
        <v>444</v>
      </c>
      <c r="B133">
        <v>518320</v>
      </c>
      <c r="C133" t="s">
        <v>28</v>
      </c>
      <c r="D133" t="s">
        <v>445</v>
      </c>
      <c r="E133" t="s">
        <v>446</v>
      </c>
      <c r="G133" t="s">
        <v>447</v>
      </c>
      <c r="J133">
        <v>5.8462906840000004</v>
      </c>
      <c r="K133">
        <v>0.60615847</v>
      </c>
      <c r="L133">
        <v>0.28550877299999999</v>
      </c>
      <c r="M133" s="21">
        <v>-0.88108156900000001</v>
      </c>
      <c r="N133">
        <v>1.7126989269999999</v>
      </c>
    </row>
    <row r="134" spans="1:14" x14ac:dyDescent="0.2">
      <c r="A134" t="s">
        <v>448</v>
      </c>
      <c r="B134">
        <v>475160</v>
      </c>
      <c r="C134" t="s">
        <v>34</v>
      </c>
      <c r="D134" t="s">
        <v>448</v>
      </c>
      <c r="E134" t="s">
        <v>449</v>
      </c>
      <c r="G134" t="s">
        <v>450</v>
      </c>
      <c r="J134">
        <v>7.0544859390000001</v>
      </c>
      <c r="K134">
        <v>0.623000361</v>
      </c>
      <c r="L134">
        <v>0.42866702800000001</v>
      </c>
      <c r="M134" s="21">
        <v>-0.88471140500000001</v>
      </c>
      <c r="N134">
        <v>1.694051102</v>
      </c>
    </row>
    <row r="135" spans="1:14" x14ac:dyDescent="0.2">
      <c r="A135" t="s">
        <v>451</v>
      </c>
      <c r="B135">
        <v>547360</v>
      </c>
      <c r="C135" t="s">
        <v>68</v>
      </c>
      <c r="D135" t="s">
        <v>452</v>
      </c>
      <c r="E135" t="s">
        <v>453</v>
      </c>
      <c r="G135" t="s">
        <v>454</v>
      </c>
      <c r="J135">
        <v>6.4561903559999996</v>
      </c>
      <c r="K135">
        <v>0.47291064100000002</v>
      </c>
      <c r="L135">
        <v>0.34414126499999997</v>
      </c>
      <c r="M135" s="21">
        <v>-0.88585879099999998</v>
      </c>
      <c r="N135">
        <v>1.68815655</v>
      </c>
    </row>
    <row r="136" spans="1:14" x14ac:dyDescent="0.2">
      <c r="A136" t="s">
        <v>369</v>
      </c>
      <c r="B136">
        <v>472560</v>
      </c>
      <c r="C136" t="s">
        <v>34</v>
      </c>
      <c r="D136" t="s">
        <v>369</v>
      </c>
      <c r="E136" t="s">
        <v>455</v>
      </c>
      <c r="G136" t="s">
        <v>456</v>
      </c>
      <c r="J136">
        <v>7.0544859390000001</v>
      </c>
      <c r="K136">
        <v>0.623000361</v>
      </c>
      <c r="L136">
        <v>0.42866702800000001</v>
      </c>
      <c r="M136" s="21">
        <v>-0.886996958</v>
      </c>
      <c r="N136">
        <v>1.6823093579999999</v>
      </c>
    </row>
    <row r="137" spans="1:14" x14ac:dyDescent="0.2">
      <c r="A137" t="s">
        <v>38</v>
      </c>
      <c r="B137">
        <v>529760</v>
      </c>
      <c r="C137" t="s">
        <v>84</v>
      </c>
      <c r="D137" t="s">
        <v>38</v>
      </c>
      <c r="E137" t="s">
        <v>457</v>
      </c>
      <c r="J137">
        <v>3.600219579</v>
      </c>
      <c r="K137">
        <v>-0.293098474</v>
      </c>
      <c r="L137">
        <v>-0.153917466</v>
      </c>
      <c r="M137" s="21">
        <v>-0.88750294500000004</v>
      </c>
      <c r="N137">
        <v>1.679709916</v>
      </c>
    </row>
    <row r="138" spans="1:14" x14ac:dyDescent="0.2">
      <c r="A138" t="s">
        <v>458</v>
      </c>
      <c r="B138">
        <v>471720</v>
      </c>
      <c r="C138" t="s">
        <v>34</v>
      </c>
      <c r="D138" t="s">
        <v>459</v>
      </c>
      <c r="E138" t="s">
        <v>460</v>
      </c>
      <c r="G138" t="s">
        <v>461</v>
      </c>
      <c r="J138">
        <v>7.0544859390000001</v>
      </c>
      <c r="K138">
        <v>0.623000361</v>
      </c>
      <c r="L138">
        <v>0.42866702800000001</v>
      </c>
      <c r="M138" s="21">
        <v>-0.88773536799999997</v>
      </c>
      <c r="N138">
        <v>1.6785158710000001</v>
      </c>
    </row>
    <row r="139" spans="1:14" x14ac:dyDescent="0.2">
      <c r="A139" t="s">
        <v>462</v>
      </c>
      <c r="B139">
        <v>471320</v>
      </c>
      <c r="C139" t="s">
        <v>34</v>
      </c>
      <c r="D139" t="s">
        <v>462</v>
      </c>
      <c r="E139" t="s">
        <v>463</v>
      </c>
      <c r="G139" t="s">
        <v>464</v>
      </c>
      <c r="J139">
        <v>7.0544859390000001</v>
      </c>
      <c r="K139">
        <v>0.623000361</v>
      </c>
      <c r="L139">
        <v>0.42866702800000001</v>
      </c>
      <c r="M139" s="21">
        <v>-0.88808699199999996</v>
      </c>
      <c r="N139">
        <v>1.6767094490000001</v>
      </c>
    </row>
    <row r="140" spans="1:14" x14ac:dyDescent="0.2">
      <c r="A140" t="s">
        <v>465</v>
      </c>
      <c r="B140">
        <v>510560</v>
      </c>
      <c r="C140" t="s">
        <v>28</v>
      </c>
      <c r="D140" t="s">
        <v>466</v>
      </c>
      <c r="E140" t="s">
        <v>467</v>
      </c>
      <c r="G140" t="s">
        <v>468</v>
      </c>
      <c r="J140">
        <v>5.8462906840000004</v>
      </c>
      <c r="K140">
        <v>0.60615847</v>
      </c>
      <c r="L140">
        <v>0.28550877299999999</v>
      </c>
      <c r="M140" s="21">
        <v>-0.88808739199999998</v>
      </c>
      <c r="N140">
        <v>1.6767073910000001</v>
      </c>
    </row>
    <row r="141" spans="1:14" x14ac:dyDescent="0.2">
      <c r="A141" t="s">
        <v>352</v>
      </c>
      <c r="B141">
        <v>528760</v>
      </c>
      <c r="C141" t="s">
        <v>84</v>
      </c>
      <c r="D141" t="s">
        <v>352</v>
      </c>
      <c r="E141" t="s">
        <v>469</v>
      </c>
      <c r="J141">
        <v>3.600219579</v>
      </c>
      <c r="K141">
        <v>-0.293098474</v>
      </c>
      <c r="L141">
        <v>-0.153917466</v>
      </c>
      <c r="M141" s="21">
        <v>-0.88881181099999995</v>
      </c>
      <c r="N141">
        <v>1.6729857800000001</v>
      </c>
    </row>
    <row r="142" spans="1:14" x14ac:dyDescent="0.2">
      <c r="A142" t="s">
        <v>470</v>
      </c>
      <c r="B142">
        <v>469880</v>
      </c>
      <c r="C142" t="s">
        <v>34</v>
      </c>
      <c r="D142" t="s">
        <v>470</v>
      </c>
      <c r="E142" t="s">
        <v>471</v>
      </c>
      <c r="G142" t="s">
        <v>472</v>
      </c>
      <c r="J142">
        <v>7.0544859390000001</v>
      </c>
      <c r="K142">
        <v>0.623000361</v>
      </c>
      <c r="L142">
        <v>0.42866702800000001</v>
      </c>
      <c r="M142" s="21">
        <v>-0.88935283700000001</v>
      </c>
      <c r="N142">
        <v>1.670206329</v>
      </c>
    </row>
    <row r="143" spans="1:14" x14ac:dyDescent="0.2">
      <c r="A143" t="s">
        <v>280</v>
      </c>
      <c r="B143">
        <v>632520</v>
      </c>
      <c r="C143" t="s">
        <v>100</v>
      </c>
      <c r="D143" t="s">
        <v>280</v>
      </c>
      <c r="E143" t="s">
        <v>473</v>
      </c>
      <c r="G143" t="s">
        <v>474</v>
      </c>
      <c r="J143">
        <v>5.9110743220000002</v>
      </c>
      <c r="K143">
        <v>0.71598987199999997</v>
      </c>
      <c r="L143">
        <v>0.29077365599999999</v>
      </c>
      <c r="M143" s="21">
        <v>-0.88968967799999998</v>
      </c>
      <c r="N143">
        <v>1.668475851</v>
      </c>
    </row>
    <row r="144" spans="1:14" x14ac:dyDescent="0.2">
      <c r="A144" t="s">
        <v>232</v>
      </c>
      <c r="B144">
        <v>635400</v>
      </c>
      <c r="C144" t="s">
        <v>14</v>
      </c>
      <c r="D144" t="s">
        <v>233</v>
      </c>
      <c r="E144" t="s">
        <v>475</v>
      </c>
      <c r="G144" t="s">
        <v>476</v>
      </c>
      <c r="J144">
        <v>6.7484204910000001</v>
      </c>
      <c r="K144">
        <v>0.48629166299999999</v>
      </c>
      <c r="L144">
        <v>0.375053939</v>
      </c>
      <c r="M144" s="21">
        <v>-0.88975937900000002</v>
      </c>
      <c r="N144">
        <v>1.668117767</v>
      </c>
    </row>
    <row r="145" spans="1:14" x14ac:dyDescent="0.2">
      <c r="A145" t="s">
        <v>477</v>
      </c>
      <c r="B145">
        <v>635240</v>
      </c>
      <c r="C145" t="s">
        <v>14</v>
      </c>
      <c r="D145" t="s">
        <v>477</v>
      </c>
      <c r="E145" t="s">
        <v>478</v>
      </c>
      <c r="G145" t="s">
        <v>479</v>
      </c>
      <c r="J145">
        <v>6.7484204910000001</v>
      </c>
      <c r="K145">
        <v>0.48629166299999999</v>
      </c>
      <c r="L145">
        <v>0.375053939</v>
      </c>
      <c r="M145" s="21">
        <v>-0.889934695</v>
      </c>
      <c r="N145">
        <v>1.6672171060000001</v>
      </c>
    </row>
    <row r="146" spans="1:14" x14ac:dyDescent="0.2">
      <c r="A146" t="s">
        <v>106</v>
      </c>
      <c r="B146">
        <v>508480</v>
      </c>
      <c r="C146" t="s">
        <v>28</v>
      </c>
      <c r="D146" t="s">
        <v>107</v>
      </c>
      <c r="E146" t="s">
        <v>480</v>
      </c>
      <c r="G146" t="s">
        <v>481</v>
      </c>
      <c r="J146">
        <v>5.8462906840000004</v>
      </c>
      <c r="K146">
        <v>0.60615847</v>
      </c>
      <c r="L146">
        <v>0.28550877299999999</v>
      </c>
      <c r="M146" s="21">
        <v>-0.88996524200000005</v>
      </c>
      <c r="N146">
        <v>1.667060175</v>
      </c>
    </row>
    <row r="147" spans="1:14" x14ac:dyDescent="0.2">
      <c r="A147" t="s">
        <v>482</v>
      </c>
      <c r="B147">
        <v>468000</v>
      </c>
      <c r="C147" t="s">
        <v>34</v>
      </c>
      <c r="D147" t="s">
        <v>482</v>
      </c>
      <c r="E147" t="s">
        <v>483</v>
      </c>
      <c r="G147" t="s">
        <v>484</v>
      </c>
      <c r="J147">
        <v>7.0544859390000001</v>
      </c>
      <c r="K147">
        <v>0.623000361</v>
      </c>
      <c r="L147">
        <v>0.42866702800000001</v>
      </c>
      <c r="M147" s="21">
        <v>-0.89100546800000002</v>
      </c>
      <c r="N147">
        <v>1.661716145</v>
      </c>
    </row>
    <row r="148" spans="1:14" x14ac:dyDescent="0.2">
      <c r="A148" t="s">
        <v>485</v>
      </c>
      <c r="B148">
        <v>466760</v>
      </c>
      <c r="C148" t="s">
        <v>34</v>
      </c>
      <c r="D148" t="s">
        <v>486</v>
      </c>
      <c r="E148" t="s">
        <v>487</v>
      </c>
      <c r="G148" t="s">
        <v>488</v>
      </c>
      <c r="J148">
        <v>7.0544859390000001</v>
      </c>
      <c r="K148">
        <v>0.623000361</v>
      </c>
      <c r="L148">
        <v>0.42866702800000001</v>
      </c>
      <c r="M148" s="21">
        <v>-0.89209550100000001</v>
      </c>
      <c r="N148">
        <v>1.6561162359999999</v>
      </c>
    </row>
    <row r="149" spans="1:14" x14ac:dyDescent="0.2">
      <c r="A149" t="s">
        <v>195</v>
      </c>
      <c r="B149">
        <v>465680</v>
      </c>
      <c r="C149" t="s">
        <v>34</v>
      </c>
      <c r="D149" t="s">
        <v>195</v>
      </c>
      <c r="E149" t="s">
        <v>489</v>
      </c>
      <c r="G149" t="s">
        <v>490</v>
      </c>
      <c r="J149">
        <v>7.0544859390000001</v>
      </c>
      <c r="K149">
        <v>0.623000361</v>
      </c>
      <c r="L149">
        <v>0.42866702800000001</v>
      </c>
      <c r="M149" s="21">
        <v>-0.89304488500000001</v>
      </c>
      <c r="N149">
        <v>1.651238896</v>
      </c>
    </row>
    <row r="150" spans="1:14" x14ac:dyDescent="0.2">
      <c r="A150" t="s">
        <v>491</v>
      </c>
      <c r="B150">
        <v>504920</v>
      </c>
      <c r="C150" t="s">
        <v>28</v>
      </c>
      <c r="D150" t="s">
        <v>491</v>
      </c>
      <c r="E150" t="s">
        <v>492</v>
      </c>
      <c r="G150" t="s">
        <v>493</v>
      </c>
      <c r="J150">
        <v>5.8462906840000004</v>
      </c>
      <c r="K150">
        <v>0.60615847</v>
      </c>
      <c r="L150">
        <v>0.28550877299999999</v>
      </c>
      <c r="M150" s="21">
        <v>-0.89317925300000001</v>
      </c>
      <c r="N150">
        <v>1.650548594</v>
      </c>
    </row>
    <row r="151" spans="1:14" x14ac:dyDescent="0.2">
      <c r="A151" t="s">
        <v>494</v>
      </c>
      <c r="B151">
        <v>539480</v>
      </c>
      <c r="C151" t="s">
        <v>68</v>
      </c>
      <c r="D151" t="s">
        <v>495</v>
      </c>
      <c r="E151" t="s">
        <v>496</v>
      </c>
      <c r="G151" t="s">
        <v>497</v>
      </c>
      <c r="J151">
        <v>6.4561903559999996</v>
      </c>
      <c r="K151">
        <v>0.47291064100000002</v>
      </c>
      <c r="L151">
        <v>0.34414126499999997</v>
      </c>
      <c r="M151" s="21">
        <v>-0.89347916500000002</v>
      </c>
      <c r="N151">
        <v>1.6490078370000001</v>
      </c>
    </row>
    <row r="152" spans="1:14" x14ac:dyDescent="0.2">
      <c r="A152" t="s">
        <v>320</v>
      </c>
      <c r="B152">
        <v>503800</v>
      </c>
      <c r="C152" t="s">
        <v>28</v>
      </c>
      <c r="D152" t="s">
        <v>320</v>
      </c>
      <c r="E152" t="s">
        <v>498</v>
      </c>
      <c r="G152" t="s">
        <v>499</v>
      </c>
      <c r="J152">
        <v>5.8462906840000004</v>
      </c>
      <c r="K152">
        <v>0.60615847</v>
      </c>
      <c r="L152">
        <v>0.28550877299999999</v>
      </c>
      <c r="M152" s="21">
        <v>-0.89419040299999997</v>
      </c>
      <c r="N152">
        <v>1.6453539399999999</v>
      </c>
    </row>
    <row r="153" spans="1:14" x14ac:dyDescent="0.2">
      <c r="A153" t="s">
        <v>500</v>
      </c>
      <c r="B153">
        <v>631080</v>
      </c>
      <c r="C153" t="s">
        <v>14</v>
      </c>
      <c r="D153" t="s">
        <v>501</v>
      </c>
      <c r="E153" t="s">
        <v>502</v>
      </c>
      <c r="G153" t="s">
        <v>503</v>
      </c>
      <c r="J153">
        <v>6.7484204910000001</v>
      </c>
      <c r="K153">
        <v>0.48629166299999999</v>
      </c>
      <c r="L153">
        <v>0.375053939</v>
      </c>
      <c r="M153" s="21">
        <v>-0.89449290000000004</v>
      </c>
      <c r="N153">
        <v>1.643799901</v>
      </c>
    </row>
    <row r="154" spans="1:14" x14ac:dyDescent="0.2">
      <c r="A154" t="s">
        <v>504</v>
      </c>
      <c r="B154">
        <v>673000</v>
      </c>
      <c r="C154" t="s">
        <v>130</v>
      </c>
      <c r="D154" t="s">
        <v>504</v>
      </c>
      <c r="E154" t="s">
        <v>505</v>
      </c>
      <c r="G154" t="s">
        <v>506</v>
      </c>
      <c r="J154">
        <v>5.1222566499999997</v>
      </c>
      <c r="K154">
        <v>0.21422175600000001</v>
      </c>
      <c r="L154">
        <v>0.25354511400000002</v>
      </c>
      <c r="M154" s="21">
        <v>-0.89522104199999997</v>
      </c>
      <c r="N154">
        <v>1.6400591630000001</v>
      </c>
    </row>
    <row r="155" spans="1:14" x14ac:dyDescent="0.2">
      <c r="A155" t="s">
        <v>507</v>
      </c>
      <c r="B155">
        <v>501920</v>
      </c>
      <c r="C155" t="s">
        <v>28</v>
      </c>
      <c r="D155" t="s">
        <v>508</v>
      </c>
      <c r="E155" t="s">
        <v>509</v>
      </c>
      <c r="G155" t="s">
        <v>510</v>
      </c>
      <c r="J155">
        <v>5.8462906840000004</v>
      </c>
      <c r="K155">
        <v>0.60615847</v>
      </c>
      <c r="L155">
        <v>0.28550877299999999</v>
      </c>
      <c r="M155" s="21">
        <v>-0.89588769000000001</v>
      </c>
      <c r="N155">
        <v>1.6366343409999999</v>
      </c>
    </row>
    <row r="156" spans="1:14" x14ac:dyDescent="0.2">
      <c r="A156" t="s">
        <v>511</v>
      </c>
      <c r="B156">
        <v>536600</v>
      </c>
      <c r="C156" t="s">
        <v>68</v>
      </c>
      <c r="D156" t="s">
        <v>511</v>
      </c>
      <c r="E156" t="s">
        <v>512</v>
      </c>
      <c r="G156" t="s">
        <v>513</v>
      </c>
      <c r="J156">
        <v>6.4561903559999996</v>
      </c>
      <c r="K156">
        <v>0.47291064100000002</v>
      </c>
      <c r="L156">
        <v>0.34414126499999997</v>
      </c>
      <c r="M156" s="21">
        <v>-0.89626427600000003</v>
      </c>
      <c r="N156">
        <v>1.634699678</v>
      </c>
    </row>
    <row r="157" spans="1:14" x14ac:dyDescent="0.2">
      <c r="A157" t="s">
        <v>511</v>
      </c>
      <c r="B157">
        <v>501000</v>
      </c>
      <c r="C157" t="s">
        <v>28</v>
      </c>
      <c r="D157" t="s">
        <v>511</v>
      </c>
      <c r="E157" t="s">
        <v>514</v>
      </c>
      <c r="G157" t="s">
        <v>515</v>
      </c>
      <c r="J157">
        <v>5.8462906840000004</v>
      </c>
      <c r="K157">
        <v>0.60615847</v>
      </c>
      <c r="L157">
        <v>0.28550877299999999</v>
      </c>
      <c r="M157" s="21">
        <v>-0.89671827699999995</v>
      </c>
      <c r="N157">
        <v>1.6323673030000001</v>
      </c>
    </row>
    <row r="158" spans="1:14" x14ac:dyDescent="0.2">
      <c r="A158" t="s">
        <v>516</v>
      </c>
      <c r="B158">
        <v>461400</v>
      </c>
      <c r="C158" t="s">
        <v>34</v>
      </c>
      <c r="D158" t="s">
        <v>516</v>
      </c>
      <c r="J158">
        <v>7.0544859390000001</v>
      </c>
      <c r="K158">
        <v>0.623000361</v>
      </c>
      <c r="L158">
        <v>0.42866702800000001</v>
      </c>
      <c r="M158" s="21">
        <v>-0.89680725800000005</v>
      </c>
      <c r="N158">
        <v>1.6319101789999999</v>
      </c>
    </row>
    <row r="159" spans="1:14" x14ac:dyDescent="0.2">
      <c r="A159" t="s">
        <v>246</v>
      </c>
      <c r="B159">
        <v>668760</v>
      </c>
      <c r="C159" t="s">
        <v>149</v>
      </c>
      <c r="D159" t="s">
        <v>246</v>
      </c>
      <c r="E159" t="s">
        <v>517</v>
      </c>
      <c r="G159" t="s">
        <v>518</v>
      </c>
      <c r="J159">
        <v>5.0381074159999999</v>
      </c>
      <c r="K159">
        <v>0.81312368999999995</v>
      </c>
      <c r="L159">
        <v>0.16969141800000001</v>
      </c>
      <c r="M159" s="21">
        <v>-0.89697927899999996</v>
      </c>
      <c r="N159">
        <v>1.631026439</v>
      </c>
    </row>
    <row r="160" spans="1:14" x14ac:dyDescent="0.2">
      <c r="A160" t="s">
        <v>519</v>
      </c>
      <c r="B160">
        <v>460440</v>
      </c>
      <c r="C160" t="s">
        <v>34</v>
      </c>
      <c r="D160" t="s">
        <v>519</v>
      </c>
      <c r="E160" t="s">
        <v>520</v>
      </c>
      <c r="G160" t="s">
        <v>521</v>
      </c>
      <c r="J160">
        <v>7.0544859390000001</v>
      </c>
      <c r="K160">
        <v>0.623000361</v>
      </c>
      <c r="L160">
        <v>0.42866702800000001</v>
      </c>
      <c r="M160" s="21">
        <v>-0.89765115399999995</v>
      </c>
      <c r="N160">
        <v>1.627574766</v>
      </c>
    </row>
    <row r="161" spans="1:14" x14ac:dyDescent="0.2">
      <c r="A161" t="s">
        <v>522</v>
      </c>
      <c r="B161">
        <v>622360</v>
      </c>
      <c r="C161" t="s">
        <v>100</v>
      </c>
      <c r="D161" t="s">
        <v>522</v>
      </c>
      <c r="E161" t="s">
        <v>523</v>
      </c>
      <c r="G161" t="s">
        <v>524</v>
      </c>
      <c r="J161">
        <v>5.9110743220000002</v>
      </c>
      <c r="K161">
        <v>0.71598987199999997</v>
      </c>
      <c r="L161">
        <v>0.29077365599999999</v>
      </c>
      <c r="M161" s="21">
        <v>-0.89977564700000001</v>
      </c>
      <c r="N161">
        <v>1.6166604529999999</v>
      </c>
    </row>
    <row r="162" spans="1:14" x14ac:dyDescent="0.2">
      <c r="A162" t="s">
        <v>52</v>
      </c>
      <c r="B162">
        <v>667160</v>
      </c>
      <c r="C162" t="s">
        <v>130</v>
      </c>
      <c r="D162" t="s">
        <v>53</v>
      </c>
      <c r="E162" t="s">
        <v>525</v>
      </c>
      <c r="G162" t="s">
        <v>526</v>
      </c>
      <c r="J162">
        <v>5.1222566499999997</v>
      </c>
      <c r="K162">
        <v>0.21422175600000001</v>
      </c>
      <c r="L162">
        <v>0.25354511400000002</v>
      </c>
      <c r="M162" s="21">
        <v>-0.89986868799999997</v>
      </c>
      <c r="N162">
        <v>1.616182464</v>
      </c>
    </row>
    <row r="163" spans="1:14" x14ac:dyDescent="0.2">
      <c r="A163" t="s">
        <v>169</v>
      </c>
      <c r="B163">
        <v>457400</v>
      </c>
      <c r="C163" t="s">
        <v>34</v>
      </c>
      <c r="D163" t="s">
        <v>169</v>
      </c>
      <c r="E163" t="s">
        <v>527</v>
      </c>
      <c r="G163" t="s">
        <v>528</v>
      </c>
      <c r="J163">
        <v>7.0544859390000001</v>
      </c>
      <c r="K163">
        <v>0.623000361</v>
      </c>
      <c r="L163">
        <v>0.42866702800000001</v>
      </c>
      <c r="M163" s="21">
        <v>-0.900323494</v>
      </c>
      <c r="N163">
        <v>1.613845958</v>
      </c>
    </row>
    <row r="164" spans="1:14" x14ac:dyDescent="0.2">
      <c r="A164" t="s">
        <v>529</v>
      </c>
      <c r="B164">
        <v>455520</v>
      </c>
      <c r="C164" t="s">
        <v>34</v>
      </c>
      <c r="D164" t="s">
        <v>529</v>
      </c>
      <c r="E164" t="s">
        <v>530</v>
      </c>
      <c r="G164" t="s">
        <v>531</v>
      </c>
      <c r="J164">
        <v>7.0544859390000001</v>
      </c>
      <c r="K164">
        <v>0.623000361</v>
      </c>
      <c r="L164">
        <v>0.42866702800000001</v>
      </c>
      <c r="M164" s="21">
        <v>-0.90197612500000002</v>
      </c>
      <c r="N164">
        <v>1.6053557730000001</v>
      </c>
    </row>
    <row r="165" spans="1:14" x14ac:dyDescent="0.2">
      <c r="A165" t="s">
        <v>18</v>
      </c>
      <c r="B165">
        <v>663280</v>
      </c>
      <c r="C165" t="s">
        <v>149</v>
      </c>
      <c r="D165" t="s">
        <v>19</v>
      </c>
      <c r="E165" t="s">
        <v>532</v>
      </c>
      <c r="G165" t="s">
        <v>533</v>
      </c>
      <c r="J165">
        <v>5.0381074159999999</v>
      </c>
      <c r="K165">
        <v>0.81312368999999995</v>
      </c>
      <c r="L165">
        <v>0.16969141800000001</v>
      </c>
      <c r="M165" s="21">
        <v>-0.90204617499999995</v>
      </c>
      <c r="N165">
        <v>1.604995897</v>
      </c>
    </row>
    <row r="166" spans="1:14" x14ac:dyDescent="0.2">
      <c r="A166" t="s">
        <v>534</v>
      </c>
      <c r="B166">
        <v>530280</v>
      </c>
      <c r="C166" t="s">
        <v>68</v>
      </c>
      <c r="D166" t="s">
        <v>534</v>
      </c>
      <c r="E166" t="s">
        <v>535</v>
      </c>
      <c r="G166" t="s">
        <v>536</v>
      </c>
      <c r="J166">
        <v>6.4561903559999996</v>
      </c>
      <c r="K166">
        <v>0.47291064100000002</v>
      </c>
      <c r="L166">
        <v>0.34414126499999997</v>
      </c>
      <c r="M166" s="21">
        <v>-0.90237604800000004</v>
      </c>
      <c r="N166">
        <v>1.6033012179999999</v>
      </c>
    </row>
    <row r="167" spans="1:14" x14ac:dyDescent="0.2">
      <c r="A167" t="s">
        <v>537</v>
      </c>
      <c r="B167">
        <v>454680</v>
      </c>
      <c r="C167" t="s">
        <v>34</v>
      </c>
      <c r="D167" t="s">
        <v>538</v>
      </c>
      <c r="E167" t="s">
        <v>539</v>
      </c>
      <c r="G167" t="s">
        <v>540</v>
      </c>
      <c r="J167">
        <v>7.0544859390000001</v>
      </c>
      <c r="K167">
        <v>0.623000361</v>
      </c>
      <c r="L167">
        <v>0.42866702800000001</v>
      </c>
      <c r="M167" s="21">
        <v>-0.90271453400000001</v>
      </c>
      <c r="N167">
        <v>1.6015622869999999</v>
      </c>
    </row>
    <row r="168" spans="1:14" x14ac:dyDescent="0.2">
      <c r="A168" t="s">
        <v>541</v>
      </c>
      <c r="B168">
        <v>494120</v>
      </c>
      <c r="C168" t="s">
        <v>28</v>
      </c>
      <c r="D168" t="s">
        <v>542</v>
      </c>
      <c r="E168" t="s">
        <v>543</v>
      </c>
      <c r="G168" t="s">
        <v>544</v>
      </c>
      <c r="J168">
        <v>5.8462906840000004</v>
      </c>
      <c r="K168">
        <v>0.60615847</v>
      </c>
      <c r="L168">
        <v>0.28550877299999999</v>
      </c>
      <c r="M168" s="21">
        <v>-0.90292962600000004</v>
      </c>
      <c r="N168">
        <v>1.600457282</v>
      </c>
    </row>
    <row r="169" spans="1:14" x14ac:dyDescent="0.2">
      <c r="A169" t="s">
        <v>225</v>
      </c>
      <c r="B169">
        <v>453720</v>
      </c>
      <c r="C169" t="s">
        <v>34</v>
      </c>
      <c r="D169" t="s">
        <v>225</v>
      </c>
      <c r="E169" t="s">
        <v>545</v>
      </c>
      <c r="G169" t="s">
        <v>546</v>
      </c>
      <c r="J169">
        <v>7.0544859390000001</v>
      </c>
      <c r="K169">
        <v>0.623000361</v>
      </c>
      <c r="L169">
        <v>0.42866702800000001</v>
      </c>
      <c r="M169" s="21">
        <v>-0.903558431</v>
      </c>
      <c r="N169">
        <v>1.597226874</v>
      </c>
    </row>
    <row r="170" spans="1:14" x14ac:dyDescent="0.2">
      <c r="A170" t="s">
        <v>547</v>
      </c>
      <c r="B170">
        <v>492760</v>
      </c>
      <c r="C170" t="s">
        <v>28</v>
      </c>
      <c r="D170" t="s">
        <v>548</v>
      </c>
      <c r="E170" t="s">
        <v>549</v>
      </c>
      <c r="G170" t="s">
        <v>550</v>
      </c>
      <c r="J170">
        <v>5.8462906840000004</v>
      </c>
      <c r="K170">
        <v>0.60615847</v>
      </c>
      <c r="L170">
        <v>0.28550877299999999</v>
      </c>
      <c r="M170" s="21">
        <v>-0.90415745000000003</v>
      </c>
      <c r="N170">
        <v>1.5941494869999999</v>
      </c>
    </row>
    <row r="171" spans="1:14" x14ac:dyDescent="0.2">
      <c r="A171" t="s">
        <v>551</v>
      </c>
      <c r="B171">
        <v>452640</v>
      </c>
      <c r="C171" t="s">
        <v>34</v>
      </c>
      <c r="D171" t="s">
        <v>551</v>
      </c>
      <c r="J171">
        <v>7.0544859390000001</v>
      </c>
      <c r="K171">
        <v>0.623000361</v>
      </c>
      <c r="L171">
        <v>0.42866702800000001</v>
      </c>
      <c r="M171" s="21">
        <v>-0.90450781499999999</v>
      </c>
      <c r="N171">
        <v>1.592349534</v>
      </c>
    </row>
    <row r="172" spans="1:14" x14ac:dyDescent="0.2">
      <c r="A172" t="s">
        <v>369</v>
      </c>
      <c r="B172">
        <v>658680</v>
      </c>
      <c r="C172" t="s">
        <v>149</v>
      </c>
      <c r="D172" t="s">
        <v>369</v>
      </c>
      <c r="E172" t="s">
        <v>552</v>
      </c>
      <c r="G172" t="s">
        <v>553</v>
      </c>
      <c r="J172">
        <v>5.0381074159999999</v>
      </c>
      <c r="K172">
        <v>0.81312368999999995</v>
      </c>
      <c r="L172">
        <v>0.16969141800000001</v>
      </c>
      <c r="M172" s="21">
        <v>-0.90629940899999994</v>
      </c>
      <c r="N172">
        <v>1.583145443</v>
      </c>
    </row>
    <row r="173" spans="1:14" x14ac:dyDescent="0.2">
      <c r="A173" t="s">
        <v>554</v>
      </c>
      <c r="B173">
        <v>489880</v>
      </c>
      <c r="C173" t="s">
        <v>28</v>
      </c>
      <c r="D173" t="s">
        <v>555</v>
      </c>
      <c r="E173" t="s">
        <v>556</v>
      </c>
      <c r="G173" t="s">
        <v>557</v>
      </c>
      <c r="J173">
        <v>5.8462906840000004</v>
      </c>
      <c r="K173">
        <v>0.60615847</v>
      </c>
      <c r="L173">
        <v>0.28550877299999999</v>
      </c>
      <c r="M173" s="21">
        <v>-0.90675755000000002</v>
      </c>
      <c r="N173">
        <v>1.5807918030000001</v>
      </c>
    </row>
    <row r="174" spans="1:14" x14ac:dyDescent="0.2">
      <c r="A174" t="s">
        <v>385</v>
      </c>
      <c r="B174">
        <v>625320</v>
      </c>
      <c r="C174" t="s">
        <v>58</v>
      </c>
      <c r="D174" t="s">
        <v>386</v>
      </c>
      <c r="E174" t="s">
        <v>558</v>
      </c>
      <c r="G174" t="s">
        <v>559</v>
      </c>
      <c r="J174">
        <v>4.5363847230000003</v>
      </c>
      <c r="K174">
        <v>0.245646371</v>
      </c>
      <c r="L174">
        <v>7.5242279999999995E-2</v>
      </c>
      <c r="M174" s="21">
        <v>-0.90675911899999995</v>
      </c>
      <c r="N174">
        <v>1.5807837419999999</v>
      </c>
    </row>
    <row r="175" spans="1:14" x14ac:dyDescent="0.2">
      <c r="A175" t="s">
        <v>560</v>
      </c>
      <c r="B175">
        <v>525080</v>
      </c>
      <c r="C175" t="s">
        <v>68</v>
      </c>
      <c r="D175" t="s">
        <v>560</v>
      </c>
      <c r="E175" t="s">
        <v>561</v>
      </c>
      <c r="G175" t="s">
        <v>562</v>
      </c>
      <c r="J175">
        <v>6.4561903559999996</v>
      </c>
      <c r="K175">
        <v>0.47291064100000002</v>
      </c>
      <c r="L175">
        <v>0.34414126499999997</v>
      </c>
      <c r="M175" s="21">
        <v>-0.90740472100000003</v>
      </c>
      <c r="N175">
        <v>1.5774670420000001</v>
      </c>
    </row>
    <row r="176" spans="1:14" x14ac:dyDescent="0.2">
      <c r="A176" t="s">
        <v>563</v>
      </c>
      <c r="B176">
        <v>448520</v>
      </c>
      <c r="C176" t="s">
        <v>34</v>
      </c>
      <c r="D176" t="s">
        <v>564</v>
      </c>
      <c r="J176">
        <v>7.0544859390000001</v>
      </c>
      <c r="K176">
        <v>0.623000361</v>
      </c>
      <c r="L176">
        <v>0.42866702800000001</v>
      </c>
      <c r="M176" s="21">
        <v>-0.90812953799999996</v>
      </c>
      <c r="N176">
        <v>1.573743385</v>
      </c>
    </row>
    <row r="177" spans="1:14" x14ac:dyDescent="0.2">
      <c r="A177" t="s">
        <v>165</v>
      </c>
      <c r="B177">
        <v>523920</v>
      </c>
      <c r="C177" t="s">
        <v>68</v>
      </c>
      <c r="D177" t="s">
        <v>166</v>
      </c>
      <c r="E177" t="s">
        <v>565</v>
      </c>
      <c r="G177" t="s">
        <v>566</v>
      </c>
      <c r="J177">
        <v>6.4561903559999996</v>
      </c>
      <c r="K177">
        <v>0.47291064100000002</v>
      </c>
      <c r="L177">
        <v>0.34414126499999997</v>
      </c>
      <c r="M177" s="21">
        <v>-0.90852650199999996</v>
      </c>
      <c r="N177">
        <v>1.5717040330000001</v>
      </c>
    </row>
    <row r="178" spans="1:14" x14ac:dyDescent="0.2">
      <c r="A178" t="s">
        <v>567</v>
      </c>
      <c r="B178">
        <v>523360</v>
      </c>
      <c r="C178" t="s">
        <v>68</v>
      </c>
      <c r="D178" t="s">
        <v>567</v>
      </c>
      <c r="E178" t="s">
        <v>568</v>
      </c>
      <c r="G178" t="s">
        <v>569</v>
      </c>
      <c r="J178">
        <v>6.4561903559999996</v>
      </c>
      <c r="K178">
        <v>0.47291064100000002</v>
      </c>
      <c r="L178">
        <v>0.34414126499999997</v>
      </c>
      <c r="M178" s="21">
        <v>-0.90906805099999999</v>
      </c>
      <c r="N178">
        <v>1.568921891</v>
      </c>
    </row>
    <row r="179" spans="1:14" x14ac:dyDescent="0.2">
      <c r="A179" t="s">
        <v>207</v>
      </c>
      <c r="B179">
        <v>446080</v>
      </c>
      <c r="C179" t="s">
        <v>34</v>
      </c>
      <c r="D179" t="s">
        <v>207</v>
      </c>
      <c r="E179" t="s">
        <v>570</v>
      </c>
      <c r="G179" t="s">
        <v>571</v>
      </c>
      <c r="J179">
        <v>7.0544859390000001</v>
      </c>
      <c r="K179">
        <v>0.623000361</v>
      </c>
      <c r="L179">
        <v>0.42866702800000001</v>
      </c>
      <c r="M179" s="21">
        <v>-0.91027444199999996</v>
      </c>
      <c r="N179">
        <v>1.5627242100000001</v>
      </c>
    </row>
    <row r="180" spans="1:14" x14ac:dyDescent="0.2">
      <c r="A180" t="s">
        <v>572</v>
      </c>
      <c r="B180">
        <v>512280</v>
      </c>
      <c r="C180" t="s">
        <v>84</v>
      </c>
      <c r="D180" t="s">
        <v>572</v>
      </c>
      <c r="E180" t="s">
        <v>573</v>
      </c>
      <c r="J180">
        <v>3.600219579</v>
      </c>
      <c r="K180">
        <v>-0.293098474</v>
      </c>
      <c r="L180">
        <v>-0.153917466</v>
      </c>
      <c r="M180" s="21">
        <v>-0.91038192699999998</v>
      </c>
      <c r="N180">
        <v>1.56217202</v>
      </c>
    </row>
    <row r="181" spans="1:14" x14ac:dyDescent="0.2">
      <c r="A181" t="s">
        <v>574</v>
      </c>
      <c r="B181">
        <v>485400</v>
      </c>
      <c r="C181" t="s">
        <v>28</v>
      </c>
      <c r="D181" t="s">
        <v>574</v>
      </c>
      <c r="E181" t="s">
        <v>575</v>
      </c>
      <c r="G181" t="s">
        <v>576</v>
      </c>
      <c r="J181">
        <v>5.8462906840000004</v>
      </c>
      <c r="K181">
        <v>0.60615847</v>
      </c>
      <c r="L181">
        <v>0.28550877299999999</v>
      </c>
      <c r="M181" s="21">
        <v>-0.91080214900000001</v>
      </c>
      <c r="N181">
        <v>1.5600131850000001</v>
      </c>
    </row>
    <row r="182" spans="1:14" x14ac:dyDescent="0.2">
      <c r="A182" t="s">
        <v>577</v>
      </c>
      <c r="B182">
        <v>621080</v>
      </c>
      <c r="C182" t="s">
        <v>58</v>
      </c>
      <c r="D182" t="s">
        <v>578</v>
      </c>
      <c r="E182" t="s">
        <v>579</v>
      </c>
      <c r="G182" t="s">
        <v>580</v>
      </c>
      <c r="J182">
        <v>4.5363847230000003</v>
      </c>
      <c r="K182">
        <v>0.245646371</v>
      </c>
      <c r="L182">
        <v>7.5242279999999995E-2</v>
      </c>
      <c r="M182" s="21">
        <v>-0.91085379899999996</v>
      </c>
      <c r="N182">
        <v>1.5597478389999999</v>
      </c>
    </row>
    <row r="183" spans="1:14" x14ac:dyDescent="0.2">
      <c r="A183" t="s">
        <v>198</v>
      </c>
      <c r="B183">
        <v>485320</v>
      </c>
      <c r="C183" t="s">
        <v>28</v>
      </c>
      <c r="D183" t="s">
        <v>199</v>
      </c>
      <c r="E183" t="s">
        <v>581</v>
      </c>
      <c r="G183" t="s">
        <v>582</v>
      </c>
      <c r="J183">
        <v>5.8462906840000004</v>
      </c>
      <c r="K183">
        <v>0.60615847</v>
      </c>
      <c r="L183">
        <v>0.28550877299999999</v>
      </c>
      <c r="M183" s="21">
        <v>-0.91087437400000004</v>
      </c>
      <c r="N183">
        <v>1.5596421380000001</v>
      </c>
    </row>
    <row r="184" spans="1:14" x14ac:dyDescent="0.2">
      <c r="A184" t="s">
        <v>583</v>
      </c>
      <c r="B184">
        <v>444920</v>
      </c>
      <c r="C184" t="s">
        <v>34</v>
      </c>
      <c r="D184" t="s">
        <v>583</v>
      </c>
      <c r="E184" t="s">
        <v>584</v>
      </c>
      <c r="G184" t="s">
        <v>585</v>
      </c>
      <c r="J184">
        <v>7.0544859390000001</v>
      </c>
      <c r="K184">
        <v>0.623000361</v>
      </c>
      <c r="L184">
        <v>0.42866702800000001</v>
      </c>
      <c r="M184" s="21">
        <v>-0.911294151</v>
      </c>
      <c r="N184">
        <v>1.5574855860000001</v>
      </c>
    </row>
    <row r="185" spans="1:14" x14ac:dyDescent="0.2">
      <c r="A185" t="s">
        <v>560</v>
      </c>
      <c r="B185">
        <v>609560</v>
      </c>
      <c r="C185" t="s">
        <v>100</v>
      </c>
      <c r="D185" t="s">
        <v>560</v>
      </c>
      <c r="E185" t="s">
        <v>586</v>
      </c>
      <c r="G185" t="s">
        <v>587</v>
      </c>
      <c r="J185">
        <v>5.9110743220000002</v>
      </c>
      <c r="K185">
        <v>0.71598987199999997</v>
      </c>
      <c r="L185">
        <v>0.29077365599999999</v>
      </c>
      <c r="M185" s="21">
        <v>-0.91248237899999995</v>
      </c>
      <c r="N185">
        <v>1.551381211</v>
      </c>
    </row>
    <row r="186" spans="1:14" x14ac:dyDescent="0.2">
      <c r="A186" t="s">
        <v>470</v>
      </c>
      <c r="B186">
        <v>614600</v>
      </c>
      <c r="C186" t="s">
        <v>14</v>
      </c>
      <c r="D186" t="s">
        <v>470</v>
      </c>
      <c r="E186" t="s">
        <v>588</v>
      </c>
      <c r="G186" t="s">
        <v>589</v>
      </c>
      <c r="J186">
        <v>6.7484204910000001</v>
      </c>
      <c r="K186">
        <v>0.48629166299999999</v>
      </c>
      <c r="L186">
        <v>0.375053939</v>
      </c>
      <c r="M186" s="21">
        <v>-0.91255040300000001</v>
      </c>
      <c r="N186">
        <v>1.5510317469999999</v>
      </c>
    </row>
    <row r="187" spans="1:14" x14ac:dyDescent="0.2">
      <c r="A187" t="s">
        <v>405</v>
      </c>
      <c r="B187">
        <v>519040</v>
      </c>
      <c r="C187" t="s">
        <v>68</v>
      </c>
      <c r="D187" t="s">
        <v>405</v>
      </c>
      <c r="E187" t="s">
        <v>590</v>
      </c>
      <c r="G187" t="s">
        <v>591</v>
      </c>
      <c r="J187">
        <v>6.4561903559999996</v>
      </c>
      <c r="K187">
        <v>0.47291064100000002</v>
      </c>
      <c r="L187">
        <v>0.34414126499999997</v>
      </c>
      <c r="M187" s="21">
        <v>-0.91324571799999998</v>
      </c>
      <c r="N187">
        <v>1.547459653</v>
      </c>
    </row>
    <row r="188" spans="1:14" x14ac:dyDescent="0.2">
      <c r="A188" t="s">
        <v>592</v>
      </c>
      <c r="B188">
        <v>650160</v>
      </c>
      <c r="C188" t="s">
        <v>130</v>
      </c>
      <c r="D188" t="s">
        <v>593</v>
      </c>
      <c r="E188" t="s">
        <v>594</v>
      </c>
      <c r="G188" t="s">
        <v>595</v>
      </c>
      <c r="J188">
        <v>5.1222566499999997</v>
      </c>
      <c r="K188">
        <v>0.21422175600000001</v>
      </c>
      <c r="L188">
        <v>0.25354511400000002</v>
      </c>
      <c r="M188" s="21">
        <v>-0.91339779600000004</v>
      </c>
      <c r="N188">
        <v>1.5466783749999999</v>
      </c>
    </row>
    <row r="189" spans="1:14" x14ac:dyDescent="0.2">
      <c r="A189" t="s">
        <v>195</v>
      </c>
      <c r="B189">
        <v>518400</v>
      </c>
      <c r="C189" t="s">
        <v>68</v>
      </c>
      <c r="D189" t="s">
        <v>195</v>
      </c>
      <c r="E189" t="s">
        <v>596</v>
      </c>
      <c r="G189" t="s">
        <v>597</v>
      </c>
      <c r="J189">
        <v>6.4561903559999996</v>
      </c>
      <c r="K189">
        <v>0.47291064100000002</v>
      </c>
      <c r="L189">
        <v>0.34414126499999997</v>
      </c>
      <c r="M189" s="21">
        <v>-0.91386463200000001</v>
      </c>
      <c r="N189">
        <v>1.5442800619999999</v>
      </c>
    </row>
    <row r="190" spans="1:14" x14ac:dyDescent="0.2">
      <c r="A190" t="s">
        <v>598</v>
      </c>
      <c r="B190">
        <v>517560</v>
      </c>
      <c r="C190" t="s">
        <v>68</v>
      </c>
      <c r="D190" t="s">
        <v>598</v>
      </c>
      <c r="E190" t="s">
        <v>599</v>
      </c>
      <c r="G190" t="s">
        <v>600</v>
      </c>
      <c r="J190">
        <v>6.4561903559999996</v>
      </c>
      <c r="K190">
        <v>0.47291064100000002</v>
      </c>
      <c r="L190">
        <v>0.34414126499999997</v>
      </c>
      <c r="M190" s="21">
        <v>-0.91467695599999999</v>
      </c>
      <c r="N190">
        <v>1.5401068490000001</v>
      </c>
    </row>
    <row r="191" spans="1:14" x14ac:dyDescent="0.2">
      <c r="A191" t="s">
        <v>598</v>
      </c>
      <c r="B191">
        <v>479960</v>
      </c>
      <c r="C191" t="s">
        <v>28</v>
      </c>
      <c r="D191" t="s">
        <v>598</v>
      </c>
      <c r="E191" t="s">
        <v>601</v>
      </c>
      <c r="G191" t="s">
        <v>602</v>
      </c>
      <c r="J191">
        <v>5.8462906840000004</v>
      </c>
      <c r="K191">
        <v>0.60615847</v>
      </c>
      <c r="L191">
        <v>0.28550877299999999</v>
      </c>
      <c r="M191" s="21">
        <v>-0.91571344700000001</v>
      </c>
      <c r="N191">
        <v>1.5347820050000001</v>
      </c>
    </row>
    <row r="192" spans="1:14" x14ac:dyDescent="0.2">
      <c r="A192" t="s">
        <v>603</v>
      </c>
      <c r="B192">
        <v>439880</v>
      </c>
      <c r="C192" t="s">
        <v>34</v>
      </c>
      <c r="D192" t="s">
        <v>604</v>
      </c>
      <c r="E192" t="s">
        <v>605</v>
      </c>
      <c r="G192" t="s">
        <v>606</v>
      </c>
      <c r="J192">
        <v>7.0544859390000001</v>
      </c>
      <c r="K192">
        <v>0.623000361</v>
      </c>
      <c r="L192">
        <v>0.42866702800000001</v>
      </c>
      <c r="M192" s="21">
        <v>-0.915724608</v>
      </c>
      <c r="N192">
        <v>1.5347246670000001</v>
      </c>
    </row>
    <row r="193" spans="1:14" x14ac:dyDescent="0.2">
      <c r="A193" t="s">
        <v>607</v>
      </c>
      <c r="B193">
        <v>479680</v>
      </c>
      <c r="C193" t="s">
        <v>28</v>
      </c>
      <c r="D193" t="s">
        <v>607</v>
      </c>
      <c r="E193" t="s">
        <v>608</v>
      </c>
      <c r="G193" t="s">
        <v>609</v>
      </c>
      <c r="J193">
        <v>5.8462906840000004</v>
      </c>
      <c r="K193">
        <v>0.60615847</v>
      </c>
      <c r="L193">
        <v>0.28550877299999999</v>
      </c>
      <c r="M193" s="21">
        <v>-0.91596623499999996</v>
      </c>
      <c r="N193">
        <v>1.5334833409999999</v>
      </c>
    </row>
    <row r="194" spans="1:14" x14ac:dyDescent="0.2">
      <c r="A194" t="s">
        <v>337</v>
      </c>
      <c r="B194">
        <v>439600</v>
      </c>
      <c r="C194" t="s">
        <v>34</v>
      </c>
      <c r="D194" t="s">
        <v>337</v>
      </c>
      <c r="J194">
        <v>7.0544859390000001</v>
      </c>
      <c r="K194">
        <v>0.623000361</v>
      </c>
      <c r="L194">
        <v>0.42866702800000001</v>
      </c>
      <c r="M194" s="21">
        <v>-0.91597074499999998</v>
      </c>
      <c r="N194">
        <v>1.533460171</v>
      </c>
    </row>
    <row r="195" spans="1:14" x14ac:dyDescent="0.2">
      <c r="A195" t="s">
        <v>438</v>
      </c>
      <c r="B195">
        <v>438880</v>
      </c>
      <c r="C195" t="s">
        <v>34</v>
      </c>
      <c r="D195" t="s">
        <v>438</v>
      </c>
      <c r="J195">
        <v>7.0544859390000001</v>
      </c>
      <c r="K195">
        <v>0.623000361</v>
      </c>
      <c r="L195">
        <v>0.42866702800000001</v>
      </c>
      <c r="M195" s="21">
        <v>-0.91660366699999996</v>
      </c>
      <c r="N195">
        <v>1.5302086109999999</v>
      </c>
    </row>
    <row r="196" spans="1:14" x14ac:dyDescent="0.2">
      <c r="A196" t="s">
        <v>610</v>
      </c>
      <c r="B196">
        <v>605080</v>
      </c>
      <c r="C196" t="s">
        <v>100</v>
      </c>
      <c r="D196" t="s">
        <v>611</v>
      </c>
      <c r="E196" t="s">
        <v>612</v>
      </c>
      <c r="G196" t="s">
        <v>613</v>
      </c>
      <c r="J196">
        <v>5.9110743220000002</v>
      </c>
      <c r="K196">
        <v>0.71598987199999997</v>
      </c>
      <c r="L196">
        <v>0.29077365599999999</v>
      </c>
      <c r="M196" s="21">
        <v>-0.91692973600000005</v>
      </c>
      <c r="N196">
        <v>1.528533476</v>
      </c>
    </row>
    <row r="197" spans="1:14" x14ac:dyDescent="0.2">
      <c r="A197" t="s">
        <v>300</v>
      </c>
      <c r="B197">
        <v>644640</v>
      </c>
      <c r="C197" t="s">
        <v>130</v>
      </c>
      <c r="D197" t="s">
        <v>300</v>
      </c>
      <c r="E197" t="s">
        <v>614</v>
      </c>
      <c r="G197" t="s">
        <v>615</v>
      </c>
      <c r="J197">
        <v>5.1222566499999997</v>
      </c>
      <c r="K197">
        <v>0.21422175600000001</v>
      </c>
      <c r="L197">
        <v>0.25354511400000002</v>
      </c>
      <c r="M197" s="21">
        <v>-0.91779077600000003</v>
      </c>
      <c r="N197">
        <v>1.5241099890000001</v>
      </c>
    </row>
    <row r="198" spans="1:14" x14ac:dyDescent="0.2">
      <c r="A198" t="s">
        <v>616</v>
      </c>
      <c r="B198">
        <v>437120</v>
      </c>
      <c r="C198" t="s">
        <v>34</v>
      </c>
      <c r="D198" t="s">
        <v>616</v>
      </c>
      <c r="E198" t="s">
        <v>617</v>
      </c>
      <c r="G198" t="s">
        <v>618</v>
      </c>
      <c r="J198">
        <v>7.0544859390000001</v>
      </c>
      <c r="K198">
        <v>0.623000361</v>
      </c>
      <c r="L198">
        <v>0.42866702800000001</v>
      </c>
      <c r="M198" s="21">
        <v>-0.91815081099999996</v>
      </c>
      <c r="N198">
        <v>1.5222603539999999</v>
      </c>
    </row>
    <row r="199" spans="1:14" x14ac:dyDescent="0.2">
      <c r="A199" t="s">
        <v>619</v>
      </c>
      <c r="B199">
        <v>477160</v>
      </c>
      <c r="C199" t="s">
        <v>28</v>
      </c>
      <c r="D199" t="s">
        <v>619</v>
      </c>
      <c r="E199" t="s">
        <v>620</v>
      </c>
      <c r="G199" t="s">
        <v>621</v>
      </c>
      <c r="J199">
        <v>5.8462906840000004</v>
      </c>
      <c r="K199">
        <v>0.60615847</v>
      </c>
      <c r="L199">
        <v>0.28550877299999999</v>
      </c>
      <c r="M199" s="21">
        <v>-0.91824132199999997</v>
      </c>
      <c r="N199">
        <v>1.521795368</v>
      </c>
    </row>
    <row r="200" spans="1:14" x14ac:dyDescent="0.2">
      <c r="A200" t="s">
        <v>622</v>
      </c>
      <c r="B200">
        <v>601960</v>
      </c>
      <c r="C200" t="s">
        <v>100</v>
      </c>
      <c r="D200" t="s">
        <v>622</v>
      </c>
      <c r="E200" t="s">
        <v>623</v>
      </c>
      <c r="G200" t="s">
        <v>624</v>
      </c>
      <c r="J200">
        <v>5.9110743220000002</v>
      </c>
      <c r="K200">
        <v>0.71598987199999997</v>
      </c>
      <c r="L200">
        <v>0.29077365599999999</v>
      </c>
      <c r="M200" s="21">
        <v>-0.92002700199999998</v>
      </c>
      <c r="N200">
        <v>1.5126216610000001</v>
      </c>
    </row>
    <row r="201" spans="1:14" x14ac:dyDescent="0.2">
      <c r="A201" t="s">
        <v>625</v>
      </c>
      <c r="B201">
        <v>434680</v>
      </c>
      <c r="C201" t="s">
        <v>34</v>
      </c>
      <c r="D201" t="s">
        <v>625</v>
      </c>
      <c r="J201">
        <v>7.0544859390000001</v>
      </c>
      <c r="K201">
        <v>0.623000361</v>
      </c>
      <c r="L201">
        <v>0.42866702800000001</v>
      </c>
      <c r="M201" s="21">
        <v>-0.92029571499999996</v>
      </c>
      <c r="N201">
        <v>1.511241179</v>
      </c>
    </row>
    <row r="202" spans="1:14" x14ac:dyDescent="0.2">
      <c r="A202" t="s">
        <v>94</v>
      </c>
      <c r="B202">
        <v>510960</v>
      </c>
      <c r="C202" t="s">
        <v>68</v>
      </c>
      <c r="D202" t="s">
        <v>95</v>
      </c>
      <c r="E202" t="s">
        <v>626</v>
      </c>
      <c r="G202" t="s">
        <v>627</v>
      </c>
      <c r="J202">
        <v>6.4561903559999996</v>
      </c>
      <c r="K202">
        <v>0.47291064100000002</v>
      </c>
      <c r="L202">
        <v>0.34414126499999997</v>
      </c>
      <c r="M202" s="21">
        <v>-0.92105950299999995</v>
      </c>
      <c r="N202">
        <v>1.507317317</v>
      </c>
    </row>
    <row r="203" spans="1:14" x14ac:dyDescent="0.2">
      <c r="A203" t="s">
        <v>280</v>
      </c>
      <c r="B203">
        <v>473800</v>
      </c>
      <c r="C203" t="s">
        <v>28</v>
      </c>
      <c r="D203" t="s">
        <v>280</v>
      </c>
      <c r="E203" t="s">
        <v>628</v>
      </c>
      <c r="G203" t="s">
        <v>629</v>
      </c>
      <c r="J203">
        <v>5.8462906840000004</v>
      </c>
      <c r="K203">
        <v>0.60615847</v>
      </c>
      <c r="L203">
        <v>0.28550877299999999</v>
      </c>
      <c r="M203" s="21">
        <v>-0.92127477099999999</v>
      </c>
      <c r="N203">
        <v>1.5062114040000001</v>
      </c>
    </row>
    <row r="204" spans="1:14" x14ac:dyDescent="0.2">
      <c r="A204" t="s">
        <v>202</v>
      </c>
      <c r="B204">
        <v>510640</v>
      </c>
      <c r="C204" t="s">
        <v>68</v>
      </c>
      <c r="D204" t="s">
        <v>202</v>
      </c>
      <c r="E204" t="s">
        <v>630</v>
      </c>
      <c r="G204" t="s">
        <v>631</v>
      </c>
      <c r="J204">
        <v>6.4561903559999996</v>
      </c>
      <c r="K204">
        <v>0.47291064100000002</v>
      </c>
      <c r="L204">
        <v>0.34414126499999997</v>
      </c>
      <c r="M204" s="21">
        <v>-0.92136896000000001</v>
      </c>
      <c r="N204">
        <v>1.5057275219999999</v>
      </c>
    </row>
    <row r="205" spans="1:14" x14ac:dyDescent="0.2">
      <c r="A205" t="s">
        <v>632</v>
      </c>
      <c r="B205">
        <v>470880</v>
      </c>
      <c r="C205" t="s">
        <v>28</v>
      </c>
      <c r="D205" t="s">
        <v>632</v>
      </c>
      <c r="E205" t="s">
        <v>633</v>
      </c>
      <c r="G205" t="s">
        <v>634</v>
      </c>
      <c r="J205">
        <v>5.8462906840000004</v>
      </c>
      <c r="K205">
        <v>0.60615847</v>
      </c>
      <c r="L205">
        <v>0.28550877299999999</v>
      </c>
      <c r="M205" s="21">
        <v>-0.92391098299999996</v>
      </c>
      <c r="N205">
        <v>1.492668197</v>
      </c>
    </row>
    <row r="206" spans="1:14" x14ac:dyDescent="0.2">
      <c r="A206" t="s">
        <v>165</v>
      </c>
      <c r="B206">
        <v>469560</v>
      </c>
      <c r="C206" t="s">
        <v>28</v>
      </c>
      <c r="D206" t="s">
        <v>166</v>
      </c>
      <c r="E206" t="s">
        <v>635</v>
      </c>
      <c r="G206" t="s">
        <v>636</v>
      </c>
      <c r="J206">
        <v>5.8462906840000004</v>
      </c>
      <c r="K206">
        <v>0.60615847</v>
      </c>
      <c r="L206">
        <v>0.28550877299999999</v>
      </c>
      <c r="M206" s="21">
        <v>-0.92510269499999997</v>
      </c>
      <c r="N206">
        <v>1.486545926</v>
      </c>
    </row>
    <row r="207" spans="1:14" x14ac:dyDescent="0.2">
      <c r="A207" t="s">
        <v>637</v>
      </c>
      <c r="B207">
        <v>428720</v>
      </c>
      <c r="C207" t="s">
        <v>34</v>
      </c>
      <c r="D207" t="s">
        <v>637</v>
      </c>
      <c r="E207" t="s">
        <v>638</v>
      </c>
      <c r="G207" t="s">
        <v>639</v>
      </c>
      <c r="J207">
        <v>7.0544859390000001</v>
      </c>
      <c r="K207">
        <v>0.623000361</v>
      </c>
      <c r="L207">
        <v>0.42866702800000001</v>
      </c>
      <c r="M207" s="21">
        <v>-0.92553490699999996</v>
      </c>
      <c r="N207">
        <v>1.4843254880000001</v>
      </c>
    </row>
    <row r="208" spans="1:14" x14ac:dyDescent="0.2">
      <c r="A208" t="s">
        <v>89</v>
      </c>
      <c r="B208">
        <v>427720</v>
      </c>
      <c r="C208" t="s">
        <v>34</v>
      </c>
      <c r="D208" t="s">
        <v>90</v>
      </c>
      <c r="E208" t="s">
        <v>640</v>
      </c>
      <c r="G208" t="s">
        <v>641</v>
      </c>
      <c r="J208">
        <v>7.0544859390000001</v>
      </c>
      <c r="K208">
        <v>0.623000361</v>
      </c>
      <c r="L208">
        <v>0.42866702800000001</v>
      </c>
      <c r="M208" s="21">
        <v>-0.92641396600000003</v>
      </c>
      <c r="N208">
        <v>1.479809433</v>
      </c>
    </row>
    <row r="209" spans="1:14" x14ac:dyDescent="0.2">
      <c r="A209" t="s">
        <v>239</v>
      </c>
      <c r="B209">
        <v>464800</v>
      </c>
      <c r="C209" t="s">
        <v>28</v>
      </c>
      <c r="D209" t="s">
        <v>240</v>
      </c>
      <c r="E209" t="s">
        <v>642</v>
      </c>
      <c r="G209" t="s">
        <v>643</v>
      </c>
      <c r="J209">
        <v>5.8462906840000004</v>
      </c>
      <c r="K209">
        <v>0.60615847</v>
      </c>
      <c r="L209">
        <v>0.28550877299999999</v>
      </c>
      <c r="M209" s="21">
        <v>-0.92940008100000004</v>
      </c>
      <c r="N209">
        <v>1.4644686440000001</v>
      </c>
    </row>
    <row r="210" spans="1:14" x14ac:dyDescent="0.2">
      <c r="A210" t="s">
        <v>644</v>
      </c>
      <c r="B210">
        <v>424200</v>
      </c>
      <c r="C210" t="s">
        <v>34</v>
      </c>
      <c r="D210" t="s">
        <v>644</v>
      </c>
      <c r="J210">
        <v>7.0544859390000001</v>
      </c>
      <c r="K210">
        <v>0.623000361</v>
      </c>
      <c r="L210">
        <v>0.42866702800000001</v>
      </c>
      <c r="M210" s="21">
        <v>-0.92950825400000003</v>
      </c>
      <c r="N210">
        <v>1.4639129179999999</v>
      </c>
    </row>
    <row r="211" spans="1:14" x14ac:dyDescent="0.2">
      <c r="A211" t="s">
        <v>645</v>
      </c>
      <c r="B211">
        <v>592400</v>
      </c>
      <c r="C211" t="s">
        <v>100</v>
      </c>
      <c r="D211" t="s">
        <v>645</v>
      </c>
      <c r="E211" t="s">
        <v>646</v>
      </c>
      <c r="G211" t="s">
        <v>647</v>
      </c>
      <c r="J211">
        <v>5.9110743220000002</v>
      </c>
      <c r="K211">
        <v>0.71598987199999997</v>
      </c>
      <c r="L211">
        <v>0.29077365599999999</v>
      </c>
      <c r="M211" s="21">
        <v>-0.929517343</v>
      </c>
      <c r="N211">
        <v>1.4638662280000001</v>
      </c>
    </row>
    <row r="212" spans="1:14" x14ac:dyDescent="0.2">
      <c r="A212" t="s">
        <v>129</v>
      </c>
      <c r="B212">
        <v>423640</v>
      </c>
      <c r="C212" t="s">
        <v>34</v>
      </c>
      <c r="D212" t="s">
        <v>129</v>
      </c>
      <c r="E212" t="s">
        <v>648</v>
      </c>
      <c r="G212" t="s">
        <v>649</v>
      </c>
      <c r="J212">
        <v>7.0544859390000001</v>
      </c>
      <c r="K212">
        <v>0.623000361</v>
      </c>
      <c r="L212">
        <v>0.42866702800000001</v>
      </c>
      <c r="M212" s="21">
        <v>-0.93000052700000002</v>
      </c>
      <c r="N212">
        <v>1.461383927</v>
      </c>
    </row>
    <row r="213" spans="1:14" x14ac:dyDescent="0.2">
      <c r="A213" t="s">
        <v>650</v>
      </c>
      <c r="B213">
        <v>597600</v>
      </c>
      <c r="C213" t="s">
        <v>14</v>
      </c>
      <c r="D213" t="s">
        <v>651</v>
      </c>
      <c r="E213" t="s">
        <v>652</v>
      </c>
      <c r="G213" t="s">
        <v>653</v>
      </c>
      <c r="J213">
        <v>6.7484204910000001</v>
      </c>
      <c r="K213">
        <v>0.48629166299999999</v>
      </c>
      <c r="L213">
        <v>0.375053939</v>
      </c>
      <c r="M213" s="21">
        <v>-0.93117768199999995</v>
      </c>
      <c r="N213">
        <v>1.455336441</v>
      </c>
    </row>
    <row r="214" spans="1:14" x14ac:dyDescent="0.2">
      <c r="A214" t="s">
        <v>158</v>
      </c>
      <c r="B214">
        <v>421080</v>
      </c>
      <c r="C214" t="s">
        <v>34</v>
      </c>
      <c r="D214" t="s">
        <v>158</v>
      </c>
      <c r="E214" t="s">
        <v>654</v>
      </c>
      <c r="G214" t="s">
        <v>655</v>
      </c>
      <c r="J214">
        <v>7.0544859390000001</v>
      </c>
      <c r="K214">
        <v>0.623000361</v>
      </c>
      <c r="L214">
        <v>0.42866702800000001</v>
      </c>
      <c r="M214" s="21">
        <v>-0.93225091900000001</v>
      </c>
      <c r="N214">
        <v>1.449822825</v>
      </c>
    </row>
    <row r="215" spans="1:14" x14ac:dyDescent="0.2">
      <c r="A215" t="s">
        <v>656</v>
      </c>
      <c r="B215">
        <v>461320</v>
      </c>
      <c r="C215" t="s">
        <v>28</v>
      </c>
      <c r="D215" t="s">
        <v>656</v>
      </c>
      <c r="E215" t="s">
        <v>657</v>
      </c>
      <c r="G215" t="s">
        <v>658</v>
      </c>
      <c r="J215">
        <v>5.8462906840000004</v>
      </c>
      <c r="K215">
        <v>0.60615847</v>
      </c>
      <c r="L215">
        <v>0.28550877299999999</v>
      </c>
      <c r="M215" s="21">
        <v>-0.93254186800000005</v>
      </c>
      <c r="N215">
        <v>1.448328109</v>
      </c>
    </row>
    <row r="216" spans="1:14" x14ac:dyDescent="0.2">
      <c r="A216" t="s">
        <v>198</v>
      </c>
      <c r="B216">
        <v>598480</v>
      </c>
      <c r="C216" t="s">
        <v>58</v>
      </c>
      <c r="D216" t="s">
        <v>199</v>
      </c>
      <c r="E216" t="s">
        <v>659</v>
      </c>
      <c r="G216" t="s">
        <v>660</v>
      </c>
      <c r="J216">
        <v>4.5363847230000003</v>
      </c>
      <c r="K216">
        <v>0.245646371</v>
      </c>
      <c r="L216">
        <v>7.5242279999999995E-2</v>
      </c>
      <c r="M216" s="21">
        <v>-0.93267921499999995</v>
      </c>
      <c r="N216">
        <v>1.447622508</v>
      </c>
    </row>
    <row r="217" spans="1:14" x14ac:dyDescent="0.2">
      <c r="A217" t="s">
        <v>345</v>
      </c>
      <c r="B217">
        <v>498840</v>
      </c>
      <c r="C217" t="s">
        <v>68</v>
      </c>
      <c r="D217" t="s">
        <v>345</v>
      </c>
      <c r="E217" t="s">
        <v>661</v>
      </c>
      <c r="G217" t="s">
        <v>662</v>
      </c>
      <c r="J217">
        <v>6.4561903559999996</v>
      </c>
      <c r="K217">
        <v>0.47291064100000002</v>
      </c>
      <c r="L217">
        <v>0.34414126499999997</v>
      </c>
      <c r="M217" s="21">
        <v>-0.93278017899999999</v>
      </c>
      <c r="N217">
        <v>1.447103815</v>
      </c>
    </row>
    <row r="218" spans="1:14" x14ac:dyDescent="0.2">
      <c r="A218" t="s">
        <v>663</v>
      </c>
      <c r="B218">
        <v>498320</v>
      </c>
      <c r="C218" t="s">
        <v>68</v>
      </c>
      <c r="D218" t="s">
        <v>663</v>
      </c>
      <c r="E218" t="s">
        <v>664</v>
      </c>
      <c r="G218" t="s">
        <v>665</v>
      </c>
      <c r="J218">
        <v>6.4561903559999996</v>
      </c>
      <c r="K218">
        <v>0.47291064100000002</v>
      </c>
      <c r="L218">
        <v>0.34414126499999997</v>
      </c>
      <c r="M218" s="21">
        <v>-0.93328304699999998</v>
      </c>
      <c r="N218">
        <v>1.444520397</v>
      </c>
    </row>
    <row r="219" spans="1:14" x14ac:dyDescent="0.2">
      <c r="A219" t="s">
        <v>232</v>
      </c>
      <c r="B219">
        <v>494760</v>
      </c>
      <c r="C219" t="s">
        <v>84</v>
      </c>
      <c r="D219" t="s">
        <v>233</v>
      </c>
      <c r="E219" t="s">
        <v>666</v>
      </c>
      <c r="G219" t="s">
        <v>667</v>
      </c>
      <c r="J219">
        <v>3.600219579</v>
      </c>
      <c r="K219">
        <v>-0.293098474</v>
      </c>
      <c r="L219">
        <v>-0.153917466</v>
      </c>
      <c r="M219" s="21">
        <v>-0.93331326400000003</v>
      </c>
      <c r="N219">
        <v>1.444365159</v>
      </c>
    </row>
    <row r="220" spans="1:14" x14ac:dyDescent="0.2">
      <c r="A220" t="s">
        <v>668</v>
      </c>
      <c r="B220">
        <v>419760</v>
      </c>
      <c r="C220" t="s">
        <v>34</v>
      </c>
      <c r="D220" t="s">
        <v>668</v>
      </c>
      <c r="E220" t="s">
        <v>669</v>
      </c>
      <c r="G220" t="s">
        <v>670</v>
      </c>
      <c r="J220">
        <v>7.0544859390000001</v>
      </c>
      <c r="K220">
        <v>0.623000361</v>
      </c>
      <c r="L220">
        <v>0.42866702800000001</v>
      </c>
      <c r="M220" s="21">
        <v>-0.93341127700000004</v>
      </c>
      <c r="N220">
        <v>1.443861632</v>
      </c>
    </row>
    <row r="221" spans="1:14" x14ac:dyDescent="0.2">
      <c r="A221" t="s">
        <v>671</v>
      </c>
      <c r="B221">
        <v>419280</v>
      </c>
      <c r="C221" t="s">
        <v>34</v>
      </c>
      <c r="D221" t="s">
        <v>672</v>
      </c>
      <c r="E221" t="s">
        <v>673</v>
      </c>
      <c r="G221" t="s">
        <v>674</v>
      </c>
      <c r="J221">
        <v>7.0544859390000001</v>
      </c>
      <c r="K221">
        <v>0.623000361</v>
      </c>
      <c r="L221">
        <v>0.42866702800000001</v>
      </c>
      <c r="M221" s="21">
        <v>-0.93383322499999999</v>
      </c>
      <c r="N221">
        <v>1.441693925</v>
      </c>
    </row>
    <row r="222" spans="1:14" x14ac:dyDescent="0.2">
      <c r="A222" t="s">
        <v>348</v>
      </c>
      <c r="B222">
        <v>597200</v>
      </c>
      <c r="C222" t="s">
        <v>58</v>
      </c>
      <c r="D222" t="s">
        <v>349</v>
      </c>
      <c r="E222" t="s">
        <v>675</v>
      </c>
      <c r="G222" t="s">
        <v>676</v>
      </c>
      <c r="J222">
        <v>4.5363847230000003</v>
      </c>
      <c r="K222">
        <v>0.245646371</v>
      </c>
      <c r="L222">
        <v>7.5242279999999995E-2</v>
      </c>
      <c r="M222" s="21">
        <v>-0.93391534399999998</v>
      </c>
      <c r="N222">
        <v>1.441272047</v>
      </c>
    </row>
    <row r="223" spans="1:14" x14ac:dyDescent="0.2">
      <c r="A223" t="s">
        <v>221</v>
      </c>
      <c r="B223">
        <v>459760</v>
      </c>
      <c r="C223" t="s">
        <v>28</v>
      </c>
      <c r="D223" t="s">
        <v>221</v>
      </c>
      <c r="E223" t="s">
        <v>677</v>
      </c>
      <c r="G223" t="s">
        <v>678</v>
      </c>
      <c r="J223">
        <v>5.8462906840000004</v>
      </c>
      <c r="K223">
        <v>0.60615847</v>
      </c>
      <c r="L223">
        <v>0.28550877299999999</v>
      </c>
      <c r="M223" s="21">
        <v>-0.93395025499999995</v>
      </c>
      <c r="N223">
        <v>1.4410926980000001</v>
      </c>
    </row>
    <row r="224" spans="1:14" x14ac:dyDescent="0.2">
      <c r="A224" t="s">
        <v>124</v>
      </c>
      <c r="B224">
        <v>418120</v>
      </c>
      <c r="C224" t="s">
        <v>34</v>
      </c>
      <c r="D224" t="s">
        <v>125</v>
      </c>
      <c r="E224" t="s">
        <v>679</v>
      </c>
      <c r="G224" t="s">
        <v>680</v>
      </c>
      <c r="J224">
        <v>7.0544859390000001</v>
      </c>
      <c r="K224">
        <v>0.623000361</v>
      </c>
      <c r="L224">
        <v>0.42866702800000001</v>
      </c>
      <c r="M224" s="21">
        <v>-0.93485293300000005</v>
      </c>
      <c r="N224">
        <v>1.4364553010000001</v>
      </c>
    </row>
    <row r="225" spans="1:14" x14ac:dyDescent="0.2">
      <c r="A225" t="s">
        <v>681</v>
      </c>
      <c r="B225">
        <v>458560</v>
      </c>
      <c r="C225" t="s">
        <v>28</v>
      </c>
      <c r="D225" t="s">
        <v>682</v>
      </c>
      <c r="E225" t="s">
        <v>683</v>
      </c>
      <c r="G225" t="s">
        <v>684</v>
      </c>
      <c r="J225">
        <v>5.8462906840000004</v>
      </c>
      <c r="K225">
        <v>0.60615847</v>
      </c>
      <c r="L225">
        <v>0.28550877299999999</v>
      </c>
      <c r="M225" s="21">
        <v>-0.93503362999999995</v>
      </c>
      <c r="N225">
        <v>1.4355269960000001</v>
      </c>
    </row>
    <row r="226" spans="1:14" x14ac:dyDescent="0.2">
      <c r="A226" t="s">
        <v>577</v>
      </c>
      <c r="B226">
        <v>417800</v>
      </c>
      <c r="C226" t="s">
        <v>34</v>
      </c>
      <c r="D226" t="s">
        <v>578</v>
      </c>
      <c r="E226" t="s">
        <v>685</v>
      </c>
      <c r="G226" t="s">
        <v>686</v>
      </c>
      <c r="J226">
        <v>7.0544859390000001</v>
      </c>
      <c r="K226">
        <v>0.623000361</v>
      </c>
      <c r="L226">
        <v>0.42866702800000001</v>
      </c>
      <c r="M226" s="21">
        <v>-0.93513423200000001</v>
      </c>
      <c r="N226">
        <v>1.4350101630000001</v>
      </c>
    </row>
    <row r="227" spans="1:14" x14ac:dyDescent="0.2">
      <c r="A227" t="s">
        <v>687</v>
      </c>
      <c r="B227">
        <v>417560</v>
      </c>
      <c r="C227" t="s">
        <v>34</v>
      </c>
      <c r="D227" t="s">
        <v>688</v>
      </c>
      <c r="J227">
        <v>7.0544859390000001</v>
      </c>
      <c r="K227">
        <v>0.623000361</v>
      </c>
      <c r="L227">
        <v>0.42866702800000001</v>
      </c>
      <c r="M227" s="21">
        <v>-0.93534520600000004</v>
      </c>
      <c r="N227">
        <v>1.4339263099999999</v>
      </c>
    </row>
    <row r="228" spans="1:14" x14ac:dyDescent="0.2">
      <c r="A228" t="s">
        <v>689</v>
      </c>
      <c r="B228">
        <v>627120</v>
      </c>
      <c r="C228" t="s">
        <v>149</v>
      </c>
      <c r="D228" t="s">
        <v>690</v>
      </c>
      <c r="E228" t="s">
        <v>691</v>
      </c>
      <c r="G228" t="s">
        <v>692</v>
      </c>
      <c r="J228">
        <v>5.0381074159999999</v>
      </c>
      <c r="K228">
        <v>0.81312368999999995</v>
      </c>
      <c r="L228">
        <v>0.16969141800000001</v>
      </c>
      <c r="M228" s="21">
        <v>-0.93548029200000005</v>
      </c>
      <c r="N228">
        <v>1.4332323259999999</v>
      </c>
    </row>
    <row r="229" spans="1:14" x14ac:dyDescent="0.2">
      <c r="A229" t="s">
        <v>693</v>
      </c>
      <c r="B229">
        <v>457360</v>
      </c>
      <c r="C229" t="s">
        <v>28</v>
      </c>
      <c r="D229" t="s">
        <v>693</v>
      </c>
      <c r="E229" t="s">
        <v>694</v>
      </c>
      <c r="G229" t="s">
        <v>695</v>
      </c>
      <c r="J229">
        <v>5.8462906840000004</v>
      </c>
      <c r="K229">
        <v>0.60615847</v>
      </c>
      <c r="L229">
        <v>0.28550877299999999</v>
      </c>
      <c r="M229" s="21">
        <v>-0.93611700399999997</v>
      </c>
      <c r="N229">
        <v>1.429961295</v>
      </c>
    </row>
    <row r="230" spans="1:14" x14ac:dyDescent="0.2">
      <c r="A230" t="s">
        <v>507</v>
      </c>
      <c r="B230">
        <v>492520</v>
      </c>
      <c r="C230" t="s">
        <v>84</v>
      </c>
      <c r="D230" t="s">
        <v>508</v>
      </c>
      <c r="E230" t="s">
        <v>696</v>
      </c>
      <c r="J230">
        <v>3.600219579</v>
      </c>
      <c r="K230">
        <v>-0.293098474</v>
      </c>
      <c r="L230">
        <v>-0.153917466</v>
      </c>
      <c r="M230" s="21">
        <v>-0.93624512400000004</v>
      </c>
      <c r="N230">
        <v>1.429303094</v>
      </c>
    </row>
    <row r="231" spans="1:14" x14ac:dyDescent="0.2">
      <c r="A231" t="s">
        <v>697</v>
      </c>
      <c r="B231">
        <v>594720</v>
      </c>
      <c r="C231" t="s">
        <v>58</v>
      </c>
      <c r="D231" t="s">
        <v>698</v>
      </c>
      <c r="E231" t="s">
        <v>699</v>
      </c>
      <c r="G231" t="s">
        <v>700</v>
      </c>
      <c r="J231">
        <v>4.5363847230000003</v>
      </c>
      <c r="K231">
        <v>0.245646371</v>
      </c>
      <c r="L231">
        <v>7.5242279999999995E-2</v>
      </c>
      <c r="M231" s="21">
        <v>-0.93631034599999996</v>
      </c>
      <c r="N231">
        <v>1.4289680279999999</v>
      </c>
    </row>
    <row r="232" spans="1:14" x14ac:dyDescent="0.2">
      <c r="A232" t="s">
        <v>63</v>
      </c>
      <c r="B232">
        <v>620720</v>
      </c>
      <c r="C232" t="s">
        <v>130</v>
      </c>
      <c r="D232" t="s">
        <v>63</v>
      </c>
      <c r="E232" t="s">
        <v>701</v>
      </c>
      <c r="G232" t="s">
        <v>702</v>
      </c>
      <c r="J232">
        <v>5.1222566499999997</v>
      </c>
      <c r="K232">
        <v>0.21422175600000001</v>
      </c>
      <c r="L232">
        <v>0.25354511400000002</v>
      </c>
      <c r="M232" s="21">
        <v>-0.93682702600000001</v>
      </c>
      <c r="N232">
        <v>1.4263136460000001</v>
      </c>
    </row>
    <row r="233" spans="1:14" x14ac:dyDescent="0.2">
      <c r="A233" t="s">
        <v>703</v>
      </c>
      <c r="B233">
        <v>415760</v>
      </c>
      <c r="C233" t="s">
        <v>34</v>
      </c>
      <c r="D233" t="s">
        <v>704</v>
      </c>
      <c r="E233" t="s">
        <v>705</v>
      </c>
      <c r="G233" t="s">
        <v>706</v>
      </c>
      <c r="J233">
        <v>7.0544859390000001</v>
      </c>
      <c r="K233">
        <v>0.623000361</v>
      </c>
      <c r="L233">
        <v>0.42866702800000001</v>
      </c>
      <c r="M233" s="21">
        <v>-0.93692751299999999</v>
      </c>
      <c r="N233">
        <v>1.4257974099999999</v>
      </c>
    </row>
    <row r="234" spans="1:14" x14ac:dyDescent="0.2">
      <c r="A234" t="s">
        <v>610</v>
      </c>
      <c r="B234">
        <v>494160</v>
      </c>
      <c r="C234" t="s">
        <v>68</v>
      </c>
      <c r="D234" t="s">
        <v>611</v>
      </c>
      <c r="E234" t="s">
        <v>707</v>
      </c>
      <c r="G234" t="s">
        <v>708</v>
      </c>
      <c r="J234">
        <v>6.4561903559999996</v>
      </c>
      <c r="K234">
        <v>0.47291064100000002</v>
      </c>
      <c r="L234">
        <v>0.34414126499999997</v>
      </c>
      <c r="M234" s="21">
        <v>-0.93730598499999995</v>
      </c>
      <c r="N234">
        <v>1.423853056</v>
      </c>
    </row>
    <row r="235" spans="1:14" x14ac:dyDescent="0.2">
      <c r="A235" t="s">
        <v>709</v>
      </c>
      <c r="B235">
        <v>584480</v>
      </c>
      <c r="C235" t="s">
        <v>100</v>
      </c>
      <c r="D235" t="s">
        <v>709</v>
      </c>
      <c r="E235" t="s">
        <v>710</v>
      </c>
      <c r="G235" t="s">
        <v>711</v>
      </c>
      <c r="J235">
        <v>5.9110743220000002</v>
      </c>
      <c r="K235">
        <v>0.71598987199999997</v>
      </c>
      <c r="L235">
        <v>0.29077365599999999</v>
      </c>
      <c r="M235" s="21">
        <v>-0.93737963300000005</v>
      </c>
      <c r="N235">
        <v>1.4234746970000001</v>
      </c>
    </row>
    <row r="236" spans="1:14" x14ac:dyDescent="0.2">
      <c r="A236" t="s">
        <v>202</v>
      </c>
      <c r="B236">
        <v>591840</v>
      </c>
      <c r="C236" t="s">
        <v>14</v>
      </c>
      <c r="D236" t="s">
        <v>202</v>
      </c>
      <c r="E236" t="s">
        <v>712</v>
      </c>
      <c r="G236" t="s">
        <v>713</v>
      </c>
      <c r="J236">
        <v>6.7484204910000001</v>
      </c>
      <c r="K236">
        <v>0.48629166299999999</v>
      </c>
      <c r="L236">
        <v>0.375053939</v>
      </c>
      <c r="M236" s="21">
        <v>-0.93748904300000002</v>
      </c>
      <c r="N236">
        <v>1.42291262</v>
      </c>
    </row>
    <row r="237" spans="1:14" x14ac:dyDescent="0.2">
      <c r="A237" t="s">
        <v>714</v>
      </c>
      <c r="B237">
        <v>413920</v>
      </c>
      <c r="C237" t="s">
        <v>34</v>
      </c>
      <c r="D237" t="s">
        <v>715</v>
      </c>
      <c r="E237" t="s">
        <v>716</v>
      </c>
      <c r="G237" t="s">
        <v>717</v>
      </c>
      <c r="J237">
        <v>7.0544859390000001</v>
      </c>
      <c r="K237">
        <v>0.623000361</v>
      </c>
      <c r="L237">
        <v>0.42866702800000001</v>
      </c>
      <c r="M237" s="21">
        <v>-0.93854498099999994</v>
      </c>
      <c r="N237">
        <v>1.417487868</v>
      </c>
    </row>
    <row r="238" spans="1:14" x14ac:dyDescent="0.2">
      <c r="A238" t="s">
        <v>718</v>
      </c>
      <c r="B238">
        <v>413880</v>
      </c>
      <c r="C238" t="s">
        <v>34</v>
      </c>
      <c r="D238" t="s">
        <v>718</v>
      </c>
      <c r="J238">
        <v>7.0544859390000001</v>
      </c>
      <c r="K238">
        <v>0.623000361</v>
      </c>
      <c r="L238">
        <v>0.42866702800000001</v>
      </c>
      <c r="M238" s="21">
        <v>-0.93858014400000001</v>
      </c>
      <c r="N238">
        <v>1.4173072259999999</v>
      </c>
    </row>
    <row r="239" spans="1:14" x14ac:dyDescent="0.2">
      <c r="A239" t="s">
        <v>129</v>
      </c>
      <c r="B239">
        <v>582720</v>
      </c>
      <c r="C239" t="s">
        <v>100</v>
      </c>
      <c r="D239" t="s">
        <v>129</v>
      </c>
      <c r="E239" t="s">
        <v>719</v>
      </c>
      <c r="G239" t="s">
        <v>720</v>
      </c>
      <c r="J239">
        <v>5.9110743220000002</v>
      </c>
      <c r="K239">
        <v>0.71598987199999997</v>
      </c>
      <c r="L239">
        <v>0.29077365599999999</v>
      </c>
      <c r="M239" s="21">
        <v>-0.93912680900000001</v>
      </c>
      <c r="N239">
        <v>1.4144988009999999</v>
      </c>
    </row>
    <row r="240" spans="1:14" x14ac:dyDescent="0.2">
      <c r="A240" t="s">
        <v>185</v>
      </c>
      <c r="B240">
        <v>582720</v>
      </c>
      <c r="C240" t="s">
        <v>100</v>
      </c>
      <c r="D240" t="s">
        <v>185</v>
      </c>
      <c r="E240" t="s">
        <v>721</v>
      </c>
      <c r="G240" t="s">
        <v>722</v>
      </c>
      <c r="J240">
        <v>5.9110743220000002</v>
      </c>
      <c r="K240">
        <v>0.71598987199999997</v>
      </c>
      <c r="L240">
        <v>0.29077365599999999</v>
      </c>
      <c r="M240" s="21">
        <v>-0.93912680900000001</v>
      </c>
      <c r="N240">
        <v>1.4144988009999999</v>
      </c>
    </row>
    <row r="241" spans="1:14" x14ac:dyDescent="0.2">
      <c r="A241" t="s">
        <v>283</v>
      </c>
      <c r="B241">
        <v>413200</v>
      </c>
      <c r="C241" t="s">
        <v>34</v>
      </c>
      <c r="D241" t="s">
        <v>284</v>
      </c>
      <c r="E241" t="s">
        <v>723</v>
      </c>
      <c r="G241" t="s">
        <v>724</v>
      </c>
      <c r="J241">
        <v>7.0544859390000001</v>
      </c>
      <c r="K241">
        <v>0.623000361</v>
      </c>
      <c r="L241">
        <v>0.42866702800000001</v>
      </c>
      <c r="M241" s="21">
        <v>-0.93917790400000001</v>
      </c>
      <c r="N241">
        <v>1.414236308</v>
      </c>
    </row>
    <row r="242" spans="1:14" x14ac:dyDescent="0.2">
      <c r="A242" t="s">
        <v>134</v>
      </c>
      <c r="B242">
        <v>491680</v>
      </c>
      <c r="C242" t="s">
        <v>68</v>
      </c>
      <c r="D242" t="s">
        <v>135</v>
      </c>
      <c r="E242" t="s">
        <v>725</v>
      </c>
      <c r="G242" t="s">
        <v>726</v>
      </c>
      <c r="J242">
        <v>6.4561903559999996</v>
      </c>
      <c r="K242">
        <v>0.47291064100000002</v>
      </c>
      <c r="L242">
        <v>0.34414126499999997</v>
      </c>
      <c r="M242" s="21">
        <v>-0.93970427499999998</v>
      </c>
      <c r="N242">
        <v>1.411532142</v>
      </c>
    </row>
    <row r="243" spans="1:14" x14ac:dyDescent="0.2">
      <c r="A243" t="s">
        <v>727</v>
      </c>
      <c r="B243">
        <v>588880</v>
      </c>
      <c r="C243" t="s">
        <v>14</v>
      </c>
      <c r="D243" t="s">
        <v>727</v>
      </c>
      <c r="E243" t="s">
        <v>728</v>
      </c>
      <c r="G243" t="s">
        <v>729</v>
      </c>
      <c r="J243">
        <v>6.7484204910000001</v>
      </c>
      <c r="K243">
        <v>0.48629166299999999</v>
      </c>
      <c r="L243">
        <v>0.375053939</v>
      </c>
      <c r="M243" s="21">
        <v>-0.94073238100000001</v>
      </c>
      <c r="N243">
        <v>1.4062503790000001</v>
      </c>
    </row>
    <row r="244" spans="1:14" x14ac:dyDescent="0.2">
      <c r="A244" t="s">
        <v>730</v>
      </c>
      <c r="B244">
        <v>490480</v>
      </c>
      <c r="C244" t="s">
        <v>68</v>
      </c>
      <c r="D244" t="s">
        <v>731</v>
      </c>
      <c r="E244" t="s">
        <v>732</v>
      </c>
      <c r="G244" t="s">
        <v>733</v>
      </c>
      <c r="J244">
        <v>6.4561903559999996</v>
      </c>
      <c r="K244">
        <v>0.47291064100000002</v>
      </c>
      <c r="L244">
        <v>0.34414126499999997</v>
      </c>
      <c r="M244" s="21">
        <v>-0.94086473800000003</v>
      </c>
      <c r="N244">
        <v>1.4055704090000001</v>
      </c>
    </row>
    <row r="245" spans="1:14" x14ac:dyDescent="0.2">
      <c r="A245" t="s">
        <v>727</v>
      </c>
      <c r="B245">
        <v>490440</v>
      </c>
      <c r="C245" t="s">
        <v>68</v>
      </c>
      <c r="D245" t="s">
        <v>727</v>
      </c>
      <c r="E245" t="s">
        <v>734</v>
      </c>
      <c r="G245" t="s">
        <v>735</v>
      </c>
      <c r="J245">
        <v>6.4561903559999996</v>
      </c>
      <c r="K245">
        <v>0.47291064100000002</v>
      </c>
      <c r="L245">
        <v>0.34414126499999997</v>
      </c>
      <c r="M245" s="21">
        <v>-0.94090342000000005</v>
      </c>
      <c r="N245">
        <v>1.4053716839999999</v>
      </c>
    </row>
    <row r="246" spans="1:14" x14ac:dyDescent="0.2">
      <c r="A246" t="s">
        <v>736</v>
      </c>
      <c r="B246">
        <v>450840</v>
      </c>
      <c r="C246" t="s">
        <v>28</v>
      </c>
      <c r="D246" t="s">
        <v>736</v>
      </c>
      <c r="E246" t="s">
        <v>737</v>
      </c>
      <c r="G246" t="s">
        <v>738</v>
      </c>
      <c r="J246">
        <v>5.8462906840000004</v>
      </c>
      <c r="K246">
        <v>0.60615847</v>
      </c>
      <c r="L246">
        <v>0.28550877299999999</v>
      </c>
      <c r="M246" s="21">
        <v>-0.94200333999999997</v>
      </c>
      <c r="N246">
        <v>1.399720984</v>
      </c>
    </row>
    <row r="247" spans="1:14" x14ac:dyDescent="0.2">
      <c r="A247" t="s">
        <v>431</v>
      </c>
      <c r="B247">
        <v>450280</v>
      </c>
      <c r="C247" t="s">
        <v>28</v>
      </c>
      <c r="D247" t="s">
        <v>432</v>
      </c>
      <c r="E247" t="s">
        <v>739</v>
      </c>
      <c r="G247" t="s">
        <v>740</v>
      </c>
      <c r="J247">
        <v>5.8462906840000004</v>
      </c>
      <c r="K247">
        <v>0.60615847</v>
      </c>
      <c r="L247">
        <v>0.28550877299999999</v>
      </c>
      <c r="M247" s="21">
        <v>-0.942508915</v>
      </c>
      <c r="N247">
        <v>1.397123656</v>
      </c>
    </row>
    <row r="248" spans="1:14" x14ac:dyDescent="0.2">
      <c r="A248" t="s">
        <v>741</v>
      </c>
      <c r="B248">
        <v>450280</v>
      </c>
      <c r="C248" t="s">
        <v>28</v>
      </c>
      <c r="D248" t="s">
        <v>741</v>
      </c>
      <c r="E248" t="s">
        <v>742</v>
      </c>
      <c r="G248" t="s">
        <v>743</v>
      </c>
      <c r="J248">
        <v>5.8462906840000004</v>
      </c>
      <c r="K248">
        <v>0.60615847</v>
      </c>
      <c r="L248">
        <v>0.28550877299999999</v>
      </c>
      <c r="M248" s="21">
        <v>-0.942508915</v>
      </c>
      <c r="N248">
        <v>1.397123656</v>
      </c>
    </row>
    <row r="249" spans="1:14" x14ac:dyDescent="0.2">
      <c r="A249" t="s">
        <v>23</v>
      </c>
      <c r="B249">
        <v>408880</v>
      </c>
      <c r="C249" t="s">
        <v>34</v>
      </c>
      <c r="D249" t="s">
        <v>23</v>
      </c>
      <c r="E249" t="s">
        <v>744</v>
      </c>
      <c r="G249" t="s">
        <v>745</v>
      </c>
      <c r="J249">
        <v>7.0544859390000001</v>
      </c>
      <c r="K249">
        <v>0.623000361</v>
      </c>
      <c r="L249">
        <v>0.42866702800000001</v>
      </c>
      <c r="M249" s="21">
        <v>-0.94297543900000003</v>
      </c>
      <c r="N249">
        <v>1.394726949</v>
      </c>
    </row>
    <row r="250" spans="1:14" x14ac:dyDescent="0.2">
      <c r="A250" t="s">
        <v>746</v>
      </c>
      <c r="B250">
        <v>408400</v>
      </c>
      <c r="C250" t="s">
        <v>34</v>
      </c>
      <c r="D250" t="s">
        <v>746</v>
      </c>
      <c r="E250" t="s">
        <v>747</v>
      </c>
      <c r="G250" t="s">
        <v>748</v>
      </c>
      <c r="J250">
        <v>7.0544859390000001</v>
      </c>
      <c r="K250">
        <v>0.623000361</v>
      </c>
      <c r="L250">
        <v>0.42866702800000001</v>
      </c>
      <c r="M250" s="21">
        <v>-0.94339738699999998</v>
      </c>
      <c r="N250">
        <v>1.3925592419999999</v>
      </c>
    </row>
    <row r="251" spans="1:14" x14ac:dyDescent="0.2">
      <c r="A251" t="s">
        <v>749</v>
      </c>
      <c r="B251">
        <v>485920</v>
      </c>
      <c r="C251" t="s">
        <v>84</v>
      </c>
      <c r="D251" t="s">
        <v>749</v>
      </c>
      <c r="E251" t="s">
        <v>750</v>
      </c>
      <c r="J251">
        <v>3.600219579</v>
      </c>
      <c r="K251">
        <v>-0.293098474</v>
      </c>
      <c r="L251">
        <v>-0.153917466</v>
      </c>
      <c r="M251" s="21">
        <v>-0.94488364199999997</v>
      </c>
      <c r="N251">
        <v>1.3849237969999999</v>
      </c>
    </row>
    <row r="252" spans="1:14" x14ac:dyDescent="0.2">
      <c r="A252" t="s">
        <v>106</v>
      </c>
      <c r="B252">
        <v>406480</v>
      </c>
      <c r="C252" t="s">
        <v>34</v>
      </c>
      <c r="D252" t="s">
        <v>107</v>
      </c>
      <c r="E252" t="s">
        <v>751</v>
      </c>
      <c r="G252" t="s">
        <v>752</v>
      </c>
      <c r="J252">
        <v>7.0544859390000001</v>
      </c>
      <c r="K252">
        <v>0.623000361</v>
      </c>
      <c r="L252">
        <v>0.42866702800000001</v>
      </c>
      <c r="M252" s="21">
        <v>-0.94508518100000005</v>
      </c>
      <c r="N252">
        <v>1.383888416</v>
      </c>
    </row>
    <row r="253" spans="1:14" x14ac:dyDescent="0.2">
      <c r="A253" t="s">
        <v>753</v>
      </c>
      <c r="B253">
        <v>484680</v>
      </c>
      <c r="C253" t="s">
        <v>68</v>
      </c>
      <c r="D253" t="s">
        <v>753</v>
      </c>
      <c r="E253" t="s">
        <v>754</v>
      </c>
      <c r="G253" t="s">
        <v>755</v>
      </c>
      <c r="J253">
        <v>6.4561903559999996</v>
      </c>
      <c r="K253">
        <v>0.47291064100000002</v>
      </c>
      <c r="L253">
        <v>0.34414126499999997</v>
      </c>
      <c r="M253" s="21">
        <v>-0.94647364300000003</v>
      </c>
      <c r="N253">
        <v>1.376755366</v>
      </c>
    </row>
    <row r="254" spans="1:14" x14ac:dyDescent="0.2">
      <c r="A254" t="s">
        <v>756</v>
      </c>
      <c r="B254">
        <v>582960</v>
      </c>
      <c r="C254" t="s">
        <v>58</v>
      </c>
      <c r="D254" t="s">
        <v>756</v>
      </c>
      <c r="E254" t="s">
        <v>757</v>
      </c>
      <c r="G254" t="s">
        <v>758</v>
      </c>
      <c r="J254">
        <v>4.5363847230000003</v>
      </c>
      <c r="K254">
        <v>0.245646371</v>
      </c>
      <c r="L254">
        <v>7.5242279999999995E-2</v>
      </c>
      <c r="M254" s="21">
        <v>-0.947667288</v>
      </c>
      <c r="N254">
        <v>1.370623165</v>
      </c>
    </row>
    <row r="255" spans="1:14" x14ac:dyDescent="0.2">
      <c r="A255" t="s">
        <v>759</v>
      </c>
      <c r="B255">
        <v>402480</v>
      </c>
      <c r="C255" t="s">
        <v>34</v>
      </c>
      <c r="D255" t="s">
        <v>760</v>
      </c>
      <c r="E255" t="s">
        <v>761</v>
      </c>
      <c r="G255" t="s">
        <v>762</v>
      </c>
      <c r="J255">
        <v>7.0544859390000001</v>
      </c>
      <c r="K255">
        <v>0.623000361</v>
      </c>
      <c r="L255">
        <v>0.42866702800000001</v>
      </c>
      <c r="M255" s="21">
        <v>-0.948601417</v>
      </c>
      <c r="N255">
        <v>1.365824194</v>
      </c>
    </row>
    <row r="256" spans="1:14" x14ac:dyDescent="0.2">
      <c r="A256" t="s">
        <v>283</v>
      </c>
      <c r="B256">
        <v>581680</v>
      </c>
      <c r="C256" t="s">
        <v>14</v>
      </c>
      <c r="D256" t="s">
        <v>284</v>
      </c>
      <c r="E256" t="s">
        <v>763</v>
      </c>
      <c r="G256" t="s">
        <v>764</v>
      </c>
      <c r="J256">
        <v>6.7484204910000001</v>
      </c>
      <c r="K256">
        <v>0.48629166299999999</v>
      </c>
      <c r="L256">
        <v>0.375053939</v>
      </c>
      <c r="M256" s="21">
        <v>-0.94862158100000005</v>
      </c>
      <c r="N256">
        <v>1.365720603</v>
      </c>
    </row>
    <row r="257" spans="1:14" x14ac:dyDescent="0.2">
      <c r="A257" t="s">
        <v>765</v>
      </c>
      <c r="B257">
        <v>580840</v>
      </c>
      <c r="C257" t="s">
        <v>58</v>
      </c>
      <c r="D257" t="s">
        <v>766</v>
      </c>
      <c r="E257" t="s">
        <v>767</v>
      </c>
      <c r="G257" t="s">
        <v>768</v>
      </c>
      <c r="J257">
        <v>4.5363847230000003</v>
      </c>
      <c r="K257">
        <v>0.245646371</v>
      </c>
      <c r="L257">
        <v>7.5242279999999995E-2</v>
      </c>
      <c r="M257" s="21">
        <v>-0.94971462799999995</v>
      </c>
      <c r="N257">
        <v>1.3601052140000001</v>
      </c>
    </row>
    <row r="258" spans="1:14" x14ac:dyDescent="0.2">
      <c r="A258" t="s">
        <v>769</v>
      </c>
      <c r="B258">
        <v>442160</v>
      </c>
      <c r="C258" t="s">
        <v>28</v>
      </c>
      <c r="D258" t="s">
        <v>769</v>
      </c>
      <c r="E258" t="s">
        <v>770</v>
      </c>
      <c r="G258" t="s">
        <v>771</v>
      </c>
      <c r="J258">
        <v>5.8462906840000004</v>
      </c>
      <c r="K258">
        <v>0.60615847</v>
      </c>
      <c r="L258">
        <v>0.28550877299999999</v>
      </c>
      <c r="M258" s="21">
        <v>-0.94983975099999995</v>
      </c>
      <c r="N258">
        <v>1.3594624099999999</v>
      </c>
    </row>
    <row r="259" spans="1:14" x14ac:dyDescent="0.2">
      <c r="A259" t="s">
        <v>772</v>
      </c>
      <c r="B259">
        <v>442160</v>
      </c>
      <c r="C259" t="s">
        <v>28</v>
      </c>
      <c r="D259" t="s">
        <v>772</v>
      </c>
      <c r="E259" t="s">
        <v>773</v>
      </c>
      <c r="G259" t="s">
        <v>774</v>
      </c>
      <c r="J259">
        <v>5.8462906840000004</v>
      </c>
      <c r="K259">
        <v>0.60615847</v>
      </c>
      <c r="L259">
        <v>0.28550877299999999</v>
      </c>
      <c r="M259" s="21">
        <v>-0.94983975099999995</v>
      </c>
      <c r="N259">
        <v>1.3594624099999999</v>
      </c>
    </row>
    <row r="260" spans="1:14" x14ac:dyDescent="0.2">
      <c r="A260" t="s">
        <v>775</v>
      </c>
      <c r="B260">
        <v>579960</v>
      </c>
      <c r="C260" t="s">
        <v>14</v>
      </c>
      <c r="D260" t="s">
        <v>776</v>
      </c>
      <c r="E260" t="s">
        <v>777</v>
      </c>
      <c r="G260" t="s">
        <v>778</v>
      </c>
      <c r="J260">
        <v>6.7484204910000001</v>
      </c>
      <c r="K260">
        <v>0.48629166299999999</v>
      </c>
      <c r="L260">
        <v>0.375053939</v>
      </c>
      <c r="M260" s="21">
        <v>-0.95050622399999996</v>
      </c>
      <c r="N260">
        <v>1.3560384889999999</v>
      </c>
    </row>
    <row r="261" spans="1:14" x14ac:dyDescent="0.2">
      <c r="A261" t="s">
        <v>779</v>
      </c>
      <c r="B261">
        <v>400240</v>
      </c>
      <c r="C261" t="s">
        <v>34</v>
      </c>
      <c r="D261" t="s">
        <v>780</v>
      </c>
      <c r="E261" t="s">
        <v>781</v>
      </c>
      <c r="G261" t="s">
        <v>782</v>
      </c>
      <c r="J261">
        <v>7.0544859390000001</v>
      </c>
      <c r="K261">
        <v>0.623000361</v>
      </c>
      <c r="L261">
        <v>0.42866702800000001</v>
      </c>
      <c r="M261" s="21">
        <v>-0.95057050899999995</v>
      </c>
      <c r="N261">
        <v>1.3557082300000001</v>
      </c>
    </row>
    <row r="262" spans="1:14" x14ac:dyDescent="0.2">
      <c r="A262" t="s">
        <v>158</v>
      </c>
      <c r="B262">
        <v>579600</v>
      </c>
      <c r="C262" t="s">
        <v>14</v>
      </c>
      <c r="D262" t="s">
        <v>158</v>
      </c>
      <c r="E262" t="s">
        <v>783</v>
      </c>
      <c r="G262" t="s">
        <v>784</v>
      </c>
      <c r="J262">
        <v>6.7484204910000001</v>
      </c>
      <c r="K262">
        <v>0.48629166299999999</v>
      </c>
      <c r="L262">
        <v>0.375053939</v>
      </c>
      <c r="M262" s="21">
        <v>-0.95090068400000005</v>
      </c>
      <c r="N262">
        <v>1.3540120010000001</v>
      </c>
    </row>
    <row r="263" spans="1:14" x14ac:dyDescent="0.2">
      <c r="A263" t="s">
        <v>598</v>
      </c>
      <c r="B263">
        <v>579440</v>
      </c>
      <c r="C263" t="s">
        <v>58</v>
      </c>
      <c r="D263" t="s">
        <v>598</v>
      </c>
      <c r="E263" t="s">
        <v>785</v>
      </c>
      <c r="G263" t="s">
        <v>786</v>
      </c>
      <c r="J263">
        <v>4.5363847230000003</v>
      </c>
      <c r="K263">
        <v>0.245646371</v>
      </c>
      <c r="L263">
        <v>7.5242279999999995E-2</v>
      </c>
      <c r="M263" s="21">
        <v>-0.95106664500000004</v>
      </c>
      <c r="N263">
        <v>1.353159397</v>
      </c>
    </row>
    <row r="264" spans="1:14" x14ac:dyDescent="0.2">
      <c r="A264" t="s">
        <v>246</v>
      </c>
      <c r="B264">
        <v>480880</v>
      </c>
      <c r="C264" t="s">
        <v>84</v>
      </c>
      <c r="D264" t="s">
        <v>246</v>
      </c>
      <c r="E264" t="s">
        <v>787</v>
      </c>
      <c r="J264">
        <v>3.600219579</v>
      </c>
      <c r="K264">
        <v>-0.293098474</v>
      </c>
      <c r="L264">
        <v>-0.153917466</v>
      </c>
      <c r="M264" s="21">
        <v>-0.95148032800000004</v>
      </c>
      <c r="N264">
        <v>1.351034152</v>
      </c>
    </row>
    <row r="265" spans="1:14" x14ac:dyDescent="0.2">
      <c r="A265" t="s">
        <v>788</v>
      </c>
      <c r="B265">
        <v>479960</v>
      </c>
      <c r="C265" t="s">
        <v>84</v>
      </c>
      <c r="D265" t="s">
        <v>788</v>
      </c>
      <c r="E265" t="s">
        <v>789</v>
      </c>
      <c r="J265">
        <v>3.600219579</v>
      </c>
      <c r="K265">
        <v>-0.293098474</v>
      </c>
      <c r="L265">
        <v>-0.153917466</v>
      </c>
      <c r="M265" s="21">
        <v>-0.95268448500000003</v>
      </c>
      <c r="N265">
        <v>1.3448479470000001</v>
      </c>
    </row>
    <row r="266" spans="1:14" x14ac:dyDescent="0.2">
      <c r="A266" t="s">
        <v>448</v>
      </c>
      <c r="B266">
        <v>478200</v>
      </c>
      <c r="C266" t="s">
        <v>68</v>
      </c>
      <c r="D266" t="s">
        <v>448</v>
      </c>
      <c r="E266" t="s">
        <v>790</v>
      </c>
      <c r="G266" t="s">
        <v>791</v>
      </c>
      <c r="J266">
        <v>6.4561903559999996</v>
      </c>
      <c r="K266">
        <v>0.47291064100000002</v>
      </c>
      <c r="L266">
        <v>0.34414126499999997</v>
      </c>
      <c r="M266" s="21">
        <v>-0.95274014299999998</v>
      </c>
      <c r="N266">
        <v>1.344562008</v>
      </c>
    </row>
    <row r="267" spans="1:14" x14ac:dyDescent="0.2">
      <c r="A267" t="s">
        <v>792</v>
      </c>
      <c r="B267">
        <v>477440</v>
      </c>
      <c r="C267" t="s">
        <v>68</v>
      </c>
      <c r="D267" t="s">
        <v>793</v>
      </c>
      <c r="E267" t="s">
        <v>794</v>
      </c>
      <c r="G267" t="s">
        <v>795</v>
      </c>
      <c r="J267">
        <v>6.4561903559999996</v>
      </c>
      <c r="K267">
        <v>0.47291064100000002</v>
      </c>
      <c r="L267">
        <v>0.34414126499999997</v>
      </c>
      <c r="M267" s="21">
        <v>-0.95347510300000005</v>
      </c>
      <c r="N267">
        <v>1.340786244</v>
      </c>
    </row>
    <row r="268" spans="1:14" x14ac:dyDescent="0.2">
      <c r="A268" t="s">
        <v>796</v>
      </c>
      <c r="B268">
        <v>576200</v>
      </c>
      <c r="C268" t="s">
        <v>14</v>
      </c>
      <c r="D268" t="s">
        <v>796</v>
      </c>
      <c r="E268" t="s">
        <v>797</v>
      </c>
      <c r="G268" t="s">
        <v>798</v>
      </c>
      <c r="J268">
        <v>6.7484204910000001</v>
      </c>
      <c r="K268">
        <v>0.48629166299999999</v>
      </c>
      <c r="L268">
        <v>0.375053939</v>
      </c>
      <c r="M268" s="21">
        <v>-0.95462614000000001</v>
      </c>
      <c r="N268">
        <v>1.3348729399999999</v>
      </c>
    </row>
    <row r="269" spans="1:14" x14ac:dyDescent="0.2">
      <c r="A269" t="s">
        <v>23</v>
      </c>
      <c r="B269">
        <v>474560</v>
      </c>
      <c r="C269" t="s">
        <v>68</v>
      </c>
      <c r="D269" t="s">
        <v>23</v>
      </c>
      <c r="E269" t="s">
        <v>799</v>
      </c>
      <c r="G269" t="s">
        <v>800</v>
      </c>
      <c r="J269">
        <v>6.4561903559999996</v>
      </c>
      <c r="K269">
        <v>0.47291064100000002</v>
      </c>
      <c r="L269">
        <v>0.34414126499999997</v>
      </c>
      <c r="M269" s="21">
        <v>-0.95626021400000005</v>
      </c>
      <c r="N269">
        <v>1.326478085</v>
      </c>
    </row>
    <row r="270" spans="1:14" x14ac:dyDescent="0.2">
      <c r="A270" t="s">
        <v>801</v>
      </c>
      <c r="B270">
        <v>565440</v>
      </c>
      <c r="C270" t="s">
        <v>100</v>
      </c>
      <c r="D270" t="s">
        <v>801</v>
      </c>
      <c r="E270" t="s">
        <v>802</v>
      </c>
      <c r="G270" t="s">
        <v>803</v>
      </c>
      <c r="J270">
        <v>5.9110743220000002</v>
      </c>
      <c r="K270">
        <v>0.71598987199999997</v>
      </c>
      <c r="L270">
        <v>0.29077365599999999</v>
      </c>
      <c r="M270" s="21">
        <v>-0.95628089800000005</v>
      </c>
      <c r="N270">
        <v>1.3263718250000001</v>
      </c>
    </row>
    <row r="271" spans="1:14" x14ac:dyDescent="0.2">
      <c r="A271" t="s">
        <v>804</v>
      </c>
      <c r="B271">
        <v>573680</v>
      </c>
      <c r="C271" t="s">
        <v>58</v>
      </c>
      <c r="D271" t="s">
        <v>804</v>
      </c>
      <c r="E271" t="s">
        <v>805</v>
      </c>
      <c r="G271" t="s">
        <v>806</v>
      </c>
      <c r="J271">
        <v>4.5363847230000003</v>
      </c>
      <c r="K271">
        <v>0.245646371</v>
      </c>
      <c r="L271">
        <v>7.5242279999999995E-2</v>
      </c>
      <c r="M271" s="21">
        <v>-0.95662922900000003</v>
      </c>
      <c r="N271">
        <v>1.3245823210000001</v>
      </c>
    </row>
    <row r="272" spans="1:14" x14ac:dyDescent="0.2">
      <c r="A272" t="s">
        <v>807</v>
      </c>
      <c r="B272">
        <v>393000</v>
      </c>
      <c r="C272" t="s">
        <v>34</v>
      </c>
      <c r="D272" t="s">
        <v>807</v>
      </c>
      <c r="J272">
        <v>7.0544859390000001</v>
      </c>
      <c r="K272">
        <v>0.623000361</v>
      </c>
      <c r="L272">
        <v>0.42866702800000001</v>
      </c>
      <c r="M272" s="21">
        <v>-0.95693489700000001</v>
      </c>
      <c r="N272">
        <v>1.3230119890000001</v>
      </c>
    </row>
    <row r="273" spans="1:14" x14ac:dyDescent="0.2">
      <c r="A273" t="s">
        <v>89</v>
      </c>
      <c r="B273">
        <v>432760</v>
      </c>
      <c r="C273" t="s">
        <v>28</v>
      </c>
      <c r="D273" t="s">
        <v>90</v>
      </c>
      <c r="E273" t="s">
        <v>808</v>
      </c>
      <c r="G273" t="s">
        <v>809</v>
      </c>
      <c r="J273">
        <v>5.8462906840000004</v>
      </c>
      <c r="K273">
        <v>0.60615847</v>
      </c>
      <c r="L273">
        <v>0.28550877299999999</v>
      </c>
      <c r="M273" s="21">
        <v>-0.95832618599999997</v>
      </c>
      <c r="N273">
        <v>1.3158644159999999</v>
      </c>
    </row>
    <row r="274" spans="1:14" x14ac:dyDescent="0.2">
      <c r="A274" t="s">
        <v>348</v>
      </c>
      <c r="B274">
        <v>474440</v>
      </c>
      <c r="C274" t="s">
        <v>84</v>
      </c>
      <c r="D274" t="s">
        <v>349</v>
      </c>
      <c r="E274" t="s">
        <v>810</v>
      </c>
      <c r="G274" t="s">
        <v>811</v>
      </c>
      <c r="J274">
        <v>3.600219579</v>
      </c>
      <c r="K274">
        <v>-0.293098474</v>
      </c>
      <c r="L274">
        <v>-0.153917466</v>
      </c>
      <c r="M274" s="21">
        <v>-0.95990942599999995</v>
      </c>
      <c r="N274">
        <v>1.3077307170000001</v>
      </c>
    </row>
    <row r="275" spans="1:14" x14ac:dyDescent="0.2">
      <c r="A275" t="s">
        <v>812</v>
      </c>
      <c r="B275">
        <v>429520</v>
      </c>
      <c r="C275" t="s">
        <v>28</v>
      </c>
      <c r="D275" t="s">
        <v>813</v>
      </c>
      <c r="E275" t="s">
        <v>814</v>
      </c>
      <c r="G275" t="s">
        <v>815</v>
      </c>
      <c r="J275">
        <v>5.8462906840000004</v>
      </c>
      <c r="K275">
        <v>0.60615847</v>
      </c>
      <c r="L275">
        <v>0.28550877299999999</v>
      </c>
      <c r="M275" s="21">
        <v>-0.96125129799999998</v>
      </c>
      <c r="N275">
        <v>1.3008370220000001</v>
      </c>
    </row>
    <row r="276" spans="1:14" x14ac:dyDescent="0.2">
      <c r="A276" t="s">
        <v>668</v>
      </c>
      <c r="B276">
        <v>560320</v>
      </c>
      <c r="C276" t="s">
        <v>100</v>
      </c>
      <c r="D276" t="s">
        <v>668</v>
      </c>
      <c r="E276" t="s">
        <v>816</v>
      </c>
      <c r="G276" t="s">
        <v>817</v>
      </c>
      <c r="J276">
        <v>5.9110743220000002</v>
      </c>
      <c r="K276">
        <v>0.71598987199999997</v>
      </c>
      <c r="L276">
        <v>0.29077365599999999</v>
      </c>
      <c r="M276" s="21">
        <v>-0.96136359100000002</v>
      </c>
      <c r="N276">
        <v>1.3002601279999999</v>
      </c>
    </row>
    <row r="277" spans="1:14" x14ac:dyDescent="0.2">
      <c r="A277" t="s">
        <v>218</v>
      </c>
      <c r="B277">
        <v>429360</v>
      </c>
      <c r="C277" t="s">
        <v>28</v>
      </c>
      <c r="D277" t="s">
        <v>218</v>
      </c>
      <c r="E277" t="s">
        <v>818</v>
      </c>
      <c r="G277" t="s">
        <v>819</v>
      </c>
      <c r="J277">
        <v>5.8462906840000004</v>
      </c>
      <c r="K277">
        <v>0.60615847</v>
      </c>
      <c r="L277">
        <v>0.28550877299999999</v>
      </c>
      <c r="M277" s="21">
        <v>-0.96139574800000005</v>
      </c>
      <c r="N277">
        <v>1.300094928</v>
      </c>
    </row>
    <row r="278" spans="1:14" x14ac:dyDescent="0.2">
      <c r="A278" t="s">
        <v>820</v>
      </c>
      <c r="B278">
        <v>429000</v>
      </c>
      <c r="C278" t="s">
        <v>28</v>
      </c>
      <c r="D278" t="s">
        <v>820</v>
      </c>
      <c r="E278" t="s">
        <v>821</v>
      </c>
      <c r="G278" t="s">
        <v>822</v>
      </c>
      <c r="J278">
        <v>5.8462906840000004</v>
      </c>
      <c r="K278">
        <v>0.60615847</v>
      </c>
      <c r="L278">
        <v>0.28550877299999999</v>
      </c>
      <c r="M278" s="21">
        <v>-0.96172075999999995</v>
      </c>
      <c r="N278">
        <v>1.298425218</v>
      </c>
    </row>
    <row r="279" spans="1:14" x14ac:dyDescent="0.2">
      <c r="A279" t="s">
        <v>158</v>
      </c>
      <c r="B279">
        <v>473000</v>
      </c>
      <c r="C279" t="s">
        <v>84</v>
      </c>
      <c r="D279" t="s">
        <v>158</v>
      </c>
      <c r="E279" t="s">
        <v>823</v>
      </c>
      <c r="J279">
        <v>3.600219579</v>
      </c>
      <c r="K279">
        <v>-0.293098474</v>
      </c>
      <c r="L279">
        <v>-0.153917466</v>
      </c>
      <c r="M279" s="21">
        <v>-0.96179419399999999</v>
      </c>
      <c r="N279">
        <v>1.298047961</v>
      </c>
    </row>
    <row r="280" spans="1:14" x14ac:dyDescent="0.2">
      <c r="A280" t="s">
        <v>263</v>
      </c>
      <c r="B280">
        <v>387280</v>
      </c>
      <c r="C280" t="s">
        <v>34</v>
      </c>
      <c r="D280" t="s">
        <v>264</v>
      </c>
      <c r="E280" t="s">
        <v>824</v>
      </c>
      <c r="G280" t="s">
        <v>825</v>
      </c>
      <c r="J280">
        <v>7.0544859390000001</v>
      </c>
      <c r="K280">
        <v>0.623000361</v>
      </c>
      <c r="L280">
        <v>0.42866702800000001</v>
      </c>
      <c r="M280" s="21">
        <v>-0.96196311499999998</v>
      </c>
      <c r="N280">
        <v>1.2971801519999999</v>
      </c>
    </row>
    <row r="281" spans="1:14" x14ac:dyDescent="0.2">
      <c r="A281" t="s">
        <v>741</v>
      </c>
      <c r="B281">
        <v>387160</v>
      </c>
      <c r="C281" t="s">
        <v>34</v>
      </c>
      <c r="D281" t="s">
        <v>741</v>
      </c>
      <c r="E281" t="s">
        <v>826</v>
      </c>
      <c r="G281" t="s">
        <v>827</v>
      </c>
      <c r="J281">
        <v>7.0544859390000001</v>
      </c>
      <c r="K281">
        <v>0.623000361</v>
      </c>
      <c r="L281">
        <v>0.42866702800000001</v>
      </c>
      <c r="M281" s="21">
        <v>-0.96206860199999999</v>
      </c>
      <c r="N281">
        <v>1.2966382249999999</v>
      </c>
    </row>
    <row r="282" spans="1:14" x14ac:dyDescent="0.2">
      <c r="A282" t="s">
        <v>563</v>
      </c>
      <c r="B282">
        <v>468320</v>
      </c>
      <c r="C282" t="s">
        <v>68</v>
      </c>
      <c r="D282" t="s">
        <v>564</v>
      </c>
      <c r="E282" t="s">
        <v>828</v>
      </c>
      <c r="G282" t="s">
        <v>829</v>
      </c>
      <c r="J282">
        <v>6.4561903559999996</v>
      </c>
      <c r="K282">
        <v>0.47291064100000002</v>
      </c>
      <c r="L282">
        <v>0.34414126499999997</v>
      </c>
      <c r="M282" s="21">
        <v>-0.96229462200000004</v>
      </c>
      <c r="N282">
        <v>1.2954770739999999</v>
      </c>
    </row>
    <row r="283" spans="1:14" x14ac:dyDescent="0.2">
      <c r="A283" t="s">
        <v>769</v>
      </c>
      <c r="B283">
        <v>559280</v>
      </c>
      <c r="C283" t="s">
        <v>100</v>
      </c>
      <c r="D283" t="s">
        <v>769</v>
      </c>
      <c r="E283" t="s">
        <v>830</v>
      </c>
      <c r="G283" t="s">
        <v>831</v>
      </c>
      <c r="J283">
        <v>5.9110743220000002</v>
      </c>
      <c r="K283">
        <v>0.71598987199999997</v>
      </c>
      <c r="L283">
        <v>0.29077365599999999</v>
      </c>
      <c r="M283" s="21">
        <v>-0.96239601299999999</v>
      </c>
      <c r="N283">
        <v>1.29495619</v>
      </c>
    </row>
    <row r="284" spans="1:14" x14ac:dyDescent="0.2">
      <c r="A284" t="s">
        <v>832</v>
      </c>
      <c r="B284">
        <v>568680</v>
      </c>
      <c r="C284" t="s">
        <v>14</v>
      </c>
      <c r="D284" t="s">
        <v>832</v>
      </c>
      <c r="E284" t="s">
        <v>833</v>
      </c>
      <c r="G284" t="s">
        <v>834</v>
      </c>
      <c r="J284">
        <v>6.7484204910000001</v>
      </c>
      <c r="K284">
        <v>0.48629166299999999</v>
      </c>
      <c r="L284">
        <v>0.375053939</v>
      </c>
      <c r="M284" s="21">
        <v>-0.96286597100000004</v>
      </c>
      <c r="N284">
        <v>1.2925418399999999</v>
      </c>
    </row>
    <row r="285" spans="1:14" x14ac:dyDescent="0.2">
      <c r="A285" t="s">
        <v>444</v>
      </c>
      <c r="B285">
        <v>467720</v>
      </c>
      <c r="C285" t="s">
        <v>68</v>
      </c>
      <c r="D285" t="s">
        <v>445</v>
      </c>
      <c r="E285" t="s">
        <v>835</v>
      </c>
      <c r="G285" t="s">
        <v>836</v>
      </c>
      <c r="J285">
        <v>6.4561903559999996</v>
      </c>
      <c r="K285">
        <v>0.47291064100000002</v>
      </c>
      <c r="L285">
        <v>0.34414126499999997</v>
      </c>
      <c r="M285" s="21">
        <v>-0.96287485399999995</v>
      </c>
      <c r="N285">
        <v>1.2924962069999999</v>
      </c>
    </row>
    <row r="286" spans="1:14" x14ac:dyDescent="0.2">
      <c r="A286" t="s">
        <v>38</v>
      </c>
      <c r="B286">
        <v>467480</v>
      </c>
      <c r="C286" t="s">
        <v>68</v>
      </c>
      <c r="D286" t="s">
        <v>38</v>
      </c>
      <c r="E286" t="s">
        <v>837</v>
      </c>
      <c r="G286" t="s">
        <v>838</v>
      </c>
      <c r="J286">
        <v>6.4561903559999996</v>
      </c>
      <c r="K286">
        <v>0.47291064100000002</v>
      </c>
      <c r="L286">
        <v>0.34414126499999997</v>
      </c>
      <c r="M286" s="21">
        <v>-0.96310694600000002</v>
      </c>
      <c r="N286">
        <v>1.2913038610000001</v>
      </c>
    </row>
    <row r="287" spans="1:14" x14ac:dyDescent="0.2">
      <c r="A287" t="s">
        <v>839</v>
      </c>
      <c r="B287">
        <v>568080</v>
      </c>
      <c r="C287" t="s">
        <v>14</v>
      </c>
      <c r="D287" t="s">
        <v>840</v>
      </c>
      <c r="E287" t="s">
        <v>841</v>
      </c>
      <c r="G287" t="s">
        <v>842</v>
      </c>
      <c r="J287">
        <v>6.7484204910000001</v>
      </c>
      <c r="K287">
        <v>0.48629166299999999</v>
      </c>
      <c r="L287">
        <v>0.375053939</v>
      </c>
      <c r="M287" s="21">
        <v>-0.963523405</v>
      </c>
      <c r="N287">
        <v>1.2891643580000001</v>
      </c>
    </row>
    <row r="288" spans="1:14" x14ac:dyDescent="0.2">
      <c r="A288" t="s">
        <v>369</v>
      </c>
      <c r="B288">
        <v>567280</v>
      </c>
      <c r="C288" t="s">
        <v>14</v>
      </c>
      <c r="D288" t="s">
        <v>369</v>
      </c>
      <c r="E288" t="s">
        <v>843</v>
      </c>
      <c r="G288" t="s">
        <v>844</v>
      </c>
      <c r="J288">
        <v>6.7484204910000001</v>
      </c>
      <c r="K288">
        <v>0.48629166299999999</v>
      </c>
      <c r="L288">
        <v>0.375053939</v>
      </c>
      <c r="M288" s="21">
        <v>-0.96439998199999999</v>
      </c>
      <c r="N288">
        <v>1.28466105</v>
      </c>
    </row>
    <row r="289" spans="1:14" x14ac:dyDescent="0.2">
      <c r="A289" t="s">
        <v>656</v>
      </c>
      <c r="B289">
        <v>470520</v>
      </c>
      <c r="C289" t="s">
        <v>84</v>
      </c>
      <c r="D289" t="s">
        <v>656</v>
      </c>
      <c r="E289" t="s">
        <v>845</v>
      </c>
      <c r="J289">
        <v>3.600219579</v>
      </c>
      <c r="K289">
        <v>-0.293098474</v>
      </c>
      <c r="L289">
        <v>-0.153917466</v>
      </c>
      <c r="M289" s="21">
        <v>-0.96504018199999997</v>
      </c>
      <c r="N289">
        <v>1.2813721039999999</v>
      </c>
    </row>
    <row r="290" spans="1:14" x14ac:dyDescent="0.2">
      <c r="A290" t="s">
        <v>846</v>
      </c>
      <c r="B290">
        <v>470400</v>
      </c>
      <c r="C290" t="s">
        <v>84</v>
      </c>
      <c r="D290" t="s">
        <v>847</v>
      </c>
      <c r="E290" t="s">
        <v>848</v>
      </c>
      <c r="J290">
        <v>3.600219579</v>
      </c>
      <c r="K290">
        <v>-0.293098474</v>
      </c>
      <c r="L290">
        <v>-0.153917466</v>
      </c>
      <c r="M290" s="21">
        <v>-0.96519724600000001</v>
      </c>
      <c r="N290">
        <v>1.2805652080000001</v>
      </c>
    </row>
    <row r="291" spans="1:14" x14ac:dyDescent="0.2">
      <c r="A291" t="s">
        <v>246</v>
      </c>
      <c r="B291">
        <v>584920</v>
      </c>
      <c r="C291" t="s">
        <v>130</v>
      </c>
      <c r="D291" t="s">
        <v>246</v>
      </c>
      <c r="E291" t="s">
        <v>849</v>
      </c>
      <c r="G291" t="s">
        <v>850</v>
      </c>
      <c r="J291">
        <v>5.1222566499999997</v>
      </c>
      <c r="K291">
        <v>0.21422175600000001</v>
      </c>
      <c r="L291">
        <v>0.25354511400000002</v>
      </c>
      <c r="M291" s="21">
        <v>-0.96531773499999995</v>
      </c>
      <c r="N291">
        <v>1.2799462109999999</v>
      </c>
    </row>
    <row r="292" spans="1:14" x14ac:dyDescent="0.2">
      <c r="A292" t="s">
        <v>63</v>
      </c>
      <c r="B292">
        <v>566280</v>
      </c>
      <c r="C292" t="s">
        <v>14</v>
      </c>
      <c r="D292" t="s">
        <v>63</v>
      </c>
      <c r="E292" t="s">
        <v>851</v>
      </c>
      <c r="G292" t="s">
        <v>852</v>
      </c>
      <c r="J292">
        <v>6.7484204910000001</v>
      </c>
      <c r="K292">
        <v>0.48629166299999999</v>
      </c>
      <c r="L292">
        <v>0.375053939</v>
      </c>
      <c r="M292" s="21">
        <v>-0.96549570500000004</v>
      </c>
      <c r="N292">
        <v>1.2790319139999999</v>
      </c>
    </row>
    <row r="293" spans="1:14" x14ac:dyDescent="0.2">
      <c r="A293" t="s">
        <v>853</v>
      </c>
      <c r="B293">
        <v>382720</v>
      </c>
      <c r="C293" t="s">
        <v>34</v>
      </c>
      <c r="D293" t="s">
        <v>854</v>
      </c>
      <c r="E293" t="s">
        <v>855</v>
      </c>
      <c r="G293" t="s">
        <v>856</v>
      </c>
      <c r="J293">
        <v>7.0544859390000001</v>
      </c>
      <c r="K293">
        <v>0.623000361</v>
      </c>
      <c r="L293">
        <v>0.42866702800000001</v>
      </c>
      <c r="M293" s="21">
        <v>-0.96597162400000003</v>
      </c>
      <c r="N293">
        <v>1.276586939</v>
      </c>
    </row>
    <row r="294" spans="1:14" x14ac:dyDescent="0.2">
      <c r="A294" t="s">
        <v>372</v>
      </c>
      <c r="B294">
        <v>565200</v>
      </c>
      <c r="C294" t="s">
        <v>14</v>
      </c>
      <c r="D294" t="s">
        <v>372</v>
      </c>
      <c r="E294" t="s">
        <v>857</v>
      </c>
      <c r="G294" t="s">
        <v>858</v>
      </c>
      <c r="J294">
        <v>6.7484204910000001</v>
      </c>
      <c r="K294">
        <v>0.48629166299999999</v>
      </c>
      <c r="L294">
        <v>0.375053939</v>
      </c>
      <c r="M294" s="21">
        <v>-0.96667908499999999</v>
      </c>
      <c r="N294">
        <v>1.2729524480000001</v>
      </c>
    </row>
    <row r="295" spans="1:14" x14ac:dyDescent="0.2">
      <c r="A295" t="s">
        <v>859</v>
      </c>
      <c r="B295">
        <v>381600</v>
      </c>
      <c r="C295" t="s">
        <v>34</v>
      </c>
      <c r="D295" t="s">
        <v>859</v>
      </c>
      <c r="E295" t="s">
        <v>860</v>
      </c>
      <c r="G295" t="s">
        <v>861</v>
      </c>
      <c r="J295">
        <v>7.0544859390000001</v>
      </c>
      <c r="K295">
        <v>0.623000361</v>
      </c>
      <c r="L295">
        <v>0.42866702800000001</v>
      </c>
      <c r="M295" s="21">
        <v>-0.96695617</v>
      </c>
      <c r="N295">
        <v>1.2715289569999999</v>
      </c>
    </row>
    <row r="296" spans="1:14" x14ac:dyDescent="0.2">
      <c r="A296" t="s">
        <v>804</v>
      </c>
      <c r="B296">
        <v>422960</v>
      </c>
      <c r="C296" t="s">
        <v>28</v>
      </c>
      <c r="D296" t="s">
        <v>804</v>
      </c>
      <c r="E296" t="s">
        <v>862</v>
      </c>
      <c r="G296" t="s">
        <v>863</v>
      </c>
      <c r="J296">
        <v>5.8462906840000004</v>
      </c>
      <c r="K296">
        <v>0.60615847</v>
      </c>
      <c r="L296">
        <v>0.28550877299999999</v>
      </c>
      <c r="M296" s="21">
        <v>-0.96717374599999995</v>
      </c>
      <c r="N296">
        <v>1.2704111870000001</v>
      </c>
    </row>
    <row r="297" spans="1:14" x14ac:dyDescent="0.2">
      <c r="A297" t="s">
        <v>198</v>
      </c>
      <c r="B297">
        <v>582480</v>
      </c>
      <c r="C297" t="s">
        <v>130</v>
      </c>
      <c r="D297" t="s">
        <v>199</v>
      </c>
      <c r="E297" t="s">
        <v>864</v>
      </c>
      <c r="G297" t="s">
        <v>865</v>
      </c>
      <c r="J297">
        <v>5.1222566499999997</v>
      </c>
      <c r="K297">
        <v>0.21422175600000001</v>
      </c>
      <c r="L297">
        <v>0.25354511400000002</v>
      </c>
      <c r="M297" s="21">
        <v>-0.96725956000000002</v>
      </c>
      <c r="N297">
        <v>1.26997033</v>
      </c>
    </row>
    <row r="298" spans="1:14" x14ac:dyDescent="0.2">
      <c r="A298" t="s">
        <v>551</v>
      </c>
      <c r="B298">
        <v>554360</v>
      </c>
      <c r="C298" t="s">
        <v>100</v>
      </c>
      <c r="D298" t="s">
        <v>551</v>
      </c>
      <c r="E298" t="s">
        <v>866</v>
      </c>
      <c r="G298" t="s">
        <v>867</v>
      </c>
      <c r="J298">
        <v>5.9110743220000002</v>
      </c>
      <c r="K298">
        <v>0.71598987199999997</v>
      </c>
      <c r="L298">
        <v>0.29077365599999999</v>
      </c>
      <c r="M298" s="21">
        <v>-0.96728016400000005</v>
      </c>
      <c r="N298">
        <v>1.2698644809999999</v>
      </c>
    </row>
    <row r="299" spans="1:14" x14ac:dyDescent="0.2">
      <c r="A299" t="s">
        <v>868</v>
      </c>
      <c r="B299">
        <v>468200</v>
      </c>
      <c r="C299" t="s">
        <v>84</v>
      </c>
      <c r="D299" t="s">
        <v>869</v>
      </c>
      <c r="E299" t="s">
        <v>870</v>
      </c>
      <c r="J299">
        <v>3.600219579</v>
      </c>
      <c r="K299">
        <v>-0.293098474</v>
      </c>
      <c r="L299">
        <v>-0.153917466</v>
      </c>
      <c r="M299" s="21">
        <v>-0.96807675199999998</v>
      </c>
      <c r="N299">
        <v>1.265772109</v>
      </c>
    </row>
    <row r="300" spans="1:14" x14ac:dyDescent="0.2">
      <c r="A300" t="s">
        <v>380</v>
      </c>
      <c r="B300">
        <v>467760</v>
      </c>
      <c r="C300" t="s">
        <v>84</v>
      </c>
      <c r="D300" t="s">
        <v>380</v>
      </c>
      <c r="E300" t="s">
        <v>871</v>
      </c>
      <c r="J300">
        <v>3.600219579</v>
      </c>
      <c r="K300">
        <v>-0.293098474</v>
      </c>
      <c r="L300">
        <v>-0.153917466</v>
      </c>
      <c r="M300" s="21">
        <v>-0.96865265300000003</v>
      </c>
      <c r="N300">
        <v>1.262813489</v>
      </c>
    </row>
    <row r="301" spans="1:14" x14ac:dyDescent="0.2">
      <c r="A301" t="s">
        <v>116</v>
      </c>
      <c r="B301">
        <v>467720</v>
      </c>
      <c r="C301" t="s">
        <v>84</v>
      </c>
      <c r="D301" t="s">
        <v>117</v>
      </c>
      <c r="E301" t="s">
        <v>872</v>
      </c>
      <c r="G301" t="s">
        <v>873</v>
      </c>
      <c r="J301">
        <v>3.600219579</v>
      </c>
      <c r="K301">
        <v>-0.293098474</v>
      </c>
      <c r="L301">
        <v>-0.153917466</v>
      </c>
      <c r="M301" s="21">
        <v>-0.96870500800000003</v>
      </c>
      <c r="N301">
        <v>1.2625445239999999</v>
      </c>
    </row>
    <row r="302" spans="1:14" x14ac:dyDescent="0.2">
      <c r="A302" t="s">
        <v>214</v>
      </c>
      <c r="B302">
        <v>460680</v>
      </c>
      <c r="C302" t="s">
        <v>68</v>
      </c>
      <c r="D302" t="s">
        <v>215</v>
      </c>
      <c r="E302" t="s">
        <v>874</v>
      </c>
      <c r="G302" t="s">
        <v>875</v>
      </c>
      <c r="J302">
        <v>6.4561903559999996</v>
      </c>
      <c r="K302">
        <v>0.47291064100000002</v>
      </c>
      <c r="L302">
        <v>0.34414126499999997</v>
      </c>
      <c r="M302" s="21">
        <v>-0.96968290300000004</v>
      </c>
      <c r="N302">
        <v>1.2575207070000001</v>
      </c>
    </row>
    <row r="303" spans="1:14" x14ac:dyDescent="0.2">
      <c r="A303" t="s">
        <v>448</v>
      </c>
      <c r="B303">
        <v>559440</v>
      </c>
      <c r="C303" t="s">
        <v>58</v>
      </c>
      <c r="D303" t="s">
        <v>448</v>
      </c>
      <c r="E303" t="s">
        <v>876</v>
      </c>
      <c r="G303" t="s">
        <v>877</v>
      </c>
      <c r="J303">
        <v>4.5363847230000003</v>
      </c>
      <c r="K303">
        <v>0.245646371</v>
      </c>
      <c r="L303">
        <v>7.5242279999999995E-2</v>
      </c>
      <c r="M303" s="21">
        <v>-0.97038117199999996</v>
      </c>
      <c r="N303">
        <v>1.2539334390000001</v>
      </c>
    </row>
    <row r="304" spans="1:14" x14ac:dyDescent="0.2">
      <c r="A304" t="s">
        <v>329</v>
      </c>
      <c r="B304">
        <v>459560</v>
      </c>
      <c r="C304" t="s">
        <v>68</v>
      </c>
      <c r="D304" t="s">
        <v>329</v>
      </c>
      <c r="E304" t="s">
        <v>878</v>
      </c>
      <c r="G304" t="s">
        <v>879</v>
      </c>
      <c r="J304">
        <v>6.4561903559999996</v>
      </c>
      <c r="K304">
        <v>0.47291064100000002</v>
      </c>
      <c r="L304">
        <v>0.34414126499999997</v>
      </c>
      <c r="M304" s="21">
        <v>-0.97076600199999996</v>
      </c>
      <c r="N304">
        <v>1.251956423</v>
      </c>
    </row>
    <row r="305" spans="1:14" x14ac:dyDescent="0.2">
      <c r="A305" t="s">
        <v>880</v>
      </c>
      <c r="B305">
        <v>577960</v>
      </c>
      <c r="C305" t="s">
        <v>130</v>
      </c>
      <c r="D305" t="s">
        <v>880</v>
      </c>
      <c r="E305" t="s">
        <v>881</v>
      </c>
      <c r="G305" t="s">
        <v>882</v>
      </c>
      <c r="J305">
        <v>5.1222566499999997</v>
      </c>
      <c r="K305">
        <v>0.21422175600000001</v>
      </c>
      <c r="L305">
        <v>0.25354511400000002</v>
      </c>
      <c r="M305" s="21">
        <v>-0.97085671100000004</v>
      </c>
      <c r="N305">
        <v>1.2514904200000001</v>
      </c>
    </row>
    <row r="306" spans="1:14" x14ac:dyDescent="0.2">
      <c r="A306" t="s">
        <v>883</v>
      </c>
      <c r="B306">
        <v>377120</v>
      </c>
      <c r="C306" t="s">
        <v>34</v>
      </c>
      <c r="D306" t="s">
        <v>883</v>
      </c>
      <c r="E306" t="s">
        <v>884</v>
      </c>
      <c r="G306" t="s">
        <v>885</v>
      </c>
      <c r="J306">
        <v>7.0544859390000001</v>
      </c>
      <c r="K306">
        <v>0.623000361</v>
      </c>
      <c r="L306">
        <v>0.42866702800000001</v>
      </c>
      <c r="M306" s="21">
        <v>-0.97089435499999999</v>
      </c>
      <c r="N306">
        <v>1.2512970290000001</v>
      </c>
    </row>
    <row r="307" spans="1:14" x14ac:dyDescent="0.2">
      <c r="A307" t="s">
        <v>337</v>
      </c>
      <c r="B307">
        <v>558800</v>
      </c>
      <c r="C307" t="s">
        <v>58</v>
      </c>
      <c r="D307" t="s">
        <v>337</v>
      </c>
      <c r="E307" t="s">
        <v>886</v>
      </c>
      <c r="G307" t="s">
        <v>887</v>
      </c>
      <c r="J307">
        <v>4.5363847230000003</v>
      </c>
      <c r="K307">
        <v>0.245646371</v>
      </c>
      <c r="L307">
        <v>7.5242279999999995E-2</v>
      </c>
      <c r="M307" s="21">
        <v>-0.97099923700000002</v>
      </c>
      <c r="N307">
        <v>1.250758209</v>
      </c>
    </row>
    <row r="308" spans="1:14" x14ac:dyDescent="0.2">
      <c r="A308" t="s">
        <v>619</v>
      </c>
      <c r="B308">
        <v>465920</v>
      </c>
      <c r="C308" t="s">
        <v>84</v>
      </c>
      <c r="D308" t="s">
        <v>619</v>
      </c>
      <c r="E308" t="s">
        <v>888</v>
      </c>
      <c r="J308">
        <v>3.600219579</v>
      </c>
      <c r="K308">
        <v>-0.293098474</v>
      </c>
      <c r="L308">
        <v>-0.153917466</v>
      </c>
      <c r="M308" s="21">
        <v>-0.971060967</v>
      </c>
      <c r="N308">
        <v>1.250441079</v>
      </c>
    </row>
    <row r="309" spans="1:14" x14ac:dyDescent="0.2">
      <c r="A309" t="s">
        <v>889</v>
      </c>
      <c r="B309">
        <v>418480</v>
      </c>
      <c r="C309" t="s">
        <v>28</v>
      </c>
      <c r="D309" t="s">
        <v>889</v>
      </c>
      <c r="E309" t="s">
        <v>890</v>
      </c>
      <c r="G309" t="s">
        <v>891</v>
      </c>
      <c r="J309">
        <v>5.8462906840000004</v>
      </c>
      <c r="K309">
        <v>0.60615847</v>
      </c>
      <c r="L309">
        <v>0.28550877299999999</v>
      </c>
      <c r="M309" s="21">
        <v>-0.97121834500000004</v>
      </c>
      <c r="N309">
        <v>1.2496325690000001</v>
      </c>
    </row>
    <row r="310" spans="1:14" x14ac:dyDescent="0.2">
      <c r="A310" t="s">
        <v>892</v>
      </c>
      <c r="B310">
        <v>465520</v>
      </c>
      <c r="C310" t="s">
        <v>84</v>
      </c>
      <c r="D310" t="s">
        <v>892</v>
      </c>
      <c r="E310" t="s">
        <v>893</v>
      </c>
      <c r="J310">
        <v>3.600219579</v>
      </c>
      <c r="K310">
        <v>-0.293098474</v>
      </c>
      <c r="L310">
        <v>-0.153917466</v>
      </c>
      <c r="M310" s="21">
        <v>-0.97158451300000004</v>
      </c>
      <c r="N310">
        <v>1.2477514249999999</v>
      </c>
    </row>
    <row r="311" spans="1:14" x14ac:dyDescent="0.2">
      <c r="A311" t="s">
        <v>894</v>
      </c>
      <c r="B311">
        <v>458640</v>
      </c>
      <c r="C311" t="s">
        <v>68</v>
      </c>
      <c r="D311" t="s">
        <v>894</v>
      </c>
      <c r="E311" t="s">
        <v>895</v>
      </c>
      <c r="G311" t="s">
        <v>896</v>
      </c>
      <c r="J311">
        <v>6.4561903559999996</v>
      </c>
      <c r="K311">
        <v>0.47291064100000002</v>
      </c>
      <c r="L311">
        <v>0.34414126499999997</v>
      </c>
      <c r="M311" s="21">
        <v>-0.97165569100000004</v>
      </c>
      <c r="N311">
        <v>1.2473857610000001</v>
      </c>
    </row>
    <row r="312" spans="1:14" x14ac:dyDescent="0.2">
      <c r="A312" t="s">
        <v>727</v>
      </c>
      <c r="B312">
        <v>376240</v>
      </c>
      <c r="C312" t="s">
        <v>34</v>
      </c>
      <c r="D312" t="s">
        <v>727</v>
      </c>
      <c r="E312" t="s">
        <v>897</v>
      </c>
      <c r="G312" t="s">
        <v>898</v>
      </c>
      <c r="J312">
        <v>7.0544859390000001</v>
      </c>
      <c r="K312">
        <v>0.623000361</v>
      </c>
      <c r="L312">
        <v>0.42866702800000001</v>
      </c>
      <c r="M312" s="21">
        <v>-0.97166792700000004</v>
      </c>
      <c r="N312">
        <v>1.2473228999999999</v>
      </c>
    </row>
    <row r="313" spans="1:14" x14ac:dyDescent="0.2">
      <c r="A313" t="s">
        <v>574</v>
      </c>
      <c r="B313">
        <v>465320</v>
      </c>
      <c r="C313" t="s">
        <v>84</v>
      </c>
      <c r="D313" t="s">
        <v>574</v>
      </c>
      <c r="E313" t="s">
        <v>899</v>
      </c>
      <c r="J313">
        <v>3.600219579</v>
      </c>
      <c r="K313">
        <v>-0.293098474</v>
      </c>
      <c r="L313">
        <v>-0.153917466</v>
      </c>
      <c r="M313" s="21">
        <v>-0.97184628699999998</v>
      </c>
      <c r="N313">
        <v>1.2464065980000001</v>
      </c>
    </row>
    <row r="314" spans="1:14" x14ac:dyDescent="0.2">
      <c r="A314" t="s">
        <v>129</v>
      </c>
      <c r="B314">
        <v>465160</v>
      </c>
      <c r="C314" t="s">
        <v>84</v>
      </c>
      <c r="D314" t="s">
        <v>129</v>
      </c>
      <c r="E314" t="s">
        <v>900</v>
      </c>
      <c r="J314">
        <v>3.600219579</v>
      </c>
      <c r="K314">
        <v>-0.293098474</v>
      </c>
      <c r="L314">
        <v>-0.153917466</v>
      </c>
      <c r="M314" s="21">
        <v>-0.97205570500000005</v>
      </c>
      <c r="N314">
        <v>1.2453307360000001</v>
      </c>
    </row>
    <row r="315" spans="1:14" x14ac:dyDescent="0.2">
      <c r="A315" t="s">
        <v>901</v>
      </c>
      <c r="B315">
        <v>576440</v>
      </c>
      <c r="C315" t="s">
        <v>130</v>
      </c>
      <c r="D315" t="s">
        <v>902</v>
      </c>
      <c r="E315" t="s">
        <v>903</v>
      </c>
      <c r="G315" t="s">
        <v>904</v>
      </c>
      <c r="J315">
        <v>5.1222566499999997</v>
      </c>
      <c r="K315">
        <v>0.21422175600000001</v>
      </c>
      <c r="L315">
        <v>0.25354511400000002</v>
      </c>
      <c r="M315" s="21">
        <v>-0.97206637200000001</v>
      </c>
      <c r="N315">
        <v>1.2452759360000001</v>
      </c>
    </row>
    <row r="316" spans="1:14" x14ac:dyDescent="0.2">
      <c r="A316" t="s">
        <v>534</v>
      </c>
      <c r="B316">
        <v>417200</v>
      </c>
      <c r="C316" t="s">
        <v>28</v>
      </c>
      <c r="D316" t="s">
        <v>534</v>
      </c>
      <c r="E316" t="s">
        <v>905</v>
      </c>
      <c r="G316" t="s">
        <v>906</v>
      </c>
      <c r="J316">
        <v>5.8462906840000004</v>
      </c>
      <c r="K316">
        <v>0.60615847</v>
      </c>
      <c r="L316">
        <v>0.28550877299999999</v>
      </c>
      <c r="M316" s="21">
        <v>-0.97237394499999996</v>
      </c>
      <c r="N316">
        <v>1.243695821</v>
      </c>
    </row>
    <row r="317" spans="1:14" x14ac:dyDescent="0.2">
      <c r="A317" t="s">
        <v>907</v>
      </c>
      <c r="B317">
        <v>464280</v>
      </c>
      <c r="C317" t="s">
        <v>84</v>
      </c>
      <c r="D317" t="s">
        <v>907</v>
      </c>
      <c r="E317" t="s">
        <v>908</v>
      </c>
      <c r="J317">
        <v>3.600219579</v>
      </c>
      <c r="K317">
        <v>-0.293098474</v>
      </c>
      <c r="L317">
        <v>-0.153917466</v>
      </c>
      <c r="M317" s="21">
        <v>-0.973207508</v>
      </c>
      <c r="N317">
        <v>1.2394134960000001</v>
      </c>
    </row>
    <row r="318" spans="1:14" x14ac:dyDescent="0.2">
      <c r="A318" t="s">
        <v>909</v>
      </c>
      <c r="B318">
        <v>373440</v>
      </c>
      <c r="C318" t="s">
        <v>34</v>
      </c>
      <c r="D318" t="s">
        <v>909</v>
      </c>
      <c r="J318">
        <v>7.0544859390000001</v>
      </c>
      <c r="K318">
        <v>0.623000361</v>
      </c>
      <c r="L318">
        <v>0.42866702800000001</v>
      </c>
      <c r="M318" s="21">
        <v>-0.97412929199999998</v>
      </c>
      <c r="N318">
        <v>1.2346779450000001</v>
      </c>
    </row>
    <row r="319" spans="1:14" x14ac:dyDescent="0.2">
      <c r="A319" t="s">
        <v>820</v>
      </c>
      <c r="B319">
        <v>373320</v>
      </c>
      <c r="C319" t="s">
        <v>34</v>
      </c>
      <c r="D319" t="s">
        <v>820</v>
      </c>
      <c r="E319" t="s">
        <v>910</v>
      </c>
      <c r="G319" t="s">
        <v>911</v>
      </c>
      <c r="J319">
        <v>7.0544859390000001</v>
      </c>
      <c r="K319">
        <v>0.623000361</v>
      </c>
      <c r="L319">
        <v>0.42866702800000001</v>
      </c>
      <c r="M319" s="21">
        <v>-0.974234779</v>
      </c>
      <c r="N319">
        <v>1.2341360180000001</v>
      </c>
    </row>
    <row r="320" spans="1:14" x14ac:dyDescent="0.2">
      <c r="A320" t="s">
        <v>912</v>
      </c>
      <c r="B320">
        <v>554960</v>
      </c>
      <c r="C320" t="s">
        <v>58</v>
      </c>
      <c r="D320" t="s">
        <v>912</v>
      </c>
      <c r="E320" t="s">
        <v>913</v>
      </c>
      <c r="G320" t="s">
        <v>914</v>
      </c>
      <c r="J320">
        <v>4.5363847230000003</v>
      </c>
      <c r="K320">
        <v>0.245646371</v>
      </c>
      <c r="L320">
        <v>7.5242279999999995E-2</v>
      </c>
      <c r="M320" s="21">
        <v>-0.97470762600000005</v>
      </c>
      <c r="N320">
        <v>1.2317068250000001</v>
      </c>
    </row>
    <row r="321" spans="1:14" x14ac:dyDescent="0.2">
      <c r="A321" t="s">
        <v>380</v>
      </c>
      <c r="B321">
        <v>584560</v>
      </c>
      <c r="C321" t="s">
        <v>149</v>
      </c>
      <c r="D321" t="s">
        <v>380</v>
      </c>
      <c r="E321" t="s">
        <v>915</v>
      </c>
      <c r="G321" t="s">
        <v>916</v>
      </c>
      <c r="J321">
        <v>5.0381074159999999</v>
      </c>
      <c r="K321">
        <v>0.81312368999999995</v>
      </c>
      <c r="L321">
        <v>0.16969141800000001</v>
      </c>
      <c r="M321" s="21">
        <v>-0.97483195099999997</v>
      </c>
      <c r="N321">
        <v>1.231068123</v>
      </c>
    </row>
    <row r="322" spans="1:14" x14ac:dyDescent="0.2">
      <c r="A322" t="s">
        <v>18</v>
      </c>
      <c r="B322">
        <v>414280</v>
      </c>
      <c r="C322" t="s">
        <v>28</v>
      </c>
      <c r="D322" t="s">
        <v>19</v>
      </c>
      <c r="E322" t="s">
        <v>917</v>
      </c>
      <c r="G322" t="s">
        <v>918</v>
      </c>
      <c r="J322">
        <v>5.8462906840000004</v>
      </c>
      <c r="K322">
        <v>0.60615847</v>
      </c>
      <c r="L322">
        <v>0.28550877299999999</v>
      </c>
      <c r="M322" s="21">
        <v>-0.97501015700000004</v>
      </c>
      <c r="N322">
        <v>1.2301526140000001</v>
      </c>
    </row>
    <row r="323" spans="1:14" x14ac:dyDescent="0.2">
      <c r="A323" t="s">
        <v>919</v>
      </c>
      <c r="B323">
        <v>372360</v>
      </c>
      <c r="C323" t="s">
        <v>34</v>
      </c>
      <c r="D323" t="s">
        <v>919</v>
      </c>
      <c r="E323" t="s">
        <v>920</v>
      </c>
      <c r="G323" t="s">
        <v>921</v>
      </c>
      <c r="J323">
        <v>7.0544859390000001</v>
      </c>
      <c r="K323">
        <v>0.623000361</v>
      </c>
      <c r="L323">
        <v>0.42866702800000001</v>
      </c>
      <c r="M323" s="21">
        <v>-0.97507867599999998</v>
      </c>
      <c r="N323">
        <v>1.2298006050000001</v>
      </c>
    </row>
    <row r="324" spans="1:14" x14ac:dyDescent="0.2">
      <c r="A324" t="s">
        <v>839</v>
      </c>
      <c r="B324">
        <v>372120</v>
      </c>
      <c r="C324" t="s">
        <v>34</v>
      </c>
      <c r="D324" t="s">
        <v>840</v>
      </c>
      <c r="E324" t="s">
        <v>922</v>
      </c>
      <c r="G324" t="s">
        <v>923</v>
      </c>
      <c r="J324">
        <v>7.0544859390000001</v>
      </c>
      <c r="K324">
        <v>0.623000361</v>
      </c>
      <c r="L324">
        <v>0.42866702800000001</v>
      </c>
      <c r="M324" s="21">
        <v>-0.97528965000000001</v>
      </c>
      <c r="N324">
        <v>1.228716752</v>
      </c>
    </row>
    <row r="325" spans="1:14" x14ac:dyDescent="0.2">
      <c r="A325" t="s">
        <v>320</v>
      </c>
      <c r="B325">
        <v>371520</v>
      </c>
      <c r="C325" t="s">
        <v>34</v>
      </c>
      <c r="D325" t="s">
        <v>320</v>
      </c>
      <c r="J325">
        <v>7.0544859390000001</v>
      </c>
      <c r="K325">
        <v>0.623000361</v>
      </c>
      <c r="L325">
        <v>0.42866702800000001</v>
      </c>
      <c r="M325" s="21">
        <v>-0.97581708499999997</v>
      </c>
      <c r="N325">
        <v>1.2260071189999999</v>
      </c>
    </row>
    <row r="326" spans="1:14" x14ac:dyDescent="0.2">
      <c r="A326" t="s">
        <v>924</v>
      </c>
      <c r="B326">
        <v>371280</v>
      </c>
      <c r="C326" t="s">
        <v>34</v>
      </c>
      <c r="D326" t="s">
        <v>924</v>
      </c>
      <c r="E326" t="s">
        <v>925</v>
      </c>
      <c r="G326" t="s">
        <v>926</v>
      </c>
      <c r="J326">
        <v>7.0544859390000001</v>
      </c>
      <c r="K326">
        <v>0.623000361</v>
      </c>
      <c r="L326">
        <v>0.42866702800000001</v>
      </c>
      <c r="M326" s="21">
        <v>-0.97602805999999998</v>
      </c>
      <c r="N326">
        <v>1.2249232649999999</v>
      </c>
    </row>
    <row r="327" spans="1:14" x14ac:dyDescent="0.2">
      <c r="A327" t="s">
        <v>111</v>
      </c>
      <c r="B327">
        <v>553520</v>
      </c>
      <c r="C327" t="s">
        <v>58</v>
      </c>
      <c r="D327" t="s">
        <v>112</v>
      </c>
      <c r="E327" t="s">
        <v>927</v>
      </c>
      <c r="G327" t="s">
        <v>928</v>
      </c>
      <c r="J327">
        <v>4.5363847230000003</v>
      </c>
      <c r="K327">
        <v>0.245646371</v>
      </c>
      <c r="L327">
        <v>7.5242279999999995E-2</v>
      </c>
      <c r="M327" s="21">
        <v>-0.97609827199999999</v>
      </c>
      <c r="N327">
        <v>1.224562556</v>
      </c>
    </row>
    <row r="328" spans="1:14" x14ac:dyDescent="0.2">
      <c r="A328" t="s">
        <v>929</v>
      </c>
      <c r="B328">
        <v>571360</v>
      </c>
      <c r="C328" t="s">
        <v>130</v>
      </c>
      <c r="D328" t="s">
        <v>929</v>
      </c>
      <c r="E328" t="s">
        <v>930</v>
      </c>
      <c r="G328" t="s">
        <v>931</v>
      </c>
      <c r="J328">
        <v>5.1222566499999997</v>
      </c>
      <c r="K328">
        <v>0.21422175600000001</v>
      </c>
      <c r="L328">
        <v>0.25354511400000002</v>
      </c>
      <c r="M328" s="21">
        <v>-0.97610918800000002</v>
      </c>
      <c r="N328">
        <v>1.224506479</v>
      </c>
    </row>
    <row r="329" spans="1:14" x14ac:dyDescent="0.2">
      <c r="A329" t="s">
        <v>932</v>
      </c>
      <c r="B329">
        <v>370520</v>
      </c>
      <c r="C329" t="s">
        <v>34</v>
      </c>
      <c r="D329" t="s">
        <v>932</v>
      </c>
      <c r="J329">
        <v>7.0544859390000001</v>
      </c>
      <c r="K329">
        <v>0.623000361</v>
      </c>
      <c r="L329">
        <v>0.42866702800000001</v>
      </c>
      <c r="M329" s="21">
        <v>-0.97669614400000004</v>
      </c>
      <c r="N329">
        <v>1.221491063</v>
      </c>
    </row>
    <row r="330" spans="1:14" x14ac:dyDescent="0.2">
      <c r="A330" t="s">
        <v>364</v>
      </c>
      <c r="B330">
        <v>370480</v>
      </c>
      <c r="C330" t="s">
        <v>34</v>
      </c>
      <c r="D330" t="s">
        <v>364</v>
      </c>
      <c r="E330" t="s">
        <v>933</v>
      </c>
      <c r="G330" t="s">
        <v>934</v>
      </c>
      <c r="J330">
        <v>7.0544859390000001</v>
      </c>
      <c r="K330">
        <v>0.623000361</v>
      </c>
      <c r="L330">
        <v>0.42866702800000001</v>
      </c>
      <c r="M330" s="21">
        <v>-0.97673130699999999</v>
      </c>
      <c r="N330">
        <v>1.2213104210000001</v>
      </c>
    </row>
    <row r="331" spans="1:14" x14ac:dyDescent="0.2">
      <c r="A331" t="s">
        <v>935</v>
      </c>
      <c r="B331">
        <v>453080</v>
      </c>
      <c r="C331" t="s">
        <v>68</v>
      </c>
      <c r="D331" t="s">
        <v>935</v>
      </c>
      <c r="E331" t="s">
        <v>936</v>
      </c>
      <c r="G331" t="s">
        <v>937</v>
      </c>
      <c r="J331">
        <v>6.4561903559999996</v>
      </c>
      <c r="K331">
        <v>0.47291064100000002</v>
      </c>
      <c r="L331">
        <v>0.34414126499999997</v>
      </c>
      <c r="M331" s="21">
        <v>-0.977032503</v>
      </c>
      <c r="N331">
        <v>1.219763065</v>
      </c>
    </row>
    <row r="332" spans="1:14" x14ac:dyDescent="0.2">
      <c r="A332" t="s">
        <v>52</v>
      </c>
      <c r="B332">
        <v>453000</v>
      </c>
      <c r="C332" t="s">
        <v>68</v>
      </c>
      <c r="D332" t="s">
        <v>53</v>
      </c>
      <c r="E332" t="s">
        <v>938</v>
      </c>
      <c r="G332" t="s">
        <v>939</v>
      </c>
      <c r="J332">
        <v>6.4561903559999996</v>
      </c>
      <c r="K332">
        <v>0.47291064100000002</v>
      </c>
      <c r="L332">
        <v>0.34414126499999997</v>
      </c>
      <c r="M332" s="21">
        <v>-0.97710986700000002</v>
      </c>
      <c r="N332">
        <v>1.2193656159999999</v>
      </c>
    </row>
    <row r="333" spans="1:14" x14ac:dyDescent="0.2">
      <c r="A333" t="s">
        <v>33</v>
      </c>
      <c r="B333">
        <v>544240</v>
      </c>
      <c r="C333" t="s">
        <v>100</v>
      </c>
      <c r="D333" t="s">
        <v>33</v>
      </c>
      <c r="E333" t="s">
        <v>940</v>
      </c>
      <c r="G333" t="s">
        <v>941</v>
      </c>
      <c r="J333">
        <v>5.9110743220000002</v>
      </c>
      <c r="K333">
        <v>0.71598987199999997</v>
      </c>
      <c r="L333">
        <v>0.29077365599999999</v>
      </c>
      <c r="M333" s="21">
        <v>-0.97732642400000003</v>
      </c>
      <c r="N333">
        <v>1.2182530810000001</v>
      </c>
    </row>
    <row r="334" spans="1:14" x14ac:dyDescent="0.2">
      <c r="A334" t="s">
        <v>625</v>
      </c>
      <c r="B334">
        <v>411320</v>
      </c>
      <c r="C334" t="s">
        <v>28</v>
      </c>
      <c r="D334" t="s">
        <v>625</v>
      </c>
      <c r="E334" t="s">
        <v>942</v>
      </c>
      <c r="G334" t="s">
        <v>943</v>
      </c>
      <c r="J334">
        <v>5.8462906840000004</v>
      </c>
      <c r="K334">
        <v>0.60615847</v>
      </c>
      <c r="L334">
        <v>0.28550877299999999</v>
      </c>
      <c r="M334" s="21">
        <v>-0.97768248099999999</v>
      </c>
      <c r="N334">
        <v>1.2164238839999999</v>
      </c>
    </row>
    <row r="335" spans="1:14" x14ac:dyDescent="0.2">
      <c r="A335" t="s">
        <v>408</v>
      </c>
      <c r="B335">
        <v>369160</v>
      </c>
      <c r="C335" t="s">
        <v>34</v>
      </c>
      <c r="D335" t="s">
        <v>408</v>
      </c>
      <c r="J335">
        <v>7.0544859390000001</v>
      </c>
      <c r="K335">
        <v>0.623000361</v>
      </c>
      <c r="L335">
        <v>0.42866702800000001</v>
      </c>
      <c r="M335" s="21">
        <v>-0.97789166500000002</v>
      </c>
      <c r="N335">
        <v>1.215349228</v>
      </c>
    </row>
    <row r="336" spans="1:14" x14ac:dyDescent="0.2">
      <c r="A336" t="s">
        <v>944</v>
      </c>
      <c r="B336">
        <v>369120</v>
      </c>
      <c r="C336" t="s">
        <v>34</v>
      </c>
      <c r="D336" t="s">
        <v>944</v>
      </c>
      <c r="J336">
        <v>7.0544859390000001</v>
      </c>
      <c r="K336">
        <v>0.623000361</v>
      </c>
      <c r="L336">
        <v>0.42866702800000001</v>
      </c>
      <c r="M336" s="21">
        <v>-0.977926827</v>
      </c>
      <c r="N336">
        <v>1.2151685860000001</v>
      </c>
    </row>
    <row r="337" spans="1:14" x14ac:dyDescent="0.2">
      <c r="A337" t="s">
        <v>52</v>
      </c>
      <c r="B337">
        <v>581080</v>
      </c>
      <c r="C337" t="s">
        <v>149</v>
      </c>
      <c r="D337" t="s">
        <v>53</v>
      </c>
      <c r="E337" t="s">
        <v>945</v>
      </c>
      <c r="G337" t="s">
        <v>946</v>
      </c>
      <c r="J337">
        <v>5.0381074159999999</v>
      </c>
      <c r="K337">
        <v>0.81312368999999995</v>
      </c>
      <c r="L337">
        <v>0.16969141800000001</v>
      </c>
      <c r="M337" s="21">
        <v>-0.97804961499999998</v>
      </c>
      <c r="N337">
        <v>1.214537779</v>
      </c>
    </row>
    <row r="338" spans="1:14" x14ac:dyDescent="0.2">
      <c r="A338" t="s">
        <v>947</v>
      </c>
      <c r="B338">
        <v>543400</v>
      </c>
      <c r="C338" t="s">
        <v>100</v>
      </c>
      <c r="D338" t="s">
        <v>948</v>
      </c>
      <c r="E338" t="s">
        <v>949</v>
      </c>
      <c r="G338" t="s">
        <v>950</v>
      </c>
      <c r="J338">
        <v>5.9110743220000002</v>
      </c>
      <c r="K338">
        <v>0.71598987199999997</v>
      </c>
      <c r="L338">
        <v>0.29077365599999999</v>
      </c>
      <c r="M338" s="21">
        <v>-0.97816030300000001</v>
      </c>
      <c r="N338">
        <v>1.213969131</v>
      </c>
    </row>
    <row r="339" spans="1:14" x14ac:dyDescent="0.2">
      <c r="A339" t="s">
        <v>951</v>
      </c>
      <c r="B339">
        <v>410760</v>
      </c>
      <c r="C339" t="s">
        <v>28</v>
      </c>
      <c r="D339" t="s">
        <v>951</v>
      </c>
      <c r="E339" t="s">
        <v>952</v>
      </c>
      <c r="G339" t="s">
        <v>953</v>
      </c>
      <c r="J339">
        <v>5.8462906840000004</v>
      </c>
      <c r="K339">
        <v>0.60615847</v>
      </c>
      <c r="L339">
        <v>0.28550877299999999</v>
      </c>
      <c r="M339" s="21">
        <v>-0.97818805600000003</v>
      </c>
      <c r="N339">
        <v>1.2138265559999999</v>
      </c>
    </row>
    <row r="340" spans="1:14" x14ac:dyDescent="0.2">
      <c r="A340" t="s">
        <v>333</v>
      </c>
      <c r="B340">
        <v>368640</v>
      </c>
      <c r="C340" t="s">
        <v>34</v>
      </c>
      <c r="D340" t="s">
        <v>334</v>
      </c>
      <c r="E340" t="s">
        <v>954</v>
      </c>
      <c r="G340" t="s">
        <v>955</v>
      </c>
      <c r="J340">
        <v>7.0544859390000001</v>
      </c>
      <c r="K340">
        <v>0.623000361</v>
      </c>
      <c r="L340">
        <v>0.42866702800000001</v>
      </c>
      <c r="M340" s="21">
        <v>-0.97834877499999995</v>
      </c>
      <c r="N340">
        <v>1.213000879</v>
      </c>
    </row>
    <row r="341" spans="1:14" x14ac:dyDescent="0.2">
      <c r="A341" t="s">
        <v>956</v>
      </c>
      <c r="B341">
        <v>368400</v>
      </c>
      <c r="C341" t="s">
        <v>34</v>
      </c>
      <c r="D341" t="s">
        <v>956</v>
      </c>
      <c r="E341" t="s">
        <v>957</v>
      </c>
      <c r="G341" t="s">
        <v>958</v>
      </c>
      <c r="J341">
        <v>7.0544859390000001</v>
      </c>
      <c r="K341">
        <v>0.623000361</v>
      </c>
      <c r="L341">
        <v>0.42866702800000001</v>
      </c>
      <c r="M341" s="21">
        <v>-0.97855974999999995</v>
      </c>
      <c r="N341">
        <v>1.2119170260000001</v>
      </c>
    </row>
    <row r="342" spans="1:14" x14ac:dyDescent="0.2">
      <c r="A342" t="s">
        <v>389</v>
      </c>
      <c r="B342">
        <v>410280</v>
      </c>
      <c r="C342" t="s">
        <v>28</v>
      </c>
      <c r="D342" t="s">
        <v>389</v>
      </c>
      <c r="E342" t="s">
        <v>959</v>
      </c>
      <c r="G342" t="s">
        <v>960</v>
      </c>
      <c r="J342">
        <v>5.8462906840000004</v>
      </c>
      <c r="K342">
        <v>0.60615847</v>
      </c>
      <c r="L342">
        <v>0.28550877299999999</v>
      </c>
      <c r="M342" s="21">
        <v>-0.97862140600000003</v>
      </c>
      <c r="N342">
        <v>1.211600276</v>
      </c>
    </row>
    <row r="343" spans="1:14" x14ac:dyDescent="0.2">
      <c r="A343" t="s">
        <v>485</v>
      </c>
      <c r="B343">
        <v>542640</v>
      </c>
      <c r="C343" t="s">
        <v>100</v>
      </c>
      <c r="D343" t="s">
        <v>486</v>
      </c>
      <c r="E343" t="s">
        <v>961</v>
      </c>
      <c r="G343" t="s">
        <v>962</v>
      </c>
      <c r="J343">
        <v>5.9110743220000002</v>
      </c>
      <c r="K343">
        <v>0.71598987199999997</v>
      </c>
      <c r="L343">
        <v>0.29077365599999999</v>
      </c>
      <c r="M343" s="21">
        <v>-0.97891476600000005</v>
      </c>
      <c r="N343">
        <v>1.210093176</v>
      </c>
    </row>
    <row r="344" spans="1:14" x14ac:dyDescent="0.2">
      <c r="A344" t="s">
        <v>963</v>
      </c>
      <c r="B344">
        <v>367200</v>
      </c>
      <c r="C344" t="s">
        <v>34</v>
      </c>
      <c r="D344" t="s">
        <v>963</v>
      </c>
      <c r="E344" t="s">
        <v>964</v>
      </c>
      <c r="G344" t="s">
        <v>965</v>
      </c>
      <c r="J344">
        <v>7.0544859390000001</v>
      </c>
      <c r="K344">
        <v>0.623000361</v>
      </c>
      <c r="L344">
        <v>0.42866702800000001</v>
      </c>
      <c r="M344" s="21">
        <v>-0.97961462099999996</v>
      </c>
      <c r="N344">
        <v>1.2064977589999999</v>
      </c>
    </row>
    <row r="345" spans="1:14" x14ac:dyDescent="0.2">
      <c r="A345" t="s">
        <v>727</v>
      </c>
      <c r="B345">
        <v>549800</v>
      </c>
      <c r="C345" t="s">
        <v>58</v>
      </c>
      <c r="D345" t="s">
        <v>727</v>
      </c>
      <c r="E345" t="s">
        <v>966</v>
      </c>
      <c r="G345" t="s">
        <v>967</v>
      </c>
      <c r="J345">
        <v>4.5363847230000003</v>
      </c>
      <c r="K345">
        <v>0.245646371</v>
      </c>
      <c r="L345">
        <v>7.5242279999999995E-2</v>
      </c>
      <c r="M345" s="21">
        <v>-0.97969077400000004</v>
      </c>
      <c r="N345">
        <v>1.2061065280000001</v>
      </c>
    </row>
    <row r="346" spans="1:14" x14ac:dyDescent="0.2">
      <c r="A346" t="s">
        <v>968</v>
      </c>
      <c r="B346">
        <v>365400</v>
      </c>
      <c r="C346" t="s">
        <v>34</v>
      </c>
      <c r="D346" t="s">
        <v>969</v>
      </c>
      <c r="E346" t="s">
        <v>970</v>
      </c>
      <c r="G346" t="s">
        <v>971</v>
      </c>
      <c r="J346">
        <v>7.0544859390000001</v>
      </c>
      <c r="K346">
        <v>0.623000361</v>
      </c>
      <c r="L346">
        <v>0.42866702800000001</v>
      </c>
      <c r="M346" s="21">
        <v>-0.98119692700000005</v>
      </c>
      <c r="N346">
        <v>1.19836886</v>
      </c>
    </row>
    <row r="347" spans="1:14" x14ac:dyDescent="0.2">
      <c r="A347" t="s">
        <v>972</v>
      </c>
      <c r="B347">
        <v>564640</v>
      </c>
      <c r="C347" t="s">
        <v>130</v>
      </c>
      <c r="D347" t="s">
        <v>972</v>
      </c>
      <c r="E347" t="s">
        <v>973</v>
      </c>
      <c r="G347" t="s">
        <v>974</v>
      </c>
      <c r="J347">
        <v>5.1222566499999997</v>
      </c>
      <c r="K347">
        <v>0.21422175600000001</v>
      </c>
      <c r="L347">
        <v>0.25354511400000002</v>
      </c>
      <c r="M347" s="21">
        <v>-0.98145716400000005</v>
      </c>
      <c r="N347">
        <v>1.197031921</v>
      </c>
    </row>
    <row r="348" spans="1:14" x14ac:dyDescent="0.2">
      <c r="A348" t="s">
        <v>892</v>
      </c>
      <c r="B348">
        <v>364760</v>
      </c>
      <c r="C348" t="s">
        <v>34</v>
      </c>
      <c r="D348" t="s">
        <v>892</v>
      </c>
      <c r="E348" t="s">
        <v>975</v>
      </c>
      <c r="G348" t="s">
        <v>976</v>
      </c>
      <c r="J348">
        <v>7.0544859390000001</v>
      </c>
      <c r="K348">
        <v>0.623000361</v>
      </c>
      <c r="L348">
        <v>0.42866702800000001</v>
      </c>
      <c r="M348" s="21">
        <v>-0.98175952499999997</v>
      </c>
      <c r="N348">
        <v>1.195478584</v>
      </c>
    </row>
    <row r="349" spans="1:14" x14ac:dyDescent="0.2">
      <c r="A349" t="s">
        <v>977</v>
      </c>
      <c r="B349">
        <v>364720</v>
      </c>
      <c r="C349" t="s">
        <v>34</v>
      </c>
      <c r="D349" t="s">
        <v>978</v>
      </c>
      <c r="E349" t="s">
        <v>979</v>
      </c>
      <c r="G349" t="s">
        <v>980</v>
      </c>
      <c r="J349">
        <v>7.0544859390000001</v>
      </c>
      <c r="K349">
        <v>0.623000361</v>
      </c>
      <c r="L349">
        <v>0.42866702800000001</v>
      </c>
      <c r="M349" s="21">
        <v>-0.98179468700000005</v>
      </c>
      <c r="N349">
        <v>1.1952979420000001</v>
      </c>
    </row>
    <row r="350" spans="1:14" x14ac:dyDescent="0.2">
      <c r="A350" t="s">
        <v>225</v>
      </c>
      <c r="B350">
        <v>539280</v>
      </c>
      <c r="C350" t="s">
        <v>100</v>
      </c>
      <c r="D350" t="s">
        <v>225</v>
      </c>
      <c r="E350" t="s">
        <v>981</v>
      </c>
      <c r="G350" t="s">
        <v>982</v>
      </c>
      <c r="J350">
        <v>5.9110743220000002</v>
      </c>
      <c r="K350">
        <v>0.71598987199999997</v>
      </c>
      <c r="L350">
        <v>0.29077365599999999</v>
      </c>
      <c r="M350" s="21">
        <v>-0.98225028299999995</v>
      </c>
      <c r="N350">
        <v>1.192957375</v>
      </c>
    </row>
    <row r="351" spans="1:14" x14ac:dyDescent="0.2">
      <c r="A351" t="s">
        <v>919</v>
      </c>
      <c r="B351">
        <v>447120</v>
      </c>
      <c r="C351" t="s">
        <v>68</v>
      </c>
      <c r="D351" t="s">
        <v>919</v>
      </c>
      <c r="E351" t="s">
        <v>983</v>
      </c>
      <c r="G351" t="s">
        <v>984</v>
      </c>
      <c r="J351">
        <v>6.4561903559999996</v>
      </c>
      <c r="K351">
        <v>0.47291064100000002</v>
      </c>
      <c r="L351">
        <v>0.34414126499999997</v>
      </c>
      <c r="M351" s="21">
        <v>-0.98279613600000004</v>
      </c>
      <c r="N351">
        <v>1.1901531249999999</v>
      </c>
    </row>
    <row r="352" spans="1:14" x14ac:dyDescent="0.2">
      <c r="A352" t="s">
        <v>985</v>
      </c>
      <c r="B352">
        <v>363280</v>
      </c>
      <c r="C352" t="s">
        <v>34</v>
      </c>
      <c r="D352" t="s">
        <v>985</v>
      </c>
      <c r="J352">
        <v>7.0544859390000001</v>
      </c>
      <c r="K352">
        <v>0.623000361</v>
      </c>
      <c r="L352">
        <v>0.42866702800000001</v>
      </c>
      <c r="M352" s="21">
        <v>-0.98306053199999999</v>
      </c>
      <c r="N352">
        <v>1.188794822</v>
      </c>
    </row>
    <row r="353" spans="1:14" x14ac:dyDescent="0.2">
      <c r="A353" t="s">
        <v>625</v>
      </c>
      <c r="B353">
        <v>446320</v>
      </c>
      <c r="C353" t="s">
        <v>68</v>
      </c>
      <c r="D353" t="s">
        <v>625</v>
      </c>
      <c r="E353" t="s">
        <v>986</v>
      </c>
      <c r="G353" t="s">
        <v>987</v>
      </c>
      <c r="J353">
        <v>6.4561903559999996</v>
      </c>
      <c r="K353">
        <v>0.47291064100000002</v>
      </c>
      <c r="L353">
        <v>0.34414126499999997</v>
      </c>
      <c r="M353" s="21">
        <v>-0.98356977800000001</v>
      </c>
      <c r="N353">
        <v>1.186178636</v>
      </c>
    </row>
    <row r="354" spans="1:14" x14ac:dyDescent="0.2">
      <c r="A354" t="s">
        <v>988</v>
      </c>
      <c r="B354">
        <v>456320</v>
      </c>
      <c r="C354" t="s">
        <v>84</v>
      </c>
      <c r="D354" t="s">
        <v>988</v>
      </c>
      <c r="E354" t="s">
        <v>989</v>
      </c>
      <c r="J354">
        <v>3.600219579</v>
      </c>
      <c r="K354">
        <v>-0.293098474</v>
      </c>
      <c r="L354">
        <v>-0.153917466</v>
      </c>
      <c r="M354" s="21">
        <v>-0.98362608299999998</v>
      </c>
      <c r="N354">
        <v>1.1858893740000001</v>
      </c>
    </row>
    <row r="355" spans="1:14" x14ac:dyDescent="0.2">
      <c r="A355" t="s">
        <v>13</v>
      </c>
      <c r="B355">
        <v>544760</v>
      </c>
      <c r="C355" t="s">
        <v>58</v>
      </c>
      <c r="D355" t="s">
        <v>13</v>
      </c>
      <c r="E355" t="s">
        <v>990</v>
      </c>
      <c r="G355" t="s">
        <v>991</v>
      </c>
      <c r="J355">
        <v>4.5363847230000003</v>
      </c>
      <c r="K355">
        <v>0.245646371</v>
      </c>
      <c r="L355">
        <v>7.5242279999999995E-2</v>
      </c>
      <c r="M355" s="21">
        <v>-0.98455803500000005</v>
      </c>
      <c r="N355">
        <v>1.1811015869999999</v>
      </c>
    </row>
    <row r="356" spans="1:14" x14ac:dyDescent="0.2">
      <c r="A356" t="s">
        <v>94</v>
      </c>
      <c r="B356">
        <v>560600</v>
      </c>
      <c r="C356" t="s">
        <v>130</v>
      </c>
      <c r="D356" t="s">
        <v>95</v>
      </c>
      <c r="E356" t="s">
        <v>992</v>
      </c>
      <c r="G356" t="s">
        <v>993</v>
      </c>
      <c r="J356">
        <v>5.1222566499999997</v>
      </c>
      <c r="K356">
        <v>0.21422175600000001</v>
      </c>
      <c r="L356">
        <v>0.25354511400000002</v>
      </c>
      <c r="M356" s="21">
        <v>-0.98467231700000002</v>
      </c>
      <c r="N356">
        <v>1.1805144789999999</v>
      </c>
    </row>
    <row r="357" spans="1:14" x14ac:dyDescent="0.2">
      <c r="A357" t="s">
        <v>392</v>
      </c>
      <c r="B357">
        <v>455480</v>
      </c>
      <c r="C357" t="s">
        <v>84</v>
      </c>
      <c r="D357" t="s">
        <v>392</v>
      </c>
      <c r="E357" t="s">
        <v>994</v>
      </c>
      <c r="J357">
        <v>3.600219579</v>
      </c>
      <c r="K357">
        <v>-0.293098474</v>
      </c>
      <c r="L357">
        <v>-0.153917466</v>
      </c>
      <c r="M357" s="21">
        <v>-0.98472553100000004</v>
      </c>
      <c r="N357">
        <v>1.1802410999999999</v>
      </c>
    </row>
    <row r="358" spans="1:14" x14ac:dyDescent="0.2">
      <c r="A358" t="s">
        <v>995</v>
      </c>
      <c r="B358">
        <v>547800</v>
      </c>
      <c r="C358" t="s">
        <v>14</v>
      </c>
      <c r="D358" t="s">
        <v>995</v>
      </c>
      <c r="E358" t="s">
        <v>996</v>
      </c>
      <c r="G358" t="s">
        <v>997</v>
      </c>
      <c r="J358">
        <v>6.7484204910000001</v>
      </c>
      <c r="K358">
        <v>0.48629166299999999</v>
      </c>
      <c r="L358">
        <v>0.375053939</v>
      </c>
      <c r="M358" s="21">
        <v>-0.98574465300000003</v>
      </c>
      <c r="N358">
        <v>1.175005488</v>
      </c>
    </row>
    <row r="359" spans="1:14" x14ac:dyDescent="0.2">
      <c r="A359" t="s">
        <v>998</v>
      </c>
      <c r="B359">
        <v>402280</v>
      </c>
      <c r="C359" t="s">
        <v>28</v>
      </c>
      <c r="D359" t="s">
        <v>998</v>
      </c>
      <c r="E359" t="s">
        <v>999</v>
      </c>
      <c r="G359" t="s">
        <v>1000</v>
      </c>
      <c r="J359">
        <v>5.8462906840000004</v>
      </c>
      <c r="K359">
        <v>0.60615847</v>
      </c>
      <c r="L359">
        <v>0.28550877299999999</v>
      </c>
      <c r="M359" s="21">
        <v>-0.98584390399999999</v>
      </c>
      <c r="N359">
        <v>1.1744956</v>
      </c>
    </row>
    <row r="360" spans="1:14" x14ac:dyDescent="0.2">
      <c r="A360" t="s">
        <v>1001</v>
      </c>
      <c r="B360">
        <v>535640</v>
      </c>
      <c r="C360" t="s">
        <v>100</v>
      </c>
      <c r="D360" t="s">
        <v>1001</v>
      </c>
      <c r="E360" t="s">
        <v>1002</v>
      </c>
      <c r="G360" t="s">
        <v>1003</v>
      </c>
      <c r="J360">
        <v>5.9110743220000002</v>
      </c>
      <c r="K360">
        <v>0.71598987199999997</v>
      </c>
      <c r="L360">
        <v>0.29077365599999999</v>
      </c>
      <c r="M360" s="21">
        <v>-0.98586375999999998</v>
      </c>
      <c r="N360">
        <v>1.1743935910000001</v>
      </c>
    </row>
    <row r="361" spans="1:14" x14ac:dyDescent="0.2">
      <c r="A361" t="s">
        <v>529</v>
      </c>
      <c r="B361">
        <v>401840</v>
      </c>
      <c r="C361" t="s">
        <v>28</v>
      </c>
      <c r="D361" t="s">
        <v>529</v>
      </c>
      <c r="E361" t="s">
        <v>1004</v>
      </c>
      <c r="G361" t="s">
        <v>1005</v>
      </c>
      <c r="J361">
        <v>5.8462906840000004</v>
      </c>
      <c r="K361">
        <v>0.60615847</v>
      </c>
      <c r="L361">
        <v>0.28550877299999999</v>
      </c>
      <c r="M361" s="21">
        <v>-0.98624114100000004</v>
      </c>
      <c r="N361">
        <v>1.1724548420000001</v>
      </c>
    </row>
    <row r="362" spans="1:14" x14ac:dyDescent="0.2">
      <c r="A362" t="s">
        <v>27</v>
      </c>
      <c r="B362">
        <v>535080</v>
      </c>
      <c r="C362" t="s">
        <v>100</v>
      </c>
      <c r="D362" t="s">
        <v>29</v>
      </c>
      <c r="E362" t="s">
        <v>1006</v>
      </c>
      <c r="G362" t="s">
        <v>1007</v>
      </c>
      <c r="J362">
        <v>5.9110743220000002</v>
      </c>
      <c r="K362">
        <v>0.71598987199999997</v>
      </c>
      <c r="L362">
        <v>0.29077365599999999</v>
      </c>
      <c r="M362" s="21">
        <v>-0.98641968000000002</v>
      </c>
      <c r="N362">
        <v>1.1715376239999999</v>
      </c>
    </row>
    <row r="363" spans="1:14" x14ac:dyDescent="0.2">
      <c r="A363" t="s">
        <v>988</v>
      </c>
      <c r="B363">
        <v>542720</v>
      </c>
      <c r="C363" t="s">
        <v>58</v>
      </c>
      <c r="D363" t="s">
        <v>988</v>
      </c>
      <c r="E363" t="s">
        <v>1008</v>
      </c>
      <c r="G363" t="s">
        <v>1009</v>
      </c>
      <c r="J363">
        <v>4.5363847230000003</v>
      </c>
      <c r="K363">
        <v>0.245646371</v>
      </c>
      <c r="L363">
        <v>7.5242279999999995E-2</v>
      </c>
      <c r="M363" s="21">
        <v>-0.98652811699999998</v>
      </c>
      <c r="N363">
        <v>1.1709805390000001</v>
      </c>
    </row>
    <row r="364" spans="1:14" x14ac:dyDescent="0.2">
      <c r="A364" t="s">
        <v>1010</v>
      </c>
      <c r="B364">
        <v>571080</v>
      </c>
      <c r="C364" t="s">
        <v>149</v>
      </c>
      <c r="D364" t="s">
        <v>1010</v>
      </c>
      <c r="E364" t="s">
        <v>1011</v>
      </c>
      <c r="G364" t="s">
        <v>1012</v>
      </c>
      <c r="J364">
        <v>5.0381074159999999</v>
      </c>
      <c r="K364">
        <v>0.81312368999999995</v>
      </c>
      <c r="L364">
        <v>0.16969141800000001</v>
      </c>
      <c r="M364" s="21">
        <v>-0.98729577499999999</v>
      </c>
      <c r="N364">
        <v>1.1670367909999999</v>
      </c>
    </row>
    <row r="365" spans="1:14" x14ac:dyDescent="0.2">
      <c r="A365" t="s">
        <v>1013</v>
      </c>
      <c r="B365">
        <v>358440</v>
      </c>
      <c r="C365" t="s">
        <v>34</v>
      </c>
      <c r="D365" t="s">
        <v>1014</v>
      </c>
      <c r="E365" t="s">
        <v>1015</v>
      </c>
      <c r="G365" t="s">
        <v>1016</v>
      </c>
      <c r="J365">
        <v>7.0544859390000001</v>
      </c>
      <c r="K365">
        <v>0.623000361</v>
      </c>
      <c r="L365">
        <v>0.42866702800000001</v>
      </c>
      <c r="M365" s="21">
        <v>-0.98731517800000002</v>
      </c>
      <c r="N365">
        <v>1.166937114</v>
      </c>
    </row>
    <row r="366" spans="1:14" x14ac:dyDescent="0.2">
      <c r="A366" t="s">
        <v>203</v>
      </c>
      <c r="B366">
        <v>442440</v>
      </c>
      <c r="C366" t="s">
        <v>68</v>
      </c>
      <c r="D366" t="s">
        <v>204</v>
      </c>
      <c r="E366" t="s">
        <v>1017</v>
      </c>
      <c r="G366" t="s">
        <v>1018</v>
      </c>
      <c r="J366">
        <v>6.4561903559999996</v>
      </c>
      <c r="K366">
        <v>0.47291064100000002</v>
      </c>
      <c r="L366">
        <v>0.34414126499999997</v>
      </c>
      <c r="M366" s="21">
        <v>-0.98732194100000004</v>
      </c>
      <c r="N366">
        <v>1.1669023670000001</v>
      </c>
    </row>
    <row r="367" spans="1:14" x14ac:dyDescent="0.2">
      <c r="A367" t="s">
        <v>511</v>
      </c>
      <c r="B367">
        <v>357760</v>
      </c>
      <c r="C367" t="s">
        <v>34</v>
      </c>
      <c r="D367" t="s">
        <v>511</v>
      </c>
      <c r="E367" t="s">
        <v>1019</v>
      </c>
      <c r="G367" t="s">
        <v>1020</v>
      </c>
      <c r="J367">
        <v>7.0544859390000001</v>
      </c>
      <c r="K367">
        <v>0.623000361</v>
      </c>
      <c r="L367">
        <v>0.42866702800000001</v>
      </c>
      <c r="M367" s="21">
        <v>-0.98791293800000002</v>
      </c>
      <c r="N367">
        <v>1.1638661960000001</v>
      </c>
    </row>
    <row r="368" spans="1:14" x14ac:dyDescent="0.2">
      <c r="A368" t="s">
        <v>572</v>
      </c>
      <c r="B368">
        <v>569800</v>
      </c>
      <c r="C368" t="s">
        <v>149</v>
      </c>
      <c r="D368" t="s">
        <v>572</v>
      </c>
      <c r="E368" t="s">
        <v>1021</v>
      </c>
      <c r="G368" t="s">
        <v>1022</v>
      </c>
      <c r="J368">
        <v>5.0381074159999999</v>
      </c>
      <c r="K368">
        <v>0.81312368999999995</v>
      </c>
      <c r="L368">
        <v>0.16969141800000001</v>
      </c>
      <c r="M368" s="21">
        <v>-0.98847928399999996</v>
      </c>
      <c r="N368">
        <v>1.1609566650000001</v>
      </c>
    </row>
    <row r="369" spans="1:14" x14ac:dyDescent="0.2">
      <c r="A369" t="s">
        <v>232</v>
      </c>
      <c r="B369">
        <v>539720</v>
      </c>
      <c r="C369" t="s">
        <v>58</v>
      </c>
      <c r="D369" t="s">
        <v>233</v>
      </c>
      <c r="E369" t="s">
        <v>1023</v>
      </c>
      <c r="G369" t="s">
        <v>1024</v>
      </c>
      <c r="J369">
        <v>4.5363847230000003</v>
      </c>
      <c r="K369">
        <v>0.245646371</v>
      </c>
      <c r="L369">
        <v>7.5242279999999995E-2</v>
      </c>
      <c r="M369" s="21">
        <v>-0.98942529599999995</v>
      </c>
      <c r="N369">
        <v>1.156096646</v>
      </c>
    </row>
    <row r="370" spans="1:14" x14ac:dyDescent="0.2">
      <c r="A370" t="s">
        <v>415</v>
      </c>
      <c r="B370">
        <v>397800</v>
      </c>
      <c r="C370" t="s">
        <v>28</v>
      </c>
      <c r="D370" t="s">
        <v>415</v>
      </c>
      <c r="E370" t="s">
        <v>1025</v>
      </c>
      <c r="G370" t="s">
        <v>1026</v>
      </c>
      <c r="J370">
        <v>5.8462906840000004</v>
      </c>
      <c r="K370">
        <v>0.60615847</v>
      </c>
      <c r="L370">
        <v>0.28550877299999999</v>
      </c>
      <c r="M370" s="21">
        <v>-0.98988850299999998</v>
      </c>
      <c r="N370">
        <v>1.1537169810000001</v>
      </c>
    </row>
    <row r="371" spans="1:14" x14ac:dyDescent="0.2">
      <c r="A371" t="s">
        <v>567</v>
      </c>
      <c r="B371">
        <v>553480</v>
      </c>
      <c r="C371" t="s">
        <v>130</v>
      </c>
      <c r="D371" t="s">
        <v>567</v>
      </c>
      <c r="E371" t="s">
        <v>1027</v>
      </c>
      <c r="G371" t="s">
        <v>1028</v>
      </c>
      <c r="J371">
        <v>5.1222566499999997</v>
      </c>
      <c r="K371">
        <v>0.21422175600000001</v>
      </c>
      <c r="L371">
        <v>0.25354511400000002</v>
      </c>
      <c r="M371" s="21">
        <v>-0.990338626</v>
      </c>
      <c r="N371">
        <v>1.1514045310000001</v>
      </c>
    </row>
    <row r="372" spans="1:14" x14ac:dyDescent="0.2">
      <c r="A372" t="s">
        <v>458</v>
      </c>
      <c r="B372">
        <v>543440</v>
      </c>
      <c r="C372" t="s">
        <v>14</v>
      </c>
      <c r="D372" t="s">
        <v>459</v>
      </c>
      <c r="E372" t="s">
        <v>1029</v>
      </c>
      <c r="G372" t="s">
        <v>1030</v>
      </c>
      <c r="J372">
        <v>6.7484204910000001</v>
      </c>
      <c r="K372">
        <v>0.48629166299999999</v>
      </c>
      <c r="L372">
        <v>0.375053939</v>
      </c>
      <c r="M372" s="21">
        <v>-0.99052200199999996</v>
      </c>
      <c r="N372">
        <v>1.1504624569999999</v>
      </c>
    </row>
    <row r="373" spans="1:14" x14ac:dyDescent="0.2">
      <c r="A373" t="s">
        <v>1031</v>
      </c>
      <c r="B373">
        <v>543080</v>
      </c>
      <c r="C373" t="s">
        <v>14</v>
      </c>
      <c r="D373" t="s">
        <v>1031</v>
      </c>
      <c r="E373" t="s">
        <v>1032</v>
      </c>
      <c r="G373" t="s">
        <v>1033</v>
      </c>
      <c r="J373">
        <v>6.7484204910000001</v>
      </c>
      <c r="K373">
        <v>0.48629166299999999</v>
      </c>
      <c r="L373">
        <v>0.375053939</v>
      </c>
      <c r="M373" s="21">
        <v>-0.99091646200000005</v>
      </c>
      <c r="N373">
        <v>1.148435968</v>
      </c>
    </row>
    <row r="374" spans="1:14" x14ac:dyDescent="0.2">
      <c r="A374" t="s">
        <v>389</v>
      </c>
      <c r="B374">
        <v>567120</v>
      </c>
      <c r="C374" t="s">
        <v>149</v>
      </c>
      <c r="D374" t="s">
        <v>389</v>
      </c>
      <c r="E374" t="s">
        <v>1034</v>
      </c>
      <c r="G374" t="s">
        <v>1035</v>
      </c>
      <c r="J374">
        <v>5.0381074159999999</v>
      </c>
      <c r="K374">
        <v>0.81312368999999995</v>
      </c>
      <c r="L374">
        <v>0.16969141800000001</v>
      </c>
      <c r="M374" s="21">
        <v>-0.99095725499999998</v>
      </c>
      <c r="N374">
        <v>1.1482264</v>
      </c>
    </row>
    <row r="375" spans="1:14" x14ac:dyDescent="0.2">
      <c r="A375" t="s">
        <v>198</v>
      </c>
      <c r="B375">
        <v>566840</v>
      </c>
      <c r="C375" t="s">
        <v>149</v>
      </c>
      <c r="D375" t="s">
        <v>199</v>
      </c>
      <c r="E375" t="s">
        <v>1036</v>
      </c>
      <c r="G375" t="s">
        <v>1037</v>
      </c>
      <c r="J375">
        <v>5.0381074159999999</v>
      </c>
      <c r="K375">
        <v>0.81312368999999995</v>
      </c>
      <c r="L375">
        <v>0.16969141800000001</v>
      </c>
      <c r="M375" s="21">
        <v>-0.99121614700000005</v>
      </c>
      <c r="N375">
        <v>1.1468963729999999</v>
      </c>
    </row>
    <row r="376" spans="1:14" x14ac:dyDescent="0.2">
      <c r="A376" t="s">
        <v>333</v>
      </c>
      <c r="B376">
        <v>566840</v>
      </c>
      <c r="C376" t="s">
        <v>149</v>
      </c>
      <c r="D376" t="s">
        <v>334</v>
      </c>
      <c r="E376" t="s">
        <v>1038</v>
      </c>
      <c r="G376" t="s">
        <v>1039</v>
      </c>
      <c r="J376">
        <v>5.0381074159999999</v>
      </c>
      <c r="K376">
        <v>0.81312368999999995</v>
      </c>
      <c r="L376">
        <v>0.16969141800000001</v>
      </c>
      <c r="M376" s="21">
        <v>-0.99121614700000005</v>
      </c>
      <c r="N376">
        <v>1.1468963729999999</v>
      </c>
    </row>
    <row r="377" spans="1:14" x14ac:dyDescent="0.2">
      <c r="A377" t="s">
        <v>772</v>
      </c>
      <c r="B377">
        <v>450520</v>
      </c>
      <c r="C377" t="s">
        <v>84</v>
      </c>
      <c r="D377" t="s">
        <v>772</v>
      </c>
      <c r="E377" t="s">
        <v>1040</v>
      </c>
      <c r="J377">
        <v>3.600219579</v>
      </c>
      <c r="K377">
        <v>-0.293098474</v>
      </c>
      <c r="L377">
        <v>-0.153917466</v>
      </c>
      <c r="M377" s="21">
        <v>-0.991217507</v>
      </c>
      <c r="N377">
        <v>1.146889386</v>
      </c>
    </row>
    <row r="378" spans="1:14" x14ac:dyDescent="0.2">
      <c r="A378" t="s">
        <v>157</v>
      </c>
      <c r="B378">
        <v>396280</v>
      </c>
      <c r="C378" t="s">
        <v>28</v>
      </c>
      <c r="D378" t="s">
        <v>157</v>
      </c>
      <c r="E378" t="s">
        <v>1041</v>
      </c>
      <c r="G378" t="s">
        <v>1042</v>
      </c>
      <c r="J378">
        <v>5.8462906840000004</v>
      </c>
      <c r="K378">
        <v>0.60615847</v>
      </c>
      <c r="L378">
        <v>0.28550877299999999</v>
      </c>
      <c r="M378" s="21">
        <v>-0.99126077700000004</v>
      </c>
      <c r="N378">
        <v>1.1466670919999999</v>
      </c>
    </row>
    <row r="379" spans="1:14" x14ac:dyDescent="0.2">
      <c r="A379" t="s">
        <v>470</v>
      </c>
      <c r="B379">
        <v>396120</v>
      </c>
      <c r="C379" t="s">
        <v>28</v>
      </c>
      <c r="D379" t="s">
        <v>470</v>
      </c>
      <c r="E379" t="s">
        <v>1043</v>
      </c>
      <c r="G379" t="s">
        <v>1044</v>
      </c>
      <c r="J379">
        <v>5.8462906840000004</v>
      </c>
      <c r="K379">
        <v>0.60615847</v>
      </c>
      <c r="L379">
        <v>0.28550877299999999</v>
      </c>
      <c r="M379" s="21">
        <v>-0.991405227</v>
      </c>
      <c r="N379">
        <v>1.145924999</v>
      </c>
    </row>
    <row r="380" spans="1:14" x14ac:dyDescent="0.2">
      <c r="A380" t="s">
        <v>214</v>
      </c>
      <c r="B380">
        <v>353520</v>
      </c>
      <c r="C380" t="s">
        <v>34</v>
      </c>
      <c r="D380" t="s">
        <v>215</v>
      </c>
      <c r="E380" t="s">
        <v>1045</v>
      </c>
      <c r="G380" t="s">
        <v>1046</v>
      </c>
      <c r="J380">
        <v>7.0544859390000001</v>
      </c>
      <c r="K380">
        <v>0.623000361</v>
      </c>
      <c r="L380">
        <v>0.42866702800000001</v>
      </c>
      <c r="M380" s="21">
        <v>-0.991640148</v>
      </c>
      <c r="N380">
        <v>1.1447181209999999</v>
      </c>
    </row>
    <row r="381" spans="1:14" x14ac:dyDescent="0.2">
      <c r="A381" t="s">
        <v>907</v>
      </c>
      <c r="B381">
        <v>353040</v>
      </c>
      <c r="C381" t="s">
        <v>34</v>
      </c>
      <c r="D381" t="s">
        <v>907</v>
      </c>
      <c r="E381" t="s">
        <v>1047</v>
      </c>
      <c r="G381" t="s">
        <v>1048</v>
      </c>
      <c r="J381">
        <v>7.0544859390000001</v>
      </c>
      <c r="K381">
        <v>0.623000361</v>
      </c>
      <c r="L381">
        <v>0.42866702800000001</v>
      </c>
      <c r="M381" s="21">
        <v>-0.99206209700000003</v>
      </c>
      <c r="N381">
        <v>1.1425504150000001</v>
      </c>
    </row>
    <row r="382" spans="1:14" x14ac:dyDescent="0.2">
      <c r="A382" t="s">
        <v>1049</v>
      </c>
      <c r="B382">
        <v>551280</v>
      </c>
      <c r="C382" t="s">
        <v>130</v>
      </c>
      <c r="D382" t="s">
        <v>1049</v>
      </c>
      <c r="E382" t="s">
        <v>1050</v>
      </c>
      <c r="G382" t="s">
        <v>1051</v>
      </c>
      <c r="J382">
        <v>5.1222566499999997</v>
      </c>
      <c r="K382">
        <v>0.21422175600000001</v>
      </c>
      <c r="L382">
        <v>0.25354511400000002</v>
      </c>
      <c r="M382" s="21">
        <v>-0.99208945100000001</v>
      </c>
      <c r="N382">
        <v>1.1424098840000001</v>
      </c>
    </row>
    <row r="383" spans="1:14" x14ac:dyDescent="0.2">
      <c r="A383" t="s">
        <v>1052</v>
      </c>
      <c r="B383">
        <v>351880</v>
      </c>
      <c r="C383" t="s">
        <v>34</v>
      </c>
      <c r="D383" t="s">
        <v>1052</v>
      </c>
      <c r="E383" t="s">
        <v>1053</v>
      </c>
      <c r="G383" t="s">
        <v>1054</v>
      </c>
      <c r="J383">
        <v>7.0544859390000001</v>
      </c>
      <c r="K383">
        <v>0.623000361</v>
      </c>
      <c r="L383">
        <v>0.42866702800000001</v>
      </c>
      <c r="M383" s="21">
        <v>-0.99308180499999998</v>
      </c>
      <c r="N383">
        <v>1.13731179</v>
      </c>
    </row>
    <row r="384" spans="1:14" x14ac:dyDescent="0.2">
      <c r="A384" t="s">
        <v>1055</v>
      </c>
      <c r="B384">
        <v>564200</v>
      </c>
      <c r="C384" t="s">
        <v>149</v>
      </c>
      <c r="D384" t="s">
        <v>1055</v>
      </c>
      <c r="E384" t="s">
        <v>1056</v>
      </c>
      <c r="G384" t="s">
        <v>1057</v>
      </c>
      <c r="J384">
        <v>5.0381074159999999</v>
      </c>
      <c r="K384">
        <v>0.81312368999999995</v>
      </c>
      <c r="L384">
        <v>0.16969141800000001</v>
      </c>
      <c r="M384" s="21">
        <v>-0.993657134</v>
      </c>
      <c r="N384">
        <v>1.1343561120000001</v>
      </c>
    </row>
    <row r="385" spans="1:14" x14ac:dyDescent="0.2">
      <c r="A385" t="s">
        <v>1058</v>
      </c>
      <c r="B385">
        <v>435120</v>
      </c>
      <c r="C385" t="s">
        <v>68</v>
      </c>
      <c r="D385" t="s">
        <v>1059</v>
      </c>
      <c r="E385" t="s">
        <v>1060</v>
      </c>
      <c r="G385" t="s">
        <v>1061</v>
      </c>
      <c r="J385">
        <v>6.4561903559999996</v>
      </c>
      <c r="K385">
        <v>0.47291064100000002</v>
      </c>
      <c r="L385">
        <v>0.34414126499999997</v>
      </c>
      <c r="M385" s="21">
        <v>-0.99440076600000005</v>
      </c>
      <c r="N385">
        <v>1.130535796</v>
      </c>
    </row>
    <row r="386" spans="1:14" x14ac:dyDescent="0.2">
      <c r="A386" t="s">
        <v>1062</v>
      </c>
      <c r="B386">
        <v>392720</v>
      </c>
      <c r="C386" t="s">
        <v>28</v>
      </c>
      <c r="D386" t="s">
        <v>1062</v>
      </c>
      <c r="E386" t="s">
        <v>1063</v>
      </c>
      <c r="G386" t="s">
        <v>1064</v>
      </c>
      <c r="J386">
        <v>5.8462906840000004</v>
      </c>
      <c r="K386">
        <v>0.60615847</v>
      </c>
      <c r="L386">
        <v>0.28550877299999999</v>
      </c>
      <c r="M386" s="21">
        <v>-0.99447478899999997</v>
      </c>
      <c r="N386">
        <v>1.130155512</v>
      </c>
    </row>
    <row r="387" spans="1:14" x14ac:dyDescent="0.2">
      <c r="A387" t="s">
        <v>1065</v>
      </c>
      <c r="B387">
        <v>350040</v>
      </c>
      <c r="C387" t="s">
        <v>34</v>
      </c>
      <c r="D387" t="s">
        <v>1066</v>
      </c>
      <c r="E387" t="s">
        <v>1067</v>
      </c>
      <c r="G387" t="s">
        <v>1068</v>
      </c>
      <c r="J387">
        <v>7.0544859390000001</v>
      </c>
      <c r="K387">
        <v>0.623000361</v>
      </c>
      <c r="L387">
        <v>0.42866702800000001</v>
      </c>
      <c r="M387" s="21">
        <v>-0.99469927400000002</v>
      </c>
      <c r="N387">
        <v>1.1290022479999999</v>
      </c>
    </row>
    <row r="388" spans="1:14" x14ac:dyDescent="0.2">
      <c r="A388" t="s">
        <v>1069</v>
      </c>
      <c r="B388">
        <v>392120</v>
      </c>
      <c r="C388" t="s">
        <v>28</v>
      </c>
      <c r="D388" t="s">
        <v>1070</v>
      </c>
      <c r="E388" t="s">
        <v>1071</v>
      </c>
      <c r="G388" t="s">
        <v>1072</v>
      </c>
      <c r="J388">
        <v>5.8462906840000004</v>
      </c>
      <c r="K388">
        <v>0.60615847</v>
      </c>
      <c r="L388">
        <v>0.28550877299999999</v>
      </c>
      <c r="M388" s="21">
        <v>-0.99501647599999998</v>
      </c>
      <c r="N388">
        <v>1.1273726610000001</v>
      </c>
    </row>
    <row r="389" spans="1:14" x14ac:dyDescent="0.2">
      <c r="A389" t="s">
        <v>1073</v>
      </c>
      <c r="B389">
        <v>391680</v>
      </c>
      <c r="C389" t="s">
        <v>28</v>
      </c>
      <c r="D389" t="s">
        <v>1073</v>
      </c>
      <c r="E389" t="s">
        <v>1074</v>
      </c>
      <c r="G389" t="s">
        <v>1075</v>
      </c>
      <c r="J389">
        <v>5.8462906840000004</v>
      </c>
      <c r="K389">
        <v>0.60615847</v>
      </c>
      <c r="L389">
        <v>0.28550877299999999</v>
      </c>
      <c r="M389" s="21">
        <v>-0.99541371400000001</v>
      </c>
      <c r="N389">
        <v>1.125331904</v>
      </c>
    </row>
    <row r="390" spans="1:14" x14ac:dyDescent="0.2">
      <c r="A390" t="s">
        <v>1076</v>
      </c>
      <c r="B390">
        <v>347960</v>
      </c>
      <c r="C390" t="s">
        <v>34</v>
      </c>
      <c r="D390" t="s">
        <v>1077</v>
      </c>
      <c r="E390" t="s">
        <v>1078</v>
      </c>
      <c r="G390" t="s">
        <v>1079</v>
      </c>
      <c r="J390">
        <v>7.0544859390000001</v>
      </c>
      <c r="K390">
        <v>0.623000361</v>
      </c>
      <c r="L390">
        <v>0.42866702800000001</v>
      </c>
      <c r="M390" s="21">
        <v>-0.99652771699999998</v>
      </c>
      <c r="N390">
        <v>1.1196088529999999</v>
      </c>
    </row>
    <row r="391" spans="1:14" x14ac:dyDescent="0.2">
      <c r="A391" t="s">
        <v>352</v>
      </c>
      <c r="B391">
        <v>537880</v>
      </c>
      <c r="C391" t="s">
        <v>14</v>
      </c>
      <c r="D391" t="s">
        <v>352</v>
      </c>
      <c r="E391" t="s">
        <v>1080</v>
      </c>
      <c r="G391" t="s">
        <v>1081</v>
      </c>
      <c r="J391">
        <v>6.7484204910000001</v>
      </c>
      <c r="K391">
        <v>0.48629166299999999</v>
      </c>
      <c r="L391">
        <v>0.375053939</v>
      </c>
      <c r="M391" s="21">
        <v>-0.99661421800000005</v>
      </c>
      <c r="N391">
        <v>1.1191644629999999</v>
      </c>
    </row>
    <row r="392" spans="1:14" x14ac:dyDescent="0.2">
      <c r="A392" t="s">
        <v>1082</v>
      </c>
      <c r="B392">
        <v>347240</v>
      </c>
      <c r="C392" t="s">
        <v>34</v>
      </c>
      <c r="D392" t="s">
        <v>1082</v>
      </c>
      <c r="E392" t="s">
        <v>1083</v>
      </c>
      <c r="G392" t="s">
        <v>1084</v>
      </c>
      <c r="J392">
        <v>7.0544859390000001</v>
      </c>
      <c r="K392">
        <v>0.623000361</v>
      </c>
      <c r="L392">
        <v>0.42866702800000001</v>
      </c>
      <c r="M392" s="21">
        <v>-0.99716063899999996</v>
      </c>
      <c r="N392">
        <v>1.1163572930000001</v>
      </c>
    </row>
    <row r="393" spans="1:14" x14ac:dyDescent="0.2">
      <c r="A393" t="s">
        <v>239</v>
      </c>
      <c r="B393">
        <v>560080</v>
      </c>
      <c r="C393" t="s">
        <v>149</v>
      </c>
      <c r="D393" t="s">
        <v>240</v>
      </c>
      <c r="E393" t="s">
        <v>1085</v>
      </c>
      <c r="G393" t="s">
        <v>1086</v>
      </c>
      <c r="J393">
        <v>5.0381074159999999</v>
      </c>
      <c r="K393">
        <v>0.81312368999999995</v>
      </c>
      <c r="L393">
        <v>0.16969141800000001</v>
      </c>
      <c r="M393" s="21">
        <v>-0.99746655200000001</v>
      </c>
      <c r="N393">
        <v>1.1147857050000001</v>
      </c>
    </row>
    <row r="394" spans="1:14" x14ac:dyDescent="0.2">
      <c r="A394" t="s">
        <v>656</v>
      </c>
      <c r="B394">
        <v>544440</v>
      </c>
      <c r="C394" t="s">
        <v>130</v>
      </c>
      <c r="D394" t="s">
        <v>656</v>
      </c>
      <c r="E394" t="s">
        <v>1087</v>
      </c>
      <c r="G394" t="s">
        <v>1088</v>
      </c>
      <c r="J394">
        <v>5.1222566499999997</v>
      </c>
      <c r="K394">
        <v>0.21422175600000001</v>
      </c>
      <c r="L394">
        <v>0.25354511400000002</v>
      </c>
      <c r="M394" s="21">
        <v>-0.99753292699999996</v>
      </c>
      <c r="N394">
        <v>1.114444709</v>
      </c>
    </row>
    <row r="395" spans="1:14" x14ac:dyDescent="0.2">
      <c r="A395" t="s">
        <v>1089</v>
      </c>
      <c r="B395">
        <v>389000</v>
      </c>
      <c r="C395" t="s">
        <v>28</v>
      </c>
      <c r="D395" t="s">
        <v>1089</v>
      </c>
      <c r="E395" t="s">
        <v>1090</v>
      </c>
      <c r="G395" t="s">
        <v>1091</v>
      </c>
      <c r="J395">
        <v>5.8462906840000004</v>
      </c>
      <c r="K395">
        <v>0.60615847</v>
      </c>
      <c r="L395">
        <v>0.28550877299999999</v>
      </c>
      <c r="M395" s="21">
        <v>-0.99783325099999998</v>
      </c>
      <c r="N395">
        <v>1.1129018369999999</v>
      </c>
    </row>
    <row r="396" spans="1:14" x14ac:dyDescent="0.2">
      <c r="A396" t="s">
        <v>1092</v>
      </c>
      <c r="B396">
        <v>345640</v>
      </c>
      <c r="C396" t="s">
        <v>34</v>
      </c>
      <c r="D396" t="s">
        <v>1092</v>
      </c>
      <c r="E396" t="s">
        <v>1093</v>
      </c>
      <c r="G396" t="s">
        <v>1094</v>
      </c>
      <c r="J396">
        <v>7.0544859390000001</v>
      </c>
      <c r="K396">
        <v>0.623000361</v>
      </c>
      <c r="L396">
        <v>0.42866702800000001</v>
      </c>
      <c r="M396" s="21">
        <v>-0.99856713399999997</v>
      </c>
      <c r="N396">
        <v>1.109131605</v>
      </c>
    </row>
    <row r="397" spans="1:14" x14ac:dyDescent="0.2">
      <c r="A397" t="s">
        <v>1095</v>
      </c>
      <c r="B397">
        <v>387480</v>
      </c>
      <c r="C397" t="s">
        <v>28</v>
      </c>
      <c r="D397" t="s">
        <v>1096</v>
      </c>
      <c r="E397" t="s">
        <v>1097</v>
      </c>
      <c r="G397" t="s">
        <v>1098</v>
      </c>
      <c r="J397">
        <v>5.8462906840000004</v>
      </c>
      <c r="K397">
        <v>0.60615847</v>
      </c>
      <c r="L397">
        <v>0.28550877299999999</v>
      </c>
      <c r="M397" s="21">
        <v>-0.99920552500000004</v>
      </c>
      <c r="N397">
        <v>1.1058519490000001</v>
      </c>
    </row>
    <row r="398" spans="1:14" x14ac:dyDescent="0.2">
      <c r="A398" t="s">
        <v>426</v>
      </c>
      <c r="B398">
        <v>522120</v>
      </c>
      <c r="C398" t="s">
        <v>100</v>
      </c>
      <c r="D398" t="s">
        <v>426</v>
      </c>
      <c r="E398" t="s">
        <v>1099</v>
      </c>
      <c r="G398" t="s">
        <v>1100</v>
      </c>
      <c r="J398">
        <v>5.9110743220000002</v>
      </c>
      <c r="K398">
        <v>0.71598987199999997</v>
      </c>
      <c r="L398">
        <v>0.29077365599999999</v>
      </c>
      <c r="M398" s="21">
        <v>-0.99928524600000002</v>
      </c>
      <c r="N398">
        <v>1.1054423920000001</v>
      </c>
    </row>
    <row r="399" spans="1:14" x14ac:dyDescent="0.2">
      <c r="A399" t="s">
        <v>1101</v>
      </c>
      <c r="B399">
        <v>429360</v>
      </c>
      <c r="C399" t="s">
        <v>68</v>
      </c>
      <c r="D399" t="s">
        <v>1101</v>
      </c>
      <c r="E399" t="s">
        <v>1102</v>
      </c>
      <c r="G399" t="s">
        <v>1103</v>
      </c>
      <c r="J399">
        <v>6.4561903559999996</v>
      </c>
      <c r="K399">
        <v>0.47291064100000002</v>
      </c>
      <c r="L399">
        <v>0.34414126499999997</v>
      </c>
      <c r="M399" s="21">
        <v>-0.99997098799999995</v>
      </c>
      <c r="N399">
        <v>1.1019194779999999</v>
      </c>
    </row>
    <row r="400" spans="1:14" x14ac:dyDescent="0.2">
      <c r="A400" t="s">
        <v>1104</v>
      </c>
      <c r="B400">
        <v>429320</v>
      </c>
      <c r="C400" t="s">
        <v>68</v>
      </c>
      <c r="D400" t="s">
        <v>1105</v>
      </c>
      <c r="E400" t="s">
        <v>1106</v>
      </c>
      <c r="G400" t="s">
        <v>1107</v>
      </c>
      <c r="J400">
        <v>6.4561903559999996</v>
      </c>
      <c r="K400">
        <v>0.47291064100000002</v>
      </c>
      <c r="L400">
        <v>0.34414126499999997</v>
      </c>
      <c r="M400" s="21">
        <v>-1.0000096709999999</v>
      </c>
      <c r="N400">
        <v>1.1017207529999999</v>
      </c>
    </row>
    <row r="401" spans="1:14" x14ac:dyDescent="0.2">
      <c r="A401" t="s">
        <v>1108</v>
      </c>
      <c r="B401">
        <v>343880</v>
      </c>
      <c r="C401" t="s">
        <v>34</v>
      </c>
      <c r="D401" t="s">
        <v>1109</v>
      </c>
      <c r="E401" t="s">
        <v>1110</v>
      </c>
      <c r="G401" t="s">
        <v>1111</v>
      </c>
      <c r="J401">
        <v>7.0544859390000001</v>
      </c>
      <c r="K401">
        <v>0.623000361</v>
      </c>
      <c r="L401">
        <v>0.42866702800000001</v>
      </c>
      <c r="M401" s="21">
        <v>-1.0001142780000001</v>
      </c>
      <c r="N401">
        <v>1.1011833470000001</v>
      </c>
    </row>
    <row r="402" spans="1:14" x14ac:dyDescent="0.2">
      <c r="A402" t="s">
        <v>1112</v>
      </c>
      <c r="B402">
        <v>443720</v>
      </c>
      <c r="C402" t="s">
        <v>84</v>
      </c>
      <c r="D402" t="s">
        <v>1112</v>
      </c>
      <c r="E402" t="s">
        <v>1113</v>
      </c>
      <c r="J402">
        <v>3.600219579</v>
      </c>
      <c r="K402">
        <v>-0.293098474</v>
      </c>
      <c r="L402">
        <v>-0.153917466</v>
      </c>
      <c r="M402" s="21">
        <v>-1.000117798</v>
      </c>
      <c r="N402">
        <v>1.1011652620000001</v>
      </c>
    </row>
    <row r="403" spans="1:14" x14ac:dyDescent="0.2">
      <c r="A403" t="s">
        <v>139</v>
      </c>
      <c r="B403">
        <v>541080</v>
      </c>
      <c r="C403" t="s">
        <v>130</v>
      </c>
      <c r="D403" t="s">
        <v>139</v>
      </c>
      <c r="E403" t="s">
        <v>1114</v>
      </c>
      <c r="G403" t="s">
        <v>1115</v>
      </c>
      <c r="J403">
        <v>5.1222566499999997</v>
      </c>
      <c r="K403">
        <v>0.21422175600000001</v>
      </c>
      <c r="L403">
        <v>0.25354511400000002</v>
      </c>
      <c r="M403" s="21">
        <v>-1.000206916</v>
      </c>
      <c r="N403">
        <v>1.100707431</v>
      </c>
    </row>
    <row r="404" spans="1:14" x14ac:dyDescent="0.2">
      <c r="A404" t="s">
        <v>352</v>
      </c>
      <c r="B404">
        <v>540920</v>
      </c>
      <c r="C404" t="s">
        <v>130</v>
      </c>
      <c r="D404" t="s">
        <v>352</v>
      </c>
      <c r="E404" t="s">
        <v>1116</v>
      </c>
      <c r="G404" t="s">
        <v>1117</v>
      </c>
      <c r="J404">
        <v>5.1222566499999997</v>
      </c>
      <c r="K404">
        <v>0.21422175600000001</v>
      </c>
      <c r="L404">
        <v>0.25354511400000002</v>
      </c>
      <c r="M404" s="21">
        <v>-1.000334249</v>
      </c>
      <c r="N404">
        <v>1.100053274</v>
      </c>
    </row>
    <row r="405" spans="1:14" x14ac:dyDescent="0.2">
      <c r="A405" t="s">
        <v>1118</v>
      </c>
      <c r="B405">
        <v>343520</v>
      </c>
      <c r="C405" t="s">
        <v>34</v>
      </c>
      <c r="D405" t="s">
        <v>1118</v>
      </c>
      <c r="J405">
        <v>7.0544859390000001</v>
      </c>
      <c r="K405">
        <v>0.623000361</v>
      </c>
      <c r="L405">
        <v>0.42866702800000001</v>
      </c>
      <c r="M405" s="21">
        <v>-1.000430739</v>
      </c>
      <c r="N405">
        <v>1.099557567</v>
      </c>
    </row>
    <row r="406" spans="1:14" x14ac:dyDescent="0.2">
      <c r="A406" t="s">
        <v>1119</v>
      </c>
      <c r="B406">
        <v>428640</v>
      </c>
      <c r="C406" t="s">
        <v>68</v>
      </c>
      <c r="D406" t="s">
        <v>1120</v>
      </c>
      <c r="E406" t="s">
        <v>1121</v>
      </c>
      <c r="G406" t="s">
        <v>1122</v>
      </c>
      <c r="J406">
        <v>6.4561903559999996</v>
      </c>
      <c r="K406">
        <v>0.47291064100000002</v>
      </c>
      <c r="L406">
        <v>0.34414126499999997</v>
      </c>
      <c r="M406" s="21">
        <v>-1.000667266</v>
      </c>
      <c r="N406">
        <v>1.098342438</v>
      </c>
    </row>
    <row r="407" spans="1:14" x14ac:dyDescent="0.2">
      <c r="A407" t="s">
        <v>1123</v>
      </c>
      <c r="B407">
        <v>385680</v>
      </c>
      <c r="C407" t="s">
        <v>28</v>
      </c>
      <c r="D407" t="s">
        <v>1123</v>
      </c>
      <c r="E407" t="s">
        <v>1124</v>
      </c>
      <c r="G407" t="s">
        <v>1125</v>
      </c>
      <c r="J407">
        <v>5.8462906840000004</v>
      </c>
      <c r="K407">
        <v>0.60615847</v>
      </c>
      <c r="L407">
        <v>0.28550877299999999</v>
      </c>
      <c r="M407" s="21">
        <v>-1.000830587</v>
      </c>
      <c r="N407">
        <v>1.0975033970000001</v>
      </c>
    </row>
    <row r="408" spans="1:14" x14ac:dyDescent="0.2">
      <c r="A408" t="s">
        <v>1126</v>
      </c>
      <c r="B408">
        <v>342360</v>
      </c>
      <c r="C408" t="s">
        <v>34</v>
      </c>
      <c r="D408" t="s">
        <v>1126</v>
      </c>
      <c r="J408">
        <v>7.0544859390000001</v>
      </c>
      <c r="K408">
        <v>0.623000361</v>
      </c>
      <c r="L408">
        <v>0.42866702800000001</v>
      </c>
      <c r="M408" s="21">
        <v>-1.0014504470000001</v>
      </c>
      <c r="N408">
        <v>1.094318943</v>
      </c>
    </row>
    <row r="409" spans="1:14" x14ac:dyDescent="0.2">
      <c r="A409" t="s">
        <v>124</v>
      </c>
      <c r="B409">
        <v>539400</v>
      </c>
      <c r="C409" t="s">
        <v>130</v>
      </c>
      <c r="D409" t="s">
        <v>125</v>
      </c>
      <c r="E409" t="s">
        <v>1127</v>
      </c>
      <c r="G409" t="s">
        <v>1128</v>
      </c>
      <c r="J409">
        <v>5.1222566499999997</v>
      </c>
      <c r="K409">
        <v>0.21422175600000001</v>
      </c>
      <c r="L409">
        <v>0.25354511400000002</v>
      </c>
      <c r="M409" s="21">
        <v>-1.0015439100000001</v>
      </c>
      <c r="N409">
        <v>1.093838791</v>
      </c>
    </row>
    <row r="410" spans="1:14" x14ac:dyDescent="0.2">
      <c r="A410" t="s">
        <v>804</v>
      </c>
      <c r="B410">
        <v>342240</v>
      </c>
      <c r="C410" t="s">
        <v>34</v>
      </c>
      <c r="D410" t="s">
        <v>804</v>
      </c>
      <c r="E410" t="s">
        <v>1129</v>
      </c>
      <c r="G410" t="s">
        <v>1130</v>
      </c>
      <c r="J410">
        <v>7.0544859390000001</v>
      </c>
      <c r="K410">
        <v>0.623000361</v>
      </c>
      <c r="L410">
        <v>0.42866702800000001</v>
      </c>
      <c r="M410" s="21">
        <v>-1.0015559350000001</v>
      </c>
      <c r="N410">
        <v>1.093777016</v>
      </c>
    </row>
    <row r="411" spans="1:14" x14ac:dyDescent="0.2">
      <c r="A411" t="s">
        <v>985</v>
      </c>
      <c r="B411">
        <v>533320</v>
      </c>
      <c r="C411" t="s">
        <v>14</v>
      </c>
      <c r="D411" t="s">
        <v>985</v>
      </c>
      <c r="E411" t="s">
        <v>1131</v>
      </c>
      <c r="G411" t="s">
        <v>1132</v>
      </c>
      <c r="J411">
        <v>6.7484204910000001</v>
      </c>
      <c r="K411">
        <v>0.48629166299999999</v>
      </c>
      <c r="L411">
        <v>0.375053939</v>
      </c>
      <c r="M411" s="21">
        <v>-1.001610712</v>
      </c>
      <c r="N411">
        <v>1.093495605</v>
      </c>
    </row>
    <row r="412" spans="1:14" x14ac:dyDescent="0.2">
      <c r="A412" t="s">
        <v>1133</v>
      </c>
      <c r="B412">
        <v>342160</v>
      </c>
      <c r="C412" t="s">
        <v>34</v>
      </c>
      <c r="D412" t="s">
        <v>1134</v>
      </c>
      <c r="E412" t="s">
        <v>1135</v>
      </c>
      <c r="G412" t="s">
        <v>1136</v>
      </c>
      <c r="J412">
        <v>7.0544859390000001</v>
      </c>
      <c r="K412">
        <v>0.623000361</v>
      </c>
      <c r="L412">
        <v>0.42866702800000001</v>
      </c>
      <c r="M412" s="21">
        <v>-1.001626259</v>
      </c>
      <c r="N412">
        <v>1.093415732</v>
      </c>
    </row>
    <row r="413" spans="1:14" x14ac:dyDescent="0.2">
      <c r="A413" t="s">
        <v>1137</v>
      </c>
      <c r="B413">
        <v>519320</v>
      </c>
      <c r="C413" t="s">
        <v>100</v>
      </c>
      <c r="D413" t="s">
        <v>1137</v>
      </c>
      <c r="E413" t="s">
        <v>1138</v>
      </c>
      <c r="G413" t="s">
        <v>1139</v>
      </c>
      <c r="J413">
        <v>5.9110743220000002</v>
      </c>
      <c r="K413">
        <v>0.71598987199999997</v>
      </c>
      <c r="L413">
        <v>0.29077365599999999</v>
      </c>
      <c r="M413" s="21">
        <v>-1.002064844</v>
      </c>
      <c r="N413">
        <v>1.0911625570000001</v>
      </c>
    </row>
    <row r="414" spans="1:14" x14ac:dyDescent="0.2">
      <c r="A414" t="s">
        <v>1140</v>
      </c>
      <c r="B414">
        <v>341600</v>
      </c>
      <c r="C414" t="s">
        <v>34</v>
      </c>
      <c r="D414" t="s">
        <v>1141</v>
      </c>
      <c r="E414" t="s">
        <v>1142</v>
      </c>
      <c r="G414" t="s">
        <v>1143</v>
      </c>
      <c r="J414">
        <v>7.0544859390000001</v>
      </c>
      <c r="K414">
        <v>0.623000361</v>
      </c>
      <c r="L414">
        <v>0.42866702800000001</v>
      </c>
      <c r="M414" s="21">
        <v>-1.0021185319999999</v>
      </c>
      <c r="N414">
        <v>1.090886741</v>
      </c>
    </row>
    <row r="415" spans="1:14" x14ac:dyDescent="0.2">
      <c r="A415" t="s">
        <v>1144</v>
      </c>
      <c r="B415">
        <v>384080</v>
      </c>
      <c r="C415" t="s">
        <v>28</v>
      </c>
      <c r="D415" t="s">
        <v>1145</v>
      </c>
      <c r="E415" t="s">
        <v>1146</v>
      </c>
      <c r="G415" t="s">
        <v>1147</v>
      </c>
      <c r="J415">
        <v>5.8462906840000004</v>
      </c>
      <c r="K415">
        <v>0.60615847</v>
      </c>
      <c r="L415">
        <v>0.28550877299999999</v>
      </c>
      <c r="M415" s="21">
        <v>-1.0022750869999999</v>
      </c>
      <c r="N415">
        <v>1.0900824609999999</v>
      </c>
    </row>
    <row r="416" spans="1:14" x14ac:dyDescent="0.2">
      <c r="A416" t="s">
        <v>912</v>
      </c>
      <c r="B416">
        <v>383880</v>
      </c>
      <c r="C416" t="s">
        <v>28</v>
      </c>
      <c r="D416" t="s">
        <v>912</v>
      </c>
      <c r="E416" t="s">
        <v>1148</v>
      </c>
      <c r="G416" t="s">
        <v>1149</v>
      </c>
      <c r="J416">
        <v>5.8462906840000004</v>
      </c>
      <c r="K416">
        <v>0.60615847</v>
      </c>
      <c r="L416">
        <v>0.28550877299999999</v>
      </c>
      <c r="M416" s="21">
        <v>-1.0024556490000001</v>
      </c>
      <c r="N416">
        <v>1.0891548440000001</v>
      </c>
    </row>
    <row r="417" spans="1:14" x14ac:dyDescent="0.2">
      <c r="A417" t="s">
        <v>1150</v>
      </c>
      <c r="B417">
        <v>383760</v>
      </c>
      <c r="C417" t="s">
        <v>28</v>
      </c>
      <c r="D417" t="s">
        <v>1150</v>
      </c>
      <c r="E417" t="s">
        <v>1151</v>
      </c>
      <c r="G417" t="s">
        <v>1152</v>
      </c>
      <c r="J417">
        <v>5.8462906840000004</v>
      </c>
      <c r="K417">
        <v>0.60615847</v>
      </c>
      <c r="L417">
        <v>0.28550877299999999</v>
      </c>
      <c r="M417" s="21">
        <v>-1.002563987</v>
      </c>
      <c r="N417">
        <v>1.088598274</v>
      </c>
    </row>
    <row r="418" spans="1:14" x14ac:dyDescent="0.2">
      <c r="A418" t="s">
        <v>172</v>
      </c>
      <c r="B418">
        <v>426440</v>
      </c>
      <c r="C418" t="s">
        <v>68</v>
      </c>
      <c r="D418" t="s">
        <v>172</v>
      </c>
      <c r="E418" t="s">
        <v>1153</v>
      </c>
      <c r="G418" t="s">
        <v>1154</v>
      </c>
      <c r="J418">
        <v>6.4561903559999996</v>
      </c>
      <c r="K418">
        <v>0.47291064100000002</v>
      </c>
      <c r="L418">
        <v>0.34414126499999997</v>
      </c>
      <c r="M418" s="21">
        <v>-1.0027947820000001</v>
      </c>
      <c r="N418">
        <v>1.0874125939999999</v>
      </c>
    </row>
    <row r="419" spans="1:14" x14ac:dyDescent="0.2">
      <c r="A419" t="s">
        <v>1155</v>
      </c>
      <c r="B419">
        <v>340760</v>
      </c>
      <c r="C419" t="s">
        <v>34</v>
      </c>
      <c r="D419" t="s">
        <v>1156</v>
      </c>
      <c r="E419" t="s">
        <v>1157</v>
      </c>
      <c r="G419" t="s">
        <v>1158</v>
      </c>
      <c r="J419">
        <v>7.0544859390000001</v>
      </c>
      <c r="K419">
        <v>0.623000361</v>
      </c>
      <c r="L419">
        <v>0.42866702800000001</v>
      </c>
      <c r="M419" s="21">
        <v>-1.002856942</v>
      </c>
      <c r="N419">
        <v>1.087093254</v>
      </c>
    </row>
    <row r="420" spans="1:14" x14ac:dyDescent="0.2">
      <c r="A420" t="s">
        <v>263</v>
      </c>
      <c r="B420">
        <v>441480</v>
      </c>
      <c r="C420" t="s">
        <v>84</v>
      </c>
      <c r="D420" t="s">
        <v>264</v>
      </c>
      <c r="E420" t="s">
        <v>1159</v>
      </c>
      <c r="J420">
        <v>3.600219579</v>
      </c>
      <c r="K420">
        <v>-0.293098474</v>
      </c>
      <c r="L420">
        <v>-0.153917466</v>
      </c>
      <c r="M420" s="21">
        <v>-1.0030496579999999</v>
      </c>
      <c r="N420">
        <v>1.086103198</v>
      </c>
    </row>
    <row r="421" spans="1:14" x14ac:dyDescent="0.2">
      <c r="A421" t="s">
        <v>1160</v>
      </c>
      <c r="B421">
        <v>383000</v>
      </c>
      <c r="C421" t="s">
        <v>28</v>
      </c>
      <c r="D421" t="s">
        <v>1160</v>
      </c>
      <c r="E421" t="s">
        <v>1161</v>
      </c>
      <c r="G421" t="s">
        <v>1162</v>
      </c>
      <c r="J421">
        <v>5.8462906840000004</v>
      </c>
      <c r="K421">
        <v>0.60615847</v>
      </c>
      <c r="L421">
        <v>0.28550877299999999</v>
      </c>
      <c r="M421" s="21">
        <v>-1.003250124</v>
      </c>
      <c r="N421">
        <v>1.0850733299999999</v>
      </c>
    </row>
    <row r="422" spans="1:14" x14ac:dyDescent="0.2">
      <c r="A422" t="s">
        <v>1163</v>
      </c>
      <c r="B422">
        <v>531800</v>
      </c>
      <c r="C422" t="s">
        <v>14</v>
      </c>
      <c r="D422" t="s">
        <v>1164</v>
      </c>
      <c r="E422" t="s">
        <v>1165</v>
      </c>
      <c r="G422" t="s">
        <v>1166</v>
      </c>
      <c r="J422">
        <v>6.7484204910000001</v>
      </c>
      <c r="K422">
        <v>0.48629166299999999</v>
      </c>
      <c r="L422">
        <v>0.375053939</v>
      </c>
      <c r="M422" s="21">
        <v>-1.0032762099999999</v>
      </c>
      <c r="N422">
        <v>1.0849393190000001</v>
      </c>
    </row>
    <row r="423" spans="1:14" x14ac:dyDescent="0.2">
      <c r="A423" t="s">
        <v>1167</v>
      </c>
      <c r="B423">
        <v>339720</v>
      </c>
      <c r="C423" t="s">
        <v>34</v>
      </c>
      <c r="D423" t="s">
        <v>1168</v>
      </c>
      <c r="E423" t="s">
        <v>1169</v>
      </c>
      <c r="G423" t="s">
        <v>1170</v>
      </c>
      <c r="J423">
        <v>7.0544859390000001</v>
      </c>
      <c r="K423">
        <v>0.623000361</v>
      </c>
      <c r="L423">
        <v>0.42866702800000001</v>
      </c>
      <c r="M423" s="21">
        <v>-1.0037711629999999</v>
      </c>
      <c r="N423">
        <v>1.082396557</v>
      </c>
    </row>
    <row r="424" spans="1:14" x14ac:dyDescent="0.2">
      <c r="A424" t="s">
        <v>253</v>
      </c>
      <c r="B424">
        <v>440840</v>
      </c>
      <c r="C424" t="s">
        <v>84</v>
      </c>
      <c r="D424" t="s">
        <v>254</v>
      </c>
      <c r="E424" t="s">
        <v>1171</v>
      </c>
      <c r="J424">
        <v>3.600219579</v>
      </c>
      <c r="K424">
        <v>-0.293098474</v>
      </c>
      <c r="L424">
        <v>-0.153917466</v>
      </c>
      <c r="M424" s="21">
        <v>-1.003887333</v>
      </c>
      <c r="N424">
        <v>1.0817997509999999</v>
      </c>
    </row>
    <row r="425" spans="1:14" x14ac:dyDescent="0.2">
      <c r="A425" t="s">
        <v>355</v>
      </c>
      <c r="B425">
        <v>440800</v>
      </c>
      <c r="C425" t="s">
        <v>84</v>
      </c>
      <c r="D425" t="s">
        <v>356</v>
      </c>
      <c r="E425" t="s">
        <v>1172</v>
      </c>
      <c r="G425" t="s">
        <v>1173</v>
      </c>
      <c r="J425">
        <v>3.600219579</v>
      </c>
      <c r="K425">
        <v>-0.293098474</v>
      </c>
      <c r="L425">
        <v>-0.153917466</v>
      </c>
      <c r="M425" s="21">
        <v>-1.0039396869999999</v>
      </c>
      <c r="N425">
        <v>1.081530785</v>
      </c>
    </row>
    <row r="426" spans="1:14" x14ac:dyDescent="0.2">
      <c r="A426" t="s">
        <v>1174</v>
      </c>
      <c r="B426">
        <v>339360</v>
      </c>
      <c r="C426" t="s">
        <v>34</v>
      </c>
      <c r="D426" t="s">
        <v>1174</v>
      </c>
      <c r="E426" t="s">
        <v>1175</v>
      </c>
      <c r="G426" t="s">
        <v>1176</v>
      </c>
      <c r="J426">
        <v>7.0544859390000001</v>
      </c>
      <c r="K426">
        <v>0.623000361</v>
      </c>
      <c r="L426">
        <v>0.42866702800000001</v>
      </c>
      <c r="M426" s="21">
        <v>-1.0040876249999999</v>
      </c>
      <c r="N426">
        <v>1.0807707769999999</v>
      </c>
    </row>
    <row r="427" spans="1:14" x14ac:dyDescent="0.2">
      <c r="A427" t="s">
        <v>405</v>
      </c>
      <c r="B427">
        <v>517160</v>
      </c>
      <c r="C427" t="s">
        <v>100</v>
      </c>
      <c r="D427" t="s">
        <v>405</v>
      </c>
      <c r="E427" t="s">
        <v>1177</v>
      </c>
      <c r="G427" t="s">
        <v>1178</v>
      </c>
      <c r="J427">
        <v>5.9110743220000002</v>
      </c>
      <c r="K427">
        <v>0.71598987199999997</v>
      </c>
      <c r="L427">
        <v>0.29077365599999999</v>
      </c>
      <c r="M427" s="21">
        <v>-1.0042091049999999</v>
      </c>
      <c r="N427">
        <v>1.0801466850000001</v>
      </c>
    </row>
    <row r="428" spans="1:14" x14ac:dyDescent="0.2">
      <c r="A428" t="s">
        <v>1144</v>
      </c>
      <c r="B428">
        <v>338880</v>
      </c>
      <c r="C428" t="s">
        <v>34</v>
      </c>
      <c r="D428" t="s">
        <v>1145</v>
      </c>
      <c r="E428" t="s">
        <v>1179</v>
      </c>
      <c r="G428" t="s">
        <v>1180</v>
      </c>
      <c r="J428">
        <v>7.0544859390000001</v>
      </c>
      <c r="K428">
        <v>0.623000361</v>
      </c>
      <c r="L428">
        <v>0.42866702800000001</v>
      </c>
      <c r="M428" s="21">
        <v>-1.004509573</v>
      </c>
      <c r="N428">
        <v>1.07860307</v>
      </c>
    </row>
    <row r="429" spans="1:14" x14ac:dyDescent="0.2">
      <c r="A429" t="s">
        <v>1181</v>
      </c>
      <c r="B429">
        <v>424280</v>
      </c>
      <c r="C429" t="s">
        <v>68</v>
      </c>
      <c r="D429" t="s">
        <v>1181</v>
      </c>
      <c r="E429" t="s">
        <v>1182</v>
      </c>
      <c r="G429" t="s">
        <v>1183</v>
      </c>
      <c r="J429">
        <v>6.4561903559999996</v>
      </c>
      <c r="K429">
        <v>0.47291064100000002</v>
      </c>
      <c r="L429">
        <v>0.34414126499999997</v>
      </c>
      <c r="M429" s="21">
        <v>-1.004883615</v>
      </c>
      <c r="N429">
        <v>1.076681475</v>
      </c>
    </row>
    <row r="430" spans="1:14" x14ac:dyDescent="0.2">
      <c r="A430" t="s">
        <v>99</v>
      </c>
      <c r="B430">
        <v>551560</v>
      </c>
      <c r="C430" t="s">
        <v>149</v>
      </c>
      <c r="D430" t="s">
        <v>101</v>
      </c>
      <c r="E430" t="s">
        <v>1184</v>
      </c>
      <c r="G430" t="s">
        <v>1185</v>
      </c>
      <c r="J430">
        <v>5.0381074159999999</v>
      </c>
      <c r="K430">
        <v>0.81312368999999995</v>
      </c>
      <c r="L430">
        <v>0.16969141800000001</v>
      </c>
      <c r="M430" s="21">
        <v>-1.005344281</v>
      </c>
      <c r="N430">
        <v>1.0743148629999999</v>
      </c>
    </row>
    <row r="431" spans="1:14" x14ac:dyDescent="0.2">
      <c r="A431" t="s">
        <v>522</v>
      </c>
      <c r="B431">
        <v>529840</v>
      </c>
      <c r="C431" t="s">
        <v>14</v>
      </c>
      <c r="D431" t="s">
        <v>522</v>
      </c>
      <c r="E431" t="s">
        <v>1186</v>
      </c>
      <c r="G431" t="s">
        <v>1187</v>
      </c>
      <c r="J431">
        <v>6.7484204910000001</v>
      </c>
      <c r="K431">
        <v>0.48629166299999999</v>
      </c>
      <c r="L431">
        <v>0.375053939</v>
      </c>
      <c r="M431" s="21">
        <v>-1.005423825</v>
      </c>
      <c r="N431">
        <v>1.0739062130000001</v>
      </c>
    </row>
    <row r="432" spans="1:14" x14ac:dyDescent="0.2">
      <c r="A432" t="s">
        <v>883</v>
      </c>
      <c r="B432">
        <v>515800</v>
      </c>
      <c r="C432" t="s">
        <v>100</v>
      </c>
      <c r="D432" t="s">
        <v>883</v>
      </c>
      <c r="E432" t="s">
        <v>1188</v>
      </c>
      <c r="G432" t="s">
        <v>1189</v>
      </c>
      <c r="J432">
        <v>5.9110743220000002</v>
      </c>
      <c r="K432">
        <v>0.71598987199999997</v>
      </c>
      <c r="L432">
        <v>0.29077365599999999</v>
      </c>
      <c r="M432" s="21">
        <v>-1.0055591960000001</v>
      </c>
      <c r="N432">
        <v>1.0732107660000001</v>
      </c>
    </row>
    <row r="433" spans="1:14" x14ac:dyDescent="0.2">
      <c r="A433" t="s">
        <v>1190</v>
      </c>
      <c r="B433">
        <v>380400</v>
      </c>
      <c r="C433" t="s">
        <v>28</v>
      </c>
      <c r="D433" t="s">
        <v>1190</v>
      </c>
      <c r="E433" t="s">
        <v>1191</v>
      </c>
      <c r="G433" t="s">
        <v>1192</v>
      </c>
      <c r="J433">
        <v>5.8462906840000004</v>
      </c>
      <c r="K433">
        <v>0.60615847</v>
      </c>
      <c r="L433">
        <v>0.28550877299999999</v>
      </c>
      <c r="M433" s="21">
        <v>-1.005597436</v>
      </c>
      <c r="N433">
        <v>1.07301431</v>
      </c>
    </row>
    <row r="434" spans="1:14" x14ac:dyDescent="0.2">
      <c r="A434" t="s">
        <v>801</v>
      </c>
      <c r="B434">
        <v>422720</v>
      </c>
      <c r="C434" t="s">
        <v>68</v>
      </c>
      <c r="D434" t="s">
        <v>801</v>
      </c>
      <c r="E434" t="s">
        <v>1193</v>
      </c>
      <c r="G434" t="s">
        <v>1194</v>
      </c>
      <c r="J434">
        <v>6.4561903559999996</v>
      </c>
      <c r="K434">
        <v>0.47291064100000002</v>
      </c>
      <c r="L434">
        <v>0.34414126499999997</v>
      </c>
      <c r="M434" s="21">
        <v>-1.0063922169999999</v>
      </c>
      <c r="N434">
        <v>1.068931222</v>
      </c>
    </row>
    <row r="435" spans="1:14" x14ac:dyDescent="0.2">
      <c r="A435" t="s">
        <v>307</v>
      </c>
      <c r="B435">
        <v>521480</v>
      </c>
      <c r="C435" t="s">
        <v>58</v>
      </c>
      <c r="D435" t="s">
        <v>308</v>
      </c>
      <c r="E435" t="s">
        <v>1195</v>
      </c>
      <c r="G435" t="s">
        <v>1196</v>
      </c>
      <c r="J435">
        <v>4.5363847230000003</v>
      </c>
      <c r="K435">
        <v>0.245646371</v>
      </c>
      <c r="L435">
        <v>7.5242279999999995E-2</v>
      </c>
      <c r="M435" s="21">
        <v>-1.0070401449999999</v>
      </c>
      <c r="N435">
        <v>1.0656025730000001</v>
      </c>
    </row>
    <row r="436" spans="1:14" x14ac:dyDescent="0.2">
      <c r="A436" t="s">
        <v>405</v>
      </c>
      <c r="B436">
        <v>438320</v>
      </c>
      <c r="C436" t="s">
        <v>84</v>
      </c>
      <c r="D436" t="s">
        <v>405</v>
      </c>
      <c r="E436" t="s">
        <v>1197</v>
      </c>
      <c r="J436">
        <v>3.600219579</v>
      </c>
      <c r="K436">
        <v>-0.293098474</v>
      </c>
      <c r="L436">
        <v>-0.153917466</v>
      </c>
      <c r="M436" s="21">
        <v>-1.007185676</v>
      </c>
      <c r="N436">
        <v>1.0648549279999999</v>
      </c>
    </row>
    <row r="437" spans="1:14" x14ac:dyDescent="0.2">
      <c r="A437" t="s">
        <v>1198</v>
      </c>
      <c r="B437">
        <v>335680</v>
      </c>
      <c r="C437" t="s">
        <v>34</v>
      </c>
      <c r="D437" t="s">
        <v>1199</v>
      </c>
      <c r="E437" t="s">
        <v>1200</v>
      </c>
      <c r="G437" t="s">
        <v>1201</v>
      </c>
      <c r="J437">
        <v>7.0544859390000001</v>
      </c>
      <c r="K437">
        <v>0.623000361</v>
      </c>
      <c r="L437">
        <v>0.42866702800000001</v>
      </c>
      <c r="M437" s="21">
        <v>-1.0073225619999999</v>
      </c>
      <c r="N437">
        <v>1.0641516929999999</v>
      </c>
    </row>
    <row r="438" spans="1:14" x14ac:dyDescent="0.2">
      <c r="A438" t="s">
        <v>124</v>
      </c>
      <c r="B438">
        <v>514000</v>
      </c>
      <c r="C438" t="s">
        <v>100</v>
      </c>
      <c r="D438" t="s">
        <v>125</v>
      </c>
      <c r="E438" t="s">
        <v>1202</v>
      </c>
      <c r="G438" t="s">
        <v>1203</v>
      </c>
      <c r="J438">
        <v>5.9110743220000002</v>
      </c>
      <c r="K438">
        <v>0.71598987199999997</v>
      </c>
      <c r="L438">
        <v>0.29077365599999999</v>
      </c>
      <c r="M438" s="21">
        <v>-1.00734608</v>
      </c>
      <c r="N438">
        <v>1.0640308730000001</v>
      </c>
    </row>
    <row r="439" spans="1:14" x14ac:dyDescent="0.2">
      <c r="A439" t="s">
        <v>560</v>
      </c>
      <c r="B439">
        <v>377960</v>
      </c>
      <c r="C439" t="s">
        <v>28</v>
      </c>
      <c r="D439" t="s">
        <v>560</v>
      </c>
      <c r="E439" t="s">
        <v>1204</v>
      </c>
      <c r="G439" t="s">
        <v>1205</v>
      </c>
      <c r="J439">
        <v>5.8462906840000004</v>
      </c>
      <c r="K439">
        <v>0.60615847</v>
      </c>
      <c r="L439">
        <v>0.28550877299999999</v>
      </c>
      <c r="M439" s="21">
        <v>-1.007800298</v>
      </c>
      <c r="N439">
        <v>1.0616973839999999</v>
      </c>
    </row>
    <row r="440" spans="1:14" x14ac:dyDescent="0.2">
      <c r="A440" t="s">
        <v>1058</v>
      </c>
      <c r="B440">
        <v>334840</v>
      </c>
      <c r="C440" t="s">
        <v>34</v>
      </c>
      <c r="D440" t="s">
        <v>1059</v>
      </c>
      <c r="E440" t="s">
        <v>1206</v>
      </c>
      <c r="G440" t="s">
        <v>1207</v>
      </c>
      <c r="J440">
        <v>7.0544859390000001</v>
      </c>
      <c r="K440">
        <v>0.623000361</v>
      </c>
      <c r="L440">
        <v>0.42866702800000001</v>
      </c>
      <c r="M440" s="21">
        <v>-1.008060972</v>
      </c>
      <c r="N440">
        <v>1.0603582060000001</v>
      </c>
    </row>
    <row r="441" spans="1:14" x14ac:dyDescent="0.2">
      <c r="A441" t="s">
        <v>1208</v>
      </c>
      <c r="B441">
        <v>420960</v>
      </c>
      <c r="C441" t="s">
        <v>68</v>
      </c>
      <c r="D441" t="s">
        <v>1208</v>
      </c>
      <c r="E441" t="s">
        <v>1209</v>
      </c>
      <c r="G441" t="s">
        <v>1210</v>
      </c>
      <c r="J441">
        <v>6.4561903559999996</v>
      </c>
      <c r="K441">
        <v>0.47291064100000002</v>
      </c>
      <c r="L441">
        <v>0.34414126499999997</v>
      </c>
      <c r="M441" s="21">
        <v>-1.00809423</v>
      </c>
      <c r="N441">
        <v>1.0601873470000001</v>
      </c>
    </row>
    <row r="442" spans="1:14" x14ac:dyDescent="0.2">
      <c r="A442" t="s">
        <v>988</v>
      </c>
      <c r="B442">
        <v>420840</v>
      </c>
      <c r="C442" t="s">
        <v>68</v>
      </c>
      <c r="D442" t="s">
        <v>988</v>
      </c>
      <c r="E442" t="s">
        <v>1211</v>
      </c>
      <c r="G442" t="s">
        <v>1212</v>
      </c>
      <c r="J442">
        <v>6.4561903559999996</v>
      </c>
      <c r="K442">
        <v>0.47291064100000002</v>
      </c>
      <c r="L442">
        <v>0.34414126499999997</v>
      </c>
      <c r="M442" s="21">
        <v>-1.008210276</v>
      </c>
      <c r="N442">
        <v>1.0595911739999999</v>
      </c>
    </row>
    <row r="443" spans="1:14" x14ac:dyDescent="0.2">
      <c r="A443" t="s">
        <v>894</v>
      </c>
      <c r="B443">
        <v>334520</v>
      </c>
      <c r="C443" t="s">
        <v>34</v>
      </c>
      <c r="D443" t="s">
        <v>894</v>
      </c>
      <c r="E443" t="s">
        <v>1213</v>
      </c>
      <c r="G443" t="s">
        <v>1214</v>
      </c>
      <c r="J443">
        <v>7.0544859390000001</v>
      </c>
      <c r="K443">
        <v>0.623000361</v>
      </c>
      <c r="L443">
        <v>0.42866702800000001</v>
      </c>
      <c r="M443" s="21">
        <v>-1.00834227</v>
      </c>
      <c r="N443">
        <v>1.0589130680000001</v>
      </c>
    </row>
    <row r="444" spans="1:14" x14ac:dyDescent="0.2">
      <c r="A444" t="s">
        <v>1215</v>
      </c>
      <c r="B444">
        <v>334520</v>
      </c>
      <c r="C444" t="s">
        <v>34</v>
      </c>
      <c r="D444" t="s">
        <v>1215</v>
      </c>
      <c r="E444" t="s">
        <v>1216</v>
      </c>
      <c r="G444" t="s">
        <v>1217</v>
      </c>
      <c r="J444">
        <v>7.0544859390000001</v>
      </c>
      <c r="K444">
        <v>0.623000361</v>
      </c>
      <c r="L444">
        <v>0.42866702800000001</v>
      </c>
      <c r="M444" s="21">
        <v>-1.00834227</v>
      </c>
      <c r="N444">
        <v>1.0589130680000001</v>
      </c>
    </row>
    <row r="445" spans="1:14" x14ac:dyDescent="0.2">
      <c r="A445" t="s">
        <v>221</v>
      </c>
      <c r="B445">
        <v>437240</v>
      </c>
      <c r="C445" t="s">
        <v>84</v>
      </c>
      <c r="D445" t="s">
        <v>221</v>
      </c>
      <c r="E445" t="s">
        <v>1218</v>
      </c>
      <c r="J445">
        <v>3.600219579</v>
      </c>
      <c r="K445">
        <v>-0.293098474</v>
      </c>
      <c r="L445">
        <v>-0.153917466</v>
      </c>
      <c r="M445" s="21">
        <v>-1.0085992509999999</v>
      </c>
      <c r="N445">
        <v>1.0575928610000001</v>
      </c>
    </row>
    <row r="446" spans="1:14" x14ac:dyDescent="0.2">
      <c r="A446" t="s">
        <v>148</v>
      </c>
      <c r="B446">
        <v>437080</v>
      </c>
      <c r="C446" t="s">
        <v>84</v>
      </c>
      <c r="D446" t="s">
        <v>148</v>
      </c>
      <c r="E446" t="s">
        <v>1219</v>
      </c>
      <c r="J446">
        <v>3.600219579</v>
      </c>
      <c r="K446">
        <v>-0.293098474</v>
      </c>
      <c r="L446">
        <v>-0.153917466</v>
      </c>
      <c r="M446" s="21">
        <v>-1.0088086700000001</v>
      </c>
      <c r="N446">
        <v>1.0565169999999999</v>
      </c>
    </row>
    <row r="447" spans="1:14" x14ac:dyDescent="0.2">
      <c r="A447" t="s">
        <v>67</v>
      </c>
      <c r="B447">
        <v>376800</v>
      </c>
      <c r="C447" t="s">
        <v>28</v>
      </c>
      <c r="D447" t="s">
        <v>69</v>
      </c>
      <c r="E447" t="s">
        <v>1220</v>
      </c>
      <c r="G447" t="s">
        <v>1221</v>
      </c>
      <c r="J447">
        <v>5.8462906840000004</v>
      </c>
      <c r="K447">
        <v>0.60615847</v>
      </c>
      <c r="L447">
        <v>0.28550877299999999</v>
      </c>
      <c r="M447" s="21">
        <v>-1.00884756</v>
      </c>
      <c r="N447">
        <v>1.0563172059999999</v>
      </c>
    </row>
    <row r="448" spans="1:14" x14ac:dyDescent="0.2">
      <c r="A448" t="s">
        <v>1222</v>
      </c>
      <c r="B448">
        <v>376680</v>
      </c>
      <c r="C448" t="s">
        <v>28</v>
      </c>
      <c r="D448" t="s">
        <v>1223</v>
      </c>
      <c r="E448" t="s">
        <v>1224</v>
      </c>
      <c r="G448" t="s">
        <v>1225</v>
      </c>
      <c r="J448">
        <v>5.8462906840000004</v>
      </c>
      <c r="K448">
        <v>0.60615847</v>
      </c>
      <c r="L448">
        <v>0.28550877299999999</v>
      </c>
      <c r="M448" s="21">
        <v>-1.008955898</v>
      </c>
      <c r="N448">
        <v>1.055760636</v>
      </c>
    </row>
    <row r="449" spans="1:14" x14ac:dyDescent="0.2">
      <c r="A449" t="s">
        <v>485</v>
      </c>
      <c r="B449">
        <v>436880</v>
      </c>
      <c r="C449" t="s">
        <v>84</v>
      </c>
      <c r="D449" t="s">
        <v>486</v>
      </c>
      <c r="E449" t="s">
        <v>1226</v>
      </c>
      <c r="J449">
        <v>3.600219579</v>
      </c>
      <c r="K449">
        <v>-0.293098474</v>
      </c>
      <c r="L449">
        <v>-0.153917466</v>
      </c>
      <c r="M449" s="21">
        <v>-1.0090704429999999</v>
      </c>
      <c r="N449">
        <v>1.055172172</v>
      </c>
    </row>
    <row r="450" spans="1:14" x14ac:dyDescent="0.2">
      <c r="A450" t="s">
        <v>1049</v>
      </c>
      <c r="B450">
        <v>512000</v>
      </c>
      <c r="C450" t="s">
        <v>100</v>
      </c>
      <c r="D450" t="s">
        <v>1049</v>
      </c>
      <c r="E450" t="s">
        <v>1227</v>
      </c>
      <c r="G450" t="s">
        <v>1228</v>
      </c>
      <c r="J450">
        <v>5.9110743220000002</v>
      </c>
      <c r="K450">
        <v>0.71598987199999997</v>
      </c>
      <c r="L450">
        <v>0.29077365599999999</v>
      </c>
      <c r="M450" s="21">
        <v>-1.009331507</v>
      </c>
      <c r="N450">
        <v>1.0538309910000001</v>
      </c>
    </row>
    <row r="451" spans="1:14" x14ac:dyDescent="0.2">
      <c r="A451" t="s">
        <v>598</v>
      </c>
      <c r="B451">
        <v>436680</v>
      </c>
      <c r="C451" t="s">
        <v>84</v>
      </c>
      <c r="D451" t="s">
        <v>598</v>
      </c>
      <c r="E451" t="s">
        <v>1229</v>
      </c>
      <c r="J451">
        <v>3.600219579</v>
      </c>
      <c r="K451">
        <v>-0.293098474</v>
      </c>
      <c r="L451">
        <v>-0.153917466</v>
      </c>
      <c r="M451" s="21">
        <v>-1.009332216</v>
      </c>
      <c r="N451">
        <v>1.053827345</v>
      </c>
    </row>
    <row r="452" spans="1:14" x14ac:dyDescent="0.2">
      <c r="A452" t="s">
        <v>998</v>
      </c>
      <c r="B452">
        <v>436600</v>
      </c>
      <c r="C452" t="s">
        <v>84</v>
      </c>
      <c r="D452" t="s">
        <v>998</v>
      </c>
      <c r="E452" t="s">
        <v>1230</v>
      </c>
      <c r="J452">
        <v>3.600219579</v>
      </c>
      <c r="K452">
        <v>-0.293098474</v>
      </c>
      <c r="L452">
        <v>-0.153917466</v>
      </c>
      <c r="M452" s="21">
        <v>-1.009436926</v>
      </c>
      <c r="N452">
        <v>1.053289414</v>
      </c>
    </row>
    <row r="453" spans="1:14" x14ac:dyDescent="0.2">
      <c r="A453" t="s">
        <v>1231</v>
      </c>
      <c r="B453">
        <v>419040</v>
      </c>
      <c r="C453" t="s">
        <v>68</v>
      </c>
      <c r="D453" t="s">
        <v>1231</v>
      </c>
      <c r="E453" t="s">
        <v>1232</v>
      </c>
      <c r="G453" t="s">
        <v>1233</v>
      </c>
      <c r="J453">
        <v>6.4561903559999996</v>
      </c>
      <c r="K453">
        <v>0.47291064100000002</v>
      </c>
      <c r="L453">
        <v>0.34414126499999997</v>
      </c>
      <c r="M453" s="21">
        <v>-1.00995097</v>
      </c>
      <c r="N453">
        <v>1.050648574</v>
      </c>
    </row>
    <row r="454" spans="1:14" x14ac:dyDescent="0.2">
      <c r="A454" t="s">
        <v>203</v>
      </c>
      <c r="B454">
        <v>528520</v>
      </c>
      <c r="C454" t="s">
        <v>130</v>
      </c>
      <c r="D454" t="s">
        <v>204</v>
      </c>
      <c r="E454" t="s">
        <v>1234</v>
      </c>
      <c r="G454" t="s">
        <v>1235</v>
      </c>
      <c r="J454">
        <v>5.1222566499999997</v>
      </c>
      <c r="K454">
        <v>0.21422175600000001</v>
      </c>
      <c r="L454">
        <v>0.25354511400000002</v>
      </c>
      <c r="M454" s="21">
        <v>-1.010202539</v>
      </c>
      <c r="N454">
        <v>1.0493561739999999</v>
      </c>
    </row>
    <row r="455" spans="1:14" x14ac:dyDescent="0.2">
      <c r="A455" t="s">
        <v>169</v>
      </c>
      <c r="B455">
        <v>546280</v>
      </c>
      <c r="C455" t="s">
        <v>149</v>
      </c>
      <c r="D455" t="s">
        <v>169</v>
      </c>
      <c r="E455" t="s">
        <v>1236</v>
      </c>
      <c r="G455" t="s">
        <v>1237</v>
      </c>
      <c r="J455">
        <v>5.0381074159999999</v>
      </c>
      <c r="K455">
        <v>0.81312368999999995</v>
      </c>
      <c r="L455">
        <v>0.16969141800000001</v>
      </c>
      <c r="M455" s="21">
        <v>-1.010226254</v>
      </c>
      <c r="N455">
        <v>1.0492343420000001</v>
      </c>
    </row>
    <row r="456" spans="1:14" x14ac:dyDescent="0.2">
      <c r="A456" t="s">
        <v>477</v>
      </c>
      <c r="B456">
        <v>374520</v>
      </c>
      <c r="C456" t="s">
        <v>28</v>
      </c>
      <c r="D456" t="s">
        <v>477</v>
      </c>
      <c r="E456" t="s">
        <v>1238</v>
      </c>
      <c r="G456" t="s">
        <v>1239</v>
      </c>
      <c r="J456">
        <v>5.8462906840000004</v>
      </c>
      <c r="K456">
        <v>0.60615847</v>
      </c>
      <c r="L456">
        <v>0.28550877299999999</v>
      </c>
      <c r="M456" s="21">
        <v>-1.010905972</v>
      </c>
      <c r="N456">
        <v>1.0457423729999999</v>
      </c>
    </row>
    <row r="457" spans="1:14" x14ac:dyDescent="0.2">
      <c r="A457" t="s">
        <v>462</v>
      </c>
      <c r="B457">
        <v>435240</v>
      </c>
      <c r="C457" t="s">
        <v>84</v>
      </c>
      <c r="D457" t="s">
        <v>462</v>
      </c>
      <c r="E457" t="s">
        <v>1240</v>
      </c>
      <c r="J457">
        <v>3.600219579</v>
      </c>
      <c r="K457">
        <v>-0.293098474</v>
      </c>
      <c r="L457">
        <v>-0.153917466</v>
      </c>
      <c r="M457" s="21">
        <v>-1.011216984</v>
      </c>
      <c r="N457">
        <v>1.0441445899999999</v>
      </c>
    </row>
    <row r="458" spans="1:14" x14ac:dyDescent="0.2">
      <c r="A458" t="s">
        <v>236</v>
      </c>
      <c r="B458">
        <v>373920</v>
      </c>
      <c r="C458" t="s">
        <v>28</v>
      </c>
      <c r="D458" t="s">
        <v>236</v>
      </c>
      <c r="E458" t="s">
        <v>1241</v>
      </c>
      <c r="G458" t="s">
        <v>1242</v>
      </c>
      <c r="J458">
        <v>5.8462906840000004</v>
      </c>
      <c r="K458">
        <v>0.60615847</v>
      </c>
      <c r="L458">
        <v>0.28550877299999999</v>
      </c>
      <c r="M458" s="21">
        <v>-1.0114476590000001</v>
      </c>
      <c r="N458">
        <v>1.0429595229999999</v>
      </c>
    </row>
    <row r="459" spans="1:14" x14ac:dyDescent="0.2">
      <c r="A459" t="s">
        <v>372</v>
      </c>
      <c r="B459">
        <v>417400</v>
      </c>
      <c r="C459" t="s">
        <v>68</v>
      </c>
      <c r="D459" t="s">
        <v>372</v>
      </c>
      <c r="E459" t="s">
        <v>1243</v>
      </c>
      <c r="G459" t="s">
        <v>1244</v>
      </c>
      <c r="J459">
        <v>6.4561903559999996</v>
      </c>
      <c r="K459">
        <v>0.47291064100000002</v>
      </c>
      <c r="L459">
        <v>0.34414126499999997</v>
      </c>
      <c r="M459" s="21">
        <v>-1.011536937</v>
      </c>
      <c r="N459">
        <v>1.0425008730000001</v>
      </c>
    </row>
    <row r="460" spans="1:14" x14ac:dyDescent="0.2">
      <c r="A460" t="s">
        <v>333</v>
      </c>
      <c r="B460">
        <v>509760</v>
      </c>
      <c r="C460" t="s">
        <v>100</v>
      </c>
      <c r="D460" t="s">
        <v>334</v>
      </c>
      <c r="E460" t="s">
        <v>1245</v>
      </c>
      <c r="G460" t="s">
        <v>1246</v>
      </c>
      <c r="J460">
        <v>5.9110743220000002</v>
      </c>
      <c r="K460">
        <v>0.71598987199999997</v>
      </c>
      <c r="L460">
        <v>0.29077365599999999</v>
      </c>
      <c r="M460" s="21">
        <v>-1.011555185</v>
      </c>
      <c r="N460">
        <v>1.0424071239999999</v>
      </c>
    </row>
    <row r="461" spans="1:14" x14ac:dyDescent="0.2">
      <c r="A461" t="s">
        <v>392</v>
      </c>
      <c r="B461">
        <v>524240</v>
      </c>
      <c r="C461" t="s">
        <v>14</v>
      </c>
      <c r="D461" t="s">
        <v>392</v>
      </c>
      <c r="E461" t="s">
        <v>1247</v>
      </c>
      <c r="G461" t="s">
        <v>1248</v>
      </c>
      <c r="J461">
        <v>6.7484204910000001</v>
      </c>
      <c r="K461">
        <v>0.48629166299999999</v>
      </c>
      <c r="L461">
        <v>0.375053939</v>
      </c>
      <c r="M461" s="21">
        <v>-1.0115598699999999</v>
      </c>
      <c r="N461">
        <v>1.0423830540000001</v>
      </c>
    </row>
    <row r="462" spans="1:14" x14ac:dyDescent="0.2">
      <c r="A462" t="s">
        <v>355</v>
      </c>
      <c r="B462">
        <v>373720</v>
      </c>
      <c r="C462" t="s">
        <v>28</v>
      </c>
      <c r="D462" t="s">
        <v>356</v>
      </c>
      <c r="E462" t="s">
        <v>1249</v>
      </c>
      <c r="G462" t="s">
        <v>1250</v>
      </c>
      <c r="J462">
        <v>5.8462906840000004</v>
      </c>
      <c r="K462">
        <v>0.60615847</v>
      </c>
      <c r="L462">
        <v>0.28550877299999999</v>
      </c>
      <c r="M462" s="21">
        <v>-1.0116282219999999</v>
      </c>
      <c r="N462">
        <v>1.0420319060000001</v>
      </c>
    </row>
    <row r="463" spans="1:14" x14ac:dyDescent="0.2">
      <c r="A463" t="s">
        <v>1251</v>
      </c>
      <c r="B463">
        <v>373640</v>
      </c>
      <c r="C463" t="s">
        <v>28</v>
      </c>
      <c r="D463" t="s">
        <v>1251</v>
      </c>
      <c r="E463" t="s">
        <v>1252</v>
      </c>
      <c r="G463" t="s">
        <v>1253</v>
      </c>
      <c r="J463">
        <v>5.8462906840000004</v>
      </c>
      <c r="K463">
        <v>0.60615847</v>
      </c>
      <c r="L463">
        <v>0.28550877299999999</v>
      </c>
      <c r="M463" s="21">
        <v>-1.0117004469999999</v>
      </c>
      <c r="N463">
        <v>1.0416608590000001</v>
      </c>
    </row>
    <row r="464" spans="1:14" x14ac:dyDescent="0.2">
      <c r="A464" t="s">
        <v>1137</v>
      </c>
      <c r="B464">
        <v>416760</v>
      </c>
      <c r="C464" t="s">
        <v>68</v>
      </c>
      <c r="D464" t="s">
        <v>1137</v>
      </c>
      <c r="E464" t="s">
        <v>1254</v>
      </c>
      <c r="G464" t="s">
        <v>1255</v>
      </c>
      <c r="J464">
        <v>6.4561903559999996</v>
      </c>
      <c r="K464">
        <v>0.47291064100000002</v>
      </c>
      <c r="L464">
        <v>0.34414126499999997</v>
      </c>
      <c r="M464" s="21">
        <v>-1.0121558500000001</v>
      </c>
      <c r="N464">
        <v>1.039321282</v>
      </c>
    </row>
    <row r="465" spans="1:14" x14ac:dyDescent="0.2">
      <c r="A465" t="s">
        <v>1256</v>
      </c>
      <c r="B465">
        <v>416680</v>
      </c>
      <c r="C465" t="s">
        <v>68</v>
      </c>
      <c r="D465" t="s">
        <v>1257</v>
      </c>
      <c r="E465" t="s">
        <v>1258</v>
      </c>
      <c r="G465" t="s">
        <v>1259</v>
      </c>
      <c r="J465">
        <v>6.4561903559999996</v>
      </c>
      <c r="K465">
        <v>0.47291064100000002</v>
      </c>
      <c r="L465">
        <v>0.34414126499999997</v>
      </c>
      <c r="M465" s="21">
        <v>-1.0122332140000001</v>
      </c>
      <c r="N465">
        <v>1.0389238329999999</v>
      </c>
    </row>
    <row r="466" spans="1:14" x14ac:dyDescent="0.2">
      <c r="A466" t="s">
        <v>1260</v>
      </c>
      <c r="B466">
        <v>525280</v>
      </c>
      <c r="C466" t="s">
        <v>130</v>
      </c>
      <c r="D466" t="s">
        <v>1260</v>
      </c>
      <c r="E466" t="s">
        <v>1261</v>
      </c>
      <c r="G466" t="s">
        <v>1262</v>
      </c>
      <c r="J466">
        <v>5.1222566499999997</v>
      </c>
      <c r="K466">
        <v>0.21422175600000001</v>
      </c>
      <c r="L466">
        <v>0.25354511400000002</v>
      </c>
      <c r="M466" s="21">
        <v>-1.0127810269999999</v>
      </c>
      <c r="N466">
        <v>1.0361095119999999</v>
      </c>
    </row>
    <row r="467" spans="1:14" x14ac:dyDescent="0.2">
      <c r="A467" t="s">
        <v>1263</v>
      </c>
      <c r="B467">
        <v>372440</v>
      </c>
      <c r="C467" t="s">
        <v>28</v>
      </c>
      <c r="D467" t="s">
        <v>1264</v>
      </c>
      <c r="E467" t="s">
        <v>1265</v>
      </c>
      <c r="G467" t="s">
        <v>1266</v>
      </c>
      <c r="J467">
        <v>5.8462906840000004</v>
      </c>
      <c r="K467">
        <v>0.60615847</v>
      </c>
      <c r="L467">
        <v>0.28550877299999999</v>
      </c>
      <c r="M467" s="21">
        <v>-1.0127838220000001</v>
      </c>
      <c r="N467">
        <v>1.0360951570000001</v>
      </c>
    </row>
    <row r="468" spans="1:14" x14ac:dyDescent="0.2">
      <c r="A468" t="s">
        <v>225</v>
      </c>
      <c r="B468">
        <v>525040</v>
      </c>
      <c r="C468" t="s">
        <v>130</v>
      </c>
      <c r="D468" t="s">
        <v>225</v>
      </c>
      <c r="E468" t="s">
        <v>1267</v>
      </c>
      <c r="G468" t="s">
        <v>1268</v>
      </c>
      <c r="J468">
        <v>5.1222566499999997</v>
      </c>
      <c r="K468">
        <v>0.21422175600000001</v>
      </c>
      <c r="L468">
        <v>0.25354511400000002</v>
      </c>
      <c r="M468" s="21">
        <v>-1.012972027</v>
      </c>
      <c r="N468">
        <v>1.035128278</v>
      </c>
    </row>
    <row r="469" spans="1:14" x14ac:dyDescent="0.2">
      <c r="A469" t="s">
        <v>1269</v>
      </c>
      <c r="B469">
        <v>328280</v>
      </c>
      <c r="C469" t="s">
        <v>34</v>
      </c>
      <c r="D469" t="s">
        <v>1269</v>
      </c>
      <c r="J469">
        <v>7.0544859390000001</v>
      </c>
      <c r="K469">
        <v>0.623000361</v>
      </c>
      <c r="L469">
        <v>0.42866702800000001</v>
      </c>
      <c r="M469" s="21">
        <v>-1.0138275990000001</v>
      </c>
      <c r="N469">
        <v>1.030732883</v>
      </c>
    </row>
    <row r="470" spans="1:14" x14ac:dyDescent="0.2">
      <c r="A470" t="s">
        <v>148</v>
      </c>
      <c r="B470">
        <v>371080</v>
      </c>
      <c r="C470" t="s">
        <v>28</v>
      </c>
      <c r="D470" t="s">
        <v>148</v>
      </c>
      <c r="E470" t="s">
        <v>1270</v>
      </c>
      <c r="G470" t="s">
        <v>1271</v>
      </c>
      <c r="J470">
        <v>5.8462906840000004</v>
      </c>
      <c r="K470">
        <v>0.60615847</v>
      </c>
      <c r="L470">
        <v>0.28550877299999999</v>
      </c>
      <c r="M470" s="21">
        <v>-1.0140116459999999</v>
      </c>
      <c r="N470">
        <v>1.0297873630000001</v>
      </c>
    </row>
    <row r="471" spans="1:14" x14ac:dyDescent="0.2">
      <c r="A471" t="s">
        <v>551</v>
      </c>
      <c r="B471">
        <v>433000</v>
      </c>
      <c r="C471" t="s">
        <v>84</v>
      </c>
      <c r="D471" t="s">
        <v>551</v>
      </c>
      <c r="E471" t="s">
        <v>1272</v>
      </c>
      <c r="J471">
        <v>3.600219579</v>
      </c>
      <c r="K471">
        <v>-0.293098474</v>
      </c>
      <c r="L471">
        <v>-0.153917466</v>
      </c>
      <c r="M471" s="21">
        <v>-1.0141488439999999</v>
      </c>
      <c r="N471">
        <v>1.029082525</v>
      </c>
    </row>
    <row r="472" spans="1:14" x14ac:dyDescent="0.2">
      <c r="A472" t="s">
        <v>796</v>
      </c>
      <c r="B472">
        <v>507080</v>
      </c>
      <c r="C472" t="s">
        <v>100</v>
      </c>
      <c r="D472" t="s">
        <v>796</v>
      </c>
      <c r="E472" t="s">
        <v>1273</v>
      </c>
      <c r="G472" t="s">
        <v>1274</v>
      </c>
      <c r="J472">
        <v>5.9110743220000002</v>
      </c>
      <c r="K472">
        <v>0.71598987199999997</v>
      </c>
      <c r="L472">
        <v>0.29077365599999999</v>
      </c>
      <c r="M472" s="21">
        <v>-1.014215657</v>
      </c>
      <c r="N472">
        <v>1.0287392829999999</v>
      </c>
    </row>
    <row r="473" spans="1:14" x14ac:dyDescent="0.2">
      <c r="A473" t="s">
        <v>1275</v>
      </c>
      <c r="B473">
        <v>370120</v>
      </c>
      <c r="C473" t="s">
        <v>28</v>
      </c>
      <c r="D473" t="s">
        <v>1276</v>
      </c>
      <c r="E473" t="s">
        <v>1277</v>
      </c>
      <c r="G473" t="s">
        <v>1278</v>
      </c>
      <c r="J473">
        <v>5.8462906840000004</v>
      </c>
      <c r="K473">
        <v>0.60615847</v>
      </c>
      <c r="L473">
        <v>0.28550877299999999</v>
      </c>
      <c r="M473" s="21">
        <v>-1.0148783459999999</v>
      </c>
      <c r="N473">
        <v>1.0253348010000001</v>
      </c>
    </row>
    <row r="474" spans="1:14" x14ac:dyDescent="0.2">
      <c r="A474" t="s">
        <v>1137</v>
      </c>
      <c r="B474">
        <v>368480</v>
      </c>
      <c r="C474" t="s">
        <v>28</v>
      </c>
      <c r="D474" t="s">
        <v>1137</v>
      </c>
      <c r="E474" t="s">
        <v>1279</v>
      </c>
      <c r="G474" t="s">
        <v>1280</v>
      </c>
      <c r="J474">
        <v>5.8462906840000004</v>
      </c>
      <c r="K474">
        <v>0.60615847</v>
      </c>
      <c r="L474">
        <v>0.28550877299999999</v>
      </c>
      <c r="M474" s="21">
        <v>-1.0163589580000001</v>
      </c>
      <c r="N474">
        <v>1.0177283429999999</v>
      </c>
    </row>
    <row r="475" spans="1:14" x14ac:dyDescent="0.2">
      <c r="A475" t="s">
        <v>185</v>
      </c>
      <c r="B475">
        <v>431080</v>
      </c>
      <c r="C475" t="s">
        <v>84</v>
      </c>
      <c r="D475" t="s">
        <v>185</v>
      </c>
      <c r="E475" t="s">
        <v>1281</v>
      </c>
      <c r="J475">
        <v>3.600219579</v>
      </c>
      <c r="K475">
        <v>-0.293098474</v>
      </c>
      <c r="L475">
        <v>-0.153917466</v>
      </c>
      <c r="M475" s="21">
        <v>-1.0166618670000001</v>
      </c>
      <c r="N475">
        <v>1.016172184</v>
      </c>
    </row>
    <row r="476" spans="1:14" x14ac:dyDescent="0.2">
      <c r="A476" t="s">
        <v>551</v>
      </c>
      <c r="B476">
        <v>368000</v>
      </c>
      <c r="C476" t="s">
        <v>28</v>
      </c>
      <c r="D476" t="s">
        <v>551</v>
      </c>
      <c r="E476" t="s">
        <v>1282</v>
      </c>
      <c r="G476" t="s">
        <v>1283</v>
      </c>
      <c r="J476">
        <v>5.8462906840000004</v>
      </c>
      <c r="K476">
        <v>0.60615847</v>
      </c>
      <c r="L476">
        <v>0.28550877299999999</v>
      </c>
      <c r="M476" s="21">
        <v>-1.0167923080000001</v>
      </c>
      <c r="N476">
        <v>1.0155020619999999</v>
      </c>
    </row>
    <row r="477" spans="1:14" x14ac:dyDescent="0.2">
      <c r="A477" t="s">
        <v>551</v>
      </c>
      <c r="B477">
        <v>539120</v>
      </c>
      <c r="C477" t="s">
        <v>149</v>
      </c>
      <c r="D477" t="s">
        <v>551</v>
      </c>
      <c r="E477" t="s">
        <v>1284</v>
      </c>
      <c r="G477" t="s">
        <v>1285</v>
      </c>
      <c r="J477">
        <v>5.0381074159999999</v>
      </c>
      <c r="K477">
        <v>0.81312368999999995</v>
      </c>
      <c r="L477">
        <v>0.16969141800000001</v>
      </c>
      <c r="M477" s="21">
        <v>-1.0168465040000001</v>
      </c>
      <c r="N477">
        <v>1.0152236349999999</v>
      </c>
    </row>
    <row r="478" spans="1:14" x14ac:dyDescent="0.2">
      <c r="A478" t="s">
        <v>846</v>
      </c>
      <c r="B478">
        <v>324840</v>
      </c>
      <c r="C478" t="s">
        <v>34</v>
      </c>
      <c r="D478" t="s">
        <v>847</v>
      </c>
      <c r="E478" t="s">
        <v>1286</v>
      </c>
      <c r="G478" t="s">
        <v>1287</v>
      </c>
      <c r="J478">
        <v>7.0544859390000001</v>
      </c>
      <c r="K478">
        <v>0.623000361</v>
      </c>
      <c r="L478">
        <v>0.42866702800000001</v>
      </c>
      <c r="M478" s="21">
        <v>-1.016851562</v>
      </c>
      <c r="N478">
        <v>1.0151976519999999</v>
      </c>
    </row>
    <row r="479" spans="1:14" x14ac:dyDescent="0.2">
      <c r="A479" t="s">
        <v>441</v>
      </c>
      <c r="B479">
        <v>367560</v>
      </c>
      <c r="C479" t="s">
        <v>28</v>
      </c>
      <c r="D479" t="s">
        <v>442</v>
      </c>
      <c r="E479" t="s">
        <v>1288</v>
      </c>
      <c r="G479" t="s">
        <v>1289</v>
      </c>
      <c r="J479">
        <v>5.8462906840000004</v>
      </c>
      <c r="K479">
        <v>0.60615847</v>
      </c>
      <c r="L479">
        <v>0.28550877299999999</v>
      </c>
      <c r="M479" s="21">
        <v>-1.0171895449999999</v>
      </c>
      <c r="N479">
        <v>1.0134613050000001</v>
      </c>
    </row>
    <row r="480" spans="1:14" x14ac:dyDescent="0.2">
      <c r="A480" t="s">
        <v>1290</v>
      </c>
      <c r="B480">
        <v>503320</v>
      </c>
      <c r="C480" t="s">
        <v>100</v>
      </c>
      <c r="D480" t="s">
        <v>1291</v>
      </c>
      <c r="E480" t="s">
        <v>1292</v>
      </c>
      <c r="G480" t="s">
        <v>1293</v>
      </c>
      <c r="J480">
        <v>5.9110743220000002</v>
      </c>
      <c r="K480">
        <v>0.71598987199999997</v>
      </c>
      <c r="L480">
        <v>0.29077365599999999</v>
      </c>
      <c r="M480" s="21">
        <v>-1.01794826</v>
      </c>
      <c r="N480">
        <v>1.009563505</v>
      </c>
    </row>
    <row r="481" spans="1:14" x14ac:dyDescent="0.2">
      <c r="A481" t="s">
        <v>801</v>
      </c>
      <c r="B481">
        <v>430080</v>
      </c>
      <c r="C481" t="s">
        <v>84</v>
      </c>
      <c r="D481" t="s">
        <v>801</v>
      </c>
      <c r="E481" t="s">
        <v>1294</v>
      </c>
      <c r="J481">
        <v>3.600219579</v>
      </c>
      <c r="K481">
        <v>-0.293098474</v>
      </c>
      <c r="L481">
        <v>-0.153917466</v>
      </c>
      <c r="M481" s="21">
        <v>-1.0179707339999999</v>
      </c>
      <c r="N481">
        <v>1.0094480480000001</v>
      </c>
    </row>
    <row r="482" spans="1:14" x14ac:dyDescent="0.2">
      <c r="A482" t="s">
        <v>1295</v>
      </c>
      <c r="B482">
        <v>322920</v>
      </c>
      <c r="C482" t="s">
        <v>34</v>
      </c>
      <c r="D482" t="s">
        <v>1296</v>
      </c>
      <c r="E482" t="s">
        <v>1297</v>
      </c>
      <c r="G482" t="s">
        <v>1298</v>
      </c>
      <c r="J482">
        <v>7.0544859390000001</v>
      </c>
      <c r="K482">
        <v>0.623000361</v>
      </c>
      <c r="L482">
        <v>0.42866702800000001</v>
      </c>
      <c r="M482" s="21">
        <v>-1.0185393549999999</v>
      </c>
      <c r="N482">
        <v>1.006526826</v>
      </c>
    </row>
    <row r="483" spans="1:14" x14ac:dyDescent="0.2">
      <c r="A483" t="s">
        <v>482</v>
      </c>
      <c r="B483">
        <v>410080</v>
      </c>
      <c r="C483" t="s">
        <v>68</v>
      </c>
      <c r="D483" t="s">
        <v>482</v>
      </c>
      <c r="E483" t="s">
        <v>1299</v>
      </c>
      <c r="G483" t="s">
        <v>1300</v>
      </c>
      <c r="J483">
        <v>6.4561903559999996</v>
      </c>
      <c r="K483">
        <v>0.47291064100000002</v>
      </c>
      <c r="L483">
        <v>0.34414126499999997</v>
      </c>
      <c r="M483" s="21">
        <v>-1.018615761</v>
      </c>
      <c r="N483">
        <v>1.006134302</v>
      </c>
    </row>
    <row r="484" spans="1:14" x14ac:dyDescent="0.2">
      <c r="A484" t="s">
        <v>175</v>
      </c>
      <c r="B484">
        <v>509440</v>
      </c>
      <c r="C484" t="s">
        <v>58</v>
      </c>
      <c r="D484" t="s">
        <v>175</v>
      </c>
      <c r="E484" t="s">
        <v>1301</v>
      </c>
      <c r="G484" t="s">
        <v>1302</v>
      </c>
      <c r="J484">
        <v>4.5363847230000003</v>
      </c>
      <c r="K484">
        <v>0.245646371</v>
      </c>
      <c r="L484">
        <v>7.5242279999999995E-2</v>
      </c>
      <c r="M484" s="21">
        <v>-1.018667491</v>
      </c>
      <c r="N484">
        <v>1.0058685469999999</v>
      </c>
    </row>
    <row r="485" spans="1:14" x14ac:dyDescent="0.2">
      <c r="A485" t="s">
        <v>352</v>
      </c>
      <c r="B485">
        <v>537120</v>
      </c>
      <c r="C485" t="s">
        <v>149</v>
      </c>
      <c r="D485" t="s">
        <v>352</v>
      </c>
      <c r="E485" t="s">
        <v>1303</v>
      </c>
      <c r="G485" t="s">
        <v>1304</v>
      </c>
      <c r="J485">
        <v>5.0381074159999999</v>
      </c>
      <c r="K485">
        <v>0.81312368999999995</v>
      </c>
      <c r="L485">
        <v>0.16969141800000001</v>
      </c>
      <c r="M485" s="21">
        <v>-1.018695737</v>
      </c>
      <c r="N485">
        <v>1.0057234370000001</v>
      </c>
    </row>
    <row r="486" spans="1:14" x14ac:dyDescent="0.2">
      <c r="A486" t="s">
        <v>935</v>
      </c>
      <c r="B486">
        <v>517760</v>
      </c>
      <c r="C486" t="s">
        <v>130</v>
      </c>
      <c r="D486" t="s">
        <v>935</v>
      </c>
      <c r="E486" t="s">
        <v>1305</v>
      </c>
      <c r="G486" t="s">
        <v>1306</v>
      </c>
      <c r="J486">
        <v>5.1222566499999997</v>
      </c>
      <c r="K486">
        <v>0.21422175600000001</v>
      </c>
      <c r="L486">
        <v>0.25354511400000002</v>
      </c>
      <c r="M486" s="21">
        <v>-1.0187656679999999</v>
      </c>
      <c r="N486">
        <v>1.0053641740000001</v>
      </c>
    </row>
    <row r="487" spans="1:14" x14ac:dyDescent="0.2">
      <c r="A487" t="s">
        <v>839</v>
      </c>
      <c r="B487">
        <v>409840</v>
      </c>
      <c r="C487" t="s">
        <v>68</v>
      </c>
      <c r="D487" t="s">
        <v>840</v>
      </c>
      <c r="E487" t="s">
        <v>1307</v>
      </c>
      <c r="G487" t="s">
        <v>1308</v>
      </c>
      <c r="J487">
        <v>6.4561903559999996</v>
      </c>
      <c r="K487">
        <v>0.47291064100000002</v>
      </c>
      <c r="L487">
        <v>0.34414126499999997</v>
      </c>
      <c r="M487" s="21">
        <v>-1.0188478540000001</v>
      </c>
      <c r="N487">
        <v>1.0049419550000001</v>
      </c>
    </row>
    <row r="488" spans="1:14" x14ac:dyDescent="0.2">
      <c r="A488" t="s">
        <v>1309</v>
      </c>
      <c r="B488">
        <v>322560</v>
      </c>
      <c r="C488" t="s">
        <v>34</v>
      </c>
      <c r="D488" t="s">
        <v>1309</v>
      </c>
      <c r="E488" t="s">
        <v>1310</v>
      </c>
      <c r="G488" t="s">
        <v>1311</v>
      </c>
      <c r="J488">
        <v>7.0544859390000001</v>
      </c>
      <c r="K488">
        <v>0.623000361</v>
      </c>
      <c r="L488">
        <v>0.42866702800000001</v>
      </c>
      <c r="M488" s="21">
        <v>-1.0188558169999999</v>
      </c>
      <c r="N488">
        <v>1.0049010460000001</v>
      </c>
    </row>
    <row r="489" spans="1:14" x14ac:dyDescent="0.2">
      <c r="A489" t="s">
        <v>342</v>
      </c>
      <c r="B489">
        <v>517440</v>
      </c>
      <c r="C489" t="s">
        <v>130</v>
      </c>
      <c r="D489" t="s">
        <v>342</v>
      </c>
      <c r="E489" t="s">
        <v>1312</v>
      </c>
      <c r="G489" t="s">
        <v>1313</v>
      </c>
      <c r="J489">
        <v>5.1222566499999997</v>
      </c>
      <c r="K489">
        <v>0.21422175600000001</v>
      </c>
      <c r="L489">
        <v>0.25354511400000002</v>
      </c>
      <c r="M489" s="21">
        <v>-1.0190203330000001</v>
      </c>
      <c r="N489">
        <v>1.004055862</v>
      </c>
    </row>
    <row r="490" spans="1:14" x14ac:dyDescent="0.2">
      <c r="A490" t="s">
        <v>42</v>
      </c>
      <c r="B490">
        <v>322160</v>
      </c>
      <c r="C490" t="s">
        <v>34</v>
      </c>
      <c r="D490" t="s">
        <v>42</v>
      </c>
      <c r="J490">
        <v>7.0544859390000001</v>
      </c>
      <c r="K490">
        <v>0.623000361</v>
      </c>
      <c r="L490">
        <v>0.42866702800000001</v>
      </c>
      <c r="M490" s="21">
        <v>-1.01920744</v>
      </c>
      <c r="N490">
        <v>1.003094623</v>
      </c>
    </row>
    <row r="491" spans="1:14" x14ac:dyDescent="0.2">
      <c r="A491" t="s">
        <v>195</v>
      </c>
      <c r="B491">
        <v>508760</v>
      </c>
      <c r="C491" t="s">
        <v>58</v>
      </c>
      <c r="D491" t="s">
        <v>195</v>
      </c>
      <c r="E491" t="s">
        <v>1314</v>
      </c>
      <c r="G491" t="s">
        <v>1315</v>
      </c>
      <c r="J491">
        <v>4.5363847230000003</v>
      </c>
      <c r="K491">
        <v>0.245646371</v>
      </c>
      <c r="L491">
        <v>7.5242279999999995E-2</v>
      </c>
      <c r="M491" s="21">
        <v>-1.0193241850000001</v>
      </c>
      <c r="N491">
        <v>1.002494864</v>
      </c>
    </row>
    <row r="492" spans="1:14" x14ac:dyDescent="0.2">
      <c r="A492" t="s">
        <v>1001</v>
      </c>
      <c r="B492">
        <v>321200</v>
      </c>
      <c r="C492" t="s">
        <v>34</v>
      </c>
      <c r="D492" t="s">
        <v>1001</v>
      </c>
      <c r="J492">
        <v>7.0544859390000001</v>
      </c>
      <c r="K492">
        <v>0.623000361</v>
      </c>
      <c r="L492">
        <v>0.42866702800000001</v>
      </c>
      <c r="M492" s="21">
        <v>-1.0200513369999999</v>
      </c>
      <c r="N492">
        <v>0.99875921000000001</v>
      </c>
    </row>
    <row r="493" spans="1:14" x14ac:dyDescent="0.2">
      <c r="A493" t="s">
        <v>111</v>
      </c>
      <c r="B493">
        <v>535640</v>
      </c>
      <c r="C493" t="s">
        <v>149</v>
      </c>
      <c r="D493" t="s">
        <v>112</v>
      </c>
      <c r="E493" t="s">
        <v>1316</v>
      </c>
      <c r="G493" t="s">
        <v>1317</v>
      </c>
      <c r="J493">
        <v>5.0381074159999999</v>
      </c>
      <c r="K493">
        <v>0.81312368999999995</v>
      </c>
      <c r="L493">
        <v>0.16969141800000001</v>
      </c>
      <c r="M493" s="21">
        <v>-1.020064168</v>
      </c>
      <c r="N493">
        <v>0.99869329100000004</v>
      </c>
    </row>
    <row r="494" spans="1:14" x14ac:dyDescent="0.2">
      <c r="A494" t="s">
        <v>1318</v>
      </c>
      <c r="B494">
        <v>515920</v>
      </c>
      <c r="C494" t="s">
        <v>14</v>
      </c>
      <c r="D494" t="s">
        <v>1318</v>
      </c>
      <c r="E494" t="s">
        <v>1319</v>
      </c>
      <c r="G494" t="s">
        <v>1320</v>
      </c>
      <c r="J494">
        <v>6.7484204910000001</v>
      </c>
      <c r="K494">
        <v>0.48629166299999999</v>
      </c>
      <c r="L494">
        <v>0.375053939</v>
      </c>
      <c r="M494" s="21">
        <v>-1.02067628</v>
      </c>
      <c r="N494">
        <v>0.99554864499999995</v>
      </c>
    </row>
    <row r="495" spans="1:14" x14ac:dyDescent="0.2">
      <c r="A495" t="s">
        <v>1321</v>
      </c>
      <c r="B495">
        <v>363600</v>
      </c>
      <c r="C495" t="s">
        <v>28</v>
      </c>
      <c r="D495" t="s">
        <v>1321</v>
      </c>
      <c r="E495" t="s">
        <v>1322</v>
      </c>
      <c r="G495" t="s">
        <v>1323</v>
      </c>
      <c r="J495">
        <v>5.8462906840000004</v>
      </c>
      <c r="K495">
        <v>0.60615847</v>
      </c>
      <c r="L495">
        <v>0.28550877299999999</v>
      </c>
      <c r="M495" s="21">
        <v>-1.020764682</v>
      </c>
      <c r="N495">
        <v>0.99509449000000005</v>
      </c>
    </row>
    <row r="496" spans="1:14" x14ac:dyDescent="0.2">
      <c r="A496" t="s">
        <v>444</v>
      </c>
      <c r="B496">
        <v>514400</v>
      </c>
      <c r="C496" t="s">
        <v>130</v>
      </c>
      <c r="D496" t="s">
        <v>445</v>
      </c>
      <c r="E496" t="s">
        <v>1324</v>
      </c>
      <c r="G496" t="s">
        <v>1325</v>
      </c>
      <c r="J496">
        <v>5.1222566499999997</v>
      </c>
      <c r="K496">
        <v>0.21422175600000001</v>
      </c>
      <c r="L496">
        <v>0.25354511400000002</v>
      </c>
      <c r="M496" s="21">
        <v>-1.0214396560000001</v>
      </c>
      <c r="N496">
        <v>0.99162689500000001</v>
      </c>
    </row>
    <row r="497" spans="1:14" x14ac:dyDescent="0.2">
      <c r="A497" t="s">
        <v>912</v>
      </c>
      <c r="B497">
        <v>407080</v>
      </c>
      <c r="C497" t="s">
        <v>68</v>
      </c>
      <c r="D497" t="s">
        <v>912</v>
      </c>
      <c r="E497" t="s">
        <v>1326</v>
      </c>
      <c r="G497" t="s">
        <v>1327</v>
      </c>
      <c r="J497">
        <v>6.4561903559999996</v>
      </c>
      <c r="K497">
        <v>0.47291064100000002</v>
      </c>
      <c r="L497">
        <v>0.34414126499999997</v>
      </c>
      <c r="M497" s="21">
        <v>-1.021516919</v>
      </c>
      <c r="N497">
        <v>0.99122996900000004</v>
      </c>
    </row>
    <row r="498" spans="1:14" x14ac:dyDescent="0.2">
      <c r="A498" t="s">
        <v>610</v>
      </c>
      <c r="B498">
        <v>319520</v>
      </c>
      <c r="C498" t="s">
        <v>34</v>
      </c>
      <c r="D498" t="s">
        <v>611</v>
      </c>
      <c r="J498">
        <v>7.0544859390000001</v>
      </c>
      <c r="K498">
        <v>0.623000361</v>
      </c>
      <c r="L498">
        <v>0.42866702800000001</v>
      </c>
      <c r="M498" s="21">
        <v>-1.021528156</v>
      </c>
      <c r="N498">
        <v>0.99117223700000001</v>
      </c>
    </row>
    <row r="499" spans="1:14" x14ac:dyDescent="0.2">
      <c r="A499" t="s">
        <v>656</v>
      </c>
      <c r="B499">
        <v>319160</v>
      </c>
      <c r="C499" t="s">
        <v>34</v>
      </c>
      <c r="D499" t="s">
        <v>656</v>
      </c>
      <c r="E499" t="s">
        <v>1328</v>
      </c>
      <c r="G499" t="s">
        <v>1329</v>
      </c>
      <c r="J499">
        <v>7.0544859390000001</v>
      </c>
      <c r="K499">
        <v>0.623000361</v>
      </c>
      <c r="L499">
        <v>0.42866702800000001</v>
      </c>
      <c r="M499" s="21">
        <v>-1.021844618</v>
      </c>
      <c r="N499">
        <v>0.98954645699999999</v>
      </c>
    </row>
    <row r="500" spans="1:14" x14ac:dyDescent="0.2">
      <c r="A500" t="s">
        <v>1330</v>
      </c>
      <c r="B500">
        <v>362080</v>
      </c>
      <c r="C500" t="s">
        <v>28</v>
      </c>
      <c r="D500" t="s">
        <v>1330</v>
      </c>
      <c r="E500" t="s">
        <v>1331</v>
      </c>
      <c r="G500" t="s">
        <v>1332</v>
      </c>
      <c r="J500">
        <v>5.8462906840000004</v>
      </c>
      <c r="K500">
        <v>0.60615847</v>
      </c>
      <c r="L500">
        <v>0.28550877299999999</v>
      </c>
      <c r="M500" s="21">
        <v>-1.0221369570000001</v>
      </c>
      <c r="N500">
        <v>0.98804460199999999</v>
      </c>
    </row>
    <row r="501" spans="1:14" x14ac:dyDescent="0.2">
      <c r="A501" t="s">
        <v>422</v>
      </c>
      <c r="B501">
        <v>513480</v>
      </c>
      <c r="C501" t="s">
        <v>130</v>
      </c>
      <c r="D501" t="s">
        <v>423</v>
      </c>
      <c r="E501" t="s">
        <v>1333</v>
      </c>
      <c r="G501" t="s">
        <v>1334</v>
      </c>
      <c r="J501">
        <v>5.1222566499999997</v>
      </c>
      <c r="K501">
        <v>0.21422175600000001</v>
      </c>
      <c r="L501">
        <v>0.25354511400000002</v>
      </c>
      <c r="M501" s="21">
        <v>-1.0221718200000001</v>
      </c>
      <c r="N501">
        <v>0.98786549700000004</v>
      </c>
    </row>
    <row r="502" spans="1:14" x14ac:dyDescent="0.2">
      <c r="A502" t="s">
        <v>1335</v>
      </c>
      <c r="B502">
        <v>318640</v>
      </c>
      <c r="C502" t="s">
        <v>34</v>
      </c>
      <c r="D502" t="s">
        <v>1335</v>
      </c>
      <c r="J502">
        <v>7.0544859390000001</v>
      </c>
      <c r="K502">
        <v>0.623000361</v>
      </c>
      <c r="L502">
        <v>0.42866702800000001</v>
      </c>
      <c r="M502" s="21">
        <v>-1.022301728</v>
      </c>
      <c r="N502">
        <v>0.98719810799999996</v>
      </c>
    </row>
    <row r="503" spans="1:14" x14ac:dyDescent="0.2">
      <c r="A503" t="s">
        <v>1336</v>
      </c>
      <c r="B503">
        <v>512280</v>
      </c>
      <c r="C503" t="s">
        <v>130</v>
      </c>
      <c r="D503" t="s">
        <v>1336</v>
      </c>
      <c r="E503" t="s">
        <v>1337</v>
      </c>
      <c r="G503" t="s">
        <v>1338</v>
      </c>
      <c r="J503">
        <v>5.1222566499999997</v>
      </c>
      <c r="K503">
        <v>0.21422175600000001</v>
      </c>
      <c r="L503">
        <v>0.25354511400000002</v>
      </c>
      <c r="M503" s="21">
        <v>-1.0231268149999999</v>
      </c>
      <c r="N503">
        <v>0.98295932600000002</v>
      </c>
    </row>
    <row r="504" spans="1:14" x14ac:dyDescent="0.2">
      <c r="A504" t="s">
        <v>139</v>
      </c>
      <c r="B504">
        <v>405200</v>
      </c>
      <c r="C504" t="s">
        <v>68</v>
      </c>
      <c r="D504" t="s">
        <v>139</v>
      </c>
      <c r="E504" t="s">
        <v>1339</v>
      </c>
      <c r="G504" t="s">
        <v>1340</v>
      </c>
      <c r="J504">
        <v>6.4561903559999996</v>
      </c>
      <c r="K504">
        <v>0.47291064100000002</v>
      </c>
      <c r="L504">
        <v>0.34414126499999997</v>
      </c>
      <c r="M504" s="21">
        <v>-1.023334977</v>
      </c>
      <c r="N504">
        <v>0.98188992100000005</v>
      </c>
    </row>
    <row r="505" spans="1:14" x14ac:dyDescent="0.2">
      <c r="A505" t="s">
        <v>1123</v>
      </c>
      <c r="B505">
        <v>317320</v>
      </c>
      <c r="C505" t="s">
        <v>34</v>
      </c>
      <c r="D505" t="s">
        <v>1123</v>
      </c>
      <c r="E505" t="s">
        <v>1341</v>
      </c>
      <c r="G505" t="s">
        <v>1342</v>
      </c>
      <c r="J505">
        <v>7.0544859390000001</v>
      </c>
      <c r="K505">
        <v>0.623000361</v>
      </c>
      <c r="L505">
        <v>0.42866702800000001</v>
      </c>
      <c r="M505" s="21">
        <v>-1.0234620860000001</v>
      </c>
      <c r="N505">
        <v>0.98123691499999999</v>
      </c>
    </row>
    <row r="506" spans="1:14" x14ac:dyDescent="0.2">
      <c r="A506" t="s">
        <v>1343</v>
      </c>
      <c r="B506">
        <v>497680</v>
      </c>
      <c r="C506" t="s">
        <v>100</v>
      </c>
      <c r="D506" t="s">
        <v>1344</v>
      </c>
      <c r="E506" t="s">
        <v>1345</v>
      </c>
      <c r="G506" t="s">
        <v>1346</v>
      </c>
      <c r="J506">
        <v>5.9110743220000002</v>
      </c>
      <c r="K506">
        <v>0.71598987199999997</v>
      </c>
      <c r="L506">
        <v>0.29077365599999999</v>
      </c>
      <c r="M506" s="21">
        <v>-1.023547164</v>
      </c>
      <c r="N506">
        <v>0.98079983999999998</v>
      </c>
    </row>
    <row r="507" spans="1:14" x14ac:dyDescent="0.2">
      <c r="A507" t="s">
        <v>1089</v>
      </c>
      <c r="B507">
        <v>404960</v>
      </c>
      <c r="C507" t="s">
        <v>68</v>
      </c>
      <c r="D507" t="s">
        <v>1089</v>
      </c>
      <c r="E507" t="s">
        <v>1347</v>
      </c>
      <c r="G507" t="s">
        <v>1348</v>
      </c>
      <c r="J507">
        <v>6.4561903559999996</v>
      </c>
      <c r="K507">
        <v>0.47291064100000002</v>
      </c>
      <c r="L507">
        <v>0.34414126499999997</v>
      </c>
      <c r="M507" s="21">
        <v>-1.0235670699999999</v>
      </c>
      <c r="N507">
        <v>0.98069757400000002</v>
      </c>
    </row>
    <row r="508" spans="1:14" x14ac:dyDescent="0.2">
      <c r="A508" t="s">
        <v>1349</v>
      </c>
      <c r="B508">
        <v>513080</v>
      </c>
      <c r="C508" t="s">
        <v>14</v>
      </c>
      <c r="D508" t="s">
        <v>1350</v>
      </c>
      <c r="E508" t="s">
        <v>1351</v>
      </c>
      <c r="G508" t="s">
        <v>1352</v>
      </c>
      <c r="J508">
        <v>6.7484204910000001</v>
      </c>
      <c r="K508">
        <v>0.48629166299999999</v>
      </c>
      <c r="L508">
        <v>0.375053939</v>
      </c>
      <c r="M508" s="21">
        <v>-1.0237881310000001</v>
      </c>
      <c r="N508">
        <v>0.97956189999999999</v>
      </c>
    </row>
    <row r="509" spans="1:14" x14ac:dyDescent="0.2">
      <c r="A509" t="s">
        <v>218</v>
      </c>
      <c r="B509">
        <v>497200</v>
      </c>
      <c r="C509" t="s">
        <v>100</v>
      </c>
      <c r="D509" t="s">
        <v>218</v>
      </c>
      <c r="E509" t="s">
        <v>1353</v>
      </c>
      <c r="G509" t="s">
        <v>1354</v>
      </c>
      <c r="J509">
        <v>5.9110743220000002</v>
      </c>
      <c r="K509">
        <v>0.71598987199999997</v>
      </c>
      <c r="L509">
        <v>0.29077365599999999</v>
      </c>
      <c r="M509" s="21">
        <v>-1.0240236659999999</v>
      </c>
      <c r="N509">
        <v>0.97835186799999996</v>
      </c>
    </row>
    <row r="510" spans="1:14" x14ac:dyDescent="0.2">
      <c r="A510" t="s">
        <v>567</v>
      </c>
      <c r="B510">
        <v>425400</v>
      </c>
      <c r="C510" t="s">
        <v>84</v>
      </c>
      <c r="D510" t="s">
        <v>567</v>
      </c>
      <c r="E510" t="s">
        <v>1355</v>
      </c>
      <c r="J510">
        <v>3.600219579</v>
      </c>
      <c r="K510">
        <v>-0.293098474</v>
      </c>
      <c r="L510">
        <v>-0.153917466</v>
      </c>
      <c r="M510" s="21">
        <v>-1.0240962280000001</v>
      </c>
      <c r="N510">
        <v>0.97797909199999999</v>
      </c>
    </row>
    <row r="511" spans="1:14" x14ac:dyDescent="0.2">
      <c r="A511" t="s">
        <v>1356</v>
      </c>
      <c r="B511">
        <v>510880</v>
      </c>
      <c r="C511" t="s">
        <v>130</v>
      </c>
      <c r="D511" t="s">
        <v>1356</v>
      </c>
      <c r="E511" t="s">
        <v>1357</v>
      </c>
      <c r="G511" t="s">
        <v>1358</v>
      </c>
      <c r="J511">
        <v>5.1222566499999997</v>
      </c>
      <c r="K511">
        <v>0.21422175600000001</v>
      </c>
      <c r="L511">
        <v>0.25354511400000002</v>
      </c>
      <c r="M511" s="21">
        <v>-1.0242409770000001</v>
      </c>
      <c r="N511">
        <v>0.97723545999999994</v>
      </c>
    </row>
    <row r="512" spans="1:14" x14ac:dyDescent="0.2">
      <c r="A512" t="s">
        <v>935</v>
      </c>
      <c r="B512">
        <v>316040</v>
      </c>
      <c r="C512" t="s">
        <v>34</v>
      </c>
      <c r="D512" t="s">
        <v>935</v>
      </c>
      <c r="E512" t="s">
        <v>1359</v>
      </c>
      <c r="G512" t="s">
        <v>1360</v>
      </c>
      <c r="J512">
        <v>7.0544859390000001</v>
      </c>
      <c r="K512">
        <v>0.623000361</v>
      </c>
      <c r="L512">
        <v>0.42866702800000001</v>
      </c>
      <c r="M512" s="21">
        <v>-1.0245872819999999</v>
      </c>
      <c r="N512">
        <v>0.97545636400000002</v>
      </c>
    </row>
    <row r="513" spans="1:14" x14ac:dyDescent="0.2">
      <c r="A513" t="s">
        <v>1163</v>
      </c>
      <c r="B513">
        <v>424920</v>
      </c>
      <c r="C513" t="s">
        <v>84</v>
      </c>
      <c r="D513" t="s">
        <v>1164</v>
      </c>
      <c r="E513" t="s">
        <v>1361</v>
      </c>
      <c r="J513">
        <v>3.600219579</v>
      </c>
      <c r="K513">
        <v>-0.293098474</v>
      </c>
      <c r="L513">
        <v>-0.153917466</v>
      </c>
      <c r="M513" s="21">
        <v>-1.024724484</v>
      </c>
      <c r="N513">
        <v>0.97475150700000002</v>
      </c>
    </row>
    <row r="514" spans="1:14" x14ac:dyDescent="0.2">
      <c r="A514" t="s">
        <v>1362</v>
      </c>
      <c r="B514">
        <v>359120</v>
      </c>
      <c r="C514" t="s">
        <v>28</v>
      </c>
      <c r="D514" t="s">
        <v>1362</v>
      </c>
      <c r="E514" t="s">
        <v>1363</v>
      </c>
      <c r="G514" t="s">
        <v>1364</v>
      </c>
      <c r="J514">
        <v>5.8462906840000004</v>
      </c>
      <c r="K514">
        <v>0.60615847</v>
      </c>
      <c r="L514">
        <v>0.28550877299999999</v>
      </c>
      <c r="M514" s="21">
        <v>-1.024809281</v>
      </c>
      <c r="N514">
        <v>0.97431587200000003</v>
      </c>
    </row>
    <row r="515" spans="1:14" x14ac:dyDescent="0.2">
      <c r="A515" t="s">
        <v>1365</v>
      </c>
      <c r="B515">
        <v>358320</v>
      </c>
      <c r="C515" t="s">
        <v>28</v>
      </c>
      <c r="D515" t="s">
        <v>1365</v>
      </c>
      <c r="E515" t="s">
        <v>1366</v>
      </c>
      <c r="G515" t="s">
        <v>1367</v>
      </c>
      <c r="J515">
        <v>5.8462906840000004</v>
      </c>
      <c r="K515">
        <v>0.60615847</v>
      </c>
      <c r="L515">
        <v>0.28550877299999999</v>
      </c>
      <c r="M515" s="21">
        <v>-1.0255315309999999</v>
      </c>
      <c r="N515">
        <v>0.97060540399999995</v>
      </c>
    </row>
    <row r="516" spans="1:14" x14ac:dyDescent="0.2">
      <c r="A516" t="s">
        <v>1368</v>
      </c>
      <c r="B516">
        <v>314720</v>
      </c>
      <c r="C516" t="s">
        <v>34</v>
      </c>
      <c r="D516" t="s">
        <v>1368</v>
      </c>
      <c r="E516" t="s">
        <v>1369</v>
      </c>
      <c r="G516" t="s">
        <v>1370</v>
      </c>
      <c r="J516">
        <v>7.0544859390000001</v>
      </c>
      <c r="K516">
        <v>0.623000361</v>
      </c>
      <c r="L516">
        <v>0.42866702800000001</v>
      </c>
      <c r="M516" s="21">
        <v>-1.0257476400000001</v>
      </c>
      <c r="N516">
        <v>0.96949517100000004</v>
      </c>
    </row>
    <row r="517" spans="1:14" x14ac:dyDescent="0.2">
      <c r="A517" t="s">
        <v>106</v>
      </c>
      <c r="B517">
        <v>402440</v>
      </c>
      <c r="C517" t="s">
        <v>68</v>
      </c>
      <c r="D517" t="s">
        <v>107</v>
      </c>
      <c r="E517" t="s">
        <v>1371</v>
      </c>
      <c r="G517" t="s">
        <v>1372</v>
      </c>
      <c r="J517">
        <v>6.4561903559999996</v>
      </c>
      <c r="K517">
        <v>0.47291064100000002</v>
      </c>
      <c r="L517">
        <v>0.34414126499999997</v>
      </c>
      <c r="M517" s="21">
        <v>-1.0260040420000001</v>
      </c>
      <c r="N517">
        <v>0.96817793500000005</v>
      </c>
    </row>
    <row r="518" spans="1:14" x14ac:dyDescent="0.2">
      <c r="A518" t="s">
        <v>1373</v>
      </c>
      <c r="B518">
        <v>357480</v>
      </c>
      <c r="C518" t="s">
        <v>28</v>
      </c>
      <c r="D518" t="s">
        <v>1373</v>
      </c>
      <c r="E518" t="s">
        <v>1374</v>
      </c>
      <c r="G518" t="s">
        <v>1375</v>
      </c>
      <c r="J518">
        <v>5.8462906840000004</v>
      </c>
      <c r="K518">
        <v>0.60615847</v>
      </c>
      <c r="L518">
        <v>0.28550877299999999</v>
      </c>
      <c r="M518" s="21">
        <v>-1.026289893</v>
      </c>
      <c r="N518">
        <v>0.96670941300000002</v>
      </c>
    </row>
    <row r="519" spans="1:14" x14ac:dyDescent="0.2">
      <c r="A519" t="s">
        <v>812</v>
      </c>
      <c r="B519">
        <v>423440</v>
      </c>
      <c r="C519" t="s">
        <v>84</v>
      </c>
      <c r="D519" t="s">
        <v>813</v>
      </c>
      <c r="E519" t="s">
        <v>1376</v>
      </c>
      <c r="J519">
        <v>3.600219579</v>
      </c>
      <c r="K519">
        <v>-0.293098474</v>
      </c>
      <c r="L519">
        <v>-0.153917466</v>
      </c>
      <c r="M519" s="21">
        <v>-1.026661606</v>
      </c>
      <c r="N519">
        <v>0.96479978600000005</v>
      </c>
    </row>
    <row r="520" spans="1:14" x14ac:dyDescent="0.2">
      <c r="A520" t="s">
        <v>693</v>
      </c>
      <c r="B520">
        <v>401040</v>
      </c>
      <c r="C520" t="s">
        <v>68</v>
      </c>
      <c r="D520" t="s">
        <v>693</v>
      </c>
      <c r="E520" t="s">
        <v>1377</v>
      </c>
      <c r="G520" t="s">
        <v>1378</v>
      </c>
      <c r="J520">
        <v>6.4561903559999996</v>
      </c>
      <c r="K520">
        <v>0.47291064100000002</v>
      </c>
      <c r="L520">
        <v>0.34414126499999997</v>
      </c>
      <c r="M520" s="21">
        <v>-1.0273579159999999</v>
      </c>
      <c r="N520">
        <v>0.96122258000000005</v>
      </c>
    </row>
    <row r="521" spans="1:14" x14ac:dyDescent="0.2">
      <c r="A521" t="s">
        <v>756</v>
      </c>
      <c r="B521">
        <v>355880</v>
      </c>
      <c r="C521" t="s">
        <v>28</v>
      </c>
      <c r="D521" t="s">
        <v>756</v>
      </c>
      <c r="E521" t="s">
        <v>1379</v>
      </c>
      <c r="G521" t="s">
        <v>1380</v>
      </c>
      <c r="J521">
        <v>5.8462906840000004</v>
      </c>
      <c r="K521">
        <v>0.60615847</v>
      </c>
      <c r="L521">
        <v>0.28550877299999999</v>
      </c>
      <c r="M521" s="21">
        <v>-1.027734393</v>
      </c>
      <c r="N521">
        <v>0.95928847799999994</v>
      </c>
    </row>
    <row r="522" spans="1:14" x14ac:dyDescent="0.2">
      <c r="A522" t="s">
        <v>972</v>
      </c>
      <c r="B522">
        <v>355480</v>
      </c>
      <c r="C522" t="s">
        <v>28</v>
      </c>
      <c r="D522" t="s">
        <v>972</v>
      </c>
      <c r="E522" t="s">
        <v>1381</v>
      </c>
      <c r="G522" t="s">
        <v>1382</v>
      </c>
      <c r="J522">
        <v>5.8462906840000004</v>
      </c>
      <c r="K522">
        <v>0.60615847</v>
      </c>
      <c r="L522">
        <v>0.28550877299999999</v>
      </c>
      <c r="M522" s="21">
        <v>-1.028095518</v>
      </c>
      <c r="N522">
        <v>0.95743324399999996</v>
      </c>
    </row>
    <row r="523" spans="1:14" x14ac:dyDescent="0.2">
      <c r="A523" t="s">
        <v>1383</v>
      </c>
      <c r="B523">
        <v>311920</v>
      </c>
      <c r="C523" t="s">
        <v>34</v>
      </c>
      <c r="D523" t="s">
        <v>1384</v>
      </c>
      <c r="E523" t="s">
        <v>1385</v>
      </c>
      <c r="G523" t="s">
        <v>1386</v>
      </c>
      <c r="J523">
        <v>7.0544859390000001</v>
      </c>
      <c r="K523">
        <v>0.623000361</v>
      </c>
      <c r="L523">
        <v>0.42866702800000001</v>
      </c>
      <c r="M523" s="21">
        <v>-1.0282090049999999</v>
      </c>
      <c r="N523">
        <v>0.95685021599999998</v>
      </c>
    </row>
    <row r="524" spans="1:14" x14ac:dyDescent="0.2">
      <c r="A524" t="s">
        <v>63</v>
      </c>
      <c r="B524">
        <v>492880</v>
      </c>
      <c r="C524" t="s">
        <v>100</v>
      </c>
      <c r="D524" t="s">
        <v>63</v>
      </c>
      <c r="E524" t="s">
        <v>1387</v>
      </c>
      <c r="G524" t="s">
        <v>1388</v>
      </c>
      <c r="J524">
        <v>5.9110743220000002</v>
      </c>
      <c r="K524">
        <v>0.71598987199999997</v>
      </c>
      <c r="L524">
        <v>0.29077365599999999</v>
      </c>
      <c r="M524" s="21">
        <v>-1.028312189</v>
      </c>
      <c r="N524">
        <v>0.95632012399999999</v>
      </c>
    </row>
    <row r="525" spans="1:14" x14ac:dyDescent="0.2">
      <c r="A525" t="s">
        <v>1155</v>
      </c>
      <c r="B525">
        <v>399920</v>
      </c>
      <c r="C525" t="s">
        <v>68</v>
      </c>
      <c r="D525" t="s">
        <v>1156</v>
      </c>
      <c r="E525" t="s">
        <v>1389</v>
      </c>
      <c r="G525" t="s">
        <v>1390</v>
      </c>
      <c r="J525">
        <v>6.4561903559999996</v>
      </c>
      <c r="K525">
        <v>0.47291064100000002</v>
      </c>
      <c r="L525">
        <v>0.34414126499999997</v>
      </c>
      <c r="M525" s="21">
        <v>-1.0284410150000001</v>
      </c>
      <c r="N525">
        <v>0.95565829599999996</v>
      </c>
    </row>
    <row r="526" spans="1:14" x14ac:dyDescent="0.2">
      <c r="A526" t="s">
        <v>1391</v>
      </c>
      <c r="B526">
        <v>311520</v>
      </c>
      <c r="C526" t="s">
        <v>34</v>
      </c>
      <c r="D526" t="s">
        <v>1391</v>
      </c>
      <c r="J526">
        <v>7.0544859390000001</v>
      </c>
      <c r="K526">
        <v>0.623000361</v>
      </c>
      <c r="L526">
        <v>0.42866702800000001</v>
      </c>
      <c r="M526" s="21">
        <v>-1.028560629</v>
      </c>
      <c r="N526">
        <v>0.95504379399999995</v>
      </c>
    </row>
    <row r="527" spans="1:14" x14ac:dyDescent="0.2">
      <c r="A527" t="s">
        <v>372</v>
      </c>
      <c r="B527">
        <v>499080</v>
      </c>
      <c r="C527" t="s">
        <v>58</v>
      </c>
      <c r="D527" t="s">
        <v>372</v>
      </c>
      <c r="E527" t="s">
        <v>1392</v>
      </c>
      <c r="G527" t="s">
        <v>1393</v>
      </c>
      <c r="J527">
        <v>4.5363847230000003</v>
      </c>
      <c r="K527">
        <v>0.245646371</v>
      </c>
      <c r="L527">
        <v>7.5242279999999995E-2</v>
      </c>
      <c r="M527" s="21">
        <v>-1.028672416</v>
      </c>
      <c r="N527">
        <v>0.95446950100000005</v>
      </c>
    </row>
    <row r="528" spans="1:14" x14ac:dyDescent="0.2">
      <c r="A528" t="s">
        <v>1394</v>
      </c>
      <c r="B528">
        <v>508440</v>
      </c>
      <c r="C528" t="s">
        <v>14</v>
      </c>
      <c r="D528" t="s">
        <v>1394</v>
      </c>
      <c r="E528" t="s">
        <v>1395</v>
      </c>
      <c r="G528" t="s">
        <v>1396</v>
      </c>
      <c r="J528">
        <v>6.7484204910000001</v>
      </c>
      <c r="K528">
        <v>0.48629166299999999</v>
      </c>
      <c r="L528">
        <v>0.375053939</v>
      </c>
      <c r="M528" s="21">
        <v>-1.0288722830000001</v>
      </c>
      <c r="N528">
        <v>0.953442711</v>
      </c>
    </row>
    <row r="529" spans="1:14" x14ac:dyDescent="0.2">
      <c r="A529" t="s">
        <v>924</v>
      </c>
      <c r="B529">
        <v>507360</v>
      </c>
      <c r="C529" t="s">
        <v>14</v>
      </c>
      <c r="D529" t="s">
        <v>924</v>
      </c>
      <c r="E529" t="s">
        <v>1397</v>
      </c>
      <c r="G529" t="s">
        <v>1398</v>
      </c>
      <c r="J529">
        <v>6.7484204910000001</v>
      </c>
      <c r="K529">
        <v>0.48629166299999999</v>
      </c>
      <c r="L529">
        <v>0.375053939</v>
      </c>
      <c r="M529" s="21">
        <v>-1.030055663</v>
      </c>
      <c r="N529">
        <v>0.94736324500000002</v>
      </c>
    </row>
    <row r="530" spans="1:14" x14ac:dyDescent="0.2">
      <c r="A530" t="s">
        <v>574</v>
      </c>
      <c r="B530">
        <v>398120</v>
      </c>
      <c r="C530" t="s">
        <v>68</v>
      </c>
      <c r="D530" t="s">
        <v>574</v>
      </c>
      <c r="E530" t="s">
        <v>1399</v>
      </c>
      <c r="G530" t="s">
        <v>1400</v>
      </c>
      <c r="J530">
        <v>6.4561903559999996</v>
      </c>
      <c r="K530">
        <v>0.47291064100000002</v>
      </c>
      <c r="L530">
        <v>0.34414126499999997</v>
      </c>
      <c r="M530" s="21">
        <v>-1.0301817090000001</v>
      </c>
      <c r="N530">
        <v>0.94671569700000002</v>
      </c>
    </row>
    <row r="531" spans="1:14" x14ac:dyDescent="0.2">
      <c r="A531" t="s">
        <v>756</v>
      </c>
      <c r="B531">
        <v>420680</v>
      </c>
      <c r="C531" t="s">
        <v>84</v>
      </c>
      <c r="D531" t="s">
        <v>756</v>
      </c>
      <c r="E531" t="s">
        <v>1401</v>
      </c>
      <c r="J531">
        <v>3.600219579</v>
      </c>
      <c r="K531">
        <v>-0.293098474</v>
      </c>
      <c r="L531">
        <v>-0.153917466</v>
      </c>
      <c r="M531" s="21">
        <v>-1.0302740770000001</v>
      </c>
      <c r="N531">
        <v>0.94624117100000005</v>
      </c>
    </row>
    <row r="532" spans="1:14" x14ac:dyDescent="0.2">
      <c r="A532" t="s">
        <v>345</v>
      </c>
      <c r="B532">
        <v>420240</v>
      </c>
      <c r="C532" t="s">
        <v>84</v>
      </c>
      <c r="D532" t="s">
        <v>345</v>
      </c>
      <c r="E532" t="s">
        <v>1402</v>
      </c>
      <c r="J532">
        <v>3.600219579</v>
      </c>
      <c r="K532">
        <v>-0.293098474</v>
      </c>
      <c r="L532">
        <v>-0.153917466</v>
      </c>
      <c r="M532" s="21">
        <v>-1.030849978</v>
      </c>
      <c r="N532">
        <v>0.94328255100000002</v>
      </c>
    </row>
    <row r="533" spans="1:14" x14ac:dyDescent="0.2">
      <c r="A533" t="s">
        <v>759</v>
      </c>
      <c r="B533">
        <v>489800</v>
      </c>
      <c r="C533" t="s">
        <v>100</v>
      </c>
      <c r="D533" t="s">
        <v>760</v>
      </c>
      <c r="E533" t="s">
        <v>1403</v>
      </c>
      <c r="G533" t="s">
        <v>1404</v>
      </c>
      <c r="J533">
        <v>5.9110743220000002</v>
      </c>
      <c r="K533">
        <v>0.71598987199999997</v>
      </c>
      <c r="L533">
        <v>0.29077365599999999</v>
      </c>
      <c r="M533" s="21">
        <v>-1.031369746</v>
      </c>
      <c r="N533">
        <v>0.94061230699999998</v>
      </c>
    </row>
    <row r="534" spans="1:14" x14ac:dyDescent="0.2">
      <c r="A534" t="s">
        <v>1394</v>
      </c>
      <c r="B534">
        <v>396880</v>
      </c>
      <c r="C534" t="s">
        <v>68</v>
      </c>
      <c r="D534" t="s">
        <v>1394</v>
      </c>
      <c r="E534" t="s">
        <v>1405</v>
      </c>
      <c r="G534" t="s">
        <v>1406</v>
      </c>
      <c r="J534">
        <v>6.4561903559999996</v>
      </c>
      <c r="K534">
        <v>0.47291064100000002</v>
      </c>
      <c r="L534">
        <v>0.34414126499999997</v>
      </c>
      <c r="M534" s="21">
        <v>-1.031380854</v>
      </c>
      <c r="N534">
        <v>0.94055523900000004</v>
      </c>
    </row>
    <row r="535" spans="1:14" x14ac:dyDescent="0.2">
      <c r="A535" t="s">
        <v>645</v>
      </c>
      <c r="B535">
        <v>351840</v>
      </c>
      <c r="C535" t="s">
        <v>28</v>
      </c>
      <c r="D535" t="s">
        <v>645</v>
      </c>
      <c r="E535" t="s">
        <v>1407</v>
      </c>
      <c r="G535" t="s">
        <v>1408</v>
      </c>
      <c r="J535">
        <v>5.8462906840000004</v>
      </c>
      <c r="K535">
        <v>0.60615847</v>
      </c>
      <c r="L535">
        <v>0.28550877299999999</v>
      </c>
      <c r="M535" s="21">
        <v>-1.0313817540000001</v>
      </c>
      <c r="N535">
        <v>0.94055061600000001</v>
      </c>
    </row>
    <row r="536" spans="1:14" x14ac:dyDescent="0.2">
      <c r="A536" t="s">
        <v>1409</v>
      </c>
      <c r="B536">
        <v>307040</v>
      </c>
      <c r="C536" t="s">
        <v>34</v>
      </c>
      <c r="D536" t="s">
        <v>1410</v>
      </c>
      <c r="E536" t="s">
        <v>1411</v>
      </c>
      <c r="G536" t="s">
        <v>1412</v>
      </c>
      <c r="J536">
        <v>7.0544859390000001</v>
      </c>
      <c r="K536">
        <v>0.623000361</v>
      </c>
      <c r="L536">
        <v>0.42866702800000001</v>
      </c>
      <c r="M536" s="21">
        <v>-1.0324988129999999</v>
      </c>
      <c r="N536">
        <v>0.93481186599999999</v>
      </c>
    </row>
    <row r="537" spans="1:14" x14ac:dyDescent="0.2">
      <c r="A537" t="s">
        <v>1413</v>
      </c>
      <c r="B537">
        <v>418680</v>
      </c>
      <c r="C537" t="s">
        <v>84</v>
      </c>
      <c r="D537" t="s">
        <v>1413</v>
      </c>
      <c r="E537" t="s">
        <v>1414</v>
      </c>
      <c r="J537">
        <v>3.600219579</v>
      </c>
      <c r="K537">
        <v>-0.293098474</v>
      </c>
      <c r="L537">
        <v>-0.153917466</v>
      </c>
      <c r="M537" s="21">
        <v>-1.0328918090000001</v>
      </c>
      <c r="N537">
        <v>0.93279289899999995</v>
      </c>
    </row>
    <row r="538" spans="1:14" x14ac:dyDescent="0.2">
      <c r="A538" t="s">
        <v>1415</v>
      </c>
      <c r="B538">
        <v>395240</v>
      </c>
      <c r="C538" t="s">
        <v>68</v>
      </c>
      <c r="D538" t="s">
        <v>1415</v>
      </c>
      <c r="E538" t="s">
        <v>1416</v>
      </c>
      <c r="G538" t="s">
        <v>1417</v>
      </c>
      <c r="J538">
        <v>6.4561903559999996</v>
      </c>
      <c r="K538">
        <v>0.47291064100000002</v>
      </c>
      <c r="L538">
        <v>0.34414126499999997</v>
      </c>
      <c r="M538" s="21">
        <v>-1.03296682</v>
      </c>
      <c r="N538">
        <v>0.93240753799999998</v>
      </c>
    </row>
    <row r="539" spans="1:14" x14ac:dyDescent="0.2">
      <c r="A539" t="s">
        <v>267</v>
      </c>
      <c r="B539">
        <v>521360</v>
      </c>
      <c r="C539" t="s">
        <v>149</v>
      </c>
      <c r="D539" t="s">
        <v>268</v>
      </c>
      <c r="E539" t="s">
        <v>1418</v>
      </c>
      <c r="G539" t="s">
        <v>1419</v>
      </c>
      <c r="J539">
        <v>5.0381074159999999</v>
      </c>
      <c r="K539">
        <v>0.81312368999999995</v>
      </c>
      <c r="L539">
        <v>0.16969141800000001</v>
      </c>
      <c r="M539" s="21">
        <v>-1.0332676860000001</v>
      </c>
      <c r="N539">
        <v>0.930861881</v>
      </c>
    </row>
    <row r="540" spans="1:14" x14ac:dyDescent="0.2">
      <c r="A540" t="s">
        <v>1062</v>
      </c>
      <c r="B540">
        <v>306000</v>
      </c>
      <c r="C540" t="s">
        <v>34</v>
      </c>
      <c r="D540" t="s">
        <v>1062</v>
      </c>
      <c r="E540" t="s">
        <v>1420</v>
      </c>
      <c r="G540" t="s">
        <v>1421</v>
      </c>
      <c r="J540">
        <v>7.0544859390000001</v>
      </c>
      <c r="K540">
        <v>0.623000361</v>
      </c>
      <c r="L540">
        <v>0.42866702800000001</v>
      </c>
      <c r="M540" s="21">
        <v>-1.0334130349999999</v>
      </c>
      <c r="N540">
        <v>0.93011516800000005</v>
      </c>
    </row>
    <row r="541" spans="1:14" x14ac:dyDescent="0.2">
      <c r="A541" t="s">
        <v>1422</v>
      </c>
      <c r="B541">
        <v>305800</v>
      </c>
      <c r="C541" t="s">
        <v>34</v>
      </c>
      <c r="D541" t="s">
        <v>1423</v>
      </c>
      <c r="E541" t="s">
        <v>1424</v>
      </c>
      <c r="G541" t="s">
        <v>1425</v>
      </c>
      <c r="J541">
        <v>7.0544859390000001</v>
      </c>
      <c r="K541">
        <v>0.623000361</v>
      </c>
      <c r="L541">
        <v>0.42866702800000001</v>
      </c>
      <c r="M541" s="21">
        <v>-1.033588846</v>
      </c>
      <c r="N541">
        <v>0.92921195700000003</v>
      </c>
    </row>
    <row r="542" spans="1:14" x14ac:dyDescent="0.2">
      <c r="A542" t="s">
        <v>1426</v>
      </c>
      <c r="B542">
        <v>348520</v>
      </c>
      <c r="C542" t="s">
        <v>28</v>
      </c>
      <c r="D542" t="s">
        <v>1426</v>
      </c>
      <c r="E542" t="s">
        <v>1427</v>
      </c>
      <c r="G542" t="s">
        <v>1428</v>
      </c>
      <c r="J542">
        <v>5.8462906840000004</v>
      </c>
      <c r="K542">
        <v>0.60615847</v>
      </c>
      <c r="L542">
        <v>0.28550877299999999</v>
      </c>
      <c r="M542" s="21">
        <v>-1.0343790909999999</v>
      </c>
      <c r="N542">
        <v>0.92515217599999999</v>
      </c>
    </row>
    <row r="543" spans="1:14" x14ac:dyDescent="0.2">
      <c r="A543" t="s">
        <v>1163</v>
      </c>
      <c r="B543">
        <v>304680</v>
      </c>
      <c r="C543" t="s">
        <v>34</v>
      </c>
      <c r="D543" t="s">
        <v>1164</v>
      </c>
      <c r="E543" t="s">
        <v>1429</v>
      </c>
      <c r="G543" t="s">
        <v>1430</v>
      </c>
      <c r="J543">
        <v>7.0544859390000001</v>
      </c>
      <c r="K543">
        <v>0.623000361</v>
      </c>
      <c r="L543">
        <v>0.42866702800000001</v>
      </c>
      <c r="M543" s="21">
        <v>-1.0345733930000001</v>
      </c>
      <c r="N543">
        <v>0.92415397499999996</v>
      </c>
    </row>
    <row r="544" spans="1:14" x14ac:dyDescent="0.2">
      <c r="A544" t="s">
        <v>1431</v>
      </c>
      <c r="B544">
        <v>347920</v>
      </c>
      <c r="C544" t="s">
        <v>28</v>
      </c>
      <c r="D544" t="s">
        <v>1431</v>
      </c>
      <c r="E544" t="s">
        <v>1432</v>
      </c>
      <c r="G544" t="s">
        <v>1433</v>
      </c>
      <c r="J544">
        <v>5.8462906840000004</v>
      </c>
      <c r="K544">
        <v>0.60615847</v>
      </c>
      <c r="L544">
        <v>0.28550877299999999</v>
      </c>
      <c r="M544" s="21">
        <v>-1.034920778</v>
      </c>
      <c r="N544">
        <v>0.92236932500000002</v>
      </c>
    </row>
    <row r="545" spans="1:14" x14ac:dyDescent="0.2">
      <c r="A545" t="s">
        <v>300</v>
      </c>
      <c r="B545">
        <v>485840</v>
      </c>
      <c r="C545" t="s">
        <v>100</v>
      </c>
      <c r="D545" t="s">
        <v>300</v>
      </c>
      <c r="E545" t="s">
        <v>1434</v>
      </c>
      <c r="G545" t="s">
        <v>1435</v>
      </c>
      <c r="J545">
        <v>5.9110743220000002</v>
      </c>
      <c r="K545">
        <v>0.71598987199999997</v>
      </c>
      <c r="L545">
        <v>0.29077365599999999</v>
      </c>
      <c r="M545" s="21">
        <v>-1.0353008909999999</v>
      </c>
      <c r="N545">
        <v>0.92041654100000003</v>
      </c>
    </row>
    <row r="546" spans="1:14" x14ac:dyDescent="0.2">
      <c r="A546" t="s">
        <v>1436</v>
      </c>
      <c r="B546">
        <v>485680</v>
      </c>
      <c r="C546" t="s">
        <v>100</v>
      </c>
      <c r="D546" t="s">
        <v>1437</v>
      </c>
      <c r="E546" t="s">
        <v>1438</v>
      </c>
      <c r="G546" t="s">
        <v>1439</v>
      </c>
      <c r="J546">
        <v>5.9110743220000002</v>
      </c>
      <c r="K546">
        <v>0.71598987199999997</v>
      </c>
      <c r="L546">
        <v>0.29077365599999999</v>
      </c>
      <c r="M546" s="21">
        <v>-1.035459726</v>
      </c>
      <c r="N546">
        <v>0.91960055100000004</v>
      </c>
    </row>
    <row r="547" spans="1:14" x14ac:dyDescent="0.2">
      <c r="A547" t="s">
        <v>1391</v>
      </c>
      <c r="B547">
        <v>496040</v>
      </c>
      <c r="C547" t="s">
        <v>130</v>
      </c>
      <c r="D547" t="s">
        <v>1391</v>
      </c>
      <c r="E547" t="s">
        <v>1440</v>
      </c>
      <c r="G547" t="s">
        <v>1441</v>
      </c>
      <c r="J547">
        <v>5.1222566499999997</v>
      </c>
      <c r="K547">
        <v>0.21422175600000001</v>
      </c>
      <c r="L547">
        <v>0.25354511400000002</v>
      </c>
      <c r="M547" s="21">
        <v>-1.0360510919999999</v>
      </c>
      <c r="N547">
        <v>0.91656247899999999</v>
      </c>
    </row>
    <row r="548" spans="1:14" x14ac:dyDescent="0.2">
      <c r="A548" t="s">
        <v>178</v>
      </c>
      <c r="B548">
        <v>346560</v>
      </c>
      <c r="C548" t="s">
        <v>28</v>
      </c>
      <c r="D548" t="s">
        <v>178</v>
      </c>
      <c r="E548" t="s">
        <v>1442</v>
      </c>
      <c r="G548" t="s">
        <v>1443</v>
      </c>
      <c r="J548">
        <v>5.8462906840000004</v>
      </c>
      <c r="K548">
        <v>0.60615847</v>
      </c>
      <c r="L548">
        <v>0.28550877299999999</v>
      </c>
      <c r="M548" s="21">
        <v>-1.036148603</v>
      </c>
      <c r="N548">
        <v>0.91606153000000001</v>
      </c>
    </row>
    <row r="549" spans="1:14" x14ac:dyDescent="0.2">
      <c r="A549" t="s">
        <v>1349</v>
      </c>
      <c r="B549">
        <v>518200</v>
      </c>
      <c r="C549" t="s">
        <v>149</v>
      </c>
      <c r="D549" t="s">
        <v>1350</v>
      </c>
      <c r="E549" t="s">
        <v>1444</v>
      </c>
      <c r="G549" t="s">
        <v>1445</v>
      </c>
      <c r="J549">
        <v>5.0381074159999999</v>
      </c>
      <c r="K549">
        <v>0.81312368999999995</v>
      </c>
      <c r="L549">
        <v>0.16969141800000001</v>
      </c>
      <c r="M549" s="21">
        <v>-1.036189472</v>
      </c>
      <c r="N549">
        <v>0.91585156899999998</v>
      </c>
    </row>
    <row r="550" spans="1:14" x14ac:dyDescent="0.2">
      <c r="A550" t="s">
        <v>687</v>
      </c>
      <c r="B550">
        <v>501680</v>
      </c>
      <c r="C550" t="s">
        <v>14</v>
      </c>
      <c r="D550" t="s">
        <v>688</v>
      </c>
      <c r="E550" t="s">
        <v>1446</v>
      </c>
      <c r="G550" t="s">
        <v>1447</v>
      </c>
      <c r="J550">
        <v>6.7484204910000001</v>
      </c>
      <c r="K550">
        <v>0.48629166299999999</v>
      </c>
      <c r="L550">
        <v>0.375053939</v>
      </c>
      <c r="M550" s="21">
        <v>-1.036279365</v>
      </c>
      <c r="N550">
        <v>0.915389754</v>
      </c>
    </row>
    <row r="551" spans="1:14" x14ac:dyDescent="0.2">
      <c r="A551" t="s">
        <v>1362</v>
      </c>
      <c r="B551">
        <v>518080</v>
      </c>
      <c r="C551" t="s">
        <v>149</v>
      </c>
      <c r="D551" t="s">
        <v>1362</v>
      </c>
      <c r="E551" t="s">
        <v>1448</v>
      </c>
      <c r="G551" t="s">
        <v>1449</v>
      </c>
      <c r="J551">
        <v>5.0381074159999999</v>
      </c>
      <c r="K551">
        <v>0.81312368999999995</v>
      </c>
      <c r="L551">
        <v>0.16969141800000001</v>
      </c>
      <c r="M551" s="21">
        <v>-1.0363004259999999</v>
      </c>
      <c r="N551">
        <v>0.91528155700000002</v>
      </c>
    </row>
    <row r="552" spans="1:14" x14ac:dyDescent="0.2">
      <c r="A552" t="s">
        <v>283</v>
      </c>
      <c r="B552">
        <v>495320</v>
      </c>
      <c r="C552" t="s">
        <v>130</v>
      </c>
      <c r="D552" t="s">
        <v>284</v>
      </c>
      <c r="E552" t="s">
        <v>1450</v>
      </c>
      <c r="G552" t="s">
        <v>1451</v>
      </c>
      <c r="J552">
        <v>5.1222566499999997</v>
      </c>
      <c r="K552">
        <v>0.21422175600000001</v>
      </c>
      <c r="L552">
        <v>0.25354511400000002</v>
      </c>
      <c r="M552" s="21">
        <v>-1.0366240900000001</v>
      </c>
      <c r="N552">
        <v>0.91361877599999997</v>
      </c>
    </row>
    <row r="553" spans="1:14" x14ac:dyDescent="0.2">
      <c r="A553" t="s">
        <v>1119</v>
      </c>
      <c r="B553">
        <v>501200</v>
      </c>
      <c r="C553" t="s">
        <v>14</v>
      </c>
      <c r="D553" t="s">
        <v>1120</v>
      </c>
      <c r="E553" t="s">
        <v>1452</v>
      </c>
      <c r="G553" t="s">
        <v>1453</v>
      </c>
      <c r="J553">
        <v>6.7484204910000001</v>
      </c>
      <c r="K553">
        <v>0.48629166299999999</v>
      </c>
      <c r="L553">
        <v>0.375053939</v>
      </c>
      <c r="M553" s="21">
        <v>-1.036805312</v>
      </c>
      <c r="N553">
        <v>0.91268776900000004</v>
      </c>
    </row>
    <row r="554" spans="1:14" x14ac:dyDescent="0.2">
      <c r="A554" t="s">
        <v>1062</v>
      </c>
      <c r="B554">
        <v>391120</v>
      </c>
      <c r="C554" t="s">
        <v>68</v>
      </c>
      <c r="D554" t="s">
        <v>1062</v>
      </c>
      <c r="E554" t="s">
        <v>1454</v>
      </c>
      <c r="G554" t="s">
        <v>1455</v>
      </c>
      <c r="J554">
        <v>6.4561903559999996</v>
      </c>
      <c r="K554">
        <v>0.47291064100000002</v>
      </c>
      <c r="L554">
        <v>0.34414126499999997</v>
      </c>
      <c r="M554" s="21">
        <v>-1.0369510770000001</v>
      </c>
      <c r="N554">
        <v>0.91193892099999996</v>
      </c>
    </row>
    <row r="555" spans="1:14" x14ac:dyDescent="0.2">
      <c r="A555" t="s">
        <v>1456</v>
      </c>
      <c r="B555">
        <v>415360</v>
      </c>
      <c r="C555" t="s">
        <v>84</v>
      </c>
      <c r="D555" t="s">
        <v>1457</v>
      </c>
      <c r="E555" t="s">
        <v>1458</v>
      </c>
      <c r="J555">
        <v>3.600219579</v>
      </c>
      <c r="K555">
        <v>-0.293098474</v>
      </c>
      <c r="L555">
        <v>-0.153917466</v>
      </c>
      <c r="M555" s="21">
        <v>-1.037237245</v>
      </c>
      <c r="N555">
        <v>0.91046876799999998</v>
      </c>
    </row>
    <row r="556" spans="1:14" x14ac:dyDescent="0.2">
      <c r="A556" t="s">
        <v>1260</v>
      </c>
      <c r="B556">
        <v>301400</v>
      </c>
      <c r="C556" t="s">
        <v>34</v>
      </c>
      <c r="D556" t="s">
        <v>1260</v>
      </c>
      <c r="E556" t="s">
        <v>1459</v>
      </c>
      <c r="G556" t="s">
        <v>1460</v>
      </c>
      <c r="J556">
        <v>7.0544859390000001</v>
      </c>
      <c r="K556">
        <v>0.623000361</v>
      </c>
      <c r="L556">
        <v>0.42866702800000001</v>
      </c>
      <c r="M556" s="21">
        <v>-1.037456706</v>
      </c>
      <c r="N556">
        <v>0.90934131299999998</v>
      </c>
    </row>
    <row r="557" spans="1:14" x14ac:dyDescent="0.2">
      <c r="A557" t="s">
        <v>1461</v>
      </c>
      <c r="B557">
        <v>516760</v>
      </c>
      <c r="C557" t="s">
        <v>149</v>
      </c>
      <c r="D557" t="s">
        <v>1461</v>
      </c>
      <c r="E557" t="s">
        <v>1462</v>
      </c>
      <c r="G557" t="s">
        <v>1463</v>
      </c>
      <c r="J557">
        <v>5.0381074159999999</v>
      </c>
      <c r="K557">
        <v>0.81312368999999995</v>
      </c>
      <c r="L557">
        <v>0.16969141800000001</v>
      </c>
      <c r="M557" s="21">
        <v>-1.0375209190000001</v>
      </c>
      <c r="N557">
        <v>0.90901142599999996</v>
      </c>
    </row>
    <row r="558" spans="1:14" x14ac:dyDescent="0.2">
      <c r="A558" t="s">
        <v>1251</v>
      </c>
      <c r="B558">
        <v>390440</v>
      </c>
      <c r="C558" t="s">
        <v>68</v>
      </c>
      <c r="D558" t="s">
        <v>1251</v>
      </c>
      <c r="E558" t="s">
        <v>1464</v>
      </c>
      <c r="G558" t="s">
        <v>1465</v>
      </c>
      <c r="J558">
        <v>6.4561903559999996</v>
      </c>
      <c r="K558">
        <v>0.47291064100000002</v>
      </c>
      <c r="L558">
        <v>0.34414126499999997</v>
      </c>
      <c r="M558" s="21">
        <v>-1.037608673</v>
      </c>
      <c r="N558">
        <v>0.90856060599999999</v>
      </c>
    </row>
    <row r="559" spans="1:14" x14ac:dyDescent="0.2">
      <c r="A559" t="s">
        <v>1095</v>
      </c>
      <c r="B559">
        <v>500440</v>
      </c>
      <c r="C559" t="s">
        <v>14</v>
      </c>
      <c r="D559" t="s">
        <v>1096</v>
      </c>
      <c r="E559" t="s">
        <v>1466</v>
      </c>
      <c r="G559" t="s">
        <v>1467</v>
      </c>
      <c r="J559">
        <v>6.7484204910000001</v>
      </c>
      <c r="K559">
        <v>0.48629166299999999</v>
      </c>
      <c r="L559">
        <v>0.375053939</v>
      </c>
      <c r="M559" s="21">
        <v>-1.037638061</v>
      </c>
      <c r="N559">
        <v>0.90840962599999997</v>
      </c>
    </row>
    <row r="560" spans="1:14" x14ac:dyDescent="0.2">
      <c r="A560" t="s">
        <v>361</v>
      </c>
      <c r="B560">
        <v>390240</v>
      </c>
      <c r="C560" t="s">
        <v>68</v>
      </c>
      <c r="D560" t="s">
        <v>361</v>
      </c>
      <c r="E560" t="s">
        <v>1468</v>
      </c>
      <c r="G560" t="s">
        <v>1469</v>
      </c>
      <c r="J560">
        <v>6.4561903559999996</v>
      </c>
      <c r="K560">
        <v>0.47291064100000002</v>
      </c>
      <c r="L560">
        <v>0.34414126499999997</v>
      </c>
      <c r="M560" s="21">
        <v>-1.0378020830000001</v>
      </c>
      <c r="N560">
        <v>0.90756698400000002</v>
      </c>
    </row>
    <row r="561" spans="1:14" x14ac:dyDescent="0.2">
      <c r="A561" t="s">
        <v>277</v>
      </c>
      <c r="B561">
        <v>414840</v>
      </c>
      <c r="C561" t="s">
        <v>84</v>
      </c>
      <c r="D561" t="s">
        <v>277</v>
      </c>
      <c r="E561" t="s">
        <v>1470</v>
      </c>
      <c r="J561">
        <v>3.600219579</v>
      </c>
      <c r="K561">
        <v>-0.293098474</v>
      </c>
      <c r="L561">
        <v>-0.153917466</v>
      </c>
      <c r="M561" s="21">
        <v>-1.037917856</v>
      </c>
      <c r="N561">
        <v>0.90697221699999997</v>
      </c>
    </row>
    <row r="562" spans="1:14" x14ac:dyDescent="0.2">
      <c r="A562" t="s">
        <v>243</v>
      </c>
      <c r="B562">
        <v>389840</v>
      </c>
      <c r="C562" t="s">
        <v>68</v>
      </c>
      <c r="D562" t="s">
        <v>243</v>
      </c>
      <c r="E562" t="s">
        <v>1471</v>
      </c>
      <c r="G562" t="s">
        <v>1472</v>
      </c>
      <c r="J562">
        <v>6.4561903559999996</v>
      </c>
      <c r="K562">
        <v>0.47291064100000002</v>
      </c>
      <c r="L562">
        <v>0.34414126499999997</v>
      </c>
      <c r="M562" s="21">
        <v>-1.0381889040000001</v>
      </c>
      <c r="N562">
        <v>0.90557973899999999</v>
      </c>
    </row>
    <row r="563" spans="1:14" x14ac:dyDescent="0.2">
      <c r="A563" t="s">
        <v>1461</v>
      </c>
      <c r="B563">
        <v>414400</v>
      </c>
      <c r="C563" t="s">
        <v>84</v>
      </c>
      <c r="D563" t="s">
        <v>1461</v>
      </c>
      <c r="E563" t="s">
        <v>1473</v>
      </c>
      <c r="J563">
        <v>3.600219579</v>
      </c>
      <c r="K563">
        <v>-0.293098474</v>
      </c>
      <c r="L563">
        <v>-0.153917466</v>
      </c>
      <c r="M563" s="21">
        <v>-1.0384937569999999</v>
      </c>
      <c r="N563">
        <v>0.90401359699999995</v>
      </c>
    </row>
    <row r="564" spans="1:14" x14ac:dyDescent="0.2">
      <c r="A564" t="s">
        <v>1119</v>
      </c>
      <c r="B564">
        <v>343840</v>
      </c>
      <c r="C564" t="s">
        <v>28</v>
      </c>
      <c r="D564" t="s">
        <v>1120</v>
      </c>
      <c r="E564" t="s">
        <v>1474</v>
      </c>
      <c r="G564" t="s">
        <v>1475</v>
      </c>
      <c r="J564">
        <v>5.8462906840000004</v>
      </c>
      <c r="K564">
        <v>0.60615847</v>
      </c>
      <c r="L564">
        <v>0.28550877299999999</v>
      </c>
      <c r="M564" s="21">
        <v>-1.0386042520000001</v>
      </c>
      <c r="N564">
        <v>0.90344594</v>
      </c>
    </row>
    <row r="565" spans="1:14" x14ac:dyDescent="0.2">
      <c r="A565" t="s">
        <v>977</v>
      </c>
      <c r="B565">
        <v>492800</v>
      </c>
      <c r="C565" t="s">
        <v>130</v>
      </c>
      <c r="D565" t="s">
        <v>978</v>
      </c>
      <c r="E565" t="s">
        <v>1476</v>
      </c>
      <c r="G565" t="s">
        <v>1477</v>
      </c>
      <c r="J565">
        <v>5.1222566499999997</v>
      </c>
      <c r="K565">
        <v>0.21422175600000001</v>
      </c>
      <c r="L565">
        <v>0.25354511400000002</v>
      </c>
      <c r="M565" s="21">
        <v>-1.0386295809999999</v>
      </c>
      <c r="N565">
        <v>0.90331581699999997</v>
      </c>
    </row>
    <row r="566" spans="1:14" x14ac:dyDescent="0.2">
      <c r="A566" t="s">
        <v>1343</v>
      </c>
      <c r="B566">
        <v>299840</v>
      </c>
      <c r="C566" t="s">
        <v>34</v>
      </c>
      <c r="D566" t="s">
        <v>1344</v>
      </c>
      <c r="E566" t="s">
        <v>1478</v>
      </c>
      <c r="G566" t="s">
        <v>1479</v>
      </c>
      <c r="J566">
        <v>7.0544859390000001</v>
      </c>
      <c r="K566">
        <v>0.623000361</v>
      </c>
      <c r="L566">
        <v>0.42866702800000001</v>
      </c>
      <c r="M566" s="21">
        <v>-1.0388280379999999</v>
      </c>
      <c r="N566">
        <v>0.90229626699999999</v>
      </c>
    </row>
    <row r="567" spans="1:14" x14ac:dyDescent="0.2">
      <c r="A567" t="s">
        <v>303</v>
      </c>
      <c r="B567">
        <v>389040</v>
      </c>
      <c r="C567" t="s">
        <v>68</v>
      </c>
      <c r="D567" t="s">
        <v>304</v>
      </c>
      <c r="E567" t="s">
        <v>1480</v>
      </c>
      <c r="G567" t="s">
        <v>1481</v>
      </c>
      <c r="J567">
        <v>6.4561903559999996</v>
      </c>
      <c r="K567">
        <v>0.47291064100000002</v>
      </c>
      <c r="L567">
        <v>0.34414126499999997</v>
      </c>
      <c r="M567" s="21">
        <v>-1.038962546</v>
      </c>
      <c r="N567">
        <v>0.901605251</v>
      </c>
    </row>
    <row r="568" spans="1:14" x14ac:dyDescent="0.2">
      <c r="A568" t="s">
        <v>67</v>
      </c>
      <c r="B568">
        <v>492120</v>
      </c>
      <c r="C568" t="s">
        <v>130</v>
      </c>
      <c r="D568" t="s">
        <v>69</v>
      </c>
      <c r="E568" t="s">
        <v>1482</v>
      </c>
      <c r="G568" t="s">
        <v>1483</v>
      </c>
      <c r="J568">
        <v>5.1222566499999997</v>
      </c>
      <c r="K568">
        <v>0.21422175600000001</v>
      </c>
      <c r="L568">
        <v>0.25354511400000002</v>
      </c>
      <c r="M568" s="21">
        <v>-1.0391707450000001</v>
      </c>
      <c r="N568">
        <v>0.90053565300000005</v>
      </c>
    </row>
    <row r="569" spans="1:14" x14ac:dyDescent="0.2">
      <c r="A569" t="s">
        <v>1484</v>
      </c>
      <c r="B569">
        <v>298760</v>
      </c>
      <c r="C569" t="s">
        <v>34</v>
      </c>
      <c r="D569" t="s">
        <v>1484</v>
      </c>
      <c r="E569" t="s">
        <v>1485</v>
      </c>
      <c r="G569" t="s">
        <v>1486</v>
      </c>
      <c r="J569">
        <v>7.0544859390000001</v>
      </c>
      <c r="K569">
        <v>0.623000361</v>
      </c>
      <c r="L569">
        <v>0.42866702800000001</v>
      </c>
      <c r="M569" s="21">
        <v>-1.039777422</v>
      </c>
      <c r="N569">
        <v>0.89741892700000003</v>
      </c>
    </row>
    <row r="570" spans="1:14" x14ac:dyDescent="0.2">
      <c r="A570" t="s">
        <v>804</v>
      </c>
      <c r="B570">
        <v>490400</v>
      </c>
      <c r="C570" t="s">
        <v>130</v>
      </c>
      <c r="D570" t="s">
        <v>804</v>
      </c>
      <c r="E570" t="s">
        <v>1487</v>
      </c>
      <c r="G570" t="s">
        <v>1488</v>
      </c>
      <c r="J570">
        <v>5.1222566499999997</v>
      </c>
      <c r="K570">
        <v>0.21422175600000001</v>
      </c>
      <c r="L570">
        <v>0.25354511400000002</v>
      </c>
      <c r="M570" s="21">
        <v>-1.040539573</v>
      </c>
      <c r="N570">
        <v>0.89350347500000005</v>
      </c>
    </row>
    <row r="571" spans="1:14" x14ac:dyDescent="0.2">
      <c r="A571" t="s">
        <v>1167</v>
      </c>
      <c r="B571">
        <v>341400</v>
      </c>
      <c r="C571" t="s">
        <v>28</v>
      </c>
      <c r="D571" t="s">
        <v>1168</v>
      </c>
      <c r="E571" t="s">
        <v>1489</v>
      </c>
      <c r="G571" t="s">
        <v>1490</v>
      </c>
      <c r="J571">
        <v>5.8462906840000004</v>
      </c>
      <c r="K571">
        <v>0.60615847</v>
      </c>
      <c r="L571">
        <v>0.28550877299999999</v>
      </c>
      <c r="M571" s="21">
        <v>-1.0408071139999999</v>
      </c>
      <c r="N571">
        <v>0.892129014</v>
      </c>
    </row>
    <row r="572" spans="1:14" x14ac:dyDescent="0.2">
      <c r="A572" t="s">
        <v>1491</v>
      </c>
      <c r="B572">
        <v>479960</v>
      </c>
      <c r="C572" t="s">
        <v>100</v>
      </c>
      <c r="D572" t="s">
        <v>1491</v>
      </c>
      <c r="E572" t="s">
        <v>1492</v>
      </c>
      <c r="G572" t="s">
        <v>1493</v>
      </c>
      <c r="J572">
        <v>5.9110743220000002</v>
      </c>
      <c r="K572">
        <v>0.71598987199999997</v>
      </c>
      <c r="L572">
        <v>0.29077365599999999</v>
      </c>
      <c r="M572" s="21">
        <v>-1.041138047</v>
      </c>
      <c r="N572">
        <v>0.89042889000000003</v>
      </c>
    </row>
    <row r="573" spans="1:14" x14ac:dyDescent="0.2">
      <c r="A573" t="s">
        <v>1494</v>
      </c>
      <c r="B573">
        <v>479920</v>
      </c>
      <c r="C573" t="s">
        <v>100</v>
      </c>
      <c r="D573" t="s">
        <v>1494</v>
      </c>
      <c r="E573" t="s">
        <v>1495</v>
      </c>
      <c r="G573" t="s">
        <v>1496</v>
      </c>
      <c r="J573">
        <v>5.9110743220000002</v>
      </c>
      <c r="K573">
        <v>0.71598987199999997</v>
      </c>
      <c r="L573">
        <v>0.29077365599999999</v>
      </c>
      <c r="M573" s="21">
        <v>-1.0411777550000001</v>
      </c>
      <c r="N573">
        <v>0.89022489199999999</v>
      </c>
    </row>
    <row r="574" spans="1:14" x14ac:dyDescent="0.2">
      <c r="A574" t="s">
        <v>477</v>
      </c>
      <c r="B574">
        <v>412320</v>
      </c>
      <c r="C574" t="s">
        <v>84</v>
      </c>
      <c r="D574" t="s">
        <v>477</v>
      </c>
      <c r="E574" t="s">
        <v>1497</v>
      </c>
      <c r="J574">
        <v>3.600219579</v>
      </c>
      <c r="K574">
        <v>-0.293098474</v>
      </c>
      <c r="L574">
        <v>-0.153917466</v>
      </c>
      <c r="M574" s="21">
        <v>-1.041216199</v>
      </c>
      <c r="N574">
        <v>0.89002739500000005</v>
      </c>
    </row>
    <row r="575" spans="1:14" x14ac:dyDescent="0.2">
      <c r="A575" t="s">
        <v>1498</v>
      </c>
      <c r="B575">
        <v>489520</v>
      </c>
      <c r="C575" t="s">
        <v>130</v>
      </c>
      <c r="D575" t="s">
        <v>1498</v>
      </c>
      <c r="E575" t="s">
        <v>1499</v>
      </c>
      <c r="G575" t="s">
        <v>1500</v>
      </c>
      <c r="J575">
        <v>5.1222566499999997</v>
      </c>
      <c r="K575">
        <v>0.21422175600000001</v>
      </c>
      <c r="L575">
        <v>0.25354511400000002</v>
      </c>
      <c r="M575" s="21">
        <v>-1.0412399029999999</v>
      </c>
      <c r="N575">
        <v>0.88990561599999995</v>
      </c>
    </row>
    <row r="576" spans="1:14" x14ac:dyDescent="0.2">
      <c r="A576" t="s">
        <v>1290</v>
      </c>
      <c r="B576">
        <v>340160</v>
      </c>
      <c r="C576" t="s">
        <v>28</v>
      </c>
      <c r="D576" t="s">
        <v>1291</v>
      </c>
      <c r="E576" t="s">
        <v>1501</v>
      </c>
      <c r="G576" t="s">
        <v>1502</v>
      </c>
      <c r="J576">
        <v>5.8462906840000004</v>
      </c>
      <c r="K576">
        <v>0.60615847</v>
      </c>
      <c r="L576">
        <v>0.28550877299999999</v>
      </c>
      <c r="M576" s="21">
        <v>-1.0419266009999999</v>
      </c>
      <c r="N576">
        <v>0.88637778899999997</v>
      </c>
    </row>
    <row r="577" spans="1:14" x14ac:dyDescent="0.2">
      <c r="A577" t="s">
        <v>859</v>
      </c>
      <c r="B577">
        <v>340040</v>
      </c>
      <c r="C577" t="s">
        <v>28</v>
      </c>
      <c r="D577" t="s">
        <v>859</v>
      </c>
      <c r="E577" t="s">
        <v>1503</v>
      </c>
      <c r="G577" t="s">
        <v>1504</v>
      </c>
      <c r="J577">
        <v>5.8462906840000004</v>
      </c>
      <c r="K577">
        <v>0.60615847</v>
      </c>
      <c r="L577">
        <v>0.28550877299999999</v>
      </c>
      <c r="M577" s="21">
        <v>-1.0420349390000001</v>
      </c>
      <c r="N577">
        <v>0.88582121899999999</v>
      </c>
    </row>
    <row r="578" spans="1:14" x14ac:dyDescent="0.2">
      <c r="A578" t="s">
        <v>222</v>
      </c>
      <c r="B578">
        <v>511760</v>
      </c>
      <c r="C578" t="s">
        <v>149</v>
      </c>
      <c r="D578" t="s">
        <v>222</v>
      </c>
      <c r="E578" t="s">
        <v>1505</v>
      </c>
      <c r="G578" t="s">
        <v>1506</v>
      </c>
      <c r="J578">
        <v>5.0381074159999999</v>
      </c>
      <c r="K578">
        <v>0.81312368999999995</v>
      </c>
      <c r="L578">
        <v>0.16969141800000001</v>
      </c>
      <c r="M578" s="21">
        <v>-1.042144</v>
      </c>
      <c r="N578">
        <v>0.88526093299999997</v>
      </c>
    </row>
    <row r="579" spans="1:14" x14ac:dyDescent="0.2">
      <c r="A579" t="s">
        <v>1181</v>
      </c>
      <c r="B579">
        <v>485120</v>
      </c>
      <c r="C579" t="s">
        <v>58</v>
      </c>
      <c r="D579" t="s">
        <v>1181</v>
      </c>
      <c r="E579" t="s">
        <v>1507</v>
      </c>
      <c r="G579" t="s">
        <v>1508</v>
      </c>
      <c r="J579">
        <v>4.5363847230000003</v>
      </c>
      <c r="K579">
        <v>0.245646371</v>
      </c>
      <c r="L579">
        <v>7.5242279999999995E-2</v>
      </c>
      <c r="M579" s="21">
        <v>-1.0421539559999999</v>
      </c>
      <c r="N579">
        <v>0.88520978299999997</v>
      </c>
    </row>
    <row r="580" spans="1:14" x14ac:dyDescent="0.2">
      <c r="A580" t="s">
        <v>1256</v>
      </c>
      <c r="B580">
        <v>295760</v>
      </c>
      <c r="C580" t="s">
        <v>34</v>
      </c>
      <c r="D580" t="s">
        <v>1257</v>
      </c>
      <c r="E580" t="s">
        <v>1509</v>
      </c>
      <c r="G580" t="s">
        <v>1510</v>
      </c>
      <c r="J580">
        <v>7.0544859390000001</v>
      </c>
      <c r="K580">
        <v>0.623000361</v>
      </c>
      <c r="L580">
        <v>0.42866702800000001</v>
      </c>
      <c r="M580" s="21">
        <v>-1.042414599</v>
      </c>
      <c r="N580">
        <v>0.88387076099999995</v>
      </c>
    </row>
    <row r="581" spans="1:14" x14ac:dyDescent="0.2">
      <c r="A581" t="s">
        <v>1511</v>
      </c>
      <c r="B581">
        <v>478360</v>
      </c>
      <c r="C581" t="s">
        <v>100</v>
      </c>
      <c r="D581" t="s">
        <v>1512</v>
      </c>
      <c r="E581" t="s">
        <v>1513</v>
      </c>
      <c r="G581" t="s">
        <v>1514</v>
      </c>
      <c r="J581">
        <v>5.9110743220000002</v>
      </c>
      <c r="K581">
        <v>0.71598987199999997</v>
      </c>
      <c r="L581">
        <v>0.29077365599999999</v>
      </c>
      <c r="M581" s="21">
        <v>-1.0427263879999999</v>
      </c>
      <c r="N581">
        <v>0.88226898399999998</v>
      </c>
    </row>
    <row r="582" spans="1:14" x14ac:dyDescent="0.2">
      <c r="A582" t="s">
        <v>280</v>
      </c>
      <c r="B582">
        <v>411160</v>
      </c>
      <c r="C582" t="s">
        <v>84</v>
      </c>
      <c r="D582" t="s">
        <v>280</v>
      </c>
      <c r="E582" t="s">
        <v>1515</v>
      </c>
      <c r="J582">
        <v>3.600219579</v>
      </c>
      <c r="K582">
        <v>-0.293098474</v>
      </c>
      <c r="L582">
        <v>-0.153917466</v>
      </c>
      <c r="M582" s="21">
        <v>-1.042734483</v>
      </c>
      <c r="N582">
        <v>0.88222739699999997</v>
      </c>
    </row>
    <row r="583" spans="1:14" x14ac:dyDescent="0.2">
      <c r="A583" t="s">
        <v>191</v>
      </c>
      <c r="B583">
        <v>384880</v>
      </c>
      <c r="C583" t="s">
        <v>68</v>
      </c>
      <c r="D583" t="s">
        <v>192</v>
      </c>
      <c r="E583" t="s">
        <v>1516</v>
      </c>
      <c r="G583" t="s">
        <v>1517</v>
      </c>
      <c r="J583">
        <v>6.4561903559999996</v>
      </c>
      <c r="K583">
        <v>0.47291064100000002</v>
      </c>
      <c r="L583">
        <v>0.34414126499999997</v>
      </c>
      <c r="M583" s="21">
        <v>-1.042985485</v>
      </c>
      <c r="N583">
        <v>0.88093790999999999</v>
      </c>
    </row>
    <row r="584" spans="1:14" x14ac:dyDescent="0.2">
      <c r="A584" t="s">
        <v>1426</v>
      </c>
      <c r="B584">
        <v>484240</v>
      </c>
      <c r="C584" t="s">
        <v>58</v>
      </c>
      <c r="D584" t="s">
        <v>1426</v>
      </c>
      <c r="E584" t="s">
        <v>1518</v>
      </c>
      <c r="G584" t="s">
        <v>1519</v>
      </c>
      <c r="J584">
        <v>4.5363847230000003</v>
      </c>
      <c r="K584">
        <v>0.245646371</v>
      </c>
      <c r="L584">
        <v>7.5242279999999995E-2</v>
      </c>
      <c r="M584" s="21">
        <v>-1.043003795</v>
      </c>
      <c r="N584">
        <v>0.88084384100000002</v>
      </c>
    </row>
    <row r="585" spans="1:14" x14ac:dyDescent="0.2">
      <c r="A585" t="s">
        <v>400</v>
      </c>
      <c r="B585">
        <v>410920</v>
      </c>
      <c r="C585" t="s">
        <v>84</v>
      </c>
      <c r="D585" t="s">
        <v>400</v>
      </c>
      <c r="E585" t="s">
        <v>1520</v>
      </c>
      <c r="J585">
        <v>3.600219579</v>
      </c>
      <c r="K585">
        <v>-0.293098474</v>
      </c>
      <c r="L585">
        <v>-0.153917466</v>
      </c>
      <c r="M585" s="21">
        <v>-1.0430486109999999</v>
      </c>
      <c r="N585">
        <v>0.88061360399999999</v>
      </c>
    </row>
    <row r="586" spans="1:14" x14ac:dyDescent="0.2">
      <c r="A586" t="s">
        <v>1521</v>
      </c>
      <c r="B586">
        <v>338840</v>
      </c>
      <c r="C586" t="s">
        <v>28</v>
      </c>
      <c r="D586" t="s">
        <v>1521</v>
      </c>
      <c r="E586" t="s">
        <v>1522</v>
      </c>
      <c r="G586" t="s">
        <v>1523</v>
      </c>
      <c r="J586">
        <v>5.8462906840000004</v>
      </c>
      <c r="K586">
        <v>0.60615847</v>
      </c>
      <c r="L586">
        <v>0.28550877299999999</v>
      </c>
      <c r="M586" s="21">
        <v>-1.043118314</v>
      </c>
      <c r="N586">
        <v>0.88025551800000001</v>
      </c>
    </row>
    <row r="587" spans="1:14" x14ac:dyDescent="0.2">
      <c r="A587" t="s">
        <v>185</v>
      </c>
      <c r="B587">
        <v>487080</v>
      </c>
      <c r="C587" t="s">
        <v>130</v>
      </c>
      <c r="D587" t="s">
        <v>185</v>
      </c>
      <c r="E587" t="s">
        <v>1524</v>
      </c>
      <c r="G587" t="s">
        <v>1525</v>
      </c>
      <c r="J587">
        <v>5.1222566499999997</v>
      </c>
      <c r="K587">
        <v>0.21422175600000001</v>
      </c>
      <c r="L587">
        <v>0.25354511400000002</v>
      </c>
      <c r="M587" s="21">
        <v>-1.043181728</v>
      </c>
      <c r="N587">
        <v>0.87992973500000005</v>
      </c>
    </row>
    <row r="588" spans="1:14" x14ac:dyDescent="0.2">
      <c r="A588" t="s">
        <v>202</v>
      </c>
      <c r="B588">
        <v>338600</v>
      </c>
      <c r="C588" t="s">
        <v>28</v>
      </c>
      <c r="D588" t="s">
        <v>202</v>
      </c>
      <c r="E588" t="s">
        <v>1526</v>
      </c>
      <c r="G588" t="s">
        <v>1527</v>
      </c>
      <c r="J588">
        <v>5.8462906840000004</v>
      </c>
      <c r="K588">
        <v>0.60615847</v>
      </c>
      <c r="L588">
        <v>0.28550877299999999</v>
      </c>
      <c r="M588" s="21">
        <v>-1.043334988</v>
      </c>
      <c r="N588">
        <v>0.87914237699999997</v>
      </c>
    </row>
    <row r="589" spans="1:14" x14ac:dyDescent="0.2">
      <c r="A589" t="s">
        <v>1349</v>
      </c>
      <c r="B589">
        <v>483760</v>
      </c>
      <c r="C589" t="s">
        <v>58</v>
      </c>
      <c r="D589" t="s">
        <v>1350</v>
      </c>
      <c r="E589" t="s">
        <v>1528</v>
      </c>
      <c r="G589" t="s">
        <v>1529</v>
      </c>
      <c r="J589">
        <v>4.5363847230000003</v>
      </c>
      <c r="K589">
        <v>0.245646371</v>
      </c>
      <c r="L589">
        <v>7.5242279999999995E-2</v>
      </c>
      <c r="M589" s="21">
        <v>-1.043467344</v>
      </c>
      <c r="N589">
        <v>0.87846241800000002</v>
      </c>
    </row>
    <row r="590" spans="1:14" x14ac:dyDescent="0.2">
      <c r="A590" t="s">
        <v>968</v>
      </c>
      <c r="B590">
        <v>337120</v>
      </c>
      <c r="C590" t="s">
        <v>28</v>
      </c>
      <c r="D590" t="s">
        <v>969</v>
      </c>
      <c r="E590" t="s">
        <v>1530</v>
      </c>
      <c r="G590" t="s">
        <v>1531</v>
      </c>
      <c r="J590">
        <v>5.8462906840000004</v>
      </c>
      <c r="K590">
        <v>0.60615847</v>
      </c>
      <c r="L590">
        <v>0.28550877299999999</v>
      </c>
      <c r="M590" s="21">
        <v>-1.044671151</v>
      </c>
      <c r="N590">
        <v>0.87227801199999999</v>
      </c>
    </row>
    <row r="591" spans="1:14" x14ac:dyDescent="0.2">
      <c r="A591" t="s">
        <v>534</v>
      </c>
      <c r="B591">
        <v>494000</v>
      </c>
      <c r="C591" t="s">
        <v>14</v>
      </c>
      <c r="D591" t="s">
        <v>534</v>
      </c>
      <c r="E591" t="s">
        <v>1532</v>
      </c>
      <c r="G591" t="s">
        <v>1533</v>
      </c>
      <c r="J591">
        <v>6.7484204910000001</v>
      </c>
      <c r="K591">
        <v>0.48629166299999999</v>
      </c>
      <c r="L591">
        <v>0.375053939</v>
      </c>
      <c r="M591" s="21">
        <v>-1.044694513</v>
      </c>
      <c r="N591">
        <v>0.87215799299999996</v>
      </c>
    </row>
    <row r="592" spans="1:14" x14ac:dyDescent="0.2">
      <c r="A592" t="s">
        <v>283</v>
      </c>
      <c r="B592">
        <v>409640</v>
      </c>
      <c r="C592" t="s">
        <v>84</v>
      </c>
      <c r="D592" t="s">
        <v>284</v>
      </c>
      <c r="E592" t="s">
        <v>1534</v>
      </c>
      <c r="J592">
        <v>3.600219579</v>
      </c>
      <c r="K592">
        <v>-0.293098474</v>
      </c>
      <c r="L592">
        <v>-0.153917466</v>
      </c>
      <c r="M592" s="21">
        <v>-1.04472396</v>
      </c>
      <c r="N592">
        <v>0.87200670999999996</v>
      </c>
    </row>
    <row r="593" spans="1:14" x14ac:dyDescent="0.2">
      <c r="A593" t="s">
        <v>1031</v>
      </c>
      <c r="B593">
        <v>292840</v>
      </c>
      <c r="C593" t="s">
        <v>34</v>
      </c>
      <c r="D593" t="s">
        <v>1031</v>
      </c>
      <c r="J593">
        <v>7.0544859390000001</v>
      </c>
      <c r="K593">
        <v>0.623000361</v>
      </c>
      <c r="L593">
        <v>0.42866702800000001</v>
      </c>
      <c r="M593" s="21">
        <v>-1.044981452</v>
      </c>
      <c r="N593">
        <v>0.87068387899999999</v>
      </c>
    </row>
    <row r="594" spans="1:14" x14ac:dyDescent="0.2">
      <c r="A594" t="s">
        <v>1535</v>
      </c>
      <c r="B594">
        <v>476080</v>
      </c>
      <c r="C594" t="s">
        <v>100</v>
      </c>
      <c r="D594" t="s">
        <v>1535</v>
      </c>
      <c r="E594" t="s">
        <v>1536</v>
      </c>
      <c r="G594" t="s">
        <v>1537</v>
      </c>
      <c r="J594">
        <v>5.9110743220000002</v>
      </c>
      <c r="K594">
        <v>0.71598987199999997</v>
      </c>
      <c r="L594">
        <v>0.29077365599999999</v>
      </c>
      <c r="M594" s="21">
        <v>-1.0449897749999999</v>
      </c>
      <c r="N594">
        <v>0.87064111899999996</v>
      </c>
    </row>
    <row r="595" spans="1:14" x14ac:dyDescent="0.2">
      <c r="A595" t="s">
        <v>1343</v>
      </c>
      <c r="B595">
        <v>508680</v>
      </c>
      <c r="C595" t="s">
        <v>149</v>
      </c>
      <c r="D595" t="s">
        <v>1344</v>
      </c>
      <c r="E595" t="s">
        <v>1538</v>
      </c>
      <c r="G595" t="s">
        <v>1539</v>
      </c>
      <c r="J595">
        <v>5.0381074159999999</v>
      </c>
      <c r="K595">
        <v>0.81312368999999995</v>
      </c>
      <c r="L595">
        <v>0.16969141800000001</v>
      </c>
      <c r="M595" s="21">
        <v>-1.0449918170000001</v>
      </c>
      <c r="N595">
        <v>0.87063062800000002</v>
      </c>
    </row>
    <row r="596" spans="1:14" x14ac:dyDescent="0.2">
      <c r="A596" t="s">
        <v>345</v>
      </c>
      <c r="B596">
        <v>484760</v>
      </c>
      <c r="C596" t="s">
        <v>130</v>
      </c>
      <c r="D596" t="s">
        <v>345</v>
      </c>
      <c r="E596" t="s">
        <v>1540</v>
      </c>
      <c r="G596" t="s">
        <v>1541</v>
      </c>
      <c r="J596">
        <v>5.1222566499999997</v>
      </c>
      <c r="K596">
        <v>0.21422175600000001</v>
      </c>
      <c r="L596">
        <v>0.25354511400000002</v>
      </c>
      <c r="M596" s="21">
        <v>-1.045028053</v>
      </c>
      <c r="N596">
        <v>0.870444471</v>
      </c>
    </row>
    <row r="597" spans="1:14" x14ac:dyDescent="0.2">
      <c r="A597" t="s">
        <v>1181</v>
      </c>
      <c r="B597">
        <v>475920</v>
      </c>
      <c r="C597" t="s">
        <v>100</v>
      </c>
      <c r="D597" t="s">
        <v>1181</v>
      </c>
      <c r="E597" t="s">
        <v>1542</v>
      </c>
      <c r="G597" t="s">
        <v>1543</v>
      </c>
      <c r="J597">
        <v>5.9110743220000002</v>
      </c>
      <c r="K597">
        <v>0.71598987199999997</v>
      </c>
      <c r="L597">
        <v>0.29077365599999999</v>
      </c>
      <c r="M597" s="21">
        <v>-1.045148609</v>
      </c>
      <c r="N597">
        <v>0.86982512899999997</v>
      </c>
    </row>
    <row r="598" spans="1:14" x14ac:dyDescent="0.2">
      <c r="A598" t="s">
        <v>1544</v>
      </c>
      <c r="B598">
        <v>507960</v>
      </c>
      <c r="C598" t="s">
        <v>149</v>
      </c>
      <c r="D598" t="s">
        <v>1545</v>
      </c>
      <c r="E598" t="s">
        <v>1546</v>
      </c>
      <c r="G598" t="s">
        <v>1547</v>
      </c>
      <c r="J598">
        <v>5.0381074159999999</v>
      </c>
      <c r="K598">
        <v>0.81312368999999995</v>
      </c>
      <c r="L598">
        <v>0.16969141800000001</v>
      </c>
      <c r="M598" s="21">
        <v>-1.045657541</v>
      </c>
      <c r="N598">
        <v>0.86721055700000005</v>
      </c>
    </row>
    <row r="599" spans="1:14" x14ac:dyDescent="0.2">
      <c r="A599" t="s">
        <v>303</v>
      </c>
      <c r="B599">
        <v>408520</v>
      </c>
      <c r="C599" t="s">
        <v>84</v>
      </c>
      <c r="D599" t="s">
        <v>304</v>
      </c>
      <c r="E599" t="s">
        <v>1548</v>
      </c>
      <c r="G599" t="s">
        <v>1549</v>
      </c>
      <c r="J599">
        <v>3.600219579</v>
      </c>
      <c r="K599">
        <v>-0.293098474</v>
      </c>
      <c r="L599">
        <v>-0.153917466</v>
      </c>
      <c r="M599" s="21">
        <v>-1.04618989</v>
      </c>
      <c r="N599">
        <v>0.86447567800000003</v>
      </c>
    </row>
    <row r="600" spans="1:14" x14ac:dyDescent="0.2">
      <c r="A600" t="s">
        <v>1550</v>
      </c>
      <c r="B600">
        <v>480880</v>
      </c>
      <c r="C600" t="s">
        <v>58</v>
      </c>
      <c r="D600" t="s">
        <v>1550</v>
      </c>
      <c r="E600" t="s">
        <v>1551</v>
      </c>
      <c r="G600" t="s">
        <v>1552</v>
      </c>
      <c r="J600">
        <v>4.5363847230000003</v>
      </c>
      <c r="K600">
        <v>0.245646371</v>
      </c>
      <c r="L600">
        <v>7.5242279999999995E-2</v>
      </c>
      <c r="M600" s="21">
        <v>-1.0462486360000001</v>
      </c>
      <c r="N600">
        <v>0.86417387999999995</v>
      </c>
    </row>
    <row r="601" spans="1:14" x14ac:dyDescent="0.2">
      <c r="A601" t="s">
        <v>111</v>
      </c>
      <c r="B601">
        <v>334920</v>
      </c>
      <c r="C601" t="s">
        <v>28</v>
      </c>
      <c r="D601" t="s">
        <v>112</v>
      </c>
      <c r="E601" t="s">
        <v>1553</v>
      </c>
      <c r="G601" t="s">
        <v>1554</v>
      </c>
      <c r="J601">
        <v>5.8462906840000004</v>
      </c>
      <c r="K601">
        <v>0.60615847</v>
      </c>
      <c r="L601">
        <v>0.28550877299999999</v>
      </c>
      <c r="M601" s="21">
        <v>-1.0466573379999999</v>
      </c>
      <c r="N601">
        <v>0.86207422600000005</v>
      </c>
    </row>
    <row r="602" spans="1:14" x14ac:dyDescent="0.2">
      <c r="A602" t="s">
        <v>697</v>
      </c>
      <c r="B602">
        <v>380880</v>
      </c>
      <c r="C602" t="s">
        <v>68</v>
      </c>
      <c r="D602" t="s">
        <v>698</v>
      </c>
      <c r="E602" t="s">
        <v>1555</v>
      </c>
      <c r="G602" t="s">
        <v>1556</v>
      </c>
      <c r="J602">
        <v>6.4561903559999996</v>
      </c>
      <c r="K602">
        <v>0.47291064100000002</v>
      </c>
      <c r="L602">
        <v>0.34414126499999997</v>
      </c>
      <c r="M602" s="21">
        <v>-1.046853695</v>
      </c>
      <c r="N602">
        <v>0.86106546699999997</v>
      </c>
    </row>
    <row r="603" spans="1:14" x14ac:dyDescent="0.2">
      <c r="A603" t="s">
        <v>139</v>
      </c>
      <c r="B603">
        <v>491440</v>
      </c>
      <c r="C603" t="s">
        <v>14</v>
      </c>
      <c r="D603" t="s">
        <v>139</v>
      </c>
      <c r="E603" t="s">
        <v>1557</v>
      </c>
      <c r="G603" t="s">
        <v>1558</v>
      </c>
      <c r="J603">
        <v>6.7484204910000001</v>
      </c>
      <c r="K603">
        <v>0.48629166299999999</v>
      </c>
      <c r="L603">
        <v>0.375053939</v>
      </c>
      <c r="M603" s="21">
        <v>-1.0474995620000001</v>
      </c>
      <c r="N603">
        <v>0.85774740599999999</v>
      </c>
    </row>
    <row r="604" spans="1:14" x14ac:dyDescent="0.2">
      <c r="A604" t="s">
        <v>99</v>
      </c>
      <c r="B604">
        <v>407360</v>
      </c>
      <c r="C604" t="s">
        <v>84</v>
      </c>
      <c r="D604" t="s">
        <v>101</v>
      </c>
      <c r="E604" t="s">
        <v>1559</v>
      </c>
      <c r="J604">
        <v>3.600219579</v>
      </c>
      <c r="K604">
        <v>-0.293098474</v>
      </c>
      <c r="L604">
        <v>-0.153917466</v>
      </c>
      <c r="M604" s="21">
        <v>-1.0477081749999999</v>
      </c>
      <c r="N604">
        <v>0.85667568000000005</v>
      </c>
    </row>
    <row r="605" spans="1:14" x14ac:dyDescent="0.2">
      <c r="A605" t="s">
        <v>380</v>
      </c>
      <c r="B605">
        <v>289520</v>
      </c>
      <c r="C605" t="s">
        <v>34</v>
      </c>
      <c r="D605" t="s">
        <v>380</v>
      </c>
      <c r="E605" t="s">
        <v>1560</v>
      </c>
      <c r="G605" t="s">
        <v>1561</v>
      </c>
      <c r="J605">
        <v>7.0544859390000001</v>
      </c>
      <c r="K605">
        <v>0.623000361</v>
      </c>
      <c r="L605">
        <v>0.42866702800000001</v>
      </c>
      <c r="M605" s="21">
        <v>-1.0478999280000001</v>
      </c>
      <c r="N605">
        <v>0.85569057500000001</v>
      </c>
    </row>
    <row r="606" spans="1:14" x14ac:dyDescent="0.2">
      <c r="A606" t="s">
        <v>929</v>
      </c>
      <c r="B606">
        <v>333280</v>
      </c>
      <c r="C606" t="s">
        <v>28</v>
      </c>
      <c r="D606" t="s">
        <v>929</v>
      </c>
      <c r="E606" t="s">
        <v>1562</v>
      </c>
      <c r="G606" t="s">
        <v>1563</v>
      </c>
      <c r="J606">
        <v>5.8462906840000004</v>
      </c>
      <c r="K606">
        <v>0.60615847</v>
      </c>
      <c r="L606">
        <v>0.28550877299999999</v>
      </c>
      <c r="M606" s="21">
        <v>-1.0481379500000001</v>
      </c>
      <c r="N606">
        <v>0.85446776800000002</v>
      </c>
    </row>
    <row r="607" spans="1:14" x14ac:dyDescent="0.2">
      <c r="A607" t="s">
        <v>504</v>
      </c>
      <c r="B607">
        <v>332640</v>
      </c>
      <c r="C607" t="s">
        <v>28</v>
      </c>
      <c r="D607" t="s">
        <v>504</v>
      </c>
      <c r="E607" t="s">
        <v>1564</v>
      </c>
      <c r="G607" t="s">
        <v>1565</v>
      </c>
      <c r="J607">
        <v>5.8462906840000004</v>
      </c>
      <c r="K607">
        <v>0.60615847</v>
      </c>
      <c r="L607">
        <v>0.28550877299999999</v>
      </c>
      <c r="M607" s="21">
        <v>-1.0487157499999999</v>
      </c>
      <c r="N607">
        <v>0.85149939399999997</v>
      </c>
    </row>
    <row r="608" spans="1:14" x14ac:dyDescent="0.2">
      <c r="A608" t="s">
        <v>1150</v>
      </c>
      <c r="B608">
        <v>472200</v>
      </c>
      <c r="C608" t="s">
        <v>100</v>
      </c>
      <c r="D608" t="s">
        <v>1150</v>
      </c>
      <c r="E608" t="s">
        <v>1566</v>
      </c>
      <c r="G608" t="s">
        <v>1567</v>
      </c>
      <c r="J608">
        <v>5.9110743220000002</v>
      </c>
      <c r="K608">
        <v>0.71598987199999997</v>
      </c>
      <c r="L608">
        <v>0.29077365599999999</v>
      </c>
      <c r="M608" s="21">
        <v>-1.048841503</v>
      </c>
      <c r="N608">
        <v>0.85085334899999998</v>
      </c>
    </row>
    <row r="609" spans="1:14" x14ac:dyDescent="0.2">
      <c r="A609" t="s">
        <v>448</v>
      </c>
      <c r="B609">
        <v>472160</v>
      </c>
      <c r="C609" t="s">
        <v>100</v>
      </c>
      <c r="D609" t="s">
        <v>448</v>
      </c>
      <c r="E609" t="s">
        <v>1568</v>
      </c>
      <c r="G609" t="s">
        <v>1569</v>
      </c>
      <c r="J609">
        <v>5.9110743220000002</v>
      </c>
      <c r="K609">
        <v>0.71598987199999997</v>
      </c>
      <c r="L609">
        <v>0.29077365599999999</v>
      </c>
      <c r="M609" s="21">
        <v>-1.048881212</v>
      </c>
      <c r="N609">
        <v>0.85064935200000003</v>
      </c>
    </row>
    <row r="610" spans="1:14" x14ac:dyDescent="0.2">
      <c r="A610" t="s">
        <v>139</v>
      </c>
      <c r="B610">
        <v>504120</v>
      </c>
      <c r="C610" t="s">
        <v>149</v>
      </c>
      <c r="D610" t="s">
        <v>139</v>
      </c>
      <c r="E610" t="s">
        <v>1570</v>
      </c>
      <c r="G610" t="s">
        <v>1571</v>
      </c>
      <c r="J610">
        <v>5.0381074159999999</v>
      </c>
      <c r="K610">
        <v>0.81312368999999995</v>
      </c>
      <c r="L610">
        <v>0.16969141800000001</v>
      </c>
      <c r="M610" s="21">
        <v>-1.0492080660000001</v>
      </c>
      <c r="N610">
        <v>0.84897017799999996</v>
      </c>
    </row>
    <row r="611" spans="1:14" x14ac:dyDescent="0.2">
      <c r="A611" t="s">
        <v>730</v>
      </c>
      <c r="B611">
        <v>332080</v>
      </c>
      <c r="C611" t="s">
        <v>28</v>
      </c>
      <c r="D611" t="s">
        <v>731</v>
      </c>
      <c r="E611" t="s">
        <v>1572</v>
      </c>
      <c r="G611" t="s">
        <v>1573</v>
      </c>
      <c r="J611">
        <v>5.8462906840000004</v>
      </c>
      <c r="K611">
        <v>0.60615847</v>
      </c>
      <c r="L611">
        <v>0.28550877299999999</v>
      </c>
      <c r="M611" s="21">
        <v>-1.0492213239999999</v>
      </c>
      <c r="N611">
        <v>0.84890206599999996</v>
      </c>
    </row>
    <row r="612" spans="1:14" x14ac:dyDescent="0.2">
      <c r="A612" t="s">
        <v>1215</v>
      </c>
      <c r="B612">
        <v>479400</v>
      </c>
      <c r="C612" t="s">
        <v>130</v>
      </c>
      <c r="D612" t="s">
        <v>1215</v>
      </c>
      <c r="E612" t="s">
        <v>1574</v>
      </c>
      <c r="G612" t="s">
        <v>1575</v>
      </c>
      <c r="J612">
        <v>5.1222566499999997</v>
      </c>
      <c r="K612">
        <v>0.21422175600000001</v>
      </c>
      <c r="L612">
        <v>0.25354511400000002</v>
      </c>
      <c r="M612" s="21">
        <v>-1.0492937010000001</v>
      </c>
      <c r="N612">
        <v>0.84853024099999996</v>
      </c>
    </row>
    <row r="613" spans="1:14" x14ac:dyDescent="0.2">
      <c r="A613" t="s">
        <v>1190</v>
      </c>
      <c r="B613">
        <v>503640</v>
      </c>
      <c r="C613" t="s">
        <v>149</v>
      </c>
      <c r="D613" t="s">
        <v>1190</v>
      </c>
      <c r="E613" t="s">
        <v>1576</v>
      </c>
      <c r="G613" t="s">
        <v>1577</v>
      </c>
      <c r="J613">
        <v>5.0381074159999999</v>
      </c>
      <c r="K613">
        <v>0.81312368999999995</v>
      </c>
      <c r="L613">
        <v>0.16969141800000001</v>
      </c>
      <c r="M613" s="21">
        <v>-1.049651882</v>
      </c>
      <c r="N613">
        <v>0.84669013100000001</v>
      </c>
    </row>
    <row r="614" spans="1:14" x14ac:dyDescent="0.2">
      <c r="A614" t="s">
        <v>1108</v>
      </c>
      <c r="B614">
        <v>377720</v>
      </c>
      <c r="C614" t="s">
        <v>68</v>
      </c>
      <c r="D614" t="s">
        <v>1109</v>
      </c>
      <c r="E614" t="s">
        <v>1578</v>
      </c>
      <c r="G614" t="s">
        <v>1579</v>
      </c>
      <c r="J614">
        <v>6.4561903559999996</v>
      </c>
      <c r="K614">
        <v>0.47291064100000002</v>
      </c>
      <c r="L614">
        <v>0.34414126499999997</v>
      </c>
      <c r="M614" s="21">
        <v>-1.0499095810000001</v>
      </c>
      <c r="N614">
        <v>0.84536623700000002</v>
      </c>
    </row>
    <row r="615" spans="1:14" x14ac:dyDescent="0.2">
      <c r="A615" t="s">
        <v>1049</v>
      </c>
      <c r="B615">
        <v>377440</v>
      </c>
      <c r="C615" t="s">
        <v>68</v>
      </c>
      <c r="D615" t="s">
        <v>1049</v>
      </c>
      <c r="E615" t="s">
        <v>1580</v>
      </c>
      <c r="G615" t="s">
        <v>1581</v>
      </c>
      <c r="J615">
        <v>6.4561903559999996</v>
      </c>
      <c r="K615">
        <v>0.47291064100000002</v>
      </c>
      <c r="L615">
        <v>0.34414126499999997</v>
      </c>
      <c r="M615" s="21">
        <v>-1.050180355</v>
      </c>
      <c r="N615">
        <v>0.843975166</v>
      </c>
    </row>
    <row r="616" spans="1:14" x14ac:dyDescent="0.2">
      <c r="A616" t="s">
        <v>1582</v>
      </c>
      <c r="B616">
        <v>286360</v>
      </c>
      <c r="C616" t="s">
        <v>34</v>
      </c>
      <c r="D616" t="s">
        <v>1583</v>
      </c>
      <c r="E616" t="s">
        <v>1584</v>
      </c>
      <c r="G616" t="s">
        <v>1585</v>
      </c>
      <c r="J616">
        <v>7.0544859390000001</v>
      </c>
      <c r="K616">
        <v>0.623000361</v>
      </c>
      <c r="L616">
        <v>0.42866702800000001</v>
      </c>
      <c r="M616" s="21">
        <v>-1.0506777549999999</v>
      </c>
      <c r="N616">
        <v>0.84141984000000003</v>
      </c>
    </row>
    <row r="617" spans="1:14" x14ac:dyDescent="0.2">
      <c r="A617" t="s">
        <v>195</v>
      </c>
      <c r="B617">
        <v>405080</v>
      </c>
      <c r="C617" t="s">
        <v>84</v>
      </c>
      <c r="D617" t="s">
        <v>195</v>
      </c>
      <c r="E617" t="s">
        <v>1586</v>
      </c>
      <c r="J617">
        <v>3.600219579</v>
      </c>
      <c r="K617">
        <v>-0.293098474</v>
      </c>
      <c r="L617">
        <v>-0.153917466</v>
      </c>
      <c r="M617" s="21">
        <v>-1.05069239</v>
      </c>
      <c r="N617">
        <v>0.841344651</v>
      </c>
    </row>
    <row r="618" spans="1:14" x14ac:dyDescent="0.2">
      <c r="A618" t="s">
        <v>1082</v>
      </c>
      <c r="B618">
        <v>477440</v>
      </c>
      <c r="C618" t="s">
        <v>130</v>
      </c>
      <c r="D618" t="s">
        <v>1082</v>
      </c>
      <c r="E618" t="s">
        <v>1587</v>
      </c>
      <c r="G618" t="s">
        <v>1588</v>
      </c>
      <c r="J618">
        <v>5.1222566499999997</v>
      </c>
      <c r="K618">
        <v>0.21422175600000001</v>
      </c>
      <c r="L618">
        <v>0.25354511400000002</v>
      </c>
      <c r="M618" s="21">
        <v>-1.050853528</v>
      </c>
      <c r="N618">
        <v>0.84051682800000005</v>
      </c>
    </row>
    <row r="619" spans="1:14" x14ac:dyDescent="0.2">
      <c r="A619" t="s">
        <v>277</v>
      </c>
      <c r="B619">
        <v>477240</v>
      </c>
      <c r="C619" t="s">
        <v>130</v>
      </c>
      <c r="D619" t="s">
        <v>277</v>
      </c>
      <c r="E619" t="s">
        <v>1589</v>
      </c>
      <c r="G619" t="s">
        <v>1590</v>
      </c>
      <c r="J619">
        <v>5.1222566499999997</v>
      </c>
      <c r="K619">
        <v>0.21422175600000001</v>
      </c>
      <c r="L619">
        <v>0.25354511400000002</v>
      </c>
      <c r="M619" s="21">
        <v>-1.0510126930000001</v>
      </c>
      <c r="N619">
        <v>0.83969913299999999</v>
      </c>
    </row>
    <row r="620" spans="1:14" x14ac:dyDescent="0.2">
      <c r="A620" t="s">
        <v>38</v>
      </c>
      <c r="B620">
        <v>487960</v>
      </c>
      <c r="C620" t="s">
        <v>14</v>
      </c>
      <c r="D620" t="s">
        <v>38</v>
      </c>
      <c r="E620" t="s">
        <v>1591</v>
      </c>
      <c r="G620" t="s">
        <v>1592</v>
      </c>
      <c r="J620">
        <v>6.7484204910000001</v>
      </c>
      <c r="K620">
        <v>0.48629166299999999</v>
      </c>
      <c r="L620">
        <v>0.375053939</v>
      </c>
      <c r="M620" s="21">
        <v>-1.0513126749999999</v>
      </c>
      <c r="N620">
        <v>0.83815801400000001</v>
      </c>
    </row>
    <row r="621" spans="1:14" x14ac:dyDescent="0.2">
      <c r="A621" t="s">
        <v>1593</v>
      </c>
      <c r="B621">
        <v>285440</v>
      </c>
      <c r="C621" t="s">
        <v>34</v>
      </c>
      <c r="D621" t="s">
        <v>1593</v>
      </c>
      <c r="J621">
        <v>7.0544859390000001</v>
      </c>
      <c r="K621">
        <v>0.623000361</v>
      </c>
      <c r="L621">
        <v>0.42866702800000001</v>
      </c>
      <c r="M621" s="21">
        <v>-1.051486489</v>
      </c>
      <c r="N621">
        <v>0.83726506899999997</v>
      </c>
    </row>
    <row r="622" spans="1:14" x14ac:dyDescent="0.2">
      <c r="A622" t="s">
        <v>746</v>
      </c>
      <c r="B622">
        <v>404280</v>
      </c>
      <c r="C622" t="s">
        <v>84</v>
      </c>
      <c r="D622" t="s">
        <v>746</v>
      </c>
      <c r="E622" t="s">
        <v>1594</v>
      </c>
      <c r="J622">
        <v>3.600219579</v>
      </c>
      <c r="K622">
        <v>-0.293098474</v>
      </c>
      <c r="L622">
        <v>-0.153917466</v>
      </c>
      <c r="M622" s="21">
        <v>-1.051739483</v>
      </c>
      <c r="N622">
        <v>0.83596534199999994</v>
      </c>
    </row>
    <row r="623" spans="1:14" x14ac:dyDescent="0.2">
      <c r="A623" t="s">
        <v>1595</v>
      </c>
      <c r="B623">
        <v>285080</v>
      </c>
      <c r="C623" t="s">
        <v>34</v>
      </c>
      <c r="D623" t="s">
        <v>1595</v>
      </c>
      <c r="E623" t="s">
        <v>1596</v>
      </c>
      <c r="G623" t="s">
        <v>1597</v>
      </c>
      <c r="J623">
        <v>7.0544859390000001</v>
      </c>
      <c r="K623">
        <v>0.623000361</v>
      </c>
      <c r="L623">
        <v>0.42866702800000001</v>
      </c>
      <c r="M623" s="21">
        <v>-1.0518029499999999</v>
      </c>
      <c r="N623">
        <v>0.83563928899999995</v>
      </c>
    </row>
    <row r="624" spans="1:14" x14ac:dyDescent="0.2">
      <c r="A624" t="s">
        <v>1598</v>
      </c>
      <c r="B624">
        <v>328560</v>
      </c>
      <c r="C624" t="s">
        <v>28</v>
      </c>
      <c r="D624" t="s">
        <v>1598</v>
      </c>
      <c r="E624" t="s">
        <v>1599</v>
      </c>
      <c r="G624" t="s">
        <v>1600</v>
      </c>
      <c r="J624">
        <v>5.8462906840000004</v>
      </c>
      <c r="K624">
        <v>0.60615847</v>
      </c>
      <c r="L624">
        <v>0.28550877299999999</v>
      </c>
      <c r="M624" s="21">
        <v>-1.052399224</v>
      </c>
      <c r="N624">
        <v>0.83257600899999995</v>
      </c>
    </row>
    <row r="625" spans="1:14" x14ac:dyDescent="0.2">
      <c r="A625" t="s">
        <v>426</v>
      </c>
      <c r="B625">
        <v>328440</v>
      </c>
      <c r="C625" t="s">
        <v>28</v>
      </c>
      <c r="D625" t="s">
        <v>426</v>
      </c>
      <c r="E625" t="s">
        <v>1601</v>
      </c>
      <c r="G625" t="s">
        <v>1602</v>
      </c>
      <c r="J625">
        <v>5.8462906840000004</v>
      </c>
      <c r="K625">
        <v>0.60615847</v>
      </c>
      <c r="L625">
        <v>0.28550877299999999</v>
      </c>
      <c r="M625" s="21">
        <v>-1.0525075610000001</v>
      </c>
      <c r="N625">
        <v>0.83201943899999997</v>
      </c>
    </row>
    <row r="626" spans="1:14" x14ac:dyDescent="0.2">
      <c r="A626" t="s">
        <v>375</v>
      </c>
      <c r="B626">
        <v>468480</v>
      </c>
      <c r="C626" t="s">
        <v>100</v>
      </c>
      <c r="D626" t="s">
        <v>375</v>
      </c>
      <c r="E626" t="s">
        <v>1603</v>
      </c>
      <c r="G626" t="s">
        <v>1604</v>
      </c>
      <c r="J626">
        <v>5.9110743220000002</v>
      </c>
      <c r="K626">
        <v>0.71598987199999997</v>
      </c>
      <c r="L626">
        <v>0.29077365599999999</v>
      </c>
      <c r="M626" s="21">
        <v>-1.0525343979999999</v>
      </c>
      <c r="N626">
        <v>0.83188156999999996</v>
      </c>
    </row>
    <row r="627" spans="1:14" x14ac:dyDescent="0.2">
      <c r="A627" t="s">
        <v>1137</v>
      </c>
      <c r="B627">
        <v>403560</v>
      </c>
      <c r="C627" t="s">
        <v>84</v>
      </c>
      <c r="D627" t="s">
        <v>1137</v>
      </c>
      <c r="E627" t="s">
        <v>1605</v>
      </c>
      <c r="J627">
        <v>3.600219579</v>
      </c>
      <c r="K627">
        <v>-0.293098474</v>
      </c>
      <c r="L627">
        <v>-0.153917466</v>
      </c>
      <c r="M627" s="21">
        <v>-1.052681867</v>
      </c>
      <c r="N627">
        <v>0.83112396399999999</v>
      </c>
    </row>
    <row r="628" spans="1:14" x14ac:dyDescent="0.2">
      <c r="A628" t="s">
        <v>880</v>
      </c>
      <c r="B628">
        <v>474160</v>
      </c>
      <c r="C628" t="s">
        <v>58</v>
      </c>
      <c r="D628" t="s">
        <v>880</v>
      </c>
      <c r="E628" t="s">
        <v>1606</v>
      </c>
      <c r="G628" t="s">
        <v>1607</v>
      </c>
      <c r="J628">
        <v>4.5363847230000003</v>
      </c>
      <c r="K628">
        <v>0.245646371</v>
      </c>
      <c r="L628">
        <v>7.5242279999999995E-2</v>
      </c>
      <c r="M628" s="21">
        <v>-1.052738317</v>
      </c>
      <c r="N628">
        <v>0.83083395800000004</v>
      </c>
    </row>
    <row r="629" spans="1:14" x14ac:dyDescent="0.2">
      <c r="A629" t="s">
        <v>438</v>
      </c>
      <c r="B629">
        <v>403440</v>
      </c>
      <c r="C629" t="s">
        <v>84</v>
      </c>
      <c r="D629" t="s">
        <v>438</v>
      </c>
      <c r="E629" t="s">
        <v>1608</v>
      </c>
      <c r="J629">
        <v>3.600219579</v>
      </c>
      <c r="K629">
        <v>-0.293098474</v>
      </c>
      <c r="L629">
        <v>-0.153917466</v>
      </c>
      <c r="M629" s="21">
        <v>-1.0528389309999999</v>
      </c>
      <c r="N629">
        <v>0.83031706800000005</v>
      </c>
    </row>
    <row r="630" spans="1:14" x14ac:dyDescent="0.2">
      <c r="A630" t="s">
        <v>1422</v>
      </c>
      <c r="B630">
        <v>486560</v>
      </c>
      <c r="C630" t="s">
        <v>14</v>
      </c>
      <c r="D630" t="s">
        <v>1423</v>
      </c>
      <c r="E630" t="s">
        <v>1609</v>
      </c>
      <c r="G630" t="s">
        <v>1610</v>
      </c>
      <c r="J630">
        <v>6.7484204910000001</v>
      </c>
      <c r="K630">
        <v>0.48629166299999999</v>
      </c>
      <c r="L630">
        <v>0.375053939</v>
      </c>
      <c r="M630" s="21">
        <v>-1.0528466869999999</v>
      </c>
      <c r="N630">
        <v>0.83027722400000004</v>
      </c>
    </row>
    <row r="631" spans="1:14" x14ac:dyDescent="0.2">
      <c r="A631" t="s">
        <v>307</v>
      </c>
      <c r="B631">
        <v>403280</v>
      </c>
      <c r="C631" t="s">
        <v>84</v>
      </c>
      <c r="D631" t="s">
        <v>308</v>
      </c>
      <c r="E631" t="s">
        <v>1611</v>
      </c>
      <c r="G631" t="s">
        <v>1612</v>
      </c>
      <c r="J631">
        <v>3.600219579</v>
      </c>
      <c r="K631">
        <v>-0.293098474</v>
      </c>
      <c r="L631">
        <v>-0.153917466</v>
      </c>
      <c r="M631" s="21">
        <v>-1.0530483500000001</v>
      </c>
      <c r="N631">
        <v>0.82924120599999995</v>
      </c>
    </row>
    <row r="632" spans="1:14" x14ac:dyDescent="0.2">
      <c r="A632" t="s">
        <v>79</v>
      </c>
      <c r="B632">
        <v>473520</v>
      </c>
      <c r="C632" t="s">
        <v>58</v>
      </c>
      <c r="D632" t="s">
        <v>80</v>
      </c>
      <c r="E632" t="s">
        <v>1613</v>
      </c>
      <c r="G632" t="s">
        <v>1614</v>
      </c>
      <c r="J632">
        <v>4.5363847230000003</v>
      </c>
      <c r="K632">
        <v>0.245646371</v>
      </c>
      <c r="L632">
        <v>7.5242279999999995E-2</v>
      </c>
      <c r="M632" s="21">
        <v>-1.053356382</v>
      </c>
      <c r="N632">
        <v>0.82765872799999995</v>
      </c>
    </row>
    <row r="633" spans="1:14" x14ac:dyDescent="0.2">
      <c r="A633" t="s">
        <v>563</v>
      </c>
      <c r="B633">
        <v>327160</v>
      </c>
      <c r="C633" t="s">
        <v>28</v>
      </c>
      <c r="D633" t="s">
        <v>564</v>
      </c>
      <c r="E633" t="s">
        <v>1615</v>
      </c>
      <c r="G633" t="s">
        <v>1616</v>
      </c>
      <c r="J633">
        <v>5.8462906840000004</v>
      </c>
      <c r="K633">
        <v>0.60615847</v>
      </c>
      <c r="L633">
        <v>0.28550877299999999</v>
      </c>
      <c r="M633" s="21">
        <v>-1.053663161</v>
      </c>
      <c r="N633">
        <v>0.82608269000000001</v>
      </c>
    </row>
    <row r="634" spans="1:14" x14ac:dyDescent="0.2">
      <c r="A634" t="s">
        <v>1617</v>
      </c>
      <c r="B634">
        <v>326680</v>
      </c>
      <c r="C634" t="s">
        <v>28</v>
      </c>
      <c r="D634" t="s">
        <v>1617</v>
      </c>
      <c r="E634" t="s">
        <v>1618</v>
      </c>
      <c r="G634" t="s">
        <v>1619</v>
      </c>
      <c r="J634">
        <v>5.8462906840000004</v>
      </c>
      <c r="K634">
        <v>0.60615847</v>
      </c>
      <c r="L634">
        <v>0.28550877299999999</v>
      </c>
      <c r="M634" s="21">
        <v>-1.054096511</v>
      </c>
      <c r="N634">
        <v>0.82385640999999998</v>
      </c>
    </row>
    <row r="635" spans="1:14" x14ac:dyDescent="0.2">
      <c r="A635" t="s">
        <v>1620</v>
      </c>
      <c r="B635">
        <v>281480</v>
      </c>
      <c r="C635" t="s">
        <v>34</v>
      </c>
      <c r="D635" t="s">
        <v>1620</v>
      </c>
      <c r="E635" t="s">
        <v>1621</v>
      </c>
      <c r="G635" t="s">
        <v>1622</v>
      </c>
      <c r="J635">
        <v>7.0544859390000001</v>
      </c>
      <c r="K635">
        <v>0.623000361</v>
      </c>
      <c r="L635">
        <v>0.42866702800000001</v>
      </c>
      <c r="M635" s="21">
        <v>-1.0549675629999999</v>
      </c>
      <c r="N635">
        <v>0.81938148899999996</v>
      </c>
    </row>
    <row r="636" spans="1:14" x14ac:dyDescent="0.2">
      <c r="A636" t="s">
        <v>529</v>
      </c>
      <c r="B636">
        <v>401400</v>
      </c>
      <c r="C636" t="s">
        <v>84</v>
      </c>
      <c r="D636" t="s">
        <v>529</v>
      </c>
      <c r="E636" t="s">
        <v>1623</v>
      </c>
      <c r="J636">
        <v>3.600219579</v>
      </c>
      <c r="K636">
        <v>-0.293098474</v>
      </c>
      <c r="L636">
        <v>-0.153917466</v>
      </c>
      <c r="M636" s="21">
        <v>-1.055509018</v>
      </c>
      <c r="N636">
        <v>0.81659983000000003</v>
      </c>
    </row>
    <row r="637" spans="1:14" x14ac:dyDescent="0.2">
      <c r="A637" t="s">
        <v>1349</v>
      </c>
      <c r="B637">
        <v>371880</v>
      </c>
      <c r="C637" t="s">
        <v>68</v>
      </c>
      <c r="D637" t="s">
        <v>1350</v>
      </c>
      <c r="E637" t="s">
        <v>1624</v>
      </c>
      <c r="G637" t="s">
        <v>1625</v>
      </c>
      <c r="J637">
        <v>6.4561903559999996</v>
      </c>
      <c r="K637">
        <v>0.47291064100000002</v>
      </c>
      <c r="L637">
        <v>0.34414126499999997</v>
      </c>
      <c r="M637" s="21">
        <v>-1.0555571669999999</v>
      </c>
      <c r="N637">
        <v>0.81635247</v>
      </c>
    </row>
    <row r="638" spans="1:14" x14ac:dyDescent="0.2">
      <c r="A638" t="s">
        <v>1484</v>
      </c>
      <c r="B638">
        <v>401360</v>
      </c>
      <c r="C638" t="s">
        <v>84</v>
      </c>
      <c r="D638" t="s">
        <v>1484</v>
      </c>
      <c r="E638" t="s">
        <v>1626</v>
      </c>
      <c r="J638">
        <v>3.600219579</v>
      </c>
      <c r="K638">
        <v>-0.293098474</v>
      </c>
      <c r="L638">
        <v>-0.153917466</v>
      </c>
      <c r="M638" s="21">
        <v>-1.055561373</v>
      </c>
      <c r="N638">
        <v>0.81633086499999996</v>
      </c>
    </row>
    <row r="639" spans="1:14" x14ac:dyDescent="0.2">
      <c r="A639" t="s">
        <v>143</v>
      </c>
      <c r="B639">
        <v>497120</v>
      </c>
      <c r="C639" t="s">
        <v>149</v>
      </c>
      <c r="D639" t="s">
        <v>144</v>
      </c>
      <c r="E639" t="s">
        <v>1627</v>
      </c>
      <c r="G639" t="s">
        <v>1628</v>
      </c>
      <c r="J639">
        <v>5.0381074159999999</v>
      </c>
      <c r="K639">
        <v>0.81312368999999995</v>
      </c>
      <c r="L639">
        <v>0.16969141800000001</v>
      </c>
      <c r="M639" s="21">
        <v>-1.055680379</v>
      </c>
      <c r="N639">
        <v>0.81571948699999997</v>
      </c>
    </row>
    <row r="640" spans="1:14" x14ac:dyDescent="0.2">
      <c r="A640" t="s">
        <v>583</v>
      </c>
      <c r="B640">
        <v>401200</v>
      </c>
      <c r="C640" t="s">
        <v>84</v>
      </c>
      <c r="D640" t="s">
        <v>583</v>
      </c>
      <c r="E640" t="s">
        <v>1629</v>
      </c>
      <c r="J640">
        <v>3.600219579</v>
      </c>
      <c r="K640">
        <v>-0.293098474</v>
      </c>
      <c r="L640">
        <v>-0.153917466</v>
      </c>
      <c r="M640" s="21">
        <v>-1.055770791</v>
      </c>
      <c r="N640">
        <v>0.81525500299999998</v>
      </c>
    </row>
    <row r="641" spans="1:14" x14ac:dyDescent="0.2">
      <c r="A641" t="s">
        <v>988</v>
      </c>
      <c r="B641">
        <v>280440</v>
      </c>
      <c r="C641" t="s">
        <v>34</v>
      </c>
      <c r="D641" t="s">
        <v>988</v>
      </c>
      <c r="E641" t="s">
        <v>1630</v>
      </c>
      <c r="G641" t="s">
        <v>1631</v>
      </c>
      <c r="J641">
        <v>7.0544859390000001</v>
      </c>
      <c r="K641">
        <v>0.623000361</v>
      </c>
      <c r="L641">
        <v>0.42866702800000001</v>
      </c>
      <c r="M641" s="21">
        <v>-1.0558817840000001</v>
      </c>
      <c r="N641">
        <v>0.81468479199999999</v>
      </c>
    </row>
    <row r="642" spans="1:14" x14ac:dyDescent="0.2">
      <c r="A642" t="s">
        <v>369</v>
      </c>
      <c r="B642">
        <v>324600</v>
      </c>
      <c r="C642" t="s">
        <v>28</v>
      </c>
      <c r="D642" t="s">
        <v>369</v>
      </c>
      <c r="E642" t="s">
        <v>1632</v>
      </c>
      <c r="G642" t="s">
        <v>1633</v>
      </c>
      <c r="J642">
        <v>5.8462906840000004</v>
      </c>
      <c r="K642">
        <v>0.60615847</v>
      </c>
      <c r="L642">
        <v>0.28550877299999999</v>
      </c>
      <c r="M642" s="21">
        <v>-1.05597436</v>
      </c>
      <c r="N642">
        <v>0.81420919400000002</v>
      </c>
    </row>
    <row r="643" spans="1:14" x14ac:dyDescent="0.2">
      <c r="A643" t="s">
        <v>191</v>
      </c>
      <c r="B643">
        <v>470640</v>
      </c>
      <c r="C643" t="s">
        <v>58</v>
      </c>
      <c r="D643" t="s">
        <v>192</v>
      </c>
      <c r="E643" t="s">
        <v>1634</v>
      </c>
      <c r="G643" t="s">
        <v>1635</v>
      </c>
      <c r="J643">
        <v>4.5363847230000003</v>
      </c>
      <c r="K643">
        <v>0.245646371</v>
      </c>
      <c r="L643">
        <v>7.5242279999999995E-2</v>
      </c>
      <c r="M643" s="21">
        <v>-1.0561376739999999</v>
      </c>
      <c r="N643">
        <v>0.81337018999999999</v>
      </c>
    </row>
    <row r="644" spans="1:14" x14ac:dyDescent="0.2">
      <c r="A644" t="s">
        <v>577</v>
      </c>
      <c r="B644">
        <v>371000</v>
      </c>
      <c r="C644" t="s">
        <v>68</v>
      </c>
      <c r="D644" t="s">
        <v>578</v>
      </c>
      <c r="E644" t="s">
        <v>1636</v>
      </c>
      <c r="G644" t="s">
        <v>1637</v>
      </c>
      <c r="J644">
        <v>6.4561903559999996</v>
      </c>
      <c r="K644">
        <v>0.47291064100000002</v>
      </c>
      <c r="L644">
        <v>0.34414126499999997</v>
      </c>
      <c r="M644" s="21">
        <v>-1.056408174</v>
      </c>
      <c r="N644">
        <v>0.81198053199999998</v>
      </c>
    </row>
    <row r="645" spans="1:14" x14ac:dyDescent="0.2">
      <c r="A645" t="s">
        <v>364</v>
      </c>
      <c r="B645">
        <v>324080</v>
      </c>
      <c r="C645" t="s">
        <v>28</v>
      </c>
      <c r="D645" t="s">
        <v>364</v>
      </c>
      <c r="E645" t="s">
        <v>1638</v>
      </c>
      <c r="G645" t="s">
        <v>1639</v>
      </c>
      <c r="J645">
        <v>5.8462906840000004</v>
      </c>
      <c r="K645">
        <v>0.60615847</v>
      </c>
      <c r="L645">
        <v>0.28550877299999999</v>
      </c>
      <c r="M645" s="21">
        <v>-1.0564438229999999</v>
      </c>
      <c r="N645">
        <v>0.81179738999999995</v>
      </c>
    </row>
    <row r="646" spans="1:14" x14ac:dyDescent="0.2">
      <c r="A646" t="s">
        <v>637</v>
      </c>
      <c r="B646">
        <v>323840</v>
      </c>
      <c r="C646" t="s">
        <v>28</v>
      </c>
      <c r="D646" t="s">
        <v>637</v>
      </c>
      <c r="E646" t="s">
        <v>1640</v>
      </c>
      <c r="G646" t="s">
        <v>1641</v>
      </c>
      <c r="J646">
        <v>5.8462906840000004</v>
      </c>
      <c r="K646">
        <v>0.60615847</v>
      </c>
      <c r="L646">
        <v>0.28550877299999999</v>
      </c>
      <c r="M646" s="21">
        <v>-1.056660497</v>
      </c>
      <c r="N646">
        <v>0.81068425</v>
      </c>
    </row>
    <row r="647" spans="1:14" x14ac:dyDescent="0.2">
      <c r="A647" t="s">
        <v>607</v>
      </c>
      <c r="B647">
        <v>279240</v>
      </c>
      <c r="C647" t="s">
        <v>34</v>
      </c>
      <c r="D647" t="s">
        <v>607</v>
      </c>
      <c r="E647" t="s">
        <v>1642</v>
      </c>
      <c r="G647" t="s">
        <v>1643</v>
      </c>
      <c r="J647">
        <v>7.0544859390000001</v>
      </c>
      <c r="K647">
        <v>0.623000361</v>
      </c>
      <c r="L647">
        <v>0.42866702800000001</v>
      </c>
      <c r="M647" s="21">
        <v>-1.0569366549999999</v>
      </c>
      <c r="N647">
        <v>0.80926552500000004</v>
      </c>
    </row>
    <row r="648" spans="1:14" x14ac:dyDescent="0.2">
      <c r="A648" t="s">
        <v>124</v>
      </c>
      <c r="B648">
        <v>400240</v>
      </c>
      <c r="C648" t="s">
        <v>84</v>
      </c>
      <c r="D648" t="s">
        <v>125</v>
      </c>
      <c r="E648" t="s">
        <v>1644</v>
      </c>
      <c r="J648">
        <v>3.600219579</v>
      </c>
      <c r="K648">
        <v>-0.293098474</v>
      </c>
      <c r="L648">
        <v>-0.153917466</v>
      </c>
      <c r="M648" s="21">
        <v>-1.0570273029999999</v>
      </c>
      <c r="N648">
        <v>0.80879983300000002</v>
      </c>
    </row>
    <row r="649" spans="1:14" x14ac:dyDescent="0.2">
      <c r="A649" t="s">
        <v>1198</v>
      </c>
      <c r="B649">
        <v>323280</v>
      </c>
      <c r="C649" t="s">
        <v>28</v>
      </c>
      <c r="D649" t="s">
        <v>1199</v>
      </c>
      <c r="E649" t="s">
        <v>1645</v>
      </c>
      <c r="G649" t="s">
        <v>1646</v>
      </c>
      <c r="J649">
        <v>5.8462906840000004</v>
      </c>
      <c r="K649">
        <v>0.60615847</v>
      </c>
      <c r="L649">
        <v>0.28550877299999999</v>
      </c>
      <c r="M649" s="21">
        <v>-1.057166072</v>
      </c>
      <c r="N649">
        <v>0.80808692299999996</v>
      </c>
    </row>
    <row r="650" spans="1:14" x14ac:dyDescent="0.2">
      <c r="A650" t="s">
        <v>458</v>
      </c>
      <c r="B650">
        <v>323280</v>
      </c>
      <c r="C650" t="s">
        <v>28</v>
      </c>
      <c r="D650" t="s">
        <v>459</v>
      </c>
      <c r="E650" t="s">
        <v>1647</v>
      </c>
      <c r="G650" t="s">
        <v>1648</v>
      </c>
      <c r="J650">
        <v>5.8462906840000004</v>
      </c>
      <c r="K650">
        <v>0.60615847</v>
      </c>
      <c r="L650">
        <v>0.28550877299999999</v>
      </c>
      <c r="M650" s="21">
        <v>-1.057166072</v>
      </c>
      <c r="N650">
        <v>0.80808692299999996</v>
      </c>
    </row>
    <row r="651" spans="1:14" x14ac:dyDescent="0.2">
      <c r="A651" t="s">
        <v>491</v>
      </c>
      <c r="B651">
        <v>468920</v>
      </c>
      <c r="C651" t="s">
        <v>130</v>
      </c>
      <c r="D651" t="s">
        <v>491</v>
      </c>
      <c r="E651" t="s">
        <v>1649</v>
      </c>
      <c r="G651" t="s">
        <v>1650</v>
      </c>
      <c r="J651">
        <v>5.1222566499999997</v>
      </c>
      <c r="K651">
        <v>0.21422175600000001</v>
      </c>
      <c r="L651">
        <v>0.25354511400000002</v>
      </c>
      <c r="M651" s="21">
        <v>-1.057633998</v>
      </c>
      <c r="N651">
        <v>0.80568301399999998</v>
      </c>
    </row>
    <row r="652" spans="1:14" x14ac:dyDescent="0.2">
      <c r="A652" t="s">
        <v>129</v>
      </c>
      <c r="B652">
        <v>369720</v>
      </c>
      <c r="C652" t="s">
        <v>68</v>
      </c>
      <c r="D652" t="s">
        <v>129</v>
      </c>
      <c r="E652" t="s">
        <v>1651</v>
      </c>
      <c r="G652" t="s">
        <v>1652</v>
      </c>
      <c r="J652">
        <v>6.4561903559999996</v>
      </c>
      <c r="K652">
        <v>0.47291064100000002</v>
      </c>
      <c r="L652">
        <v>0.34414126499999997</v>
      </c>
      <c r="M652" s="21">
        <v>-1.0576460009999999</v>
      </c>
      <c r="N652">
        <v>0.80562135099999999</v>
      </c>
    </row>
    <row r="653" spans="1:14" x14ac:dyDescent="0.2">
      <c r="A653" t="s">
        <v>1365</v>
      </c>
      <c r="B653">
        <v>494880</v>
      </c>
      <c r="C653" t="s">
        <v>149</v>
      </c>
      <c r="D653" t="s">
        <v>1365</v>
      </c>
      <c r="E653" t="s">
        <v>1653</v>
      </c>
      <c r="G653" t="s">
        <v>1654</v>
      </c>
      <c r="J653">
        <v>5.0381074159999999</v>
      </c>
      <c r="K653">
        <v>0.81312368999999995</v>
      </c>
      <c r="L653">
        <v>0.16969141800000001</v>
      </c>
      <c r="M653" s="21">
        <v>-1.057751519</v>
      </c>
      <c r="N653">
        <v>0.80507926500000004</v>
      </c>
    </row>
    <row r="654" spans="1:14" x14ac:dyDescent="0.2">
      <c r="A654" t="s">
        <v>465</v>
      </c>
      <c r="B654">
        <v>278160</v>
      </c>
      <c r="C654" t="s">
        <v>34</v>
      </c>
      <c r="D654" t="s">
        <v>466</v>
      </c>
      <c r="E654" t="s">
        <v>1655</v>
      </c>
      <c r="G654" t="s">
        <v>1656</v>
      </c>
      <c r="J654">
        <v>7.0544859390000001</v>
      </c>
      <c r="K654">
        <v>0.623000361</v>
      </c>
      <c r="L654">
        <v>0.42866702800000001</v>
      </c>
      <c r="M654" s="21">
        <v>-1.057886039</v>
      </c>
      <c r="N654">
        <v>0.80438818499999998</v>
      </c>
    </row>
    <row r="655" spans="1:14" x14ac:dyDescent="0.2">
      <c r="A655" t="s">
        <v>222</v>
      </c>
      <c r="B655">
        <v>468360</v>
      </c>
      <c r="C655" t="s">
        <v>130</v>
      </c>
      <c r="D655" t="s">
        <v>222</v>
      </c>
      <c r="E655" t="s">
        <v>1657</v>
      </c>
      <c r="G655" t="s">
        <v>1658</v>
      </c>
      <c r="J655">
        <v>5.1222566499999997</v>
      </c>
      <c r="K655">
        <v>0.21422175600000001</v>
      </c>
      <c r="L655">
        <v>0.25354511400000002</v>
      </c>
      <c r="M655" s="21">
        <v>-1.058079663</v>
      </c>
      <c r="N655">
        <v>0.80339346700000003</v>
      </c>
    </row>
    <row r="656" spans="1:14" x14ac:dyDescent="0.2">
      <c r="A656" t="s">
        <v>1659</v>
      </c>
      <c r="B656">
        <v>369000</v>
      </c>
      <c r="C656" t="s">
        <v>68</v>
      </c>
      <c r="D656" t="s">
        <v>1660</v>
      </c>
      <c r="E656" t="s">
        <v>1661</v>
      </c>
      <c r="G656" t="s">
        <v>1662</v>
      </c>
      <c r="J656">
        <v>6.4561903559999996</v>
      </c>
      <c r="K656">
        <v>0.47291064100000002</v>
      </c>
      <c r="L656">
        <v>0.34414126499999997</v>
      </c>
      <c r="M656" s="21">
        <v>-1.0583422790000001</v>
      </c>
      <c r="N656">
        <v>0.80204431099999995</v>
      </c>
    </row>
    <row r="657" spans="1:14" x14ac:dyDescent="0.2">
      <c r="A657" t="s">
        <v>364</v>
      </c>
      <c r="B657">
        <v>399120</v>
      </c>
      <c r="C657" t="s">
        <v>84</v>
      </c>
      <c r="D657" t="s">
        <v>364</v>
      </c>
      <c r="E657" t="s">
        <v>1663</v>
      </c>
      <c r="J657">
        <v>3.600219579</v>
      </c>
      <c r="K657">
        <v>-0.293098474</v>
      </c>
      <c r="L657">
        <v>-0.153917466</v>
      </c>
      <c r="M657" s="21">
        <v>-1.0584932330000001</v>
      </c>
      <c r="N657">
        <v>0.80126880099999997</v>
      </c>
    </row>
    <row r="658" spans="1:14" x14ac:dyDescent="0.2">
      <c r="A658" t="s">
        <v>796</v>
      </c>
      <c r="B658">
        <v>368720</v>
      </c>
      <c r="C658" t="s">
        <v>68</v>
      </c>
      <c r="D658" t="s">
        <v>796</v>
      </c>
      <c r="E658" t="s">
        <v>1664</v>
      </c>
      <c r="G658" t="s">
        <v>1665</v>
      </c>
      <c r="J658">
        <v>6.4561903559999996</v>
      </c>
      <c r="K658">
        <v>0.47291064100000002</v>
      </c>
      <c r="L658">
        <v>0.34414126499999997</v>
      </c>
      <c r="M658" s="21">
        <v>-1.058613053</v>
      </c>
      <c r="N658">
        <v>0.80065324000000004</v>
      </c>
    </row>
    <row r="659" spans="1:14" x14ac:dyDescent="0.2">
      <c r="A659" t="s">
        <v>1544</v>
      </c>
      <c r="B659">
        <v>321600</v>
      </c>
      <c r="C659" t="s">
        <v>28</v>
      </c>
      <c r="D659" t="s">
        <v>1545</v>
      </c>
      <c r="E659" t="s">
        <v>1666</v>
      </c>
      <c r="G659" t="s">
        <v>1667</v>
      </c>
      <c r="J659">
        <v>5.8462906840000004</v>
      </c>
      <c r="K659">
        <v>0.60615847</v>
      </c>
      <c r="L659">
        <v>0.28550877299999999</v>
      </c>
      <c r="M659" s="21">
        <v>-1.0586827969999999</v>
      </c>
      <c r="N659">
        <v>0.80029494099999998</v>
      </c>
    </row>
    <row r="660" spans="1:14" x14ac:dyDescent="0.2">
      <c r="A660" t="s">
        <v>1668</v>
      </c>
      <c r="B660">
        <v>368480</v>
      </c>
      <c r="C660" t="s">
        <v>68</v>
      </c>
      <c r="D660" t="s">
        <v>1668</v>
      </c>
      <c r="E660" t="s">
        <v>1669</v>
      </c>
      <c r="G660" t="s">
        <v>1670</v>
      </c>
      <c r="J660">
        <v>6.4561903559999996</v>
      </c>
      <c r="K660">
        <v>0.47291064100000002</v>
      </c>
      <c r="L660">
        <v>0.34414126499999997</v>
      </c>
      <c r="M660" s="21">
        <v>-1.0588451459999999</v>
      </c>
      <c r="N660">
        <v>0.79946089300000001</v>
      </c>
    </row>
    <row r="661" spans="1:14" x14ac:dyDescent="0.2">
      <c r="A661" t="s">
        <v>1484</v>
      </c>
      <c r="B661">
        <v>467040</v>
      </c>
      <c r="C661" t="s">
        <v>130</v>
      </c>
      <c r="D661" t="s">
        <v>1484</v>
      </c>
      <c r="E661" t="s">
        <v>1671</v>
      </c>
      <c r="G661" t="s">
        <v>1672</v>
      </c>
      <c r="J661">
        <v>5.1222566499999997</v>
      </c>
      <c r="K661">
        <v>0.21422175600000001</v>
      </c>
      <c r="L661">
        <v>0.25354511400000002</v>
      </c>
      <c r="M661" s="21">
        <v>-1.0591301580000001</v>
      </c>
      <c r="N661">
        <v>0.79799667900000004</v>
      </c>
    </row>
    <row r="662" spans="1:14" x14ac:dyDescent="0.2">
      <c r="A662" t="s">
        <v>644</v>
      </c>
      <c r="B662">
        <v>466600</v>
      </c>
      <c r="C662" t="s">
        <v>130</v>
      </c>
      <c r="D662" t="s">
        <v>644</v>
      </c>
      <c r="E662" t="s">
        <v>1673</v>
      </c>
      <c r="G662" t="s">
        <v>1674</v>
      </c>
      <c r="J662">
        <v>5.1222566499999997</v>
      </c>
      <c r="K662">
        <v>0.21422175600000001</v>
      </c>
      <c r="L662">
        <v>0.25354511400000002</v>
      </c>
      <c r="M662" s="21">
        <v>-1.0594803230000001</v>
      </c>
      <c r="N662">
        <v>0.79619775000000004</v>
      </c>
    </row>
    <row r="663" spans="1:14" x14ac:dyDescent="0.2">
      <c r="A663" t="s">
        <v>1675</v>
      </c>
      <c r="B663">
        <v>320640</v>
      </c>
      <c r="C663" t="s">
        <v>28</v>
      </c>
      <c r="D663" t="s">
        <v>1675</v>
      </c>
      <c r="E663" t="s">
        <v>1676</v>
      </c>
      <c r="G663" t="s">
        <v>1677</v>
      </c>
      <c r="J663">
        <v>5.8462906840000004</v>
      </c>
      <c r="K663">
        <v>0.60615847</v>
      </c>
      <c r="L663">
        <v>0.28550877299999999</v>
      </c>
      <c r="M663" s="21">
        <v>-1.0595494969999999</v>
      </c>
      <c r="N663">
        <v>0.79584237899999999</v>
      </c>
    </row>
    <row r="664" spans="1:14" x14ac:dyDescent="0.2">
      <c r="A664" t="s">
        <v>1336</v>
      </c>
      <c r="B664">
        <v>367480</v>
      </c>
      <c r="C664" t="s">
        <v>68</v>
      </c>
      <c r="D664" t="s">
        <v>1336</v>
      </c>
      <c r="E664" t="s">
        <v>1678</v>
      </c>
      <c r="G664" t="s">
        <v>1679</v>
      </c>
      <c r="J664">
        <v>6.4561903559999996</v>
      </c>
      <c r="K664">
        <v>0.47291064100000002</v>
      </c>
      <c r="L664">
        <v>0.34414126499999997</v>
      </c>
      <c r="M664" s="21">
        <v>-1.0598121979999999</v>
      </c>
      <c r="N664">
        <v>0.79449278199999995</v>
      </c>
    </row>
    <row r="665" spans="1:14" x14ac:dyDescent="0.2">
      <c r="A665" t="s">
        <v>1491</v>
      </c>
      <c r="B665">
        <v>397880</v>
      </c>
      <c r="C665" t="s">
        <v>84</v>
      </c>
      <c r="D665" t="s">
        <v>1491</v>
      </c>
      <c r="E665" t="s">
        <v>1680</v>
      </c>
      <c r="J665">
        <v>3.600219579</v>
      </c>
      <c r="K665">
        <v>-0.293098474</v>
      </c>
      <c r="L665">
        <v>-0.153917466</v>
      </c>
      <c r="M665" s="21">
        <v>-1.060116227</v>
      </c>
      <c r="N665">
        <v>0.79293087200000001</v>
      </c>
    </row>
    <row r="666" spans="1:14" x14ac:dyDescent="0.2">
      <c r="A666" t="s">
        <v>765</v>
      </c>
      <c r="B666">
        <v>460520</v>
      </c>
      <c r="C666" t="s">
        <v>100</v>
      </c>
      <c r="D666" t="s">
        <v>766</v>
      </c>
      <c r="E666" t="s">
        <v>1681</v>
      </c>
      <c r="G666" t="s">
        <v>1682</v>
      </c>
      <c r="J666">
        <v>5.9110743220000002</v>
      </c>
      <c r="K666">
        <v>0.71598987199999997</v>
      </c>
      <c r="L666">
        <v>0.29077365599999999</v>
      </c>
      <c r="M666" s="21">
        <v>-1.0604363969999999</v>
      </c>
      <c r="N666">
        <v>0.791286041</v>
      </c>
    </row>
    <row r="667" spans="1:14" x14ac:dyDescent="0.2">
      <c r="A667" t="s">
        <v>1683</v>
      </c>
      <c r="B667">
        <v>466040</v>
      </c>
      <c r="C667" t="s">
        <v>58</v>
      </c>
      <c r="D667" t="s">
        <v>1683</v>
      </c>
      <c r="E667" t="s">
        <v>1684</v>
      </c>
      <c r="G667" t="s">
        <v>1685</v>
      </c>
      <c r="J667">
        <v>4.5363847230000003</v>
      </c>
      <c r="K667">
        <v>0.245646371</v>
      </c>
      <c r="L667">
        <v>7.5242279999999995E-2</v>
      </c>
      <c r="M667" s="21">
        <v>-1.060580015</v>
      </c>
      <c r="N667">
        <v>0.79054822000000002</v>
      </c>
    </row>
    <row r="668" spans="1:14" x14ac:dyDescent="0.2">
      <c r="A668" t="s">
        <v>1309</v>
      </c>
      <c r="B668">
        <v>319400</v>
      </c>
      <c r="C668" t="s">
        <v>28</v>
      </c>
      <c r="D668" t="s">
        <v>1309</v>
      </c>
      <c r="E668" t="s">
        <v>1686</v>
      </c>
      <c r="G668" t="s">
        <v>1687</v>
      </c>
      <c r="J668">
        <v>5.8462906840000004</v>
      </c>
      <c r="K668">
        <v>0.60615847</v>
      </c>
      <c r="L668">
        <v>0.28550877299999999</v>
      </c>
      <c r="M668" s="21">
        <v>-1.0606689840000001</v>
      </c>
      <c r="N668">
        <v>0.79009115500000004</v>
      </c>
    </row>
    <row r="669" spans="1:14" x14ac:dyDescent="0.2">
      <c r="A669" t="s">
        <v>1688</v>
      </c>
      <c r="B669">
        <v>397400</v>
      </c>
      <c r="C669" t="s">
        <v>84</v>
      </c>
      <c r="D669" t="s">
        <v>1688</v>
      </c>
      <c r="E669" t="s">
        <v>1689</v>
      </c>
      <c r="J669">
        <v>3.600219579</v>
      </c>
      <c r="K669">
        <v>-0.293098474</v>
      </c>
      <c r="L669">
        <v>-0.153917466</v>
      </c>
      <c r="M669" s="21">
        <v>-1.0607444829999999</v>
      </c>
      <c r="N669">
        <v>0.78970328700000003</v>
      </c>
    </row>
    <row r="670" spans="1:14" x14ac:dyDescent="0.2">
      <c r="A670" t="s">
        <v>788</v>
      </c>
      <c r="B670">
        <v>460120</v>
      </c>
      <c r="C670" t="s">
        <v>100</v>
      </c>
      <c r="D670" t="s">
        <v>788</v>
      </c>
      <c r="E670" t="s">
        <v>1690</v>
      </c>
      <c r="G670" t="s">
        <v>1691</v>
      </c>
      <c r="J670">
        <v>5.9110743220000002</v>
      </c>
      <c r="K670">
        <v>0.71598987199999997</v>
      </c>
      <c r="L670">
        <v>0.29077365599999999</v>
      </c>
      <c r="M670" s="21">
        <v>-1.060833482</v>
      </c>
      <c r="N670">
        <v>0.78924606500000005</v>
      </c>
    </row>
    <row r="671" spans="1:14" x14ac:dyDescent="0.2">
      <c r="A671" t="s">
        <v>1582</v>
      </c>
      <c r="B671">
        <v>365920</v>
      </c>
      <c r="C671" t="s">
        <v>68</v>
      </c>
      <c r="D671" t="s">
        <v>1583</v>
      </c>
      <c r="E671" t="s">
        <v>1692</v>
      </c>
      <c r="G671" t="s">
        <v>1693</v>
      </c>
      <c r="J671">
        <v>6.4561903559999996</v>
      </c>
      <c r="K671">
        <v>0.47291064100000002</v>
      </c>
      <c r="L671">
        <v>0.34414126499999997</v>
      </c>
      <c r="M671" s="21">
        <v>-1.0613208000000001</v>
      </c>
      <c r="N671">
        <v>0.78674253000000005</v>
      </c>
    </row>
    <row r="672" spans="1:14" x14ac:dyDescent="0.2">
      <c r="A672" t="s">
        <v>1349</v>
      </c>
      <c r="B672">
        <v>464000</v>
      </c>
      <c r="C672" t="s">
        <v>130</v>
      </c>
      <c r="D672" t="s">
        <v>1350</v>
      </c>
      <c r="E672" t="s">
        <v>1694</v>
      </c>
      <c r="G672" t="s">
        <v>1695</v>
      </c>
      <c r="J672">
        <v>5.1222566499999997</v>
      </c>
      <c r="K672">
        <v>0.21422175600000001</v>
      </c>
      <c r="L672">
        <v>0.25354511400000002</v>
      </c>
      <c r="M672" s="21">
        <v>-1.0615494809999999</v>
      </c>
      <c r="N672">
        <v>0.78556771299999995</v>
      </c>
    </row>
    <row r="673" spans="1:14" x14ac:dyDescent="0.2">
      <c r="A673" t="s">
        <v>1155</v>
      </c>
      <c r="B673">
        <v>318360</v>
      </c>
      <c r="C673" t="s">
        <v>28</v>
      </c>
      <c r="D673" t="s">
        <v>1156</v>
      </c>
      <c r="E673" t="s">
        <v>1696</v>
      </c>
      <c r="G673" t="s">
        <v>1697</v>
      </c>
      <c r="J673">
        <v>5.8462906840000004</v>
      </c>
      <c r="K673">
        <v>0.60615847</v>
      </c>
      <c r="L673">
        <v>0.28550877299999999</v>
      </c>
      <c r="M673" s="21">
        <v>-1.0616079089999999</v>
      </c>
      <c r="N673">
        <v>0.78526754700000001</v>
      </c>
    </row>
    <row r="674" spans="1:14" x14ac:dyDescent="0.2">
      <c r="A674" t="s">
        <v>1698</v>
      </c>
      <c r="B674">
        <v>273320</v>
      </c>
      <c r="C674" t="s">
        <v>34</v>
      </c>
      <c r="D674" t="s">
        <v>1698</v>
      </c>
      <c r="J674">
        <v>7.0544859390000001</v>
      </c>
      <c r="K674">
        <v>0.623000361</v>
      </c>
      <c r="L674">
        <v>0.42866702800000001</v>
      </c>
      <c r="M674" s="21">
        <v>-1.0621406849999999</v>
      </c>
      <c r="N674">
        <v>0.782530477</v>
      </c>
    </row>
    <row r="675" spans="1:14" x14ac:dyDescent="0.2">
      <c r="A675" t="s">
        <v>1104</v>
      </c>
      <c r="B675">
        <v>396120</v>
      </c>
      <c r="C675" t="s">
        <v>84</v>
      </c>
      <c r="D675" t="s">
        <v>1105</v>
      </c>
      <c r="E675" t="s">
        <v>1699</v>
      </c>
      <c r="G675" t="s">
        <v>1700</v>
      </c>
      <c r="J675">
        <v>3.600219579</v>
      </c>
      <c r="K675">
        <v>-0.293098474</v>
      </c>
      <c r="L675">
        <v>-0.153917466</v>
      </c>
      <c r="M675" s="21">
        <v>-1.062419832</v>
      </c>
      <c r="N675">
        <v>0.781096393</v>
      </c>
    </row>
    <row r="676" spans="1:14" x14ac:dyDescent="0.2">
      <c r="A676" t="s">
        <v>1659</v>
      </c>
      <c r="B676">
        <v>489240</v>
      </c>
      <c r="C676" t="s">
        <v>149</v>
      </c>
      <c r="D676" t="s">
        <v>1660</v>
      </c>
      <c r="E676" t="s">
        <v>1701</v>
      </c>
      <c r="G676" t="s">
        <v>1702</v>
      </c>
      <c r="J676">
        <v>5.0381074159999999</v>
      </c>
      <c r="K676">
        <v>0.81312368999999995</v>
      </c>
      <c r="L676">
        <v>0.16969141800000001</v>
      </c>
      <c r="M676" s="21">
        <v>-1.062966353</v>
      </c>
      <c r="N676">
        <v>0.77828870800000005</v>
      </c>
    </row>
    <row r="677" spans="1:14" x14ac:dyDescent="0.2">
      <c r="A677" t="s">
        <v>1703</v>
      </c>
      <c r="B677">
        <v>462080</v>
      </c>
      <c r="C677" t="s">
        <v>130</v>
      </c>
      <c r="D677" t="s">
        <v>1703</v>
      </c>
      <c r="E677" t="s">
        <v>1704</v>
      </c>
      <c r="G677" t="s">
        <v>1705</v>
      </c>
      <c r="J677">
        <v>5.1222566499999997</v>
      </c>
      <c r="K677">
        <v>0.21422175600000001</v>
      </c>
      <c r="L677">
        <v>0.25354511400000002</v>
      </c>
      <c r="M677" s="21">
        <v>-1.063077474</v>
      </c>
      <c r="N677">
        <v>0.77771783900000002</v>
      </c>
    </row>
    <row r="678" spans="1:14" x14ac:dyDescent="0.2">
      <c r="A678" t="s">
        <v>1222</v>
      </c>
      <c r="B678">
        <v>463280</v>
      </c>
      <c r="C678" t="s">
        <v>58</v>
      </c>
      <c r="D678" t="s">
        <v>1223</v>
      </c>
      <c r="E678" t="s">
        <v>1706</v>
      </c>
      <c r="G678" t="s">
        <v>1707</v>
      </c>
      <c r="J678">
        <v>4.5363847230000003</v>
      </c>
      <c r="K678">
        <v>0.245646371</v>
      </c>
      <c r="L678">
        <v>7.5242279999999995E-2</v>
      </c>
      <c r="M678" s="21">
        <v>-1.0632454200000001</v>
      </c>
      <c r="N678">
        <v>0.776855038</v>
      </c>
    </row>
    <row r="679" spans="1:14" x14ac:dyDescent="0.2">
      <c r="A679" t="s">
        <v>348</v>
      </c>
      <c r="B679">
        <v>272040</v>
      </c>
      <c r="C679" t="s">
        <v>34</v>
      </c>
      <c r="D679" t="s">
        <v>349</v>
      </c>
      <c r="E679" t="s">
        <v>1708</v>
      </c>
      <c r="G679" t="s">
        <v>1709</v>
      </c>
      <c r="J679">
        <v>7.0544859390000001</v>
      </c>
      <c r="K679">
        <v>0.623000361</v>
      </c>
      <c r="L679">
        <v>0.42866702800000001</v>
      </c>
      <c r="M679" s="21">
        <v>-1.0632658800000001</v>
      </c>
      <c r="N679">
        <v>0.77674992600000003</v>
      </c>
    </row>
    <row r="680" spans="1:14" x14ac:dyDescent="0.2">
      <c r="A680" t="s">
        <v>422</v>
      </c>
      <c r="B680">
        <v>316320</v>
      </c>
      <c r="C680" t="s">
        <v>28</v>
      </c>
      <c r="D680" t="s">
        <v>423</v>
      </c>
      <c r="E680" t="s">
        <v>1710</v>
      </c>
      <c r="G680" t="s">
        <v>1711</v>
      </c>
      <c r="J680">
        <v>5.8462906840000004</v>
      </c>
      <c r="K680">
        <v>0.60615847</v>
      </c>
      <c r="L680">
        <v>0.28550877299999999</v>
      </c>
      <c r="M680" s="21">
        <v>-1.063449646</v>
      </c>
      <c r="N680">
        <v>0.77580585400000002</v>
      </c>
    </row>
    <row r="681" spans="1:14" x14ac:dyDescent="0.2">
      <c r="A681" t="s">
        <v>165</v>
      </c>
      <c r="B681">
        <v>462800</v>
      </c>
      <c r="C681" t="s">
        <v>58</v>
      </c>
      <c r="D681" t="s">
        <v>166</v>
      </c>
      <c r="E681" t="s">
        <v>1712</v>
      </c>
      <c r="G681" t="s">
        <v>1713</v>
      </c>
      <c r="J681">
        <v>4.5363847230000003</v>
      </c>
      <c r="K681">
        <v>0.245646371</v>
      </c>
      <c r="L681">
        <v>7.5242279999999995E-2</v>
      </c>
      <c r="M681" s="21">
        <v>-1.0637089689999999</v>
      </c>
      <c r="N681">
        <v>0.774473615</v>
      </c>
    </row>
    <row r="682" spans="1:14" x14ac:dyDescent="0.2">
      <c r="A682" t="s">
        <v>1714</v>
      </c>
      <c r="B682">
        <v>315960</v>
      </c>
      <c r="C682" t="s">
        <v>28</v>
      </c>
      <c r="D682" t="s">
        <v>1715</v>
      </c>
      <c r="E682" t="s">
        <v>1716</v>
      </c>
      <c r="G682" t="s">
        <v>1717</v>
      </c>
      <c r="J682">
        <v>5.8462906840000004</v>
      </c>
      <c r="K682">
        <v>0.60615847</v>
      </c>
      <c r="L682">
        <v>0.28550877299999999</v>
      </c>
      <c r="M682" s="21">
        <v>-1.063774658</v>
      </c>
      <c r="N682">
        <v>0.77413614399999997</v>
      </c>
    </row>
    <row r="683" spans="1:14" x14ac:dyDescent="0.2">
      <c r="A683" t="s">
        <v>426</v>
      </c>
      <c r="B683">
        <v>461000</v>
      </c>
      <c r="C683" t="s">
        <v>130</v>
      </c>
      <c r="D683" t="s">
        <v>426</v>
      </c>
      <c r="E683" t="s">
        <v>1718</v>
      </c>
      <c r="G683" t="s">
        <v>1719</v>
      </c>
      <c r="J683">
        <v>5.1222566499999997</v>
      </c>
      <c r="K683">
        <v>0.21422175600000001</v>
      </c>
      <c r="L683">
        <v>0.25354511400000002</v>
      </c>
      <c r="M683" s="21">
        <v>-1.0639369700000001</v>
      </c>
      <c r="N683">
        <v>0.77330228499999998</v>
      </c>
    </row>
    <row r="684" spans="1:14" x14ac:dyDescent="0.2">
      <c r="A684" t="s">
        <v>656</v>
      </c>
      <c r="B684">
        <v>488120</v>
      </c>
      <c r="C684" t="s">
        <v>149</v>
      </c>
      <c r="D684" t="s">
        <v>656</v>
      </c>
      <c r="E684" t="s">
        <v>1720</v>
      </c>
      <c r="G684" t="s">
        <v>1721</v>
      </c>
      <c r="J684">
        <v>5.0381074159999999</v>
      </c>
      <c r="K684">
        <v>0.81312368999999995</v>
      </c>
      <c r="L684">
        <v>0.16969141800000001</v>
      </c>
      <c r="M684" s="21">
        <v>-1.064001923</v>
      </c>
      <c r="N684">
        <v>0.77296859799999995</v>
      </c>
    </row>
    <row r="685" spans="1:14" x14ac:dyDescent="0.2">
      <c r="A685" t="s">
        <v>1431</v>
      </c>
      <c r="B685">
        <v>487960</v>
      </c>
      <c r="C685" t="s">
        <v>149</v>
      </c>
      <c r="D685" t="s">
        <v>1431</v>
      </c>
      <c r="E685" t="s">
        <v>1722</v>
      </c>
      <c r="G685" t="s">
        <v>1723</v>
      </c>
      <c r="J685">
        <v>5.0381074159999999</v>
      </c>
      <c r="K685">
        <v>0.81312368999999995</v>
      </c>
      <c r="L685">
        <v>0.16969141800000001</v>
      </c>
      <c r="M685" s="21">
        <v>-1.0641498620000001</v>
      </c>
      <c r="N685">
        <v>0.77220858199999998</v>
      </c>
    </row>
    <row r="686" spans="1:14" x14ac:dyDescent="0.2">
      <c r="A686" t="s">
        <v>1208</v>
      </c>
      <c r="B686">
        <v>315280</v>
      </c>
      <c r="C686" t="s">
        <v>28</v>
      </c>
      <c r="D686" t="s">
        <v>1208</v>
      </c>
      <c r="E686" t="s">
        <v>1724</v>
      </c>
      <c r="G686" t="s">
        <v>1725</v>
      </c>
      <c r="J686">
        <v>5.8462906840000004</v>
      </c>
      <c r="K686">
        <v>0.60615847</v>
      </c>
      <c r="L686">
        <v>0.28550877299999999</v>
      </c>
      <c r="M686" s="21">
        <v>-1.06438857</v>
      </c>
      <c r="N686">
        <v>0.77098224599999998</v>
      </c>
    </row>
    <row r="687" spans="1:14" x14ac:dyDescent="0.2">
      <c r="A687" t="s">
        <v>1373</v>
      </c>
      <c r="B687">
        <v>362480</v>
      </c>
      <c r="C687" t="s">
        <v>68</v>
      </c>
      <c r="D687" t="s">
        <v>1373</v>
      </c>
      <c r="E687" t="s">
        <v>1726</v>
      </c>
      <c r="G687" t="s">
        <v>1727</v>
      </c>
      <c r="J687">
        <v>6.4561903559999996</v>
      </c>
      <c r="K687">
        <v>0.47291064100000002</v>
      </c>
      <c r="L687">
        <v>0.34414126499999997</v>
      </c>
      <c r="M687" s="21">
        <v>-1.0646474610000001</v>
      </c>
      <c r="N687">
        <v>0.76965222799999999</v>
      </c>
    </row>
    <row r="688" spans="1:14" x14ac:dyDescent="0.2">
      <c r="A688" t="s">
        <v>607</v>
      </c>
      <c r="B688">
        <v>394160</v>
      </c>
      <c r="C688" t="s">
        <v>84</v>
      </c>
      <c r="D688" t="s">
        <v>607</v>
      </c>
      <c r="E688" t="s">
        <v>1728</v>
      </c>
      <c r="J688">
        <v>3.600219579</v>
      </c>
      <c r="K688">
        <v>-0.293098474</v>
      </c>
      <c r="L688">
        <v>-0.153917466</v>
      </c>
      <c r="M688" s="21">
        <v>-1.0649852099999999</v>
      </c>
      <c r="N688">
        <v>0.76791708599999997</v>
      </c>
    </row>
    <row r="689" spans="1:14" x14ac:dyDescent="0.2">
      <c r="A689" t="s">
        <v>1729</v>
      </c>
      <c r="B689">
        <v>270000</v>
      </c>
      <c r="C689" t="s">
        <v>34</v>
      </c>
      <c r="D689" t="s">
        <v>1729</v>
      </c>
      <c r="E689" t="s">
        <v>1730</v>
      </c>
      <c r="G689" t="s">
        <v>1731</v>
      </c>
      <c r="J689">
        <v>7.0544859390000001</v>
      </c>
      <c r="K689">
        <v>0.623000361</v>
      </c>
      <c r="L689">
        <v>0.42866702800000001</v>
      </c>
      <c r="M689" s="21">
        <v>-1.065059161</v>
      </c>
      <c r="N689">
        <v>0.76753717300000002</v>
      </c>
    </row>
    <row r="690" spans="1:14" x14ac:dyDescent="0.2">
      <c r="A690" t="s">
        <v>1089</v>
      </c>
      <c r="B690">
        <v>394040</v>
      </c>
      <c r="C690" t="s">
        <v>84</v>
      </c>
      <c r="D690" t="s">
        <v>1089</v>
      </c>
      <c r="E690" t="s">
        <v>1732</v>
      </c>
      <c r="J690">
        <v>3.600219579</v>
      </c>
      <c r="K690">
        <v>-0.293098474</v>
      </c>
      <c r="L690">
        <v>-0.153917466</v>
      </c>
      <c r="M690" s="21">
        <v>-1.0651422740000001</v>
      </c>
      <c r="N690">
        <v>0.76711019000000003</v>
      </c>
    </row>
    <row r="691" spans="1:14" x14ac:dyDescent="0.2">
      <c r="A691" t="s">
        <v>236</v>
      </c>
      <c r="B691">
        <v>459160</v>
      </c>
      <c r="C691" t="s">
        <v>130</v>
      </c>
      <c r="D691" t="s">
        <v>236</v>
      </c>
      <c r="E691" t="s">
        <v>1733</v>
      </c>
      <c r="G691" t="s">
        <v>1734</v>
      </c>
      <c r="J691">
        <v>5.1222566499999997</v>
      </c>
      <c r="K691">
        <v>0.21422175600000001</v>
      </c>
      <c r="L691">
        <v>0.25354511400000002</v>
      </c>
      <c r="M691" s="21">
        <v>-1.065401297</v>
      </c>
      <c r="N691">
        <v>0.76577949000000001</v>
      </c>
    </row>
    <row r="692" spans="1:14" x14ac:dyDescent="0.2">
      <c r="A692" t="s">
        <v>1001</v>
      </c>
      <c r="B692">
        <v>393680</v>
      </c>
      <c r="C692" t="s">
        <v>84</v>
      </c>
      <c r="D692" t="s">
        <v>1001</v>
      </c>
      <c r="E692" t="s">
        <v>1735</v>
      </c>
      <c r="J692">
        <v>3.600219579</v>
      </c>
      <c r="K692">
        <v>-0.293098474</v>
      </c>
      <c r="L692">
        <v>-0.153917466</v>
      </c>
      <c r="M692" s="21">
        <v>-1.0656134660000001</v>
      </c>
      <c r="N692">
        <v>0.76468950099999999</v>
      </c>
    </row>
    <row r="693" spans="1:14" x14ac:dyDescent="0.2">
      <c r="A693" t="s">
        <v>1736</v>
      </c>
      <c r="B693">
        <v>486360</v>
      </c>
      <c r="C693" t="s">
        <v>149</v>
      </c>
      <c r="D693" t="s">
        <v>1736</v>
      </c>
      <c r="E693" t="s">
        <v>1737</v>
      </c>
      <c r="G693" t="s">
        <v>1738</v>
      </c>
      <c r="J693">
        <v>5.0381074159999999</v>
      </c>
      <c r="K693">
        <v>0.81312368999999995</v>
      </c>
      <c r="L693">
        <v>0.16969141800000001</v>
      </c>
      <c r="M693" s="21">
        <v>-1.0656292469999999</v>
      </c>
      <c r="N693">
        <v>0.76460842399999995</v>
      </c>
    </row>
    <row r="694" spans="1:14" x14ac:dyDescent="0.2">
      <c r="A694" t="s">
        <v>1739</v>
      </c>
      <c r="B694">
        <v>313280</v>
      </c>
      <c r="C694" t="s">
        <v>28</v>
      </c>
      <c r="D694" t="s">
        <v>1739</v>
      </c>
      <c r="E694" t="s">
        <v>1740</v>
      </c>
      <c r="G694" t="s">
        <v>1741</v>
      </c>
      <c r="J694">
        <v>5.8462906840000004</v>
      </c>
      <c r="K694">
        <v>0.60615847</v>
      </c>
      <c r="L694">
        <v>0.28550877299999999</v>
      </c>
      <c r="M694" s="21">
        <v>-1.066194195</v>
      </c>
      <c r="N694">
        <v>0.76170607700000004</v>
      </c>
    </row>
    <row r="695" spans="1:14" x14ac:dyDescent="0.2">
      <c r="A695" t="s">
        <v>89</v>
      </c>
      <c r="B695">
        <v>458080</v>
      </c>
      <c r="C695" t="s">
        <v>130</v>
      </c>
      <c r="D695" t="s">
        <v>90</v>
      </c>
      <c r="E695" t="s">
        <v>1742</v>
      </c>
      <c r="G695" t="s">
        <v>1743</v>
      </c>
      <c r="J695">
        <v>5.1222566499999997</v>
      </c>
      <c r="K695">
        <v>0.21422175600000001</v>
      </c>
      <c r="L695">
        <v>0.25354511400000002</v>
      </c>
      <c r="M695" s="21">
        <v>-1.0662607930000001</v>
      </c>
      <c r="N695">
        <v>0.76136393599999996</v>
      </c>
    </row>
    <row r="696" spans="1:14" x14ac:dyDescent="0.2">
      <c r="A696" t="s">
        <v>909</v>
      </c>
      <c r="B696">
        <v>393160</v>
      </c>
      <c r="C696" t="s">
        <v>84</v>
      </c>
      <c r="D696" t="s">
        <v>909</v>
      </c>
      <c r="E696" t="s">
        <v>1744</v>
      </c>
      <c r="J696">
        <v>3.600219579</v>
      </c>
      <c r="K696">
        <v>-0.293098474</v>
      </c>
      <c r="L696">
        <v>-0.153917466</v>
      </c>
      <c r="M696" s="21">
        <v>-1.0662940759999999</v>
      </c>
      <c r="N696">
        <v>0.76119295099999995</v>
      </c>
    </row>
    <row r="697" spans="1:14" x14ac:dyDescent="0.2">
      <c r="A697" t="s">
        <v>853</v>
      </c>
      <c r="B697">
        <v>473800</v>
      </c>
      <c r="C697" t="s">
        <v>14</v>
      </c>
      <c r="D697" t="s">
        <v>854</v>
      </c>
      <c r="E697" t="s">
        <v>1745</v>
      </c>
      <c r="G697" t="s">
        <v>1746</v>
      </c>
      <c r="J697">
        <v>6.7484204910000001</v>
      </c>
      <c r="K697">
        <v>0.48629166299999999</v>
      </c>
      <c r="L697">
        <v>0.375053939</v>
      </c>
      <c r="M697" s="21">
        <v>-1.066828103</v>
      </c>
      <c r="N697">
        <v>0.75844945399999997</v>
      </c>
    </row>
    <row r="698" spans="1:14" x14ac:dyDescent="0.2">
      <c r="A698" t="s">
        <v>1747</v>
      </c>
      <c r="B698">
        <v>312560</v>
      </c>
      <c r="C698" t="s">
        <v>28</v>
      </c>
      <c r="D698" t="s">
        <v>1747</v>
      </c>
      <c r="E698" t="s">
        <v>1748</v>
      </c>
      <c r="G698" t="s">
        <v>1749</v>
      </c>
      <c r="J698">
        <v>5.8462906840000004</v>
      </c>
      <c r="K698">
        <v>0.60615847</v>
      </c>
      <c r="L698">
        <v>0.28550877299999999</v>
      </c>
      <c r="M698" s="21">
        <v>-1.0668442199999999</v>
      </c>
      <c r="N698">
        <v>0.75836665700000006</v>
      </c>
    </row>
    <row r="699" spans="1:14" x14ac:dyDescent="0.2">
      <c r="A699" t="s">
        <v>422</v>
      </c>
      <c r="B699">
        <v>267720</v>
      </c>
      <c r="C699" t="s">
        <v>34</v>
      </c>
      <c r="D699" t="s">
        <v>423</v>
      </c>
      <c r="E699" t="s">
        <v>1750</v>
      </c>
      <c r="G699" t="s">
        <v>1751</v>
      </c>
      <c r="J699">
        <v>7.0544859390000001</v>
      </c>
      <c r="K699">
        <v>0.623000361</v>
      </c>
      <c r="L699">
        <v>0.42866702800000001</v>
      </c>
      <c r="M699" s="21">
        <v>-1.067063415</v>
      </c>
      <c r="N699">
        <v>0.75724056699999998</v>
      </c>
    </row>
    <row r="700" spans="1:14" x14ac:dyDescent="0.2">
      <c r="A700" t="s">
        <v>1295</v>
      </c>
      <c r="B700">
        <v>359920</v>
      </c>
      <c r="C700" t="s">
        <v>68</v>
      </c>
      <c r="D700" t="s">
        <v>1296</v>
      </c>
      <c r="E700" t="s">
        <v>1752</v>
      </c>
      <c r="G700" t="s">
        <v>1753</v>
      </c>
      <c r="J700">
        <v>6.4561903559999996</v>
      </c>
      <c r="K700">
        <v>0.47291064100000002</v>
      </c>
      <c r="L700">
        <v>0.34414126499999997</v>
      </c>
      <c r="M700" s="21">
        <v>-1.067123115</v>
      </c>
      <c r="N700">
        <v>0.75693386500000004</v>
      </c>
    </row>
    <row r="701" spans="1:14" x14ac:dyDescent="0.2">
      <c r="A701" t="s">
        <v>968</v>
      </c>
      <c r="B701">
        <v>453760</v>
      </c>
      <c r="C701" t="s">
        <v>100</v>
      </c>
      <c r="D701" t="s">
        <v>969</v>
      </c>
      <c r="E701" t="s">
        <v>1754</v>
      </c>
      <c r="G701" t="s">
        <v>1755</v>
      </c>
      <c r="J701">
        <v>5.9110743220000002</v>
      </c>
      <c r="K701">
        <v>0.71598987199999997</v>
      </c>
      <c r="L701">
        <v>0.29077365599999999</v>
      </c>
      <c r="M701" s="21">
        <v>-1.0671471400000001</v>
      </c>
      <c r="N701">
        <v>0.75681044200000003</v>
      </c>
    </row>
    <row r="702" spans="1:14" x14ac:dyDescent="0.2">
      <c r="A702" t="s">
        <v>372</v>
      </c>
      <c r="B702">
        <v>312080</v>
      </c>
      <c r="C702" t="s">
        <v>28</v>
      </c>
      <c r="D702" t="s">
        <v>372</v>
      </c>
      <c r="E702" t="s">
        <v>1756</v>
      </c>
      <c r="G702" t="s">
        <v>1757</v>
      </c>
      <c r="J702">
        <v>5.8462906840000004</v>
      </c>
      <c r="K702">
        <v>0.60615847</v>
      </c>
      <c r="L702">
        <v>0.28550877299999999</v>
      </c>
      <c r="M702" s="21">
        <v>-1.0672775699999999</v>
      </c>
      <c r="N702">
        <v>0.75614037599999995</v>
      </c>
    </row>
    <row r="703" spans="1:14" x14ac:dyDescent="0.2">
      <c r="A703" t="s">
        <v>1456</v>
      </c>
      <c r="B703">
        <v>484560</v>
      </c>
      <c r="C703" t="s">
        <v>149</v>
      </c>
      <c r="D703" t="s">
        <v>1457</v>
      </c>
      <c r="E703" t="s">
        <v>1758</v>
      </c>
      <c r="G703" t="s">
        <v>1759</v>
      </c>
      <c r="J703">
        <v>5.0381074159999999</v>
      </c>
      <c r="K703">
        <v>0.81312368999999995</v>
      </c>
      <c r="L703">
        <v>0.16969141800000001</v>
      </c>
      <c r="M703" s="21">
        <v>-1.0672935560000001</v>
      </c>
      <c r="N703">
        <v>0.75605824600000004</v>
      </c>
    </row>
    <row r="704" spans="1:14" x14ac:dyDescent="0.2">
      <c r="A704" t="s">
        <v>169</v>
      </c>
      <c r="B704">
        <v>456520</v>
      </c>
      <c r="C704" t="s">
        <v>130</v>
      </c>
      <c r="D704" t="s">
        <v>169</v>
      </c>
      <c r="E704" t="s">
        <v>1760</v>
      </c>
      <c r="G704" t="s">
        <v>1761</v>
      </c>
      <c r="J704">
        <v>5.1222566499999997</v>
      </c>
      <c r="K704">
        <v>0.21422175600000001</v>
      </c>
      <c r="L704">
        <v>0.25354511400000002</v>
      </c>
      <c r="M704" s="21">
        <v>-1.067502288</v>
      </c>
      <c r="N704">
        <v>0.75498591400000004</v>
      </c>
    </row>
    <row r="705" spans="1:14" x14ac:dyDescent="0.2">
      <c r="A705" t="s">
        <v>1368</v>
      </c>
      <c r="B705">
        <v>484280</v>
      </c>
      <c r="C705" t="s">
        <v>149</v>
      </c>
      <c r="D705" t="s">
        <v>1368</v>
      </c>
      <c r="E705" t="s">
        <v>1762</v>
      </c>
      <c r="G705" t="s">
        <v>1763</v>
      </c>
      <c r="J705">
        <v>5.0381074159999999</v>
      </c>
      <c r="K705">
        <v>0.81312368999999995</v>
      </c>
      <c r="L705">
        <v>0.16969141800000001</v>
      </c>
      <c r="M705" s="21">
        <v>-1.0675524489999999</v>
      </c>
      <c r="N705">
        <v>0.75472821899999998</v>
      </c>
    </row>
    <row r="706" spans="1:14" x14ac:dyDescent="0.2">
      <c r="A706" t="s">
        <v>1764</v>
      </c>
      <c r="B706">
        <v>267080</v>
      </c>
      <c r="C706" t="s">
        <v>34</v>
      </c>
      <c r="D706" t="s">
        <v>1764</v>
      </c>
      <c r="E706" t="s">
        <v>1765</v>
      </c>
      <c r="G706" t="s">
        <v>1766</v>
      </c>
      <c r="J706">
        <v>7.0544859390000001</v>
      </c>
      <c r="K706">
        <v>0.623000361</v>
      </c>
      <c r="L706">
        <v>0.42866702800000001</v>
      </c>
      <c r="M706" s="21">
        <v>-1.0676260129999999</v>
      </c>
      <c r="N706">
        <v>0.75435029099999995</v>
      </c>
    </row>
    <row r="707" spans="1:14" x14ac:dyDescent="0.2">
      <c r="A707" t="s">
        <v>1511</v>
      </c>
      <c r="B707">
        <v>484040</v>
      </c>
      <c r="C707" t="s">
        <v>149</v>
      </c>
      <c r="D707" t="s">
        <v>1512</v>
      </c>
      <c r="E707" t="s">
        <v>1767</v>
      </c>
      <c r="G707" t="s">
        <v>1768</v>
      </c>
      <c r="J707">
        <v>5.0381074159999999</v>
      </c>
      <c r="K707">
        <v>0.81312368999999995</v>
      </c>
      <c r="L707">
        <v>0.16969141800000001</v>
      </c>
      <c r="M707" s="21">
        <v>-1.067774357</v>
      </c>
      <c r="N707">
        <v>0.75358819499999996</v>
      </c>
    </row>
    <row r="708" spans="1:14" x14ac:dyDescent="0.2">
      <c r="A708" t="s">
        <v>259</v>
      </c>
      <c r="B708">
        <v>456120</v>
      </c>
      <c r="C708" t="s">
        <v>130</v>
      </c>
      <c r="D708" t="s">
        <v>260</v>
      </c>
      <c r="E708" t="s">
        <v>1769</v>
      </c>
      <c r="G708" t="s">
        <v>1770</v>
      </c>
      <c r="J708">
        <v>5.1222566499999997</v>
      </c>
      <c r="K708">
        <v>0.21422175600000001</v>
      </c>
      <c r="L708">
        <v>0.25354511400000002</v>
      </c>
      <c r="M708" s="21">
        <v>-1.06782062</v>
      </c>
      <c r="N708">
        <v>0.75335052300000005</v>
      </c>
    </row>
    <row r="709" spans="1:14" x14ac:dyDescent="0.2">
      <c r="A709" t="s">
        <v>1065</v>
      </c>
      <c r="B709">
        <v>311440</v>
      </c>
      <c r="C709" t="s">
        <v>28</v>
      </c>
      <c r="D709" t="s">
        <v>1066</v>
      </c>
      <c r="E709" t="s">
        <v>1771</v>
      </c>
      <c r="G709" t="s">
        <v>1772</v>
      </c>
      <c r="J709">
        <v>5.8462906840000004</v>
      </c>
      <c r="K709">
        <v>0.60615847</v>
      </c>
      <c r="L709">
        <v>0.28550877299999999</v>
      </c>
      <c r="M709" s="21">
        <v>-1.0678553690000001</v>
      </c>
      <c r="N709">
        <v>0.75317200200000001</v>
      </c>
    </row>
    <row r="710" spans="1:14" x14ac:dyDescent="0.2">
      <c r="A710" t="s">
        <v>1773</v>
      </c>
      <c r="B710">
        <v>311320</v>
      </c>
      <c r="C710" t="s">
        <v>28</v>
      </c>
      <c r="D710" t="s">
        <v>1773</v>
      </c>
      <c r="E710" t="s">
        <v>1774</v>
      </c>
      <c r="G710" t="s">
        <v>1775</v>
      </c>
      <c r="J710">
        <v>5.8462906840000004</v>
      </c>
      <c r="K710">
        <v>0.60615847</v>
      </c>
      <c r="L710">
        <v>0.28550877299999999</v>
      </c>
      <c r="M710" s="21">
        <v>-1.0679637070000001</v>
      </c>
      <c r="N710">
        <v>0.75261543200000003</v>
      </c>
    </row>
    <row r="711" spans="1:14" x14ac:dyDescent="0.2">
      <c r="A711" t="s">
        <v>352</v>
      </c>
      <c r="B711">
        <v>266440</v>
      </c>
      <c r="C711" t="s">
        <v>34</v>
      </c>
      <c r="D711" t="s">
        <v>352</v>
      </c>
      <c r="E711" t="s">
        <v>1776</v>
      </c>
      <c r="G711" t="s">
        <v>1777</v>
      </c>
      <c r="J711">
        <v>7.0544859390000001</v>
      </c>
      <c r="K711">
        <v>0.623000361</v>
      </c>
      <c r="L711">
        <v>0.42866702800000001</v>
      </c>
      <c r="M711" s="21">
        <v>-1.0681886110000001</v>
      </c>
      <c r="N711">
        <v>0.75146001600000001</v>
      </c>
    </row>
    <row r="712" spans="1:14" x14ac:dyDescent="0.2">
      <c r="A712" t="s">
        <v>1778</v>
      </c>
      <c r="B712">
        <v>455320</v>
      </c>
      <c r="C712" t="s">
        <v>130</v>
      </c>
      <c r="D712" t="s">
        <v>1778</v>
      </c>
      <c r="E712" t="s">
        <v>1779</v>
      </c>
      <c r="G712" t="s">
        <v>1780</v>
      </c>
      <c r="J712">
        <v>5.1222566499999997</v>
      </c>
      <c r="K712">
        <v>0.21422175600000001</v>
      </c>
      <c r="L712">
        <v>0.25354511400000002</v>
      </c>
      <c r="M712" s="21">
        <v>-1.068457284</v>
      </c>
      <c r="N712">
        <v>0.75007974300000002</v>
      </c>
    </row>
    <row r="713" spans="1:14" x14ac:dyDescent="0.2">
      <c r="A713" t="s">
        <v>1049</v>
      </c>
      <c r="B713">
        <v>482880</v>
      </c>
      <c r="C713" t="s">
        <v>149</v>
      </c>
      <c r="D713" t="s">
        <v>1049</v>
      </c>
      <c r="E713" t="s">
        <v>1781</v>
      </c>
      <c r="G713" t="s">
        <v>1782</v>
      </c>
      <c r="J713">
        <v>5.0381074159999999</v>
      </c>
      <c r="K713">
        <v>0.81312368999999995</v>
      </c>
      <c r="L713">
        <v>0.16969141800000001</v>
      </c>
      <c r="M713" s="21">
        <v>-1.0688469110000001</v>
      </c>
      <c r="N713">
        <v>0.74807807999999998</v>
      </c>
    </row>
    <row r="714" spans="1:14" x14ac:dyDescent="0.2">
      <c r="A714" t="s">
        <v>1783</v>
      </c>
      <c r="B714">
        <v>358080</v>
      </c>
      <c r="C714" t="s">
        <v>68</v>
      </c>
      <c r="D714" t="s">
        <v>1783</v>
      </c>
      <c r="E714" t="s">
        <v>1784</v>
      </c>
      <c r="G714" t="s">
        <v>1785</v>
      </c>
      <c r="J714">
        <v>6.4561903559999996</v>
      </c>
      <c r="K714">
        <v>0.47291064100000002</v>
      </c>
      <c r="L714">
        <v>0.34414126499999997</v>
      </c>
      <c r="M714" s="21">
        <v>-1.0689024920000001</v>
      </c>
      <c r="N714">
        <v>0.74779254100000003</v>
      </c>
    </row>
    <row r="715" spans="1:14" x14ac:dyDescent="0.2">
      <c r="A715" t="s">
        <v>165</v>
      </c>
      <c r="B715">
        <v>482640</v>
      </c>
      <c r="C715" t="s">
        <v>149</v>
      </c>
      <c r="D715" t="s">
        <v>166</v>
      </c>
      <c r="E715" t="s">
        <v>1786</v>
      </c>
      <c r="G715" t="s">
        <v>1787</v>
      </c>
      <c r="J715">
        <v>5.0381074159999999</v>
      </c>
      <c r="K715">
        <v>0.81312368999999995</v>
      </c>
      <c r="L715">
        <v>0.16969141800000001</v>
      </c>
      <c r="M715" s="21">
        <v>-1.0690688189999999</v>
      </c>
      <c r="N715">
        <v>0.74693805700000004</v>
      </c>
    </row>
    <row r="716" spans="1:14" x14ac:dyDescent="0.2">
      <c r="A716" t="s">
        <v>1788</v>
      </c>
      <c r="B716">
        <v>471560</v>
      </c>
      <c r="C716" t="s">
        <v>14</v>
      </c>
      <c r="D716" t="s">
        <v>1788</v>
      </c>
      <c r="E716" t="s">
        <v>1789</v>
      </c>
      <c r="G716" t="s">
        <v>1790</v>
      </c>
      <c r="J716">
        <v>6.7484204910000001</v>
      </c>
      <c r="K716">
        <v>0.48629166299999999</v>
      </c>
      <c r="L716">
        <v>0.375053939</v>
      </c>
      <c r="M716" s="21">
        <v>-1.0692825210000001</v>
      </c>
      <c r="N716">
        <v>0.74584019000000001</v>
      </c>
    </row>
    <row r="717" spans="1:14" x14ac:dyDescent="0.2">
      <c r="A717" t="s">
        <v>1336</v>
      </c>
      <c r="B717">
        <v>482160</v>
      </c>
      <c r="C717" t="s">
        <v>149</v>
      </c>
      <c r="D717" t="s">
        <v>1336</v>
      </c>
      <c r="E717" t="s">
        <v>1791</v>
      </c>
      <c r="G717" t="s">
        <v>1792</v>
      </c>
      <c r="J717">
        <v>5.0381074159999999</v>
      </c>
      <c r="K717">
        <v>0.81312368999999995</v>
      </c>
      <c r="L717">
        <v>0.16969141800000001</v>
      </c>
      <c r="M717" s="21">
        <v>-1.0695126349999999</v>
      </c>
      <c r="N717">
        <v>0.74465800900000001</v>
      </c>
    </row>
    <row r="718" spans="1:14" x14ac:dyDescent="0.2">
      <c r="A718" t="s">
        <v>218</v>
      </c>
      <c r="B718">
        <v>390480</v>
      </c>
      <c r="C718" t="s">
        <v>84</v>
      </c>
      <c r="D718" t="s">
        <v>218</v>
      </c>
      <c r="E718" t="s">
        <v>1793</v>
      </c>
      <c r="J718">
        <v>3.600219579</v>
      </c>
      <c r="K718">
        <v>-0.293098474</v>
      </c>
      <c r="L718">
        <v>-0.153917466</v>
      </c>
      <c r="M718" s="21">
        <v>-1.0698018380000001</v>
      </c>
      <c r="N718">
        <v>0.74317226599999997</v>
      </c>
    </row>
    <row r="719" spans="1:14" x14ac:dyDescent="0.2">
      <c r="A719" t="s">
        <v>1794</v>
      </c>
      <c r="B719">
        <v>357000</v>
      </c>
      <c r="C719" t="s">
        <v>68</v>
      </c>
      <c r="D719" t="s">
        <v>1794</v>
      </c>
      <c r="E719" t="s">
        <v>1795</v>
      </c>
      <c r="G719" t="s">
        <v>1796</v>
      </c>
      <c r="J719">
        <v>6.4561903559999996</v>
      </c>
      <c r="K719">
        <v>0.47291064100000002</v>
      </c>
      <c r="L719">
        <v>0.34414126499999997</v>
      </c>
      <c r="M719" s="21">
        <v>-1.069946909</v>
      </c>
      <c r="N719">
        <v>0.74242698100000004</v>
      </c>
    </row>
    <row r="720" spans="1:14" x14ac:dyDescent="0.2">
      <c r="A720" t="s">
        <v>422</v>
      </c>
      <c r="B720">
        <v>455960</v>
      </c>
      <c r="C720" t="s">
        <v>58</v>
      </c>
      <c r="D720" t="s">
        <v>423</v>
      </c>
      <c r="E720" t="s">
        <v>1797</v>
      </c>
      <c r="G720" t="s">
        <v>1798</v>
      </c>
      <c r="J720">
        <v>4.5363847230000003</v>
      </c>
      <c r="K720">
        <v>0.245646371</v>
      </c>
      <c r="L720">
        <v>7.5242279999999995E-2</v>
      </c>
      <c r="M720" s="21">
        <v>-1.070314537</v>
      </c>
      <c r="N720">
        <v>0.74053833700000005</v>
      </c>
    </row>
    <row r="721" spans="1:14" x14ac:dyDescent="0.2">
      <c r="A721" t="s">
        <v>894</v>
      </c>
      <c r="B721">
        <v>390080</v>
      </c>
      <c r="C721" t="s">
        <v>84</v>
      </c>
      <c r="D721" t="s">
        <v>894</v>
      </c>
      <c r="E721" t="s">
        <v>1799</v>
      </c>
      <c r="J721">
        <v>3.600219579</v>
      </c>
      <c r="K721">
        <v>-0.293098474</v>
      </c>
      <c r="L721">
        <v>-0.153917466</v>
      </c>
      <c r="M721" s="21">
        <v>-1.070325384</v>
      </c>
      <c r="N721">
        <v>0.74048261199999998</v>
      </c>
    </row>
    <row r="722" spans="1:14" x14ac:dyDescent="0.2">
      <c r="A722" t="s">
        <v>772</v>
      </c>
      <c r="B722">
        <v>356480</v>
      </c>
      <c r="C722" t="s">
        <v>68</v>
      </c>
      <c r="D722" t="s">
        <v>772</v>
      </c>
      <c r="E722" t="s">
        <v>1800</v>
      </c>
      <c r="G722" t="s">
        <v>1801</v>
      </c>
      <c r="J722">
        <v>6.4561903559999996</v>
      </c>
      <c r="K722">
        <v>0.47291064100000002</v>
      </c>
      <c r="L722">
        <v>0.34414126499999997</v>
      </c>
      <c r="M722" s="21">
        <v>-1.070449776</v>
      </c>
      <c r="N722">
        <v>0.73984356399999995</v>
      </c>
    </row>
    <row r="723" spans="1:14" x14ac:dyDescent="0.2">
      <c r="A723" t="s">
        <v>592</v>
      </c>
      <c r="B723">
        <v>263480</v>
      </c>
      <c r="C723" t="s">
        <v>34</v>
      </c>
      <c r="D723" t="s">
        <v>593</v>
      </c>
      <c r="E723" t="s">
        <v>1802</v>
      </c>
      <c r="G723" t="s">
        <v>1803</v>
      </c>
      <c r="J723">
        <v>7.0544859390000001</v>
      </c>
      <c r="K723">
        <v>0.623000361</v>
      </c>
      <c r="L723">
        <v>0.42866702800000001</v>
      </c>
      <c r="M723" s="21">
        <v>-1.070790626</v>
      </c>
      <c r="N723">
        <v>0.73809249200000004</v>
      </c>
    </row>
    <row r="724" spans="1:14" x14ac:dyDescent="0.2">
      <c r="A724" t="s">
        <v>1415</v>
      </c>
      <c r="B724">
        <v>449920</v>
      </c>
      <c r="C724" t="s">
        <v>100</v>
      </c>
      <c r="D724" t="s">
        <v>1415</v>
      </c>
      <c r="E724" t="s">
        <v>1804</v>
      </c>
      <c r="G724" t="s">
        <v>1805</v>
      </c>
      <c r="J724">
        <v>5.9110743220000002</v>
      </c>
      <c r="K724">
        <v>0.71598987199999997</v>
      </c>
      <c r="L724">
        <v>0.29077365599999999</v>
      </c>
      <c r="M724" s="21">
        <v>-1.0709591599999999</v>
      </c>
      <c r="N724">
        <v>0.737226669</v>
      </c>
    </row>
    <row r="725" spans="1:14" x14ac:dyDescent="0.2">
      <c r="A725" t="s">
        <v>956</v>
      </c>
      <c r="B725">
        <v>454800</v>
      </c>
      <c r="C725" t="s">
        <v>58</v>
      </c>
      <c r="D725" t="s">
        <v>956</v>
      </c>
      <c r="E725" t="s">
        <v>1806</v>
      </c>
      <c r="G725" t="s">
        <v>1807</v>
      </c>
      <c r="J725">
        <v>4.5363847230000003</v>
      </c>
      <c r="K725">
        <v>0.245646371</v>
      </c>
      <c r="L725">
        <v>7.5242279999999995E-2</v>
      </c>
      <c r="M725" s="21">
        <v>-1.0714347799999999</v>
      </c>
      <c r="N725">
        <v>0.73478323199999995</v>
      </c>
    </row>
    <row r="726" spans="1:14" x14ac:dyDescent="0.2">
      <c r="A726" t="s">
        <v>1598</v>
      </c>
      <c r="B726">
        <v>480080</v>
      </c>
      <c r="C726" t="s">
        <v>149</v>
      </c>
      <c r="D726" t="s">
        <v>1598</v>
      </c>
      <c r="E726" t="s">
        <v>1808</v>
      </c>
      <c r="G726" t="s">
        <v>1809</v>
      </c>
      <c r="J726">
        <v>5.0381074159999999</v>
      </c>
      <c r="K726">
        <v>0.81312368999999995</v>
      </c>
      <c r="L726">
        <v>0.16969141800000001</v>
      </c>
      <c r="M726" s="21">
        <v>-1.071435836</v>
      </c>
      <c r="N726">
        <v>0.73477780400000003</v>
      </c>
    </row>
    <row r="727" spans="1:14" x14ac:dyDescent="0.2">
      <c r="A727" t="s">
        <v>951</v>
      </c>
      <c r="B727">
        <v>389200</v>
      </c>
      <c r="C727" t="s">
        <v>84</v>
      </c>
      <c r="D727" t="s">
        <v>951</v>
      </c>
      <c r="E727" t="s">
        <v>1810</v>
      </c>
      <c r="J727">
        <v>3.600219579</v>
      </c>
      <c r="K727">
        <v>-0.293098474</v>
      </c>
      <c r="L727">
        <v>-0.153917466</v>
      </c>
      <c r="M727" s="21">
        <v>-1.0714771860000001</v>
      </c>
      <c r="N727">
        <v>0.73456537200000005</v>
      </c>
    </row>
    <row r="728" spans="1:14" x14ac:dyDescent="0.2">
      <c r="A728" t="s">
        <v>1811</v>
      </c>
      <c r="B728">
        <v>469320</v>
      </c>
      <c r="C728" t="s">
        <v>14</v>
      </c>
      <c r="D728" t="s">
        <v>1811</v>
      </c>
      <c r="E728" t="s">
        <v>1812</v>
      </c>
      <c r="G728" t="s">
        <v>1813</v>
      </c>
      <c r="J728">
        <v>6.7484204910000001</v>
      </c>
      <c r="K728">
        <v>0.48629166299999999</v>
      </c>
      <c r="L728">
        <v>0.375053939</v>
      </c>
      <c r="M728" s="21">
        <v>-1.071736939</v>
      </c>
      <c r="N728">
        <v>0.73323092599999995</v>
      </c>
    </row>
    <row r="729" spans="1:14" x14ac:dyDescent="0.2">
      <c r="A729" t="s">
        <v>1436</v>
      </c>
      <c r="B729">
        <v>354880</v>
      </c>
      <c r="C729" t="s">
        <v>68</v>
      </c>
      <c r="D729" t="s">
        <v>1437</v>
      </c>
      <c r="E729" t="s">
        <v>1814</v>
      </c>
      <c r="G729" t="s">
        <v>1815</v>
      </c>
      <c r="J729">
        <v>6.4561903559999996</v>
      </c>
      <c r="K729">
        <v>0.47291064100000002</v>
      </c>
      <c r="L729">
        <v>0.34414126499999997</v>
      </c>
      <c r="M729" s="21">
        <v>-1.0719970599999999</v>
      </c>
      <c r="N729">
        <v>0.73189458699999999</v>
      </c>
    </row>
    <row r="730" spans="1:14" x14ac:dyDescent="0.2">
      <c r="A730" t="s">
        <v>714</v>
      </c>
      <c r="B730">
        <v>450600</v>
      </c>
      <c r="C730" t="s">
        <v>130</v>
      </c>
      <c r="D730" t="s">
        <v>715</v>
      </c>
      <c r="E730" t="s">
        <v>1816</v>
      </c>
      <c r="G730" t="s">
        <v>1817</v>
      </c>
      <c r="J730">
        <v>5.1222566499999997</v>
      </c>
      <c r="K730">
        <v>0.21422175600000001</v>
      </c>
      <c r="L730">
        <v>0.25354511400000002</v>
      </c>
      <c r="M730" s="21">
        <v>-1.0722136010000001</v>
      </c>
      <c r="N730">
        <v>0.73078213700000005</v>
      </c>
    </row>
    <row r="731" spans="1:14" x14ac:dyDescent="0.2">
      <c r="A731" t="s">
        <v>190</v>
      </c>
      <c r="B731">
        <v>388600</v>
      </c>
      <c r="C731" t="s">
        <v>84</v>
      </c>
      <c r="D731" t="s">
        <v>190</v>
      </c>
      <c r="E731" t="s">
        <v>1818</v>
      </c>
      <c r="J731">
        <v>3.600219579</v>
      </c>
      <c r="K731">
        <v>-0.293098474</v>
      </c>
      <c r="L731">
        <v>-0.153917466</v>
      </c>
      <c r="M731" s="21">
        <v>-1.0722625059999999</v>
      </c>
      <c r="N731">
        <v>0.73053089100000002</v>
      </c>
    </row>
    <row r="732" spans="1:14" x14ac:dyDescent="0.2">
      <c r="A732" t="s">
        <v>1461</v>
      </c>
      <c r="B732">
        <v>448560</v>
      </c>
      <c r="C732" t="s">
        <v>100</v>
      </c>
      <c r="D732" t="s">
        <v>1461</v>
      </c>
      <c r="E732" t="s">
        <v>1819</v>
      </c>
      <c r="G732" t="s">
        <v>1820</v>
      </c>
      <c r="J732">
        <v>5.9110743220000002</v>
      </c>
      <c r="K732">
        <v>0.71598987199999997</v>
      </c>
      <c r="L732">
        <v>0.29077365599999999</v>
      </c>
      <c r="M732" s="21">
        <v>-1.07230925</v>
      </c>
      <c r="N732">
        <v>0.73029074999999999</v>
      </c>
    </row>
    <row r="733" spans="1:14" x14ac:dyDescent="0.2">
      <c r="A733" t="s">
        <v>687</v>
      </c>
      <c r="B733">
        <v>448520</v>
      </c>
      <c r="C733" t="s">
        <v>100</v>
      </c>
      <c r="D733" t="s">
        <v>688</v>
      </c>
      <c r="E733" t="s">
        <v>1821</v>
      </c>
      <c r="G733" t="s">
        <v>1822</v>
      </c>
      <c r="J733">
        <v>5.9110743220000002</v>
      </c>
      <c r="K733">
        <v>0.71598987199999997</v>
      </c>
      <c r="L733">
        <v>0.29077365599999999</v>
      </c>
      <c r="M733" s="21">
        <v>-1.0723489589999999</v>
      </c>
      <c r="N733">
        <v>0.73008675199999995</v>
      </c>
    </row>
    <row r="734" spans="1:14" x14ac:dyDescent="0.2">
      <c r="A734" t="s">
        <v>246</v>
      </c>
      <c r="B734">
        <v>468640</v>
      </c>
      <c r="C734" t="s">
        <v>14</v>
      </c>
      <c r="D734" t="s">
        <v>246</v>
      </c>
      <c r="E734" t="s">
        <v>1823</v>
      </c>
      <c r="G734" t="s">
        <v>1824</v>
      </c>
      <c r="J734">
        <v>6.7484204910000001</v>
      </c>
      <c r="K734">
        <v>0.48629166299999999</v>
      </c>
      <c r="L734">
        <v>0.375053939</v>
      </c>
      <c r="M734" s="21">
        <v>-1.07248203</v>
      </c>
      <c r="N734">
        <v>0.72940311400000002</v>
      </c>
    </row>
    <row r="735" spans="1:14" x14ac:dyDescent="0.2">
      <c r="A735" t="s">
        <v>1825</v>
      </c>
      <c r="B735">
        <v>306080</v>
      </c>
      <c r="C735" t="s">
        <v>28</v>
      </c>
      <c r="D735" t="s">
        <v>1826</v>
      </c>
      <c r="E735" t="s">
        <v>1827</v>
      </c>
      <c r="G735" t="s">
        <v>1828</v>
      </c>
      <c r="J735">
        <v>5.8462906840000004</v>
      </c>
      <c r="K735">
        <v>0.60615847</v>
      </c>
      <c r="L735">
        <v>0.28550877299999999</v>
      </c>
      <c r="M735" s="21">
        <v>-1.0726944430000001</v>
      </c>
      <c r="N735">
        <v>0.728311869</v>
      </c>
    </row>
    <row r="736" spans="1:14" x14ac:dyDescent="0.2">
      <c r="A736" t="s">
        <v>1104</v>
      </c>
      <c r="B736">
        <v>453160</v>
      </c>
      <c r="C736" t="s">
        <v>58</v>
      </c>
      <c r="D736" t="s">
        <v>1105</v>
      </c>
      <c r="E736" t="s">
        <v>1829</v>
      </c>
      <c r="G736" t="s">
        <v>1830</v>
      </c>
      <c r="J736">
        <v>4.5363847230000003</v>
      </c>
      <c r="K736">
        <v>0.245646371</v>
      </c>
      <c r="L736">
        <v>7.5242279999999995E-2</v>
      </c>
      <c r="M736" s="21">
        <v>-1.073018571</v>
      </c>
      <c r="N736">
        <v>0.726646703</v>
      </c>
    </row>
    <row r="737" spans="1:14" x14ac:dyDescent="0.2">
      <c r="A737" t="s">
        <v>839</v>
      </c>
      <c r="B737">
        <v>448640</v>
      </c>
      <c r="C737" t="s">
        <v>130</v>
      </c>
      <c r="D737" t="s">
        <v>840</v>
      </c>
      <c r="E737" t="s">
        <v>1831</v>
      </c>
      <c r="G737" t="s">
        <v>1832</v>
      </c>
      <c r="J737">
        <v>5.1222566499999997</v>
      </c>
      <c r="K737">
        <v>0.21422175600000001</v>
      </c>
      <c r="L737">
        <v>0.25354511400000002</v>
      </c>
      <c r="M737" s="21">
        <v>-1.0737734269999999</v>
      </c>
      <c r="N737">
        <v>0.72276872400000003</v>
      </c>
    </row>
    <row r="738" spans="1:14" x14ac:dyDescent="0.2">
      <c r="A738" t="s">
        <v>1256</v>
      </c>
      <c r="B738">
        <v>387360</v>
      </c>
      <c r="C738" t="s">
        <v>84</v>
      </c>
      <c r="D738" t="s">
        <v>1257</v>
      </c>
      <c r="E738" t="s">
        <v>1833</v>
      </c>
      <c r="J738">
        <v>3.600219579</v>
      </c>
      <c r="K738">
        <v>-0.293098474</v>
      </c>
      <c r="L738">
        <v>-0.153917466</v>
      </c>
      <c r="M738" s="21">
        <v>-1.0738855</v>
      </c>
      <c r="N738">
        <v>0.72219296200000005</v>
      </c>
    </row>
    <row r="739" spans="1:14" x14ac:dyDescent="0.2">
      <c r="A739" t="s">
        <v>13</v>
      </c>
      <c r="B739">
        <v>387120</v>
      </c>
      <c r="C739" t="s">
        <v>84</v>
      </c>
      <c r="D739" t="s">
        <v>13</v>
      </c>
      <c r="E739" t="s">
        <v>1834</v>
      </c>
      <c r="J739">
        <v>3.600219579</v>
      </c>
      <c r="K739">
        <v>-0.293098474</v>
      </c>
      <c r="L739">
        <v>-0.153917466</v>
      </c>
      <c r="M739" s="21">
        <v>-1.0741996279999999</v>
      </c>
      <c r="N739">
        <v>0.72057917000000005</v>
      </c>
    </row>
    <row r="740" spans="1:14" x14ac:dyDescent="0.2">
      <c r="A740" t="s">
        <v>1318</v>
      </c>
      <c r="B740">
        <v>259520</v>
      </c>
      <c r="C740" t="s">
        <v>34</v>
      </c>
      <c r="D740" t="s">
        <v>1318</v>
      </c>
      <c r="E740" t="s">
        <v>1835</v>
      </c>
      <c r="G740" t="s">
        <v>1836</v>
      </c>
      <c r="J740">
        <v>7.0544859390000001</v>
      </c>
      <c r="K740">
        <v>0.623000361</v>
      </c>
      <c r="L740">
        <v>0.42866702800000001</v>
      </c>
      <c r="M740" s="21">
        <v>-1.0742716999999999</v>
      </c>
      <c r="N740">
        <v>0.72020891200000003</v>
      </c>
    </row>
    <row r="741" spans="1:14" x14ac:dyDescent="0.2">
      <c r="A741" t="s">
        <v>1198</v>
      </c>
      <c r="B741">
        <v>447960</v>
      </c>
      <c r="C741" t="s">
        <v>130</v>
      </c>
      <c r="D741" t="s">
        <v>1199</v>
      </c>
      <c r="E741" t="s">
        <v>1837</v>
      </c>
      <c r="G741" t="s">
        <v>1838</v>
      </c>
      <c r="J741">
        <v>5.1222566499999997</v>
      </c>
      <c r="K741">
        <v>0.21422175600000001</v>
      </c>
      <c r="L741">
        <v>0.25354511400000002</v>
      </c>
      <c r="M741" s="21">
        <v>-1.0743145919999999</v>
      </c>
      <c r="N741">
        <v>0.71998856</v>
      </c>
    </row>
    <row r="742" spans="1:14" x14ac:dyDescent="0.2">
      <c r="A742" t="s">
        <v>1415</v>
      </c>
      <c r="B742">
        <v>258960</v>
      </c>
      <c r="C742" t="s">
        <v>34</v>
      </c>
      <c r="D742" t="s">
        <v>1415</v>
      </c>
      <c r="J742">
        <v>7.0544859390000001</v>
      </c>
      <c r="K742">
        <v>0.623000361</v>
      </c>
      <c r="L742">
        <v>0.42866702800000001</v>
      </c>
      <c r="M742" s="21">
        <v>-1.074763973</v>
      </c>
      <c r="N742">
        <v>0.717679921</v>
      </c>
    </row>
    <row r="743" spans="1:14" x14ac:dyDescent="0.2">
      <c r="A743" t="s">
        <v>846</v>
      </c>
      <c r="B743">
        <v>303720</v>
      </c>
      <c r="C743" t="s">
        <v>28</v>
      </c>
      <c r="D743" t="s">
        <v>847</v>
      </c>
      <c r="E743" t="s">
        <v>1839</v>
      </c>
      <c r="G743" t="s">
        <v>1840</v>
      </c>
      <c r="J743">
        <v>5.8462906840000004</v>
      </c>
      <c r="K743">
        <v>0.60615847</v>
      </c>
      <c r="L743">
        <v>0.28550877299999999</v>
      </c>
      <c r="M743" s="21">
        <v>-1.0748250800000001</v>
      </c>
      <c r="N743">
        <v>0.71736598900000004</v>
      </c>
    </row>
    <row r="744" spans="1:14" x14ac:dyDescent="0.2">
      <c r="A744" t="s">
        <v>307</v>
      </c>
      <c r="B744">
        <v>476400</v>
      </c>
      <c r="C744" t="s">
        <v>149</v>
      </c>
      <c r="D744" t="s">
        <v>308</v>
      </c>
      <c r="E744" t="s">
        <v>1841</v>
      </c>
      <c r="G744" t="s">
        <v>1842</v>
      </c>
      <c r="J744">
        <v>5.0381074159999999</v>
      </c>
      <c r="K744">
        <v>0.81312368999999995</v>
      </c>
      <c r="L744">
        <v>0.16969141800000001</v>
      </c>
      <c r="M744" s="21">
        <v>-1.0748384230000001</v>
      </c>
      <c r="N744">
        <v>0.71729743999999995</v>
      </c>
    </row>
    <row r="745" spans="1:14" x14ac:dyDescent="0.2">
      <c r="A745" t="s">
        <v>1461</v>
      </c>
      <c r="B745">
        <v>447080</v>
      </c>
      <c r="C745" t="s">
        <v>130</v>
      </c>
      <c r="D745" t="s">
        <v>1461</v>
      </c>
      <c r="E745" t="s">
        <v>1843</v>
      </c>
      <c r="G745" t="s">
        <v>1844</v>
      </c>
      <c r="J745">
        <v>5.1222566499999997</v>
      </c>
      <c r="K745">
        <v>0.21422175600000001</v>
      </c>
      <c r="L745">
        <v>0.25354511400000002</v>
      </c>
      <c r="M745" s="21">
        <v>-1.075014922</v>
      </c>
      <c r="N745">
        <v>0.71639070199999999</v>
      </c>
    </row>
    <row r="746" spans="1:14" x14ac:dyDescent="0.2">
      <c r="A746" t="s">
        <v>47</v>
      </c>
      <c r="B746">
        <v>476200</v>
      </c>
      <c r="C746" t="s">
        <v>149</v>
      </c>
      <c r="D746" t="s">
        <v>48</v>
      </c>
      <c r="E746" t="s">
        <v>1845</v>
      </c>
      <c r="G746" t="s">
        <v>1846</v>
      </c>
      <c r="J746">
        <v>5.0381074159999999</v>
      </c>
      <c r="K746">
        <v>0.81312368999999995</v>
      </c>
      <c r="L746">
        <v>0.16969141800000001</v>
      </c>
      <c r="M746" s="21">
        <v>-1.0750233469999999</v>
      </c>
      <c r="N746">
        <v>0.71634742100000004</v>
      </c>
    </row>
    <row r="747" spans="1:14" x14ac:dyDescent="0.2">
      <c r="A747" t="s">
        <v>534</v>
      </c>
      <c r="B747">
        <v>445760</v>
      </c>
      <c r="C747" t="s">
        <v>100</v>
      </c>
      <c r="D747" t="s">
        <v>534</v>
      </c>
      <c r="E747" t="s">
        <v>1847</v>
      </c>
      <c r="G747" t="s">
        <v>1848</v>
      </c>
      <c r="J747">
        <v>5.9110743220000002</v>
      </c>
      <c r="K747">
        <v>0.71598987199999997</v>
      </c>
      <c r="L747">
        <v>0.29077365599999999</v>
      </c>
      <c r="M747" s="21">
        <v>-1.075088848</v>
      </c>
      <c r="N747">
        <v>0.716010916</v>
      </c>
    </row>
    <row r="748" spans="1:14" x14ac:dyDescent="0.2">
      <c r="A748" t="s">
        <v>470</v>
      </c>
      <c r="B748">
        <v>351320</v>
      </c>
      <c r="C748" t="s">
        <v>68</v>
      </c>
      <c r="D748" t="s">
        <v>470</v>
      </c>
      <c r="E748" t="s">
        <v>1849</v>
      </c>
      <c r="G748" t="s">
        <v>1850</v>
      </c>
      <c r="J748">
        <v>6.4561903559999996</v>
      </c>
      <c r="K748">
        <v>0.47291064100000002</v>
      </c>
      <c r="L748">
        <v>0.34414126499999997</v>
      </c>
      <c r="M748" s="21">
        <v>-1.075439767</v>
      </c>
      <c r="N748">
        <v>0.71420811200000001</v>
      </c>
    </row>
    <row r="749" spans="1:14" x14ac:dyDescent="0.2">
      <c r="A749" t="s">
        <v>1089</v>
      </c>
      <c r="B749">
        <v>450640</v>
      </c>
      <c r="C749" t="s">
        <v>58</v>
      </c>
      <c r="D749" t="s">
        <v>1089</v>
      </c>
      <c r="E749" t="s">
        <v>1851</v>
      </c>
      <c r="G749" t="s">
        <v>1852</v>
      </c>
      <c r="J749">
        <v>4.5363847230000003</v>
      </c>
      <c r="K749">
        <v>0.245646371</v>
      </c>
      <c r="L749">
        <v>7.5242279999999995E-2</v>
      </c>
      <c r="M749" s="21">
        <v>-1.0754522010000001</v>
      </c>
      <c r="N749">
        <v>0.71414423299999996</v>
      </c>
    </row>
    <row r="750" spans="1:14" x14ac:dyDescent="0.2">
      <c r="A750" t="s">
        <v>405</v>
      </c>
      <c r="B750">
        <v>465760</v>
      </c>
      <c r="C750" t="s">
        <v>14</v>
      </c>
      <c r="D750" t="s">
        <v>405</v>
      </c>
      <c r="E750" t="s">
        <v>1853</v>
      </c>
      <c r="G750" t="s">
        <v>1854</v>
      </c>
      <c r="J750">
        <v>6.7484204910000001</v>
      </c>
      <c r="K750">
        <v>0.48629166299999999</v>
      </c>
      <c r="L750">
        <v>0.375053939</v>
      </c>
      <c r="M750" s="21">
        <v>-1.0756377100000001</v>
      </c>
      <c r="N750">
        <v>0.71319120400000002</v>
      </c>
    </row>
    <row r="751" spans="1:14" x14ac:dyDescent="0.2">
      <c r="A751" t="s">
        <v>57</v>
      </c>
      <c r="B751">
        <v>385920</v>
      </c>
      <c r="C751" t="s">
        <v>84</v>
      </c>
      <c r="D751" t="s">
        <v>59</v>
      </c>
      <c r="E751" t="s">
        <v>1855</v>
      </c>
      <c r="J751">
        <v>3.600219579</v>
      </c>
      <c r="K751">
        <v>-0.293098474</v>
      </c>
      <c r="L751">
        <v>-0.153917466</v>
      </c>
      <c r="M751" s="21">
        <v>-1.0757702680000001</v>
      </c>
      <c r="N751">
        <v>0.71251020700000001</v>
      </c>
    </row>
    <row r="752" spans="1:14" x14ac:dyDescent="0.2">
      <c r="A752" t="s">
        <v>572</v>
      </c>
      <c r="B752">
        <v>257520</v>
      </c>
      <c r="C752" t="s">
        <v>34</v>
      </c>
      <c r="D752" t="s">
        <v>572</v>
      </c>
      <c r="J752">
        <v>7.0544859390000001</v>
      </c>
      <c r="K752">
        <v>0.623000361</v>
      </c>
      <c r="L752">
        <v>0.42866702800000001</v>
      </c>
      <c r="M752" s="21">
        <v>-1.0760298180000001</v>
      </c>
      <c r="N752">
        <v>0.711176802</v>
      </c>
    </row>
    <row r="753" spans="1:14" x14ac:dyDescent="0.2">
      <c r="A753" t="s">
        <v>342</v>
      </c>
      <c r="B753">
        <v>385600</v>
      </c>
      <c r="C753" t="s">
        <v>84</v>
      </c>
      <c r="D753" t="s">
        <v>342</v>
      </c>
      <c r="E753" t="s">
        <v>1856</v>
      </c>
      <c r="J753">
        <v>3.600219579</v>
      </c>
      <c r="K753">
        <v>-0.293098474</v>
      </c>
      <c r="L753">
        <v>-0.153917466</v>
      </c>
      <c r="M753" s="21">
        <v>-1.0761891050000001</v>
      </c>
      <c r="N753">
        <v>0.71035848300000004</v>
      </c>
    </row>
    <row r="754" spans="1:14" x14ac:dyDescent="0.2">
      <c r="A754" t="s">
        <v>1857</v>
      </c>
      <c r="B754">
        <v>385520</v>
      </c>
      <c r="C754" t="s">
        <v>84</v>
      </c>
      <c r="D754" t="s">
        <v>1858</v>
      </c>
      <c r="E754" t="s">
        <v>1859</v>
      </c>
      <c r="J754">
        <v>3.600219579</v>
      </c>
      <c r="K754">
        <v>-0.293098474</v>
      </c>
      <c r="L754">
        <v>-0.153917466</v>
      </c>
      <c r="M754" s="21">
        <v>-1.076293814</v>
      </c>
      <c r="N754">
        <v>0.70982055200000005</v>
      </c>
    </row>
    <row r="755" spans="1:14" x14ac:dyDescent="0.2">
      <c r="A755" t="s">
        <v>342</v>
      </c>
      <c r="B755">
        <v>444440</v>
      </c>
      <c r="C755" t="s">
        <v>100</v>
      </c>
      <c r="D755" t="s">
        <v>342</v>
      </c>
      <c r="E755" t="s">
        <v>1860</v>
      </c>
      <c r="G755" t="s">
        <v>1861</v>
      </c>
      <c r="J755">
        <v>5.9110743220000002</v>
      </c>
      <c r="K755">
        <v>0.71598987199999997</v>
      </c>
      <c r="L755">
        <v>0.29077365599999999</v>
      </c>
      <c r="M755" s="21">
        <v>-1.07639923</v>
      </c>
      <c r="N755">
        <v>0.70927899400000005</v>
      </c>
    </row>
    <row r="756" spans="1:14" x14ac:dyDescent="0.2">
      <c r="A756" t="s">
        <v>727</v>
      </c>
      <c r="B756">
        <v>301640</v>
      </c>
      <c r="C756" t="s">
        <v>28</v>
      </c>
      <c r="D756" t="s">
        <v>727</v>
      </c>
      <c r="E756" t="s">
        <v>1862</v>
      </c>
      <c r="G756" t="s">
        <v>1863</v>
      </c>
      <c r="J756">
        <v>5.8462906840000004</v>
      </c>
      <c r="K756">
        <v>0.60615847</v>
      </c>
      <c r="L756">
        <v>0.28550877299999999</v>
      </c>
      <c r="M756" s="21">
        <v>-1.0767029299999999</v>
      </c>
      <c r="N756">
        <v>0.70771877400000005</v>
      </c>
    </row>
    <row r="757" spans="1:14" x14ac:dyDescent="0.2">
      <c r="A757" t="s">
        <v>1491</v>
      </c>
      <c r="B757">
        <v>349280</v>
      </c>
      <c r="C757" t="s">
        <v>68</v>
      </c>
      <c r="D757" t="s">
        <v>1491</v>
      </c>
      <c r="E757" t="s">
        <v>1864</v>
      </c>
      <c r="G757" t="s">
        <v>1865</v>
      </c>
      <c r="J757">
        <v>6.4561903559999996</v>
      </c>
      <c r="K757">
        <v>0.47291064100000002</v>
      </c>
      <c r="L757">
        <v>0.34414126499999997</v>
      </c>
      <c r="M757" s="21">
        <v>-1.0774125539999999</v>
      </c>
      <c r="N757">
        <v>0.70407316600000003</v>
      </c>
    </row>
    <row r="758" spans="1:14" x14ac:dyDescent="0.2">
      <c r="A758" t="s">
        <v>622</v>
      </c>
      <c r="B758">
        <v>464000</v>
      </c>
      <c r="C758" t="s">
        <v>14</v>
      </c>
      <c r="D758" t="s">
        <v>622</v>
      </c>
      <c r="E758" t="s">
        <v>1866</v>
      </c>
      <c r="G758" t="s">
        <v>1867</v>
      </c>
      <c r="J758">
        <v>6.7484204910000001</v>
      </c>
      <c r="K758">
        <v>0.48629166299999999</v>
      </c>
      <c r="L758">
        <v>0.375053939</v>
      </c>
      <c r="M758" s="21">
        <v>-1.077566182</v>
      </c>
      <c r="N758">
        <v>0.70328392500000003</v>
      </c>
    </row>
    <row r="759" spans="1:14" x14ac:dyDescent="0.2">
      <c r="A759" t="s">
        <v>1491</v>
      </c>
      <c r="B759">
        <v>443760</v>
      </c>
      <c r="C759" t="s">
        <v>130</v>
      </c>
      <c r="D759" t="s">
        <v>1491</v>
      </c>
      <c r="E759" t="s">
        <v>1868</v>
      </c>
      <c r="G759" t="s">
        <v>1869</v>
      </c>
      <c r="J759">
        <v>5.1222566499999997</v>
      </c>
      <c r="K759">
        <v>0.21422175600000001</v>
      </c>
      <c r="L759">
        <v>0.25354511400000002</v>
      </c>
      <c r="M759" s="21">
        <v>-1.077657077</v>
      </c>
      <c r="N759">
        <v>0.70281696199999999</v>
      </c>
    </row>
    <row r="760" spans="1:14" x14ac:dyDescent="0.2">
      <c r="A760" t="s">
        <v>134</v>
      </c>
      <c r="B760">
        <v>443400</v>
      </c>
      <c r="C760" t="s">
        <v>130</v>
      </c>
      <c r="D760" t="s">
        <v>135</v>
      </c>
      <c r="E760" t="s">
        <v>1870</v>
      </c>
      <c r="G760" t="s">
        <v>1871</v>
      </c>
      <c r="J760">
        <v>5.1222566499999997</v>
      </c>
      <c r="K760">
        <v>0.21422175600000001</v>
      </c>
      <c r="L760">
        <v>0.25354511400000002</v>
      </c>
      <c r="M760" s="21">
        <v>-1.077943576</v>
      </c>
      <c r="N760">
        <v>0.70134511099999997</v>
      </c>
    </row>
    <row r="761" spans="1:14" x14ac:dyDescent="0.2">
      <c r="A761" t="s">
        <v>522</v>
      </c>
      <c r="B761">
        <v>255160</v>
      </c>
      <c r="C761" t="s">
        <v>34</v>
      </c>
      <c r="D761" t="s">
        <v>522</v>
      </c>
      <c r="E761" t="s">
        <v>1872</v>
      </c>
      <c r="G761" t="s">
        <v>1873</v>
      </c>
      <c r="J761">
        <v>7.0544859390000001</v>
      </c>
      <c r="K761">
        <v>0.623000361</v>
      </c>
      <c r="L761">
        <v>0.42866702800000001</v>
      </c>
      <c r="M761" s="21">
        <v>-1.0781043969999999</v>
      </c>
      <c r="N761">
        <v>0.70051891099999997</v>
      </c>
    </row>
    <row r="762" spans="1:14" x14ac:dyDescent="0.2">
      <c r="A762" t="s">
        <v>1593</v>
      </c>
      <c r="B762">
        <v>348240</v>
      </c>
      <c r="C762" t="s">
        <v>68</v>
      </c>
      <c r="D762" t="s">
        <v>1593</v>
      </c>
      <c r="E762" t="s">
        <v>1874</v>
      </c>
      <c r="G762" t="s">
        <v>1875</v>
      </c>
      <c r="J762">
        <v>6.4561903559999996</v>
      </c>
      <c r="K762">
        <v>0.47291064100000002</v>
      </c>
      <c r="L762">
        <v>0.34414126499999997</v>
      </c>
      <c r="M762" s="21">
        <v>-1.078418289</v>
      </c>
      <c r="N762">
        <v>0.69890633099999999</v>
      </c>
    </row>
    <row r="763" spans="1:14" x14ac:dyDescent="0.2">
      <c r="A763" t="s">
        <v>603</v>
      </c>
      <c r="B763">
        <v>348120</v>
      </c>
      <c r="C763" t="s">
        <v>68</v>
      </c>
      <c r="D763" t="s">
        <v>604</v>
      </c>
      <c r="E763" t="s">
        <v>1876</v>
      </c>
      <c r="G763" t="s">
        <v>1877</v>
      </c>
      <c r="J763">
        <v>6.4561903559999996</v>
      </c>
      <c r="K763">
        <v>0.47291064100000002</v>
      </c>
      <c r="L763">
        <v>0.34414126499999997</v>
      </c>
      <c r="M763" s="21">
        <v>-1.0785343350000001</v>
      </c>
      <c r="N763">
        <v>0.69831015799999996</v>
      </c>
    </row>
    <row r="764" spans="1:14" x14ac:dyDescent="0.2">
      <c r="A764" t="s">
        <v>788</v>
      </c>
      <c r="B764">
        <v>299400</v>
      </c>
      <c r="C764" t="s">
        <v>28</v>
      </c>
      <c r="D764" t="s">
        <v>788</v>
      </c>
      <c r="E764" t="s">
        <v>1878</v>
      </c>
      <c r="G764" t="s">
        <v>1879</v>
      </c>
      <c r="J764">
        <v>5.8462906840000004</v>
      </c>
      <c r="K764">
        <v>0.60615847</v>
      </c>
      <c r="L764">
        <v>0.28550877299999999</v>
      </c>
      <c r="M764" s="21">
        <v>-1.078725229</v>
      </c>
      <c r="N764">
        <v>0.69732946399999995</v>
      </c>
    </row>
    <row r="765" spans="1:14" x14ac:dyDescent="0.2">
      <c r="A765" t="s">
        <v>1703</v>
      </c>
      <c r="B765">
        <v>347640</v>
      </c>
      <c r="C765" t="s">
        <v>68</v>
      </c>
      <c r="D765" t="s">
        <v>1703</v>
      </c>
      <c r="E765" t="s">
        <v>1880</v>
      </c>
      <c r="G765" t="s">
        <v>1881</v>
      </c>
      <c r="J765">
        <v>6.4561903559999996</v>
      </c>
      <c r="K765">
        <v>0.47291064100000002</v>
      </c>
      <c r="L765">
        <v>0.34414126499999997</v>
      </c>
      <c r="M765" s="21">
        <v>-1.0789985200000001</v>
      </c>
      <c r="N765">
        <v>0.69592546399999999</v>
      </c>
    </row>
    <row r="766" spans="1:14" x14ac:dyDescent="0.2">
      <c r="A766" t="s">
        <v>1882</v>
      </c>
      <c r="B766">
        <v>253840</v>
      </c>
      <c r="C766" t="s">
        <v>34</v>
      </c>
      <c r="D766" t="s">
        <v>1882</v>
      </c>
      <c r="E766" t="s">
        <v>1883</v>
      </c>
      <c r="G766" t="s">
        <v>1884</v>
      </c>
      <c r="J766">
        <v>7.0544859390000001</v>
      </c>
      <c r="K766">
        <v>0.623000361</v>
      </c>
      <c r="L766">
        <v>0.42866702800000001</v>
      </c>
      <c r="M766" s="21">
        <v>-1.0792647550000001</v>
      </c>
      <c r="N766">
        <v>0.69455771799999999</v>
      </c>
    </row>
    <row r="767" spans="1:14" x14ac:dyDescent="0.2">
      <c r="A767" t="s">
        <v>894</v>
      </c>
      <c r="B767">
        <v>441320</v>
      </c>
      <c r="C767" t="s">
        <v>100</v>
      </c>
      <c r="D767" t="s">
        <v>894</v>
      </c>
      <c r="E767" t="s">
        <v>1885</v>
      </c>
      <c r="G767" t="s">
        <v>1886</v>
      </c>
      <c r="J767">
        <v>5.9110743220000002</v>
      </c>
      <c r="K767">
        <v>0.71598987199999997</v>
      </c>
      <c r="L767">
        <v>0.29077365599999999</v>
      </c>
      <c r="M767" s="21">
        <v>-1.079496496</v>
      </c>
      <c r="N767">
        <v>0.693367179</v>
      </c>
    </row>
    <row r="768" spans="1:14" x14ac:dyDescent="0.2">
      <c r="A768" t="s">
        <v>714</v>
      </c>
      <c r="B768">
        <v>346920</v>
      </c>
      <c r="C768" t="s">
        <v>68</v>
      </c>
      <c r="D768" t="s">
        <v>715</v>
      </c>
      <c r="E768" t="s">
        <v>1887</v>
      </c>
      <c r="G768" t="s">
        <v>1888</v>
      </c>
      <c r="J768">
        <v>6.4561903559999996</v>
      </c>
      <c r="K768">
        <v>0.47291064100000002</v>
      </c>
      <c r="L768">
        <v>0.34414126499999997</v>
      </c>
      <c r="M768" s="21">
        <v>-1.079694798</v>
      </c>
      <c r="N768">
        <v>0.69234842500000005</v>
      </c>
    </row>
    <row r="769" spans="1:14" x14ac:dyDescent="0.2">
      <c r="A769" t="s">
        <v>134</v>
      </c>
      <c r="B769">
        <v>382880</v>
      </c>
      <c r="C769" t="s">
        <v>84</v>
      </c>
      <c r="D769" t="s">
        <v>135</v>
      </c>
      <c r="E769" t="s">
        <v>1889</v>
      </c>
      <c r="G769" t="s">
        <v>1890</v>
      </c>
      <c r="J769">
        <v>3.600219579</v>
      </c>
      <c r="K769">
        <v>-0.293098474</v>
      </c>
      <c r="L769">
        <v>-0.153917466</v>
      </c>
      <c r="M769" s="21">
        <v>-1.0797492209999999</v>
      </c>
      <c r="N769">
        <v>0.69206883299999999</v>
      </c>
    </row>
    <row r="770" spans="1:14" x14ac:dyDescent="0.2">
      <c r="A770" t="s">
        <v>1436</v>
      </c>
      <c r="B770">
        <v>252960</v>
      </c>
      <c r="C770" t="s">
        <v>34</v>
      </c>
      <c r="D770" t="s">
        <v>1437</v>
      </c>
      <c r="E770" t="s">
        <v>1891</v>
      </c>
      <c r="G770" t="s">
        <v>1892</v>
      </c>
      <c r="J770">
        <v>7.0544859390000001</v>
      </c>
      <c r="K770">
        <v>0.623000361</v>
      </c>
      <c r="L770">
        <v>0.42866702800000001</v>
      </c>
      <c r="M770" s="21">
        <v>-1.080038327</v>
      </c>
      <c r="N770">
        <v>0.69058358900000005</v>
      </c>
    </row>
    <row r="771" spans="1:14" x14ac:dyDescent="0.2">
      <c r="A771" t="s">
        <v>385</v>
      </c>
      <c r="B771">
        <v>440680</v>
      </c>
      <c r="C771" t="s">
        <v>100</v>
      </c>
      <c r="D771" t="s">
        <v>386</v>
      </c>
      <c r="E771" t="s">
        <v>1893</v>
      </c>
      <c r="G771" t="s">
        <v>1894</v>
      </c>
      <c r="J771">
        <v>5.9110743220000002</v>
      </c>
      <c r="K771">
        <v>0.71598987199999997</v>
      </c>
      <c r="L771">
        <v>0.29077365599999999</v>
      </c>
      <c r="M771" s="21">
        <v>-1.080131832</v>
      </c>
      <c r="N771">
        <v>0.69010321699999999</v>
      </c>
    </row>
    <row r="772" spans="1:14" x14ac:dyDescent="0.2">
      <c r="A772" t="s">
        <v>775</v>
      </c>
      <c r="B772">
        <v>346200</v>
      </c>
      <c r="C772" t="s">
        <v>68</v>
      </c>
      <c r="D772" t="s">
        <v>776</v>
      </c>
      <c r="E772" t="s">
        <v>1895</v>
      </c>
      <c r="G772" t="s">
        <v>1896</v>
      </c>
      <c r="J772">
        <v>6.4561903559999996</v>
      </c>
      <c r="K772">
        <v>0.47291064100000002</v>
      </c>
      <c r="L772">
        <v>0.34414126499999997</v>
      </c>
      <c r="M772" s="21">
        <v>-1.080391076</v>
      </c>
      <c r="N772">
        <v>0.68877138500000001</v>
      </c>
    </row>
    <row r="773" spans="1:14" x14ac:dyDescent="0.2">
      <c r="A773" t="s">
        <v>1897</v>
      </c>
      <c r="B773">
        <v>445200</v>
      </c>
      <c r="C773" t="s">
        <v>58</v>
      </c>
      <c r="D773" t="s">
        <v>1897</v>
      </c>
      <c r="E773" t="s">
        <v>1898</v>
      </c>
      <c r="G773" t="s">
        <v>1899</v>
      </c>
      <c r="J773">
        <v>4.5363847230000003</v>
      </c>
      <c r="K773">
        <v>0.245646371</v>
      </c>
      <c r="L773">
        <v>7.5242279999999995E-2</v>
      </c>
      <c r="M773" s="21">
        <v>-1.0807057529999999</v>
      </c>
      <c r="N773">
        <v>0.68715477199999997</v>
      </c>
    </row>
    <row r="774" spans="1:14" x14ac:dyDescent="0.2">
      <c r="A774" t="s">
        <v>99</v>
      </c>
      <c r="B774">
        <v>439560</v>
      </c>
      <c r="C774" t="s">
        <v>130</v>
      </c>
      <c r="D774" t="s">
        <v>101</v>
      </c>
      <c r="E774" t="s">
        <v>1900</v>
      </c>
      <c r="G774" t="s">
        <v>1901</v>
      </c>
      <c r="J774">
        <v>5.1222566499999997</v>
      </c>
      <c r="K774">
        <v>0.21422175600000001</v>
      </c>
      <c r="L774">
        <v>0.25354511400000002</v>
      </c>
      <c r="M774" s="21">
        <v>-1.0809995619999999</v>
      </c>
      <c r="N774">
        <v>0.68564536300000001</v>
      </c>
    </row>
    <row r="775" spans="1:14" x14ac:dyDescent="0.2">
      <c r="A775" t="s">
        <v>932</v>
      </c>
      <c r="B775">
        <v>296640</v>
      </c>
      <c r="C775" t="s">
        <v>28</v>
      </c>
      <c r="D775" t="s">
        <v>932</v>
      </c>
      <c r="E775" t="s">
        <v>1902</v>
      </c>
      <c r="G775" t="s">
        <v>1903</v>
      </c>
      <c r="J775">
        <v>5.8462906840000004</v>
      </c>
      <c r="K775">
        <v>0.60615847</v>
      </c>
      <c r="L775">
        <v>0.28550877299999999</v>
      </c>
      <c r="M775" s="21">
        <v>-1.081216991</v>
      </c>
      <c r="N775">
        <v>0.68452835099999998</v>
      </c>
    </row>
    <row r="776" spans="1:14" x14ac:dyDescent="0.2">
      <c r="A776" t="s">
        <v>52</v>
      </c>
      <c r="B776">
        <v>444400</v>
      </c>
      <c r="C776" t="s">
        <v>58</v>
      </c>
      <c r="D776" t="s">
        <v>53</v>
      </c>
      <c r="E776" t="s">
        <v>1904</v>
      </c>
      <c r="G776" t="s">
        <v>1905</v>
      </c>
      <c r="J776">
        <v>4.5363847230000003</v>
      </c>
      <c r="K776">
        <v>0.245646371</v>
      </c>
      <c r="L776">
        <v>7.5242279999999995E-2</v>
      </c>
      <c r="M776" s="21">
        <v>-1.081478334</v>
      </c>
      <c r="N776">
        <v>0.68318573400000004</v>
      </c>
    </row>
    <row r="777" spans="1:14" x14ac:dyDescent="0.2">
      <c r="A777" t="s">
        <v>935</v>
      </c>
      <c r="B777">
        <v>469160</v>
      </c>
      <c r="C777" t="s">
        <v>149</v>
      </c>
      <c r="D777" t="s">
        <v>935</v>
      </c>
      <c r="E777" t="s">
        <v>1906</v>
      </c>
      <c r="G777" t="s">
        <v>1907</v>
      </c>
      <c r="J777">
        <v>5.0381074159999999</v>
      </c>
      <c r="K777">
        <v>0.81312368999999995</v>
      </c>
      <c r="L777">
        <v>0.16969141800000001</v>
      </c>
      <c r="M777" s="21">
        <v>-1.0815326439999999</v>
      </c>
      <c r="N777">
        <v>0.68290672500000005</v>
      </c>
    </row>
    <row r="778" spans="1:14" x14ac:dyDescent="0.2">
      <c r="A778" t="s">
        <v>1729</v>
      </c>
      <c r="B778">
        <v>344480</v>
      </c>
      <c r="C778" t="s">
        <v>68</v>
      </c>
      <c r="D778" t="s">
        <v>1729</v>
      </c>
      <c r="E778" t="s">
        <v>1908</v>
      </c>
      <c r="G778" t="s">
        <v>1909</v>
      </c>
      <c r="J778">
        <v>6.4561903559999996</v>
      </c>
      <c r="K778">
        <v>0.47291064100000002</v>
      </c>
      <c r="L778">
        <v>0.34414126499999997</v>
      </c>
      <c r="M778" s="21">
        <v>-1.0820544059999999</v>
      </c>
      <c r="N778">
        <v>0.68022623400000004</v>
      </c>
    </row>
    <row r="779" spans="1:14" x14ac:dyDescent="0.2">
      <c r="A779" t="s">
        <v>372</v>
      </c>
      <c r="B779">
        <v>381040</v>
      </c>
      <c r="C779" t="s">
        <v>84</v>
      </c>
      <c r="D779" t="s">
        <v>372</v>
      </c>
      <c r="E779" t="s">
        <v>1910</v>
      </c>
      <c r="J779">
        <v>3.600219579</v>
      </c>
      <c r="K779">
        <v>-0.293098474</v>
      </c>
      <c r="L779">
        <v>-0.153917466</v>
      </c>
      <c r="M779" s="21">
        <v>-1.0821575349999999</v>
      </c>
      <c r="N779">
        <v>0.67969642299999999</v>
      </c>
    </row>
    <row r="780" spans="1:14" x14ac:dyDescent="0.2">
      <c r="A780" t="s">
        <v>1491</v>
      </c>
      <c r="B780">
        <v>250080</v>
      </c>
      <c r="C780" t="s">
        <v>34</v>
      </c>
      <c r="D780" t="s">
        <v>1491</v>
      </c>
      <c r="E780" t="s">
        <v>1911</v>
      </c>
      <c r="G780" t="s">
        <v>1912</v>
      </c>
      <c r="J780">
        <v>7.0544859390000001</v>
      </c>
      <c r="K780">
        <v>0.623000361</v>
      </c>
      <c r="L780">
        <v>0.42866702800000001</v>
      </c>
      <c r="M780" s="21">
        <v>-1.0825700170000001</v>
      </c>
      <c r="N780">
        <v>0.677577349</v>
      </c>
    </row>
    <row r="781" spans="1:14" x14ac:dyDescent="0.2">
      <c r="A781" t="s">
        <v>311</v>
      </c>
      <c r="B781">
        <v>436880</v>
      </c>
      <c r="C781" t="s">
        <v>130</v>
      </c>
      <c r="D781" t="s">
        <v>311</v>
      </c>
      <c r="E781" t="s">
        <v>1913</v>
      </c>
      <c r="G781" t="s">
        <v>1914</v>
      </c>
      <c r="J781">
        <v>5.1222566499999997</v>
      </c>
      <c r="K781">
        <v>0.21422175600000001</v>
      </c>
      <c r="L781">
        <v>0.25354511400000002</v>
      </c>
      <c r="M781" s="21">
        <v>-1.0831323859999999</v>
      </c>
      <c r="N781">
        <v>0.67468824800000005</v>
      </c>
    </row>
    <row r="782" spans="1:14" x14ac:dyDescent="0.2">
      <c r="A782" t="s">
        <v>195</v>
      </c>
      <c r="B782">
        <v>436720</v>
      </c>
      <c r="C782" t="s">
        <v>130</v>
      </c>
      <c r="D782" t="s">
        <v>195</v>
      </c>
      <c r="E782" t="s">
        <v>1915</v>
      </c>
      <c r="G782" t="s">
        <v>1916</v>
      </c>
      <c r="J782">
        <v>5.1222566499999997</v>
      </c>
      <c r="K782">
        <v>0.21422175600000001</v>
      </c>
      <c r="L782">
        <v>0.25354511400000002</v>
      </c>
      <c r="M782" s="21">
        <v>-1.083259719</v>
      </c>
      <c r="N782">
        <v>0.67403409199999997</v>
      </c>
    </row>
    <row r="783" spans="1:14" x14ac:dyDescent="0.2">
      <c r="A783" t="s">
        <v>23</v>
      </c>
      <c r="B783">
        <v>294200</v>
      </c>
      <c r="C783" t="s">
        <v>28</v>
      </c>
      <c r="D783" t="s">
        <v>23</v>
      </c>
      <c r="E783" t="s">
        <v>1917</v>
      </c>
      <c r="G783" t="s">
        <v>1918</v>
      </c>
      <c r="J783">
        <v>5.8462906840000004</v>
      </c>
      <c r="K783">
        <v>0.60615847</v>
      </c>
      <c r="L783">
        <v>0.28550877299999999</v>
      </c>
      <c r="M783" s="21">
        <v>-1.0834198530000001</v>
      </c>
      <c r="N783">
        <v>0.67321142499999997</v>
      </c>
    </row>
    <row r="784" spans="1:14" x14ac:dyDescent="0.2">
      <c r="A784" t="s">
        <v>1511</v>
      </c>
      <c r="B784">
        <v>379840</v>
      </c>
      <c r="C784" t="s">
        <v>84</v>
      </c>
      <c r="D784" t="s">
        <v>1512</v>
      </c>
      <c r="E784" t="s">
        <v>1919</v>
      </c>
      <c r="J784">
        <v>3.600219579</v>
      </c>
      <c r="K784">
        <v>-0.293098474</v>
      </c>
      <c r="L784">
        <v>-0.153917466</v>
      </c>
      <c r="M784" s="21">
        <v>-1.0837281750000001</v>
      </c>
      <c r="N784">
        <v>0.67162745999999995</v>
      </c>
    </row>
    <row r="785" spans="1:14" x14ac:dyDescent="0.2">
      <c r="A785" t="s">
        <v>504</v>
      </c>
      <c r="B785">
        <v>342600</v>
      </c>
      <c r="C785" t="s">
        <v>68</v>
      </c>
      <c r="D785" t="s">
        <v>504</v>
      </c>
      <c r="E785" t="s">
        <v>1920</v>
      </c>
      <c r="G785" t="s">
        <v>1921</v>
      </c>
      <c r="J785">
        <v>6.4561903559999996</v>
      </c>
      <c r="K785">
        <v>0.47291064100000002</v>
      </c>
      <c r="L785">
        <v>0.34414126499999997</v>
      </c>
      <c r="M785" s="21">
        <v>-1.083872465</v>
      </c>
      <c r="N785">
        <v>0.67088618600000005</v>
      </c>
    </row>
    <row r="786" spans="1:14" x14ac:dyDescent="0.2">
      <c r="A786" t="s">
        <v>880</v>
      </c>
      <c r="B786">
        <v>458160</v>
      </c>
      <c r="C786" t="s">
        <v>14</v>
      </c>
      <c r="D786" t="s">
        <v>880</v>
      </c>
      <c r="E786" t="s">
        <v>1922</v>
      </c>
      <c r="G786" t="s">
        <v>1923</v>
      </c>
      <c r="J786">
        <v>6.7484204910000001</v>
      </c>
      <c r="K786">
        <v>0.48629166299999999</v>
      </c>
      <c r="L786">
        <v>0.375053939</v>
      </c>
      <c r="M786" s="21">
        <v>-1.0839652</v>
      </c>
      <c r="N786">
        <v>0.67040977300000004</v>
      </c>
    </row>
    <row r="787" spans="1:14" x14ac:dyDescent="0.2">
      <c r="A787" t="s">
        <v>405</v>
      </c>
      <c r="B787">
        <v>441640</v>
      </c>
      <c r="C787" t="s">
        <v>58</v>
      </c>
      <c r="D787" t="s">
        <v>405</v>
      </c>
      <c r="E787" t="s">
        <v>1924</v>
      </c>
      <c r="G787" t="s">
        <v>1925</v>
      </c>
      <c r="J787">
        <v>4.5363847230000003</v>
      </c>
      <c r="K787">
        <v>0.245646371</v>
      </c>
      <c r="L787">
        <v>7.5242279999999995E-2</v>
      </c>
      <c r="M787" s="21">
        <v>-1.0841437389999999</v>
      </c>
      <c r="N787">
        <v>0.66949255200000002</v>
      </c>
    </row>
    <row r="788" spans="1:14" x14ac:dyDescent="0.2">
      <c r="A788" t="s">
        <v>397</v>
      </c>
      <c r="B788">
        <v>248240</v>
      </c>
      <c r="C788" t="s">
        <v>34</v>
      </c>
      <c r="D788" t="s">
        <v>397</v>
      </c>
      <c r="J788">
        <v>7.0544859390000001</v>
      </c>
      <c r="K788">
        <v>0.623000361</v>
      </c>
      <c r="L788">
        <v>0.42866702800000001</v>
      </c>
      <c r="M788" s="21">
        <v>-1.084187486</v>
      </c>
      <c r="N788">
        <v>0.66926780699999999</v>
      </c>
    </row>
    <row r="789" spans="1:14" x14ac:dyDescent="0.2">
      <c r="A789" t="s">
        <v>1150</v>
      </c>
      <c r="B789">
        <v>342240</v>
      </c>
      <c r="C789" t="s">
        <v>68</v>
      </c>
      <c r="D789" t="s">
        <v>1150</v>
      </c>
      <c r="E789" t="s">
        <v>1926</v>
      </c>
      <c r="G789" t="s">
        <v>1927</v>
      </c>
      <c r="J789">
        <v>6.4561903559999996</v>
      </c>
      <c r="K789">
        <v>0.47291064100000002</v>
      </c>
      <c r="L789">
        <v>0.34414126499999997</v>
      </c>
      <c r="M789" s="21">
        <v>-1.084220604</v>
      </c>
      <c r="N789">
        <v>0.66909766599999998</v>
      </c>
    </row>
    <row r="790" spans="1:14" x14ac:dyDescent="0.2">
      <c r="A790" t="s">
        <v>283</v>
      </c>
      <c r="B790">
        <v>342160</v>
      </c>
      <c r="C790" t="s">
        <v>68</v>
      </c>
      <c r="D790" t="s">
        <v>284</v>
      </c>
      <c r="E790" t="s">
        <v>1928</v>
      </c>
      <c r="G790" t="s">
        <v>1929</v>
      </c>
      <c r="J790">
        <v>6.4561903559999996</v>
      </c>
      <c r="K790">
        <v>0.47291064100000002</v>
      </c>
      <c r="L790">
        <v>0.34414126499999997</v>
      </c>
      <c r="M790" s="21">
        <v>-1.084297968</v>
      </c>
      <c r="N790">
        <v>0.66870021700000004</v>
      </c>
    </row>
    <row r="791" spans="1:14" x14ac:dyDescent="0.2">
      <c r="A791" t="s">
        <v>1521</v>
      </c>
      <c r="B791">
        <v>247920</v>
      </c>
      <c r="C791" t="s">
        <v>34</v>
      </c>
      <c r="D791" t="s">
        <v>1521</v>
      </c>
      <c r="J791">
        <v>7.0544859390000001</v>
      </c>
      <c r="K791">
        <v>0.623000361</v>
      </c>
      <c r="L791">
        <v>0.42866702800000001</v>
      </c>
      <c r="M791" s="21">
        <v>-1.0844687850000001</v>
      </c>
      <c r="N791">
        <v>0.66782266999999995</v>
      </c>
    </row>
    <row r="792" spans="1:14" x14ac:dyDescent="0.2">
      <c r="A792" t="s">
        <v>1260</v>
      </c>
      <c r="B792">
        <v>341760</v>
      </c>
      <c r="C792" t="s">
        <v>68</v>
      </c>
      <c r="D792" t="s">
        <v>1260</v>
      </c>
      <c r="E792" t="s">
        <v>1930</v>
      </c>
      <c r="G792" t="s">
        <v>1931</v>
      </c>
      <c r="J792">
        <v>6.4561903559999996</v>
      </c>
      <c r="K792">
        <v>0.47291064100000002</v>
      </c>
      <c r="L792">
        <v>0.34414126499999997</v>
      </c>
      <c r="M792" s="21">
        <v>-1.084684789</v>
      </c>
      <c r="N792">
        <v>0.66671297299999999</v>
      </c>
    </row>
    <row r="793" spans="1:14" x14ac:dyDescent="0.2">
      <c r="A793" t="s">
        <v>400</v>
      </c>
      <c r="B793">
        <v>441000</v>
      </c>
      <c r="C793" t="s">
        <v>58</v>
      </c>
      <c r="D793" t="s">
        <v>400</v>
      </c>
      <c r="E793" t="s">
        <v>1932</v>
      </c>
      <c r="G793" t="s">
        <v>1933</v>
      </c>
      <c r="J793">
        <v>4.5363847230000003</v>
      </c>
      <c r="K793">
        <v>0.245646371</v>
      </c>
      <c r="L793">
        <v>7.5242279999999995E-2</v>
      </c>
      <c r="M793" s="21">
        <v>-1.084761804</v>
      </c>
      <c r="N793">
        <v>0.66631732099999996</v>
      </c>
    </row>
    <row r="794" spans="1:14" x14ac:dyDescent="0.2">
      <c r="A794" t="s">
        <v>74</v>
      </c>
      <c r="B794">
        <v>378920</v>
      </c>
      <c r="C794" t="s">
        <v>84</v>
      </c>
      <c r="D794" t="s">
        <v>75</v>
      </c>
      <c r="E794" t="s">
        <v>1934</v>
      </c>
      <c r="G794" t="s">
        <v>1935</v>
      </c>
      <c r="J794">
        <v>3.600219579</v>
      </c>
      <c r="K794">
        <v>-0.293098474</v>
      </c>
      <c r="L794">
        <v>-0.153917466</v>
      </c>
      <c r="M794" s="21">
        <v>-1.0849323319999999</v>
      </c>
      <c r="N794">
        <v>0.66544125499999995</v>
      </c>
    </row>
    <row r="795" spans="1:14" x14ac:dyDescent="0.2">
      <c r="A795" t="s">
        <v>1409</v>
      </c>
      <c r="B795">
        <v>378880</v>
      </c>
      <c r="C795" t="s">
        <v>84</v>
      </c>
      <c r="D795" t="s">
        <v>1410</v>
      </c>
      <c r="E795" t="s">
        <v>1936</v>
      </c>
      <c r="J795">
        <v>3.600219579</v>
      </c>
      <c r="K795">
        <v>-0.293098474</v>
      </c>
      <c r="L795">
        <v>-0.153917466</v>
      </c>
      <c r="M795" s="21">
        <v>-1.0849846860000001</v>
      </c>
      <c r="N795">
        <v>0.66517229</v>
      </c>
    </row>
    <row r="796" spans="1:14" x14ac:dyDescent="0.2">
      <c r="A796" t="s">
        <v>124</v>
      </c>
      <c r="B796">
        <v>456680</v>
      </c>
      <c r="C796" t="s">
        <v>14</v>
      </c>
      <c r="D796" t="s">
        <v>125</v>
      </c>
      <c r="E796" t="s">
        <v>1937</v>
      </c>
      <c r="G796" t="s">
        <v>1938</v>
      </c>
      <c r="J796">
        <v>6.7484204910000001</v>
      </c>
      <c r="K796">
        <v>0.48629166299999999</v>
      </c>
      <c r="L796">
        <v>0.375053939</v>
      </c>
      <c r="M796" s="21">
        <v>-1.0855868689999999</v>
      </c>
      <c r="N796">
        <v>0.66207865200000005</v>
      </c>
    </row>
    <row r="797" spans="1:14" x14ac:dyDescent="0.2">
      <c r="A797" t="s">
        <v>1939</v>
      </c>
      <c r="B797">
        <v>434440</v>
      </c>
      <c r="C797" t="s">
        <v>100</v>
      </c>
      <c r="D797" t="s">
        <v>1939</v>
      </c>
      <c r="E797" t="s">
        <v>1940</v>
      </c>
      <c r="G797" t="s">
        <v>1941</v>
      </c>
      <c r="J797">
        <v>5.9110743220000002</v>
      </c>
      <c r="K797">
        <v>0.71598987199999997</v>
      </c>
      <c r="L797">
        <v>0.29077365599999999</v>
      </c>
      <c r="M797" s="21">
        <v>-1.086326364</v>
      </c>
      <c r="N797">
        <v>0.658279587</v>
      </c>
    </row>
    <row r="798" spans="1:14" x14ac:dyDescent="0.2">
      <c r="A798" t="s">
        <v>1688</v>
      </c>
      <c r="B798">
        <v>245720</v>
      </c>
      <c r="C798" t="s">
        <v>34</v>
      </c>
      <c r="D798" t="s">
        <v>1688</v>
      </c>
      <c r="E798" t="s">
        <v>1942</v>
      </c>
      <c r="G798" t="s">
        <v>1943</v>
      </c>
      <c r="J798">
        <v>7.0544859390000001</v>
      </c>
      <c r="K798">
        <v>0.623000361</v>
      </c>
      <c r="L798">
        <v>0.42866702800000001</v>
      </c>
      <c r="M798" s="21">
        <v>-1.086402715</v>
      </c>
      <c r="N798">
        <v>0.65788734800000004</v>
      </c>
    </row>
    <row r="799" spans="1:14" x14ac:dyDescent="0.2">
      <c r="A799" t="s">
        <v>1055</v>
      </c>
      <c r="B799">
        <v>245720</v>
      </c>
      <c r="C799" t="s">
        <v>34</v>
      </c>
      <c r="D799" t="s">
        <v>1055</v>
      </c>
      <c r="J799">
        <v>7.0544859390000001</v>
      </c>
      <c r="K799">
        <v>0.623000361</v>
      </c>
      <c r="L799">
        <v>0.42866702800000001</v>
      </c>
      <c r="M799" s="21">
        <v>-1.086402715</v>
      </c>
      <c r="N799">
        <v>0.65788734800000004</v>
      </c>
    </row>
    <row r="800" spans="1:14" x14ac:dyDescent="0.2">
      <c r="A800" t="s">
        <v>47</v>
      </c>
      <c r="B800">
        <v>432760</v>
      </c>
      <c r="C800" t="s">
        <v>130</v>
      </c>
      <c r="D800" t="s">
        <v>48</v>
      </c>
      <c r="E800" t="s">
        <v>1944</v>
      </c>
      <c r="G800" t="s">
        <v>1945</v>
      </c>
      <c r="J800">
        <v>5.1222566499999997</v>
      </c>
      <c r="K800">
        <v>0.21422175600000001</v>
      </c>
      <c r="L800">
        <v>0.25354511400000002</v>
      </c>
      <c r="M800" s="21">
        <v>-1.0864112050000001</v>
      </c>
      <c r="N800">
        <v>0.65784372800000002</v>
      </c>
    </row>
    <row r="801" spans="1:14" x14ac:dyDescent="0.2">
      <c r="A801" t="s">
        <v>1073</v>
      </c>
      <c r="B801">
        <v>377520</v>
      </c>
      <c r="C801" t="s">
        <v>84</v>
      </c>
      <c r="D801" t="s">
        <v>1073</v>
      </c>
      <c r="E801" t="s">
        <v>1946</v>
      </c>
      <c r="J801">
        <v>3.600219579</v>
      </c>
      <c r="K801">
        <v>-0.293098474</v>
      </c>
      <c r="L801">
        <v>-0.153917466</v>
      </c>
      <c r="M801" s="21">
        <v>-1.0867647439999999</v>
      </c>
      <c r="N801">
        <v>0.65602746499999998</v>
      </c>
    </row>
    <row r="802" spans="1:14" x14ac:dyDescent="0.2">
      <c r="A802" t="s">
        <v>470</v>
      </c>
      <c r="B802">
        <v>432280</v>
      </c>
      <c r="C802" t="s">
        <v>130</v>
      </c>
      <c r="D802" t="s">
        <v>470</v>
      </c>
      <c r="E802" t="s">
        <v>1947</v>
      </c>
      <c r="G802" t="s">
        <v>1948</v>
      </c>
      <c r="J802">
        <v>5.1222566499999997</v>
      </c>
      <c r="K802">
        <v>0.21422175600000001</v>
      </c>
      <c r="L802">
        <v>0.25354511400000002</v>
      </c>
      <c r="M802" s="21">
        <v>-1.0867932039999999</v>
      </c>
      <c r="N802">
        <v>0.65588125900000005</v>
      </c>
    </row>
    <row r="803" spans="1:14" x14ac:dyDescent="0.2">
      <c r="A803" t="s">
        <v>491</v>
      </c>
      <c r="B803">
        <v>377280</v>
      </c>
      <c r="C803" t="s">
        <v>84</v>
      </c>
      <c r="D803" t="s">
        <v>491</v>
      </c>
      <c r="E803" t="s">
        <v>1949</v>
      </c>
      <c r="J803">
        <v>3.600219579</v>
      </c>
      <c r="K803">
        <v>-0.293098474</v>
      </c>
      <c r="L803">
        <v>-0.153917466</v>
      </c>
      <c r="M803" s="21">
        <v>-1.087078872</v>
      </c>
      <c r="N803">
        <v>0.654413672</v>
      </c>
    </row>
    <row r="804" spans="1:14" x14ac:dyDescent="0.2">
      <c r="A804" t="s">
        <v>94</v>
      </c>
      <c r="B804">
        <v>438520</v>
      </c>
      <c r="C804" t="s">
        <v>58</v>
      </c>
      <c r="D804" t="s">
        <v>95</v>
      </c>
      <c r="E804" t="s">
        <v>1950</v>
      </c>
      <c r="G804" t="s">
        <v>1951</v>
      </c>
      <c r="J804">
        <v>4.5363847230000003</v>
      </c>
      <c r="K804">
        <v>0.245646371</v>
      </c>
      <c r="L804">
        <v>7.5242279999999995E-2</v>
      </c>
      <c r="M804" s="21">
        <v>-1.087156805</v>
      </c>
      <c r="N804">
        <v>0.65401330300000005</v>
      </c>
    </row>
    <row r="805" spans="1:14" x14ac:dyDescent="0.2">
      <c r="A805" t="s">
        <v>924</v>
      </c>
      <c r="B805">
        <v>289960</v>
      </c>
      <c r="C805" t="s">
        <v>28</v>
      </c>
      <c r="D805" t="s">
        <v>924</v>
      </c>
      <c r="E805" t="s">
        <v>1952</v>
      </c>
      <c r="G805" t="s">
        <v>1953</v>
      </c>
      <c r="J805">
        <v>5.8462906840000004</v>
      </c>
      <c r="K805">
        <v>0.60615847</v>
      </c>
      <c r="L805">
        <v>0.28550877299999999</v>
      </c>
      <c r="M805" s="21">
        <v>-1.087247777</v>
      </c>
      <c r="N805">
        <v>0.65354594600000004</v>
      </c>
    </row>
    <row r="806" spans="1:14" x14ac:dyDescent="0.2">
      <c r="A806" t="s">
        <v>1954</v>
      </c>
      <c r="B806">
        <v>338960</v>
      </c>
      <c r="C806" t="s">
        <v>68</v>
      </c>
      <c r="D806" t="s">
        <v>1955</v>
      </c>
      <c r="E806" t="s">
        <v>1956</v>
      </c>
      <c r="G806" t="s">
        <v>1957</v>
      </c>
      <c r="J806">
        <v>6.4561903559999996</v>
      </c>
      <c r="K806">
        <v>0.47291064100000002</v>
      </c>
      <c r="L806">
        <v>0.34414126499999997</v>
      </c>
      <c r="M806" s="21">
        <v>-1.0873925360000001</v>
      </c>
      <c r="N806">
        <v>0.65280226299999999</v>
      </c>
    </row>
    <row r="807" spans="1:14" x14ac:dyDescent="0.2">
      <c r="A807" t="s">
        <v>435</v>
      </c>
      <c r="B807">
        <v>244360</v>
      </c>
      <c r="C807" t="s">
        <v>34</v>
      </c>
      <c r="D807" t="s">
        <v>435</v>
      </c>
      <c r="E807" t="s">
        <v>1958</v>
      </c>
      <c r="G807" t="s">
        <v>1959</v>
      </c>
      <c r="J807">
        <v>7.0544859390000001</v>
      </c>
      <c r="K807">
        <v>0.623000361</v>
      </c>
      <c r="L807">
        <v>0.42866702800000001</v>
      </c>
      <c r="M807" s="21">
        <v>-1.087598235</v>
      </c>
      <c r="N807">
        <v>0.65174551199999997</v>
      </c>
    </row>
    <row r="808" spans="1:14" x14ac:dyDescent="0.2">
      <c r="A808" t="s">
        <v>1698</v>
      </c>
      <c r="B808">
        <v>289560</v>
      </c>
      <c r="C808" t="s">
        <v>28</v>
      </c>
      <c r="D808" t="s">
        <v>1698</v>
      </c>
      <c r="E808" t="s">
        <v>1960</v>
      </c>
      <c r="G808" t="s">
        <v>1961</v>
      </c>
      <c r="J808">
        <v>5.8462906840000004</v>
      </c>
      <c r="K808">
        <v>0.60615847</v>
      </c>
      <c r="L808">
        <v>0.28550877299999999</v>
      </c>
      <c r="M808" s="21">
        <v>-1.0876089019999999</v>
      </c>
      <c r="N808">
        <v>0.65169071300000003</v>
      </c>
    </row>
    <row r="809" spans="1:14" x14ac:dyDescent="0.2">
      <c r="A809" t="s">
        <v>625</v>
      </c>
      <c r="B809">
        <v>376760</v>
      </c>
      <c r="C809" t="s">
        <v>84</v>
      </c>
      <c r="D809" t="s">
        <v>625</v>
      </c>
      <c r="E809" t="s">
        <v>1962</v>
      </c>
      <c r="J809">
        <v>3.600219579</v>
      </c>
      <c r="K809">
        <v>-0.293098474</v>
      </c>
      <c r="L809">
        <v>-0.153917466</v>
      </c>
      <c r="M809" s="21">
        <v>-1.0877594829999999</v>
      </c>
      <c r="N809">
        <v>0.65091712199999996</v>
      </c>
    </row>
    <row r="810" spans="1:14" x14ac:dyDescent="0.2">
      <c r="A810" t="s">
        <v>1963</v>
      </c>
      <c r="B810">
        <v>430560</v>
      </c>
      <c r="C810" t="s">
        <v>130</v>
      </c>
      <c r="D810" t="s">
        <v>1963</v>
      </c>
      <c r="E810" t="s">
        <v>1964</v>
      </c>
      <c r="G810" t="s">
        <v>1965</v>
      </c>
      <c r="J810">
        <v>5.1222566499999997</v>
      </c>
      <c r="K810">
        <v>0.21422175600000001</v>
      </c>
      <c r="L810">
        <v>0.25354511400000002</v>
      </c>
      <c r="M810" s="21">
        <v>-1.088162031</v>
      </c>
      <c r="N810">
        <v>0.64884908100000005</v>
      </c>
    </row>
    <row r="811" spans="1:14" x14ac:dyDescent="0.2">
      <c r="A811" t="s">
        <v>1073</v>
      </c>
      <c r="B811">
        <v>243080</v>
      </c>
      <c r="C811" t="s">
        <v>34</v>
      </c>
      <c r="D811" t="s">
        <v>1073</v>
      </c>
      <c r="E811" t="s">
        <v>1966</v>
      </c>
      <c r="G811" t="s">
        <v>1967</v>
      </c>
      <c r="J811">
        <v>7.0544859390000001</v>
      </c>
      <c r="K811">
        <v>0.623000361</v>
      </c>
      <c r="L811">
        <v>0.42866702800000001</v>
      </c>
      <c r="M811" s="21">
        <v>-1.0887234299999999</v>
      </c>
      <c r="N811">
        <v>0.645964961</v>
      </c>
    </row>
    <row r="812" spans="1:14" x14ac:dyDescent="0.2">
      <c r="A812" t="s">
        <v>1491</v>
      </c>
      <c r="B812">
        <v>461240</v>
      </c>
      <c r="C812" t="s">
        <v>149</v>
      </c>
      <c r="D812" t="s">
        <v>1491</v>
      </c>
      <c r="E812" t="s">
        <v>1968</v>
      </c>
      <c r="G812" t="s">
        <v>1969</v>
      </c>
      <c r="J812">
        <v>5.0381074159999999</v>
      </c>
      <c r="K812">
        <v>0.81312368999999995</v>
      </c>
      <c r="L812">
        <v>0.16969141800000001</v>
      </c>
      <c r="M812" s="21">
        <v>-1.0888556030000001</v>
      </c>
      <c r="N812">
        <v>0.64528594299999997</v>
      </c>
    </row>
    <row r="813" spans="1:14" x14ac:dyDescent="0.2">
      <c r="A813" t="s">
        <v>1190</v>
      </c>
      <c r="B813">
        <v>375920</v>
      </c>
      <c r="C813" t="s">
        <v>84</v>
      </c>
      <c r="D813" t="s">
        <v>1190</v>
      </c>
      <c r="E813" t="s">
        <v>1970</v>
      </c>
      <c r="J813">
        <v>3.600219579</v>
      </c>
      <c r="K813">
        <v>-0.293098474</v>
      </c>
      <c r="L813">
        <v>-0.153917466</v>
      </c>
      <c r="M813" s="21">
        <v>-1.08885893</v>
      </c>
      <c r="N813">
        <v>0.64526884699999998</v>
      </c>
    </row>
    <row r="814" spans="1:14" x14ac:dyDescent="0.2">
      <c r="A814" t="s">
        <v>1971</v>
      </c>
      <c r="B814">
        <v>460680</v>
      </c>
      <c r="C814" t="s">
        <v>149</v>
      </c>
      <c r="D814" t="s">
        <v>1971</v>
      </c>
      <c r="E814" t="s">
        <v>1972</v>
      </c>
      <c r="G814" t="s">
        <v>1973</v>
      </c>
      <c r="J814">
        <v>5.0381074159999999</v>
      </c>
      <c r="K814">
        <v>0.81312368999999995</v>
      </c>
      <c r="L814">
        <v>0.16969141800000001</v>
      </c>
      <c r="M814" s="21">
        <v>-1.0893733880000001</v>
      </c>
      <c r="N814">
        <v>0.64262588799999998</v>
      </c>
    </row>
    <row r="815" spans="1:14" x14ac:dyDescent="0.2">
      <c r="A815" t="s">
        <v>1137</v>
      </c>
      <c r="B815">
        <v>428720</v>
      </c>
      <c r="C815" t="s">
        <v>130</v>
      </c>
      <c r="D815" t="s">
        <v>1137</v>
      </c>
      <c r="E815" t="s">
        <v>1974</v>
      </c>
      <c r="G815" t="s">
        <v>1975</v>
      </c>
      <c r="J815">
        <v>5.1222566499999997</v>
      </c>
      <c r="K815">
        <v>0.21422175600000001</v>
      </c>
      <c r="L815">
        <v>0.25354511400000002</v>
      </c>
      <c r="M815" s="21">
        <v>-1.0896263580000001</v>
      </c>
      <c r="N815">
        <v>0.641326285</v>
      </c>
    </row>
    <row r="816" spans="1:14" x14ac:dyDescent="0.2">
      <c r="A816" t="s">
        <v>951</v>
      </c>
      <c r="B816">
        <v>452960</v>
      </c>
      <c r="C816" t="s">
        <v>14</v>
      </c>
      <c r="D816" t="s">
        <v>951</v>
      </c>
      <c r="E816" t="s">
        <v>1976</v>
      </c>
      <c r="G816" t="s">
        <v>1977</v>
      </c>
      <c r="J816">
        <v>6.7484204910000001</v>
      </c>
      <c r="K816">
        <v>0.48629166299999999</v>
      </c>
      <c r="L816">
        <v>0.375053939</v>
      </c>
      <c r="M816" s="21">
        <v>-1.089662956</v>
      </c>
      <c r="N816">
        <v>0.64113826799999996</v>
      </c>
    </row>
    <row r="817" spans="1:14" x14ac:dyDescent="0.2">
      <c r="A817" t="s">
        <v>935</v>
      </c>
      <c r="B817">
        <v>286920</v>
      </c>
      <c r="C817" t="s">
        <v>28</v>
      </c>
      <c r="D817" t="s">
        <v>935</v>
      </c>
      <c r="E817" t="s">
        <v>1978</v>
      </c>
      <c r="G817" t="s">
        <v>1979</v>
      </c>
      <c r="J817">
        <v>5.8462906840000004</v>
      </c>
      <c r="K817">
        <v>0.60615847</v>
      </c>
      <c r="L817">
        <v>0.28550877299999999</v>
      </c>
      <c r="M817" s="21">
        <v>-1.089992326</v>
      </c>
      <c r="N817">
        <v>0.63944616899999995</v>
      </c>
    </row>
    <row r="818" spans="1:14" x14ac:dyDescent="0.2">
      <c r="A818" t="s">
        <v>985</v>
      </c>
      <c r="B818">
        <v>435400</v>
      </c>
      <c r="C818" t="s">
        <v>58</v>
      </c>
      <c r="D818" t="s">
        <v>985</v>
      </c>
      <c r="E818" t="s">
        <v>1980</v>
      </c>
      <c r="G818" t="s">
        <v>1981</v>
      </c>
      <c r="J818">
        <v>4.5363847230000003</v>
      </c>
      <c r="K818">
        <v>0.245646371</v>
      </c>
      <c r="L818">
        <v>7.5242279999999995E-2</v>
      </c>
      <c r="M818" s="21">
        <v>-1.0901698710000001</v>
      </c>
      <c r="N818">
        <v>0.63853405299999999</v>
      </c>
    </row>
    <row r="819" spans="1:14" x14ac:dyDescent="0.2">
      <c r="A819" t="s">
        <v>718</v>
      </c>
      <c r="B819">
        <v>452280</v>
      </c>
      <c r="C819" t="s">
        <v>14</v>
      </c>
      <c r="D819" t="s">
        <v>718</v>
      </c>
      <c r="E819" t="s">
        <v>1982</v>
      </c>
      <c r="G819" t="s">
        <v>1983</v>
      </c>
      <c r="J819">
        <v>6.7484204910000001</v>
      </c>
      <c r="K819">
        <v>0.48629166299999999</v>
      </c>
      <c r="L819">
        <v>0.375053939</v>
      </c>
      <c r="M819" s="21">
        <v>-1.0904080469999999</v>
      </c>
      <c r="N819">
        <v>0.63731045600000003</v>
      </c>
    </row>
    <row r="820" spans="1:14" x14ac:dyDescent="0.2">
      <c r="A820" t="s">
        <v>1582</v>
      </c>
      <c r="B820">
        <v>286440</v>
      </c>
      <c r="C820" t="s">
        <v>28</v>
      </c>
      <c r="D820" t="s">
        <v>1583</v>
      </c>
      <c r="E820" t="s">
        <v>1984</v>
      </c>
      <c r="G820" t="s">
        <v>1985</v>
      </c>
      <c r="J820">
        <v>5.8462906840000004</v>
      </c>
      <c r="K820">
        <v>0.60615847</v>
      </c>
      <c r="L820">
        <v>0.28550877299999999</v>
      </c>
      <c r="M820" s="21">
        <v>-1.090425676</v>
      </c>
      <c r="N820">
        <v>0.63721988900000004</v>
      </c>
    </row>
    <row r="821" spans="1:14" x14ac:dyDescent="0.2">
      <c r="A821" t="s">
        <v>1986</v>
      </c>
      <c r="B821">
        <v>286440</v>
      </c>
      <c r="C821" t="s">
        <v>28</v>
      </c>
      <c r="D821" t="s">
        <v>1986</v>
      </c>
      <c r="E821" t="s">
        <v>1987</v>
      </c>
      <c r="G821" t="s">
        <v>1988</v>
      </c>
      <c r="J821">
        <v>5.8462906840000004</v>
      </c>
      <c r="K821">
        <v>0.60615847</v>
      </c>
      <c r="L821">
        <v>0.28550877299999999</v>
      </c>
      <c r="M821" s="21">
        <v>-1.090425676</v>
      </c>
      <c r="N821">
        <v>0.63721988900000004</v>
      </c>
    </row>
    <row r="822" spans="1:14" x14ac:dyDescent="0.2">
      <c r="A822" t="s">
        <v>1989</v>
      </c>
      <c r="B822">
        <v>374720</v>
      </c>
      <c r="C822" t="s">
        <v>84</v>
      </c>
      <c r="D822" t="s">
        <v>1990</v>
      </c>
      <c r="E822" t="s">
        <v>1991</v>
      </c>
      <c r="J822">
        <v>3.600219579</v>
      </c>
      <c r="K822">
        <v>-0.293098474</v>
      </c>
      <c r="L822">
        <v>-0.153917466</v>
      </c>
      <c r="M822" s="21">
        <v>-1.09042957</v>
      </c>
      <c r="N822">
        <v>0.63719988400000005</v>
      </c>
    </row>
    <row r="823" spans="1:14" x14ac:dyDescent="0.2">
      <c r="A823" t="s">
        <v>405</v>
      </c>
      <c r="B823">
        <v>427520</v>
      </c>
      <c r="C823" t="s">
        <v>130</v>
      </c>
      <c r="D823" t="s">
        <v>405</v>
      </c>
      <c r="E823" t="s">
        <v>1992</v>
      </c>
      <c r="G823" t="s">
        <v>1993</v>
      </c>
      <c r="J823">
        <v>5.1222566499999997</v>
      </c>
      <c r="K823">
        <v>0.21422175600000001</v>
      </c>
      <c r="L823">
        <v>0.25354511400000002</v>
      </c>
      <c r="M823" s="21">
        <v>-1.090581354</v>
      </c>
      <c r="N823">
        <v>0.63642011399999998</v>
      </c>
    </row>
    <row r="824" spans="1:14" x14ac:dyDescent="0.2">
      <c r="A824" t="s">
        <v>1076</v>
      </c>
      <c r="B824">
        <v>427400</v>
      </c>
      <c r="C824" t="s">
        <v>130</v>
      </c>
      <c r="D824" t="s">
        <v>1077</v>
      </c>
      <c r="E824" t="s">
        <v>1994</v>
      </c>
      <c r="G824" t="s">
        <v>1995</v>
      </c>
      <c r="J824">
        <v>5.1222566499999997</v>
      </c>
      <c r="K824">
        <v>0.21422175600000001</v>
      </c>
      <c r="L824">
        <v>0.25354511400000002</v>
      </c>
      <c r="M824" s="21">
        <v>-1.0906768529999999</v>
      </c>
      <c r="N824">
        <v>0.63592949700000001</v>
      </c>
    </row>
    <row r="825" spans="1:14" x14ac:dyDescent="0.2">
      <c r="A825" t="s">
        <v>1544</v>
      </c>
      <c r="B825">
        <v>240840</v>
      </c>
      <c r="C825" t="s">
        <v>34</v>
      </c>
      <c r="D825" t="s">
        <v>1545</v>
      </c>
      <c r="E825" t="s">
        <v>1996</v>
      </c>
      <c r="G825" t="s">
        <v>1997</v>
      </c>
      <c r="J825">
        <v>7.0544859390000001</v>
      </c>
      <c r="K825">
        <v>0.623000361</v>
      </c>
      <c r="L825">
        <v>0.42866702800000001</v>
      </c>
      <c r="M825" s="21">
        <v>-1.090692523</v>
      </c>
      <c r="N825">
        <v>0.63584899699999997</v>
      </c>
    </row>
    <row r="826" spans="1:14" x14ac:dyDescent="0.2">
      <c r="A826" t="s">
        <v>139</v>
      </c>
      <c r="B826">
        <v>434560</v>
      </c>
      <c r="C826" t="s">
        <v>58</v>
      </c>
      <c r="D826" t="s">
        <v>139</v>
      </c>
      <c r="E826" t="s">
        <v>1998</v>
      </c>
      <c r="G826" t="s">
        <v>1999</v>
      </c>
      <c r="J826">
        <v>4.5363847230000003</v>
      </c>
      <c r="K826">
        <v>0.245646371</v>
      </c>
      <c r="L826">
        <v>7.5242279999999995E-2</v>
      </c>
      <c r="M826" s="21">
        <v>-1.090981081</v>
      </c>
      <c r="N826">
        <v>0.63436656300000005</v>
      </c>
    </row>
    <row r="827" spans="1:14" x14ac:dyDescent="0.2">
      <c r="A827" t="s">
        <v>689</v>
      </c>
      <c r="B827">
        <v>374240</v>
      </c>
      <c r="C827" t="s">
        <v>84</v>
      </c>
      <c r="D827" t="s">
        <v>690</v>
      </c>
      <c r="E827" t="s">
        <v>2000</v>
      </c>
      <c r="J827">
        <v>3.600219579</v>
      </c>
      <c r="K827">
        <v>-0.293098474</v>
      </c>
      <c r="L827">
        <v>-0.153917466</v>
      </c>
      <c r="M827" s="21">
        <v>-1.0910578259999999</v>
      </c>
      <c r="N827">
        <v>0.63397229899999996</v>
      </c>
    </row>
    <row r="828" spans="1:14" x14ac:dyDescent="0.2">
      <c r="A828" t="s">
        <v>988</v>
      </c>
      <c r="B828">
        <v>285400</v>
      </c>
      <c r="C828" t="s">
        <v>28</v>
      </c>
      <c r="D828" t="s">
        <v>988</v>
      </c>
      <c r="E828" t="s">
        <v>2001</v>
      </c>
      <c r="G828" t="s">
        <v>2002</v>
      </c>
      <c r="J828">
        <v>5.8462906840000004</v>
      </c>
      <c r="K828">
        <v>0.60615847</v>
      </c>
      <c r="L828">
        <v>0.28550877299999999</v>
      </c>
      <c r="M828" s="21">
        <v>-1.091364601</v>
      </c>
      <c r="N828">
        <v>0.632396281</v>
      </c>
    </row>
    <row r="829" spans="1:14" x14ac:dyDescent="0.2">
      <c r="A829" t="s">
        <v>1073</v>
      </c>
      <c r="B829">
        <v>429320</v>
      </c>
      <c r="C829" t="s">
        <v>100</v>
      </c>
      <c r="D829" t="s">
        <v>1073</v>
      </c>
      <c r="E829" t="s">
        <v>2003</v>
      </c>
      <c r="G829" t="s">
        <v>2004</v>
      </c>
      <c r="J829">
        <v>5.9110743220000002</v>
      </c>
      <c r="K829">
        <v>0.71598987199999997</v>
      </c>
      <c r="L829">
        <v>0.29077365599999999</v>
      </c>
      <c r="M829" s="21">
        <v>-1.091409058</v>
      </c>
      <c r="N829">
        <v>0.63216788999999995</v>
      </c>
    </row>
    <row r="830" spans="1:14" x14ac:dyDescent="0.2">
      <c r="A830" t="s">
        <v>644</v>
      </c>
      <c r="B830">
        <v>334800</v>
      </c>
      <c r="C830" t="s">
        <v>68</v>
      </c>
      <c r="D830" t="s">
        <v>644</v>
      </c>
      <c r="E830" t="s">
        <v>2005</v>
      </c>
      <c r="G830" t="s">
        <v>2006</v>
      </c>
      <c r="J830">
        <v>6.4561903559999996</v>
      </c>
      <c r="K830">
        <v>0.47291064100000002</v>
      </c>
      <c r="L830">
        <v>0.34414126499999997</v>
      </c>
      <c r="M830" s="21">
        <v>-1.091415475</v>
      </c>
      <c r="N830">
        <v>0.63213492199999999</v>
      </c>
    </row>
    <row r="831" spans="1:14" x14ac:dyDescent="0.2">
      <c r="A831" t="s">
        <v>74</v>
      </c>
      <c r="B831">
        <v>458400</v>
      </c>
      <c r="C831" t="s">
        <v>149</v>
      </c>
      <c r="D831" t="s">
        <v>75</v>
      </c>
      <c r="E831" t="s">
        <v>2007</v>
      </c>
      <c r="G831" t="s">
        <v>2008</v>
      </c>
      <c r="J831">
        <v>5.0381074159999999</v>
      </c>
      <c r="K831">
        <v>0.81312368999999995</v>
      </c>
      <c r="L831">
        <v>0.16969141800000001</v>
      </c>
      <c r="M831" s="21">
        <v>-1.0914815120000001</v>
      </c>
      <c r="N831">
        <v>0.63179566300000001</v>
      </c>
    </row>
    <row r="832" spans="1:14" x14ac:dyDescent="0.2">
      <c r="A832" t="s">
        <v>1811</v>
      </c>
      <c r="B832">
        <v>239920</v>
      </c>
      <c r="C832" t="s">
        <v>34</v>
      </c>
      <c r="D832" t="s">
        <v>1811</v>
      </c>
      <c r="E832" t="s">
        <v>2009</v>
      </c>
      <c r="G832" t="s">
        <v>2010</v>
      </c>
      <c r="J832">
        <v>7.0544859390000001</v>
      </c>
      <c r="K832">
        <v>0.623000361</v>
      </c>
      <c r="L832">
        <v>0.42866702800000001</v>
      </c>
      <c r="M832" s="21">
        <v>-1.091501257</v>
      </c>
      <c r="N832">
        <v>0.63169422600000003</v>
      </c>
    </row>
    <row r="833" spans="1:14" x14ac:dyDescent="0.2">
      <c r="A833" t="s">
        <v>839</v>
      </c>
      <c r="B833">
        <v>433080</v>
      </c>
      <c r="C833" t="s">
        <v>58</v>
      </c>
      <c r="D833" t="s">
        <v>840</v>
      </c>
      <c r="E833" t="s">
        <v>2011</v>
      </c>
      <c r="G833" t="s">
        <v>2012</v>
      </c>
      <c r="J833">
        <v>4.5363847230000003</v>
      </c>
      <c r="K833">
        <v>0.245646371</v>
      </c>
      <c r="L833">
        <v>7.5242279999999995E-2</v>
      </c>
      <c r="M833" s="21">
        <v>-1.092410356</v>
      </c>
      <c r="N833">
        <v>0.62702384200000005</v>
      </c>
    </row>
    <row r="834" spans="1:14" x14ac:dyDescent="0.2">
      <c r="A834" t="s">
        <v>951</v>
      </c>
      <c r="B834">
        <v>238880</v>
      </c>
      <c r="C834" t="s">
        <v>34</v>
      </c>
      <c r="D834" t="s">
        <v>951</v>
      </c>
      <c r="E834" t="s">
        <v>2013</v>
      </c>
      <c r="G834" t="s">
        <v>2014</v>
      </c>
      <c r="J834">
        <v>7.0544859390000001</v>
      </c>
      <c r="K834">
        <v>0.623000361</v>
      </c>
      <c r="L834">
        <v>0.42866702800000001</v>
      </c>
      <c r="M834" s="21">
        <v>-1.0924154779999999</v>
      </c>
      <c r="N834">
        <v>0.62699752900000005</v>
      </c>
    </row>
    <row r="835" spans="1:14" x14ac:dyDescent="0.2">
      <c r="A835" t="s">
        <v>239</v>
      </c>
      <c r="B835">
        <v>428080</v>
      </c>
      <c r="C835" t="s">
        <v>100</v>
      </c>
      <c r="D835" t="s">
        <v>240</v>
      </c>
      <c r="E835" t="s">
        <v>2015</v>
      </c>
      <c r="G835" t="s">
        <v>2016</v>
      </c>
      <c r="J835">
        <v>5.9110743220000002</v>
      </c>
      <c r="K835">
        <v>0.71598987199999997</v>
      </c>
      <c r="L835">
        <v>0.29077365599999999</v>
      </c>
      <c r="M835" s="21">
        <v>-1.0926400220000001</v>
      </c>
      <c r="N835">
        <v>0.625843963</v>
      </c>
    </row>
    <row r="836" spans="1:14" x14ac:dyDescent="0.2">
      <c r="A836" t="s">
        <v>364</v>
      </c>
      <c r="B836">
        <v>432680</v>
      </c>
      <c r="C836" t="s">
        <v>58</v>
      </c>
      <c r="D836" t="s">
        <v>364</v>
      </c>
      <c r="E836" t="s">
        <v>2017</v>
      </c>
      <c r="G836" t="s">
        <v>2018</v>
      </c>
      <c r="J836">
        <v>4.5363847230000003</v>
      </c>
      <c r="K836">
        <v>0.245646371</v>
      </c>
      <c r="L836">
        <v>7.5242279999999995E-2</v>
      </c>
      <c r="M836" s="21">
        <v>-1.0927966469999999</v>
      </c>
      <c r="N836">
        <v>0.62503932299999998</v>
      </c>
    </row>
    <row r="837" spans="1:14" x14ac:dyDescent="0.2">
      <c r="A837" t="s">
        <v>1668</v>
      </c>
      <c r="B837">
        <v>238400</v>
      </c>
      <c r="C837" t="s">
        <v>34</v>
      </c>
      <c r="D837" t="s">
        <v>1668</v>
      </c>
      <c r="J837">
        <v>7.0544859390000001</v>
      </c>
      <c r="K837">
        <v>0.623000361</v>
      </c>
      <c r="L837">
        <v>0.42866702800000001</v>
      </c>
      <c r="M837" s="21">
        <v>-1.0928374270000001</v>
      </c>
      <c r="N837">
        <v>0.62482982200000003</v>
      </c>
    </row>
    <row r="838" spans="1:14" x14ac:dyDescent="0.2">
      <c r="A838" t="s">
        <v>765</v>
      </c>
      <c r="B838">
        <v>372680</v>
      </c>
      <c r="C838" t="s">
        <v>84</v>
      </c>
      <c r="D838" t="s">
        <v>766</v>
      </c>
      <c r="E838" t="s">
        <v>2019</v>
      </c>
      <c r="J838">
        <v>3.600219579</v>
      </c>
      <c r="K838">
        <v>-0.293098474</v>
      </c>
      <c r="L838">
        <v>-0.153917466</v>
      </c>
      <c r="M838" s="21">
        <v>-1.093099657</v>
      </c>
      <c r="N838">
        <v>0.623482647</v>
      </c>
    </row>
    <row r="839" spans="1:14" x14ac:dyDescent="0.2">
      <c r="A839" t="s">
        <v>67</v>
      </c>
      <c r="B839">
        <v>237640</v>
      </c>
      <c r="C839" t="s">
        <v>34</v>
      </c>
      <c r="D839" t="s">
        <v>69</v>
      </c>
      <c r="E839" t="s">
        <v>2020</v>
      </c>
      <c r="G839" t="s">
        <v>2021</v>
      </c>
      <c r="J839">
        <v>7.0544859390000001</v>
      </c>
      <c r="K839">
        <v>0.623000361</v>
      </c>
      <c r="L839">
        <v>0.42866702800000001</v>
      </c>
      <c r="M839" s="21">
        <v>-1.0935055119999999</v>
      </c>
      <c r="N839">
        <v>0.62139761999999998</v>
      </c>
    </row>
    <row r="840" spans="1:14" x14ac:dyDescent="0.2">
      <c r="A840" t="s">
        <v>482</v>
      </c>
      <c r="B840">
        <v>282880</v>
      </c>
      <c r="C840" t="s">
        <v>28</v>
      </c>
      <c r="D840" t="s">
        <v>482</v>
      </c>
      <c r="E840" t="s">
        <v>2022</v>
      </c>
      <c r="G840" t="s">
        <v>2023</v>
      </c>
      <c r="J840">
        <v>5.8462906840000004</v>
      </c>
      <c r="K840">
        <v>0.60615847</v>
      </c>
      <c r="L840">
        <v>0.28550877299999999</v>
      </c>
      <c r="M840" s="21">
        <v>-1.0936396880000001</v>
      </c>
      <c r="N840">
        <v>0.62070830799999999</v>
      </c>
    </row>
    <row r="841" spans="1:14" x14ac:dyDescent="0.2">
      <c r="A841" t="s">
        <v>369</v>
      </c>
      <c r="B841">
        <v>431560</v>
      </c>
      <c r="C841" t="s">
        <v>58</v>
      </c>
      <c r="D841" t="s">
        <v>369</v>
      </c>
      <c r="E841" t="s">
        <v>2024</v>
      </c>
      <c r="G841" t="s">
        <v>2025</v>
      </c>
      <c r="J841">
        <v>4.5363847230000003</v>
      </c>
      <c r="K841">
        <v>0.245646371</v>
      </c>
      <c r="L841">
        <v>7.5242279999999995E-2</v>
      </c>
      <c r="M841" s="21">
        <v>-1.093878261</v>
      </c>
      <c r="N841">
        <v>0.61948267000000001</v>
      </c>
    </row>
    <row r="842" spans="1:14" x14ac:dyDescent="0.2">
      <c r="A842" t="s">
        <v>1595</v>
      </c>
      <c r="B842">
        <v>455560</v>
      </c>
      <c r="C842" t="s">
        <v>149</v>
      </c>
      <c r="D842" t="s">
        <v>1595</v>
      </c>
      <c r="E842" t="s">
        <v>2026</v>
      </c>
      <c r="G842" t="s">
        <v>2027</v>
      </c>
      <c r="J842">
        <v>5.0381074159999999</v>
      </c>
      <c r="K842">
        <v>0.81312368999999995</v>
      </c>
      <c r="L842">
        <v>0.16969141800000001</v>
      </c>
      <c r="M842" s="21">
        <v>-1.094107422</v>
      </c>
      <c r="N842">
        <v>0.61830538199999996</v>
      </c>
    </row>
    <row r="843" spans="1:14" x14ac:dyDescent="0.2">
      <c r="A843" t="s">
        <v>2028</v>
      </c>
      <c r="B843">
        <v>331840</v>
      </c>
      <c r="C843" t="s">
        <v>68</v>
      </c>
      <c r="D843" t="s">
        <v>2028</v>
      </c>
      <c r="E843" t="s">
        <v>2029</v>
      </c>
      <c r="G843" t="s">
        <v>2030</v>
      </c>
      <c r="J843">
        <v>6.4561903559999996</v>
      </c>
      <c r="K843">
        <v>0.47291064100000002</v>
      </c>
      <c r="L843">
        <v>0.34414126499999997</v>
      </c>
      <c r="M843" s="21">
        <v>-1.0942779499999999</v>
      </c>
      <c r="N843">
        <v>0.61742931400000001</v>
      </c>
    </row>
    <row r="844" spans="1:14" x14ac:dyDescent="0.2">
      <c r="A844" t="s">
        <v>2031</v>
      </c>
      <c r="B844">
        <v>422760</v>
      </c>
      <c r="C844" t="s">
        <v>130</v>
      </c>
      <c r="D844" t="s">
        <v>2032</v>
      </c>
      <c r="E844" t="s">
        <v>2033</v>
      </c>
      <c r="G844" t="s">
        <v>2034</v>
      </c>
      <c r="J844">
        <v>5.1222566499999997</v>
      </c>
      <c r="K844">
        <v>0.21422175600000001</v>
      </c>
      <c r="L844">
        <v>0.25354511400000002</v>
      </c>
      <c r="M844" s="21">
        <v>-1.0943695040000001</v>
      </c>
      <c r="N844">
        <v>0.61695896900000002</v>
      </c>
    </row>
    <row r="845" spans="1:14" x14ac:dyDescent="0.2">
      <c r="A845" t="s">
        <v>2035</v>
      </c>
      <c r="B845">
        <v>281880</v>
      </c>
      <c r="C845" t="s">
        <v>28</v>
      </c>
      <c r="D845" t="s">
        <v>2035</v>
      </c>
      <c r="E845" t="s">
        <v>2036</v>
      </c>
      <c r="G845" t="s">
        <v>2037</v>
      </c>
      <c r="J845">
        <v>5.8462906840000004</v>
      </c>
      <c r="K845">
        <v>0.60615847</v>
      </c>
      <c r="L845">
        <v>0.28550877299999999</v>
      </c>
      <c r="M845" s="21">
        <v>-1.0945425</v>
      </c>
      <c r="N845">
        <v>0.616070224</v>
      </c>
    </row>
    <row r="846" spans="1:14" x14ac:dyDescent="0.2">
      <c r="A846" t="s">
        <v>1422</v>
      </c>
      <c r="B846">
        <v>281800</v>
      </c>
      <c r="C846" t="s">
        <v>28</v>
      </c>
      <c r="D846" t="s">
        <v>1423</v>
      </c>
      <c r="E846" t="s">
        <v>2038</v>
      </c>
      <c r="G846" t="s">
        <v>2039</v>
      </c>
      <c r="J846">
        <v>5.8462906840000004</v>
      </c>
      <c r="K846">
        <v>0.60615847</v>
      </c>
      <c r="L846">
        <v>0.28550877299999999</v>
      </c>
      <c r="M846" s="21">
        <v>-1.094614725</v>
      </c>
      <c r="N846">
        <v>0.61569917699999999</v>
      </c>
    </row>
    <row r="847" spans="1:14" x14ac:dyDescent="0.2">
      <c r="A847" t="s">
        <v>2040</v>
      </c>
      <c r="B847">
        <v>430760</v>
      </c>
      <c r="C847" t="s">
        <v>58</v>
      </c>
      <c r="D847" t="s">
        <v>2040</v>
      </c>
      <c r="E847" t="s">
        <v>2041</v>
      </c>
      <c r="G847" t="s">
        <v>2042</v>
      </c>
      <c r="J847">
        <v>4.5363847230000003</v>
      </c>
      <c r="K847">
        <v>0.245646371</v>
      </c>
      <c r="L847">
        <v>7.5242279999999995E-2</v>
      </c>
      <c r="M847" s="21">
        <v>-1.0946508420000001</v>
      </c>
      <c r="N847">
        <v>0.61551363100000001</v>
      </c>
    </row>
    <row r="848" spans="1:14" x14ac:dyDescent="0.2">
      <c r="A848" t="s">
        <v>607</v>
      </c>
      <c r="B848">
        <v>454880</v>
      </c>
      <c r="C848" t="s">
        <v>149</v>
      </c>
      <c r="D848" t="s">
        <v>607</v>
      </c>
      <c r="E848" t="s">
        <v>2043</v>
      </c>
      <c r="G848" t="s">
        <v>2044</v>
      </c>
      <c r="J848">
        <v>5.0381074159999999</v>
      </c>
      <c r="K848">
        <v>0.81312368999999995</v>
      </c>
      <c r="L848">
        <v>0.16969141800000001</v>
      </c>
      <c r="M848" s="21">
        <v>-1.0947361609999999</v>
      </c>
      <c r="N848">
        <v>0.61507531500000001</v>
      </c>
    </row>
    <row r="849" spans="1:14" x14ac:dyDescent="0.2">
      <c r="A849" t="s">
        <v>622</v>
      </c>
      <c r="B849">
        <v>281600</v>
      </c>
      <c r="C849" t="s">
        <v>28</v>
      </c>
      <c r="D849" t="s">
        <v>622</v>
      </c>
      <c r="E849" t="s">
        <v>2045</v>
      </c>
      <c r="G849" t="s">
        <v>2046</v>
      </c>
      <c r="J849">
        <v>5.8462906840000004</v>
      </c>
      <c r="K849">
        <v>0.60615847</v>
      </c>
      <c r="L849">
        <v>0.28550877299999999</v>
      </c>
      <c r="M849" s="21">
        <v>-1.094795287</v>
      </c>
      <c r="N849">
        <v>0.61477155999999999</v>
      </c>
    </row>
    <row r="850" spans="1:14" x14ac:dyDescent="0.2">
      <c r="A850" t="s">
        <v>431</v>
      </c>
      <c r="B850">
        <v>236080</v>
      </c>
      <c r="C850" t="s">
        <v>34</v>
      </c>
      <c r="D850" t="s">
        <v>432</v>
      </c>
      <c r="E850" t="s">
        <v>2047</v>
      </c>
      <c r="G850" t="s">
        <v>2048</v>
      </c>
      <c r="J850">
        <v>7.0544859390000001</v>
      </c>
      <c r="K850">
        <v>0.623000361</v>
      </c>
      <c r="L850">
        <v>0.42866702800000001</v>
      </c>
      <c r="M850" s="21">
        <v>-1.0948768440000001</v>
      </c>
      <c r="N850">
        <v>0.61435257399999998</v>
      </c>
    </row>
    <row r="851" spans="1:14" x14ac:dyDescent="0.2">
      <c r="A851" t="s">
        <v>1082</v>
      </c>
      <c r="B851">
        <v>330840</v>
      </c>
      <c r="C851" t="s">
        <v>68</v>
      </c>
      <c r="D851" t="s">
        <v>1082</v>
      </c>
      <c r="E851" t="s">
        <v>2049</v>
      </c>
      <c r="G851" t="s">
        <v>2050</v>
      </c>
      <c r="J851">
        <v>6.4561903559999996</v>
      </c>
      <c r="K851">
        <v>0.47291064100000002</v>
      </c>
      <c r="L851">
        <v>0.34414126499999997</v>
      </c>
      <c r="M851" s="21">
        <v>-1.0952450030000001</v>
      </c>
      <c r="N851">
        <v>0.61246120299999995</v>
      </c>
    </row>
    <row r="852" spans="1:14" x14ac:dyDescent="0.2">
      <c r="A852" t="s">
        <v>1251</v>
      </c>
      <c r="B852">
        <v>421520</v>
      </c>
      <c r="C852" t="s">
        <v>130</v>
      </c>
      <c r="D852" t="s">
        <v>1251</v>
      </c>
      <c r="E852" t="s">
        <v>2051</v>
      </c>
      <c r="G852" t="s">
        <v>2052</v>
      </c>
      <c r="J852">
        <v>5.1222566499999997</v>
      </c>
      <c r="K852">
        <v>0.21422175600000001</v>
      </c>
      <c r="L852">
        <v>0.25354511400000002</v>
      </c>
      <c r="M852" s="21">
        <v>-1.095356333</v>
      </c>
      <c r="N852">
        <v>0.61188925900000002</v>
      </c>
    </row>
    <row r="853" spans="1:14" x14ac:dyDescent="0.2">
      <c r="A853" t="s">
        <v>727</v>
      </c>
      <c r="B853">
        <v>370880</v>
      </c>
      <c r="C853" t="s">
        <v>84</v>
      </c>
      <c r="D853" t="s">
        <v>727</v>
      </c>
      <c r="E853" t="s">
        <v>2053</v>
      </c>
      <c r="J853">
        <v>3.600219579</v>
      </c>
      <c r="K853">
        <v>-0.293098474</v>
      </c>
      <c r="L853">
        <v>-0.153917466</v>
      </c>
      <c r="M853" s="21">
        <v>-1.095455616</v>
      </c>
      <c r="N853">
        <v>0.61137920199999995</v>
      </c>
    </row>
    <row r="854" spans="1:14" x14ac:dyDescent="0.2">
      <c r="A854" t="s">
        <v>2054</v>
      </c>
      <c r="B854">
        <v>330440</v>
      </c>
      <c r="C854" t="s">
        <v>68</v>
      </c>
      <c r="D854" t="s">
        <v>2054</v>
      </c>
      <c r="E854" t="s">
        <v>2055</v>
      </c>
      <c r="G854" t="s">
        <v>2056</v>
      </c>
      <c r="J854">
        <v>6.4561903559999996</v>
      </c>
      <c r="K854">
        <v>0.47291064100000002</v>
      </c>
      <c r="L854">
        <v>0.34414126499999997</v>
      </c>
      <c r="M854" s="21">
        <v>-1.095631824</v>
      </c>
      <c r="N854">
        <v>0.61047395900000001</v>
      </c>
    </row>
    <row r="855" spans="1:14" x14ac:dyDescent="0.2">
      <c r="A855" t="s">
        <v>1456</v>
      </c>
      <c r="B855">
        <v>424560</v>
      </c>
      <c r="C855" t="s">
        <v>100</v>
      </c>
      <c r="D855" t="s">
        <v>1457</v>
      </c>
      <c r="E855" t="s">
        <v>2057</v>
      </c>
      <c r="G855" t="s">
        <v>2058</v>
      </c>
      <c r="J855">
        <v>5.9110743220000002</v>
      </c>
      <c r="K855">
        <v>0.71598987199999997</v>
      </c>
      <c r="L855">
        <v>0.29077365599999999</v>
      </c>
      <c r="M855" s="21">
        <v>-1.096134374</v>
      </c>
      <c r="N855">
        <v>0.60789217200000001</v>
      </c>
    </row>
    <row r="856" spans="1:14" x14ac:dyDescent="0.2">
      <c r="A856" t="s">
        <v>1133</v>
      </c>
      <c r="B856">
        <v>329720</v>
      </c>
      <c r="C856" t="s">
        <v>68</v>
      </c>
      <c r="D856" t="s">
        <v>1134</v>
      </c>
      <c r="E856" t="s">
        <v>2059</v>
      </c>
      <c r="G856" t="s">
        <v>2060</v>
      </c>
      <c r="J856">
        <v>6.4561903559999996</v>
      </c>
      <c r="K856">
        <v>0.47291064100000002</v>
      </c>
      <c r="L856">
        <v>0.34414126499999997</v>
      </c>
      <c r="M856" s="21">
        <v>-1.096328102</v>
      </c>
      <c r="N856">
        <v>0.60689691899999998</v>
      </c>
    </row>
    <row r="857" spans="1:14" x14ac:dyDescent="0.2">
      <c r="A857" t="s">
        <v>1688</v>
      </c>
      <c r="B857">
        <v>279440</v>
      </c>
      <c r="C857" t="s">
        <v>28</v>
      </c>
      <c r="D857" t="s">
        <v>1688</v>
      </c>
      <c r="E857" t="s">
        <v>2061</v>
      </c>
      <c r="G857" t="s">
        <v>2062</v>
      </c>
      <c r="J857">
        <v>5.8462906840000004</v>
      </c>
      <c r="K857">
        <v>0.60615847</v>
      </c>
      <c r="L857">
        <v>0.28550877299999999</v>
      </c>
      <c r="M857" s="21">
        <v>-1.0967453620000001</v>
      </c>
      <c r="N857">
        <v>0.60475329700000002</v>
      </c>
    </row>
    <row r="858" spans="1:14" x14ac:dyDescent="0.2">
      <c r="A858" t="s">
        <v>947</v>
      </c>
      <c r="B858">
        <v>233880</v>
      </c>
      <c r="C858" t="s">
        <v>34</v>
      </c>
      <c r="D858" t="s">
        <v>948</v>
      </c>
      <c r="E858" t="s">
        <v>2063</v>
      </c>
      <c r="G858" t="s">
        <v>2064</v>
      </c>
      <c r="J858">
        <v>7.0544859390000001</v>
      </c>
      <c r="K858">
        <v>0.623000361</v>
      </c>
      <c r="L858">
        <v>0.42866702800000001</v>
      </c>
      <c r="M858" s="21">
        <v>-1.0968107739999999</v>
      </c>
      <c r="N858">
        <v>0.60441725199999996</v>
      </c>
    </row>
    <row r="859" spans="1:14" x14ac:dyDescent="0.2">
      <c r="A859" t="s">
        <v>801</v>
      </c>
      <c r="B859">
        <v>233720</v>
      </c>
      <c r="C859" t="s">
        <v>34</v>
      </c>
      <c r="D859" t="s">
        <v>801</v>
      </c>
      <c r="E859" t="s">
        <v>2065</v>
      </c>
      <c r="G859" t="s">
        <v>2066</v>
      </c>
      <c r="J859">
        <v>7.0544859390000001</v>
      </c>
      <c r="K859">
        <v>0.623000361</v>
      </c>
      <c r="L859">
        <v>0.42866702800000001</v>
      </c>
      <c r="M859" s="21">
        <v>-1.0969514229999999</v>
      </c>
      <c r="N859">
        <v>0.60369468299999995</v>
      </c>
    </row>
    <row r="860" spans="1:14" x14ac:dyDescent="0.2">
      <c r="A860" t="s">
        <v>1764</v>
      </c>
      <c r="B860">
        <v>279160</v>
      </c>
      <c r="C860" t="s">
        <v>28</v>
      </c>
      <c r="D860" t="s">
        <v>1764</v>
      </c>
      <c r="E860" t="s">
        <v>2067</v>
      </c>
      <c r="G860" t="s">
        <v>2068</v>
      </c>
      <c r="J860">
        <v>5.8462906840000004</v>
      </c>
      <c r="K860">
        <v>0.60615847</v>
      </c>
      <c r="L860">
        <v>0.28550877299999999</v>
      </c>
      <c r="M860" s="21">
        <v>-1.096998149</v>
      </c>
      <c r="N860">
        <v>0.60345463399999999</v>
      </c>
    </row>
    <row r="861" spans="1:14" x14ac:dyDescent="0.2">
      <c r="A861" t="s">
        <v>697</v>
      </c>
      <c r="B861">
        <v>279120</v>
      </c>
      <c r="C861" t="s">
        <v>28</v>
      </c>
      <c r="D861" t="s">
        <v>698</v>
      </c>
      <c r="E861" t="s">
        <v>2069</v>
      </c>
      <c r="G861" t="s">
        <v>2070</v>
      </c>
      <c r="J861">
        <v>5.8462906840000004</v>
      </c>
      <c r="K861">
        <v>0.60615847</v>
      </c>
      <c r="L861">
        <v>0.28550877299999999</v>
      </c>
      <c r="M861" s="21">
        <v>-1.097034262</v>
      </c>
      <c r="N861">
        <v>0.60326911000000005</v>
      </c>
    </row>
    <row r="862" spans="1:14" x14ac:dyDescent="0.2">
      <c r="A862" t="s">
        <v>681</v>
      </c>
      <c r="B862">
        <v>328960</v>
      </c>
      <c r="C862" t="s">
        <v>68</v>
      </c>
      <c r="D862" t="s">
        <v>682</v>
      </c>
      <c r="E862" t="s">
        <v>2071</v>
      </c>
      <c r="G862" t="s">
        <v>2072</v>
      </c>
      <c r="J862">
        <v>6.4561903559999996</v>
      </c>
      <c r="K862">
        <v>0.47291064100000002</v>
      </c>
      <c r="L862">
        <v>0.34414126499999997</v>
      </c>
      <c r="M862" s="21">
        <v>-1.0970630610000001</v>
      </c>
      <c r="N862">
        <v>0.60312115499999996</v>
      </c>
    </row>
    <row r="863" spans="1:14" x14ac:dyDescent="0.2">
      <c r="A863" t="s">
        <v>2073</v>
      </c>
      <c r="B863">
        <v>419320</v>
      </c>
      <c r="C863" t="s">
        <v>130</v>
      </c>
      <c r="D863" t="s">
        <v>2074</v>
      </c>
      <c r="E863" t="s">
        <v>2075</v>
      </c>
      <c r="G863" t="s">
        <v>2076</v>
      </c>
      <c r="J863">
        <v>5.1222566499999997</v>
      </c>
      <c r="K863">
        <v>0.21422175600000001</v>
      </c>
      <c r="L863">
        <v>0.25354511400000002</v>
      </c>
      <c r="M863" s="21">
        <v>-1.097107158</v>
      </c>
      <c r="N863">
        <v>0.60289461200000005</v>
      </c>
    </row>
    <row r="864" spans="1:14" x14ac:dyDescent="0.2">
      <c r="A864" t="s">
        <v>2077</v>
      </c>
      <c r="B864">
        <v>233520</v>
      </c>
      <c r="C864" t="s">
        <v>34</v>
      </c>
      <c r="D864" t="s">
        <v>2077</v>
      </c>
      <c r="E864" t="s">
        <v>2078</v>
      </c>
      <c r="G864" t="s">
        <v>2079</v>
      </c>
      <c r="J864">
        <v>7.0544859390000001</v>
      </c>
      <c r="K864">
        <v>0.623000361</v>
      </c>
      <c r="L864">
        <v>0.42866702800000001</v>
      </c>
      <c r="M864" s="21">
        <v>-1.0971272350000001</v>
      </c>
      <c r="N864">
        <v>0.60279147200000005</v>
      </c>
    </row>
    <row r="865" spans="1:14" x14ac:dyDescent="0.2">
      <c r="A865" t="s">
        <v>2080</v>
      </c>
      <c r="B865">
        <v>445760</v>
      </c>
      <c r="C865" t="s">
        <v>14</v>
      </c>
      <c r="D865" t="s">
        <v>2080</v>
      </c>
      <c r="E865" t="s">
        <v>2081</v>
      </c>
      <c r="G865" t="s">
        <v>2082</v>
      </c>
      <c r="J865">
        <v>6.7484204910000001</v>
      </c>
      <c r="K865">
        <v>0.48629166299999999</v>
      </c>
      <c r="L865">
        <v>0.375053939</v>
      </c>
      <c r="M865" s="21">
        <v>-1.0975521559999999</v>
      </c>
      <c r="N865">
        <v>0.60060849199999999</v>
      </c>
    </row>
    <row r="866" spans="1:14" x14ac:dyDescent="0.2">
      <c r="A866" t="s">
        <v>853</v>
      </c>
      <c r="B866">
        <v>278280</v>
      </c>
      <c r="C866" t="s">
        <v>28</v>
      </c>
      <c r="D866" t="s">
        <v>854</v>
      </c>
      <c r="E866" t="s">
        <v>2083</v>
      </c>
      <c r="G866" t="s">
        <v>2084</v>
      </c>
      <c r="J866">
        <v>5.8462906840000004</v>
      </c>
      <c r="K866">
        <v>0.60615847</v>
      </c>
      <c r="L866">
        <v>0.28550877299999999</v>
      </c>
      <c r="M866" s="21">
        <v>-1.097792624</v>
      </c>
      <c r="N866">
        <v>0.59937311900000001</v>
      </c>
    </row>
    <row r="867" spans="1:14" x14ac:dyDescent="0.2">
      <c r="A867" t="s">
        <v>2077</v>
      </c>
      <c r="B867">
        <v>278240</v>
      </c>
      <c r="C867" t="s">
        <v>28</v>
      </c>
      <c r="D867" t="s">
        <v>2077</v>
      </c>
      <c r="E867" t="s">
        <v>2085</v>
      </c>
      <c r="G867" t="s">
        <v>2086</v>
      </c>
      <c r="J867">
        <v>5.8462906840000004</v>
      </c>
      <c r="K867">
        <v>0.60615847</v>
      </c>
      <c r="L867">
        <v>0.28550877299999999</v>
      </c>
      <c r="M867" s="21">
        <v>-1.0978287369999999</v>
      </c>
      <c r="N867">
        <v>0.59918759600000004</v>
      </c>
    </row>
    <row r="868" spans="1:14" x14ac:dyDescent="0.2">
      <c r="A868" t="s">
        <v>985</v>
      </c>
      <c r="B868">
        <v>418120</v>
      </c>
      <c r="C868" t="s">
        <v>130</v>
      </c>
      <c r="D868" t="s">
        <v>985</v>
      </c>
      <c r="E868" t="s">
        <v>2087</v>
      </c>
      <c r="G868" t="s">
        <v>2088</v>
      </c>
      <c r="J868">
        <v>5.1222566499999997</v>
      </c>
      <c r="K868">
        <v>0.21422175600000001</v>
      </c>
      <c r="L868">
        <v>0.25354511400000002</v>
      </c>
      <c r="M868" s="21">
        <v>-1.098062154</v>
      </c>
      <c r="N868">
        <v>0.59798844100000004</v>
      </c>
    </row>
    <row r="869" spans="1:14" x14ac:dyDescent="0.2">
      <c r="A869" t="s">
        <v>2089</v>
      </c>
      <c r="B869">
        <v>450800</v>
      </c>
      <c r="C869" t="s">
        <v>149</v>
      </c>
      <c r="D869" t="s">
        <v>2090</v>
      </c>
      <c r="E869" t="s">
        <v>2091</v>
      </c>
      <c r="G869" t="s">
        <v>2092</v>
      </c>
      <c r="J869">
        <v>5.0381074159999999</v>
      </c>
      <c r="K869">
        <v>0.81312368999999995</v>
      </c>
      <c r="L869">
        <v>0.16969141800000001</v>
      </c>
      <c r="M869" s="21">
        <v>-1.0985085939999999</v>
      </c>
      <c r="N869">
        <v>0.59569491200000002</v>
      </c>
    </row>
    <row r="870" spans="1:14" x14ac:dyDescent="0.2">
      <c r="A870" t="s">
        <v>663</v>
      </c>
      <c r="B870">
        <v>368320</v>
      </c>
      <c r="C870" t="s">
        <v>84</v>
      </c>
      <c r="D870" t="s">
        <v>663</v>
      </c>
      <c r="E870" t="s">
        <v>2093</v>
      </c>
      <c r="J870">
        <v>3.600219579</v>
      </c>
      <c r="K870">
        <v>-0.293098474</v>
      </c>
      <c r="L870">
        <v>-0.153917466</v>
      </c>
      <c r="M870" s="21">
        <v>-1.098806314</v>
      </c>
      <c r="N870">
        <v>0.59416541499999997</v>
      </c>
    </row>
    <row r="871" spans="1:14" x14ac:dyDescent="0.2">
      <c r="A871" t="s">
        <v>408</v>
      </c>
      <c r="B871">
        <v>450080</v>
      </c>
      <c r="C871" t="s">
        <v>149</v>
      </c>
      <c r="D871" t="s">
        <v>408</v>
      </c>
      <c r="E871" t="s">
        <v>2094</v>
      </c>
      <c r="G871" t="s">
        <v>2095</v>
      </c>
      <c r="J871">
        <v>5.0381074159999999</v>
      </c>
      <c r="K871">
        <v>0.81312368999999995</v>
      </c>
      <c r="L871">
        <v>0.16969141800000001</v>
      </c>
      <c r="M871" s="21">
        <v>-1.099174318</v>
      </c>
      <c r="N871">
        <v>0.59227484100000005</v>
      </c>
    </row>
    <row r="872" spans="1:14" x14ac:dyDescent="0.2">
      <c r="A872" t="s">
        <v>1174</v>
      </c>
      <c r="B872">
        <v>421400</v>
      </c>
      <c r="C872" t="s">
        <v>100</v>
      </c>
      <c r="D872" t="s">
        <v>1174</v>
      </c>
      <c r="E872" t="s">
        <v>2096</v>
      </c>
      <c r="G872" t="s">
        <v>2097</v>
      </c>
      <c r="J872">
        <v>5.9110743220000002</v>
      </c>
      <c r="K872">
        <v>0.71598987199999997</v>
      </c>
      <c r="L872">
        <v>0.29077365599999999</v>
      </c>
      <c r="M872" s="21">
        <v>-1.099271348</v>
      </c>
      <c r="N872">
        <v>0.59177635900000003</v>
      </c>
    </row>
    <row r="873" spans="1:14" x14ac:dyDescent="0.2">
      <c r="A873" t="s">
        <v>1031</v>
      </c>
      <c r="B873">
        <v>276640</v>
      </c>
      <c r="C873" t="s">
        <v>28</v>
      </c>
      <c r="D873" t="s">
        <v>1031</v>
      </c>
      <c r="E873" t="s">
        <v>2098</v>
      </c>
      <c r="G873" t="s">
        <v>2099</v>
      </c>
      <c r="J873">
        <v>5.8462906840000004</v>
      </c>
      <c r="K873">
        <v>0.60615847</v>
      </c>
      <c r="L873">
        <v>0.28550877299999999</v>
      </c>
      <c r="M873" s="21">
        <v>-1.0992732359999999</v>
      </c>
      <c r="N873">
        <v>0.59176666099999997</v>
      </c>
    </row>
    <row r="874" spans="1:14" x14ac:dyDescent="0.2">
      <c r="A874" t="s">
        <v>929</v>
      </c>
      <c r="B874">
        <v>443920</v>
      </c>
      <c r="C874" t="s">
        <v>14</v>
      </c>
      <c r="D874" t="s">
        <v>929</v>
      </c>
      <c r="E874" t="s">
        <v>2100</v>
      </c>
      <c r="G874" t="s">
        <v>2101</v>
      </c>
      <c r="J874">
        <v>6.7484204910000001</v>
      </c>
      <c r="K874">
        <v>0.48629166299999999</v>
      </c>
      <c r="L874">
        <v>0.375053939</v>
      </c>
      <c r="M874" s="21">
        <v>-1.0995682849999999</v>
      </c>
      <c r="N874">
        <v>0.59025088199999998</v>
      </c>
    </row>
    <row r="875" spans="1:14" x14ac:dyDescent="0.2">
      <c r="A875" t="s">
        <v>1181</v>
      </c>
      <c r="B875">
        <v>443720</v>
      </c>
      <c r="C875" t="s">
        <v>14</v>
      </c>
      <c r="D875" t="s">
        <v>1181</v>
      </c>
      <c r="E875" t="s">
        <v>2102</v>
      </c>
      <c r="G875" t="s">
        <v>2103</v>
      </c>
      <c r="J875">
        <v>6.7484204910000001</v>
      </c>
      <c r="K875">
        <v>0.48629166299999999</v>
      </c>
      <c r="L875">
        <v>0.375053939</v>
      </c>
      <c r="M875" s="21">
        <v>-1.0997874299999999</v>
      </c>
      <c r="N875">
        <v>0.58912505500000001</v>
      </c>
    </row>
    <row r="876" spans="1:14" x14ac:dyDescent="0.2">
      <c r="A876" t="s">
        <v>583</v>
      </c>
      <c r="B876">
        <v>425400</v>
      </c>
      <c r="C876" t="s">
        <v>58</v>
      </c>
      <c r="D876" t="s">
        <v>583</v>
      </c>
      <c r="E876" t="s">
        <v>2104</v>
      </c>
      <c r="G876" t="s">
        <v>2105</v>
      </c>
      <c r="J876">
        <v>4.5363847230000003</v>
      </c>
      <c r="K876">
        <v>0.245646371</v>
      </c>
      <c r="L876">
        <v>7.5242279999999995E-2</v>
      </c>
      <c r="M876" s="21">
        <v>-1.099827135</v>
      </c>
      <c r="N876">
        <v>0.58892107500000002</v>
      </c>
    </row>
    <row r="877" spans="1:14" x14ac:dyDescent="0.2">
      <c r="A877" t="s">
        <v>832</v>
      </c>
      <c r="B877">
        <v>276000</v>
      </c>
      <c r="C877" t="s">
        <v>28</v>
      </c>
      <c r="D877" t="s">
        <v>832</v>
      </c>
      <c r="E877" t="s">
        <v>2106</v>
      </c>
      <c r="G877" t="s">
        <v>2107</v>
      </c>
      <c r="J877">
        <v>5.8462906840000004</v>
      </c>
      <c r="K877">
        <v>0.60615847</v>
      </c>
      <c r="L877">
        <v>0.28550877299999999</v>
      </c>
      <c r="M877" s="21">
        <v>-1.099851036</v>
      </c>
      <c r="N877">
        <v>0.58879828700000003</v>
      </c>
    </row>
    <row r="878" spans="1:14" x14ac:dyDescent="0.2">
      <c r="A878" t="s">
        <v>2108</v>
      </c>
      <c r="B878">
        <v>230400</v>
      </c>
      <c r="C878" t="s">
        <v>34</v>
      </c>
      <c r="D878" t="s">
        <v>2108</v>
      </c>
      <c r="E878" t="s">
        <v>2109</v>
      </c>
      <c r="G878" t="s">
        <v>2110</v>
      </c>
      <c r="J878">
        <v>7.0544859390000001</v>
      </c>
      <c r="K878">
        <v>0.623000361</v>
      </c>
      <c r="L878">
        <v>0.42866702800000001</v>
      </c>
      <c r="M878" s="21">
        <v>-1.099869899</v>
      </c>
      <c r="N878">
        <v>0.58870137899999997</v>
      </c>
    </row>
    <row r="879" spans="1:14" x14ac:dyDescent="0.2">
      <c r="A879" t="s">
        <v>74</v>
      </c>
      <c r="B879">
        <v>325720</v>
      </c>
      <c r="C879" t="s">
        <v>68</v>
      </c>
      <c r="D879" t="s">
        <v>75</v>
      </c>
      <c r="E879" t="s">
        <v>2111</v>
      </c>
      <c r="G879" t="s">
        <v>2112</v>
      </c>
      <c r="J879">
        <v>6.4561903559999996</v>
      </c>
      <c r="K879">
        <v>0.47291064100000002</v>
      </c>
      <c r="L879">
        <v>0.34414126499999997</v>
      </c>
      <c r="M879" s="21">
        <v>-1.100196312</v>
      </c>
      <c r="N879">
        <v>0.58702447599999996</v>
      </c>
    </row>
    <row r="880" spans="1:14" x14ac:dyDescent="0.2">
      <c r="A880" t="s">
        <v>253</v>
      </c>
      <c r="B880">
        <v>229960</v>
      </c>
      <c r="C880" t="s">
        <v>34</v>
      </c>
      <c r="D880" t="s">
        <v>254</v>
      </c>
      <c r="E880" t="s">
        <v>2113</v>
      </c>
      <c r="G880" t="s">
        <v>2114</v>
      </c>
      <c r="J880">
        <v>7.0544859390000001</v>
      </c>
      <c r="K880">
        <v>0.623000361</v>
      </c>
      <c r="L880">
        <v>0.42866702800000001</v>
      </c>
      <c r="M880" s="21">
        <v>-1.100256685</v>
      </c>
      <c r="N880">
        <v>0.58671431399999996</v>
      </c>
    </row>
    <row r="881" spans="1:14" x14ac:dyDescent="0.2">
      <c r="A881" t="s">
        <v>1049</v>
      </c>
      <c r="B881">
        <v>229920</v>
      </c>
      <c r="C881" t="s">
        <v>34</v>
      </c>
      <c r="D881" t="s">
        <v>1049</v>
      </c>
      <c r="E881" t="s">
        <v>2115</v>
      </c>
      <c r="G881" t="s">
        <v>2116</v>
      </c>
      <c r="J881">
        <v>7.0544859390000001</v>
      </c>
      <c r="K881">
        <v>0.623000361</v>
      </c>
      <c r="L881">
        <v>0.42866702800000001</v>
      </c>
      <c r="M881" s="21">
        <v>-1.1002918479999999</v>
      </c>
      <c r="N881">
        <v>0.58653367199999995</v>
      </c>
    </row>
    <row r="882" spans="1:14" x14ac:dyDescent="0.2">
      <c r="A882" t="s">
        <v>143</v>
      </c>
      <c r="B882">
        <v>367000</v>
      </c>
      <c r="C882" t="s">
        <v>84</v>
      </c>
      <c r="D882" t="s">
        <v>144</v>
      </c>
      <c r="E882" t="s">
        <v>2117</v>
      </c>
      <c r="J882">
        <v>3.600219579</v>
      </c>
      <c r="K882">
        <v>-0.293098474</v>
      </c>
      <c r="L882">
        <v>-0.153917466</v>
      </c>
      <c r="M882" s="21">
        <v>-1.100534017</v>
      </c>
      <c r="N882">
        <v>0.58528955500000002</v>
      </c>
    </row>
    <row r="883" spans="1:14" x14ac:dyDescent="0.2">
      <c r="A883" t="s">
        <v>2118</v>
      </c>
      <c r="B883">
        <v>424440</v>
      </c>
      <c r="C883" t="s">
        <v>58</v>
      </c>
      <c r="D883" t="s">
        <v>2119</v>
      </c>
      <c r="E883" t="s">
        <v>2120</v>
      </c>
      <c r="G883" t="s">
        <v>2121</v>
      </c>
      <c r="J883">
        <v>4.5363847230000003</v>
      </c>
      <c r="K883">
        <v>0.245646371</v>
      </c>
      <c r="L883">
        <v>7.5242279999999995E-2</v>
      </c>
      <c r="M883" s="21">
        <v>-1.1007542320000001</v>
      </c>
      <c r="N883">
        <v>0.58415822900000003</v>
      </c>
    </row>
    <row r="884" spans="1:14" x14ac:dyDescent="0.2">
      <c r="A884" t="s">
        <v>995</v>
      </c>
      <c r="B884">
        <v>325120</v>
      </c>
      <c r="C884" t="s">
        <v>68</v>
      </c>
      <c r="D884" t="s">
        <v>995</v>
      </c>
      <c r="E884" t="s">
        <v>2122</v>
      </c>
      <c r="G884" t="s">
        <v>2123</v>
      </c>
      <c r="J884">
        <v>6.4561903559999996</v>
      </c>
      <c r="K884">
        <v>0.47291064100000002</v>
      </c>
      <c r="L884">
        <v>0.34414126499999997</v>
      </c>
      <c r="M884" s="21">
        <v>-1.1007765430000001</v>
      </c>
      <c r="N884">
        <v>0.58404361000000005</v>
      </c>
    </row>
    <row r="885" spans="1:14" x14ac:dyDescent="0.2">
      <c r="A885" t="s">
        <v>1729</v>
      </c>
      <c r="B885">
        <v>366800</v>
      </c>
      <c r="C885" t="s">
        <v>84</v>
      </c>
      <c r="D885" t="s">
        <v>1729</v>
      </c>
      <c r="E885" t="s">
        <v>2124</v>
      </c>
      <c r="J885">
        <v>3.600219579</v>
      </c>
      <c r="K885">
        <v>-0.293098474</v>
      </c>
      <c r="L885">
        <v>-0.153917466</v>
      </c>
      <c r="M885" s="21">
        <v>-1.1007957909999999</v>
      </c>
      <c r="N885">
        <v>0.58394472799999997</v>
      </c>
    </row>
    <row r="886" spans="1:14" x14ac:dyDescent="0.2">
      <c r="A886" t="s">
        <v>901</v>
      </c>
      <c r="B886">
        <v>325080</v>
      </c>
      <c r="C886" t="s">
        <v>68</v>
      </c>
      <c r="D886" t="s">
        <v>902</v>
      </c>
      <c r="E886" t="s">
        <v>2125</v>
      </c>
      <c r="G886" t="s">
        <v>2126</v>
      </c>
      <c r="J886">
        <v>6.4561903559999996</v>
      </c>
      <c r="K886">
        <v>0.47291064100000002</v>
      </c>
      <c r="L886">
        <v>0.34414126499999997</v>
      </c>
      <c r="M886" s="21">
        <v>-1.1008152250000001</v>
      </c>
      <c r="N886">
        <v>0.58384488499999998</v>
      </c>
    </row>
    <row r="887" spans="1:14" x14ac:dyDescent="0.2">
      <c r="A887" t="s">
        <v>944</v>
      </c>
      <c r="B887">
        <v>324680</v>
      </c>
      <c r="C887" t="s">
        <v>68</v>
      </c>
      <c r="D887" t="s">
        <v>944</v>
      </c>
      <c r="E887" t="s">
        <v>2127</v>
      </c>
      <c r="G887" t="s">
        <v>2128</v>
      </c>
      <c r="J887">
        <v>6.4561903559999996</v>
      </c>
      <c r="K887">
        <v>0.47291064100000002</v>
      </c>
      <c r="L887">
        <v>0.34414126499999997</v>
      </c>
      <c r="M887" s="21">
        <v>-1.101202046</v>
      </c>
      <c r="N887">
        <v>0.58185764100000004</v>
      </c>
    </row>
    <row r="888" spans="1:14" x14ac:dyDescent="0.2">
      <c r="A888" t="s">
        <v>616</v>
      </c>
      <c r="B888">
        <v>274400</v>
      </c>
      <c r="C888" t="s">
        <v>28</v>
      </c>
      <c r="D888" t="s">
        <v>616</v>
      </c>
      <c r="E888" t="s">
        <v>2129</v>
      </c>
      <c r="G888" t="s">
        <v>2130</v>
      </c>
      <c r="J888">
        <v>5.8462906840000004</v>
      </c>
      <c r="K888">
        <v>0.60615847</v>
      </c>
      <c r="L888">
        <v>0.28550877299999999</v>
      </c>
      <c r="M888" s="21">
        <v>-1.1012955360000001</v>
      </c>
      <c r="N888">
        <v>0.58137735099999999</v>
      </c>
    </row>
    <row r="889" spans="1:14" x14ac:dyDescent="0.2">
      <c r="A889" t="s">
        <v>632</v>
      </c>
      <c r="B889">
        <v>419240</v>
      </c>
      <c r="C889" t="s">
        <v>100</v>
      </c>
      <c r="D889" t="s">
        <v>632</v>
      </c>
      <c r="E889" t="s">
        <v>2131</v>
      </c>
      <c r="G889" t="s">
        <v>2132</v>
      </c>
      <c r="J889">
        <v>5.9110743220000002</v>
      </c>
      <c r="K889">
        <v>0.71598987199999997</v>
      </c>
      <c r="L889">
        <v>0.29077365599999999</v>
      </c>
      <c r="M889" s="21">
        <v>-1.101415609</v>
      </c>
      <c r="N889">
        <v>0.58076048700000005</v>
      </c>
    </row>
    <row r="890" spans="1:14" x14ac:dyDescent="0.2">
      <c r="A890" t="s">
        <v>438</v>
      </c>
      <c r="B890">
        <v>447640</v>
      </c>
      <c r="C890" t="s">
        <v>149</v>
      </c>
      <c r="D890" t="s">
        <v>438</v>
      </c>
      <c r="E890" t="s">
        <v>2133</v>
      </c>
      <c r="G890" t="s">
        <v>2134</v>
      </c>
      <c r="J890">
        <v>5.0381074159999999</v>
      </c>
      <c r="K890">
        <v>0.81312368999999995</v>
      </c>
      <c r="L890">
        <v>0.16969141800000001</v>
      </c>
      <c r="M890" s="21">
        <v>-1.1014303809999999</v>
      </c>
      <c r="N890">
        <v>0.5806846</v>
      </c>
    </row>
    <row r="891" spans="1:14" x14ac:dyDescent="0.2">
      <c r="A891" t="s">
        <v>1582</v>
      </c>
      <c r="B891">
        <v>447520</v>
      </c>
      <c r="C891" t="s">
        <v>149</v>
      </c>
      <c r="D891" t="s">
        <v>1583</v>
      </c>
      <c r="E891" t="s">
        <v>2135</v>
      </c>
      <c r="G891" t="s">
        <v>2136</v>
      </c>
      <c r="J891">
        <v>5.0381074159999999</v>
      </c>
      <c r="K891">
        <v>0.81312368999999995</v>
      </c>
      <c r="L891">
        <v>0.16969141800000001</v>
      </c>
      <c r="M891" s="21">
        <v>-1.1015413350000001</v>
      </c>
      <c r="N891">
        <v>0.58011458800000004</v>
      </c>
    </row>
    <row r="892" spans="1:14" x14ac:dyDescent="0.2">
      <c r="A892" t="s">
        <v>1343</v>
      </c>
      <c r="B892">
        <v>273960</v>
      </c>
      <c r="C892" t="s">
        <v>28</v>
      </c>
      <c r="D892" t="s">
        <v>1344</v>
      </c>
      <c r="E892" t="s">
        <v>2137</v>
      </c>
      <c r="G892" t="s">
        <v>2138</v>
      </c>
      <c r="J892">
        <v>5.8462906840000004</v>
      </c>
      <c r="K892">
        <v>0.60615847</v>
      </c>
      <c r="L892">
        <v>0.28550877299999999</v>
      </c>
      <c r="M892" s="21">
        <v>-1.1016927729999999</v>
      </c>
      <c r="N892">
        <v>0.57933659400000004</v>
      </c>
    </row>
    <row r="893" spans="1:14" x14ac:dyDescent="0.2">
      <c r="A893" t="s">
        <v>2139</v>
      </c>
      <c r="B893">
        <v>413280</v>
      </c>
      <c r="C893" t="s">
        <v>130</v>
      </c>
      <c r="D893" t="s">
        <v>2140</v>
      </c>
      <c r="E893" t="s">
        <v>2141</v>
      </c>
      <c r="G893" t="s">
        <v>2142</v>
      </c>
      <c r="J893">
        <v>5.1222566499999997</v>
      </c>
      <c r="K893">
        <v>0.21422175600000001</v>
      </c>
      <c r="L893">
        <v>0.25354511400000002</v>
      </c>
      <c r="M893" s="21">
        <v>-1.1019139710000001</v>
      </c>
      <c r="N893">
        <v>0.57820021799999999</v>
      </c>
    </row>
    <row r="894" spans="1:14" x14ac:dyDescent="0.2">
      <c r="A894" t="s">
        <v>504</v>
      </c>
      <c r="B894">
        <v>228040</v>
      </c>
      <c r="C894" t="s">
        <v>34</v>
      </c>
      <c r="D894" t="s">
        <v>504</v>
      </c>
      <c r="J894">
        <v>7.0544859390000001</v>
      </c>
      <c r="K894">
        <v>0.623000361</v>
      </c>
      <c r="L894">
        <v>0.42866702800000001</v>
      </c>
      <c r="M894" s="21">
        <v>-1.1019444789999999</v>
      </c>
      <c r="N894">
        <v>0.57804348800000005</v>
      </c>
    </row>
    <row r="895" spans="1:14" x14ac:dyDescent="0.2">
      <c r="A895" t="s">
        <v>218</v>
      </c>
      <c r="B895">
        <v>446600</v>
      </c>
      <c r="C895" t="s">
        <v>149</v>
      </c>
      <c r="D895" t="s">
        <v>218</v>
      </c>
      <c r="E895" t="s">
        <v>2143</v>
      </c>
      <c r="G895" t="s">
        <v>2144</v>
      </c>
      <c r="J895">
        <v>5.0381074159999999</v>
      </c>
      <c r="K895">
        <v>0.81312368999999995</v>
      </c>
      <c r="L895">
        <v>0.16969141800000001</v>
      </c>
      <c r="M895" s="21">
        <v>-1.1023919820000001</v>
      </c>
      <c r="N895">
        <v>0.57574449699999997</v>
      </c>
    </row>
    <row r="896" spans="1:14" x14ac:dyDescent="0.2">
      <c r="A896" t="s">
        <v>190</v>
      </c>
      <c r="B896">
        <v>412320</v>
      </c>
      <c r="C896" t="s">
        <v>130</v>
      </c>
      <c r="D896" t="s">
        <v>190</v>
      </c>
      <c r="E896" t="s">
        <v>2145</v>
      </c>
      <c r="G896" t="s">
        <v>2146</v>
      </c>
      <c r="J896">
        <v>5.1222566499999997</v>
      </c>
      <c r="K896">
        <v>0.21422175600000001</v>
      </c>
      <c r="L896">
        <v>0.25354511400000002</v>
      </c>
      <c r="M896" s="21">
        <v>-1.102677967</v>
      </c>
      <c r="N896">
        <v>0.57427528100000003</v>
      </c>
    </row>
    <row r="897" spans="1:14" x14ac:dyDescent="0.2">
      <c r="A897" t="s">
        <v>1160</v>
      </c>
      <c r="B897">
        <v>322480</v>
      </c>
      <c r="C897" t="s">
        <v>68</v>
      </c>
      <c r="D897" t="s">
        <v>1160</v>
      </c>
      <c r="E897" t="s">
        <v>2147</v>
      </c>
      <c r="G897" t="s">
        <v>2148</v>
      </c>
      <c r="J897">
        <v>6.4561903559999996</v>
      </c>
      <c r="K897">
        <v>0.47291064100000002</v>
      </c>
      <c r="L897">
        <v>0.34414126499999997</v>
      </c>
      <c r="M897" s="21">
        <v>-1.1033295620000001</v>
      </c>
      <c r="N897">
        <v>0.57092779699999996</v>
      </c>
    </row>
    <row r="898" spans="1:14" x14ac:dyDescent="0.2">
      <c r="A898" t="s">
        <v>2149</v>
      </c>
      <c r="B898">
        <v>364840</v>
      </c>
      <c r="C898" t="s">
        <v>84</v>
      </c>
      <c r="D898" t="s">
        <v>2149</v>
      </c>
      <c r="E898" t="s">
        <v>2150</v>
      </c>
      <c r="J898">
        <v>3.600219579</v>
      </c>
      <c r="K898">
        <v>-0.293098474</v>
      </c>
      <c r="L898">
        <v>-0.153917466</v>
      </c>
      <c r="M898" s="21">
        <v>-1.103361169</v>
      </c>
      <c r="N898">
        <v>0.57076542200000002</v>
      </c>
    </row>
    <row r="899" spans="1:14" x14ac:dyDescent="0.2">
      <c r="A899" t="s">
        <v>311</v>
      </c>
      <c r="B899">
        <v>322400</v>
      </c>
      <c r="C899" t="s">
        <v>68</v>
      </c>
      <c r="D899" t="s">
        <v>311</v>
      </c>
      <c r="E899" t="s">
        <v>2151</v>
      </c>
      <c r="G899" t="s">
        <v>2152</v>
      </c>
      <c r="J899">
        <v>6.4561903559999996</v>
      </c>
      <c r="K899">
        <v>0.47291064100000002</v>
      </c>
      <c r="L899">
        <v>0.34414126499999997</v>
      </c>
      <c r="M899" s="21">
        <v>-1.1034069259999999</v>
      </c>
      <c r="N899">
        <v>0.57053034800000002</v>
      </c>
    </row>
    <row r="900" spans="1:14" x14ac:dyDescent="0.2">
      <c r="A900" t="s">
        <v>458</v>
      </c>
      <c r="B900">
        <v>364600</v>
      </c>
      <c r="C900" t="s">
        <v>84</v>
      </c>
      <c r="D900" t="s">
        <v>459</v>
      </c>
      <c r="E900" t="s">
        <v>2153</v>
      </c>
      <c r="J900">
        <v>3.600219579</v>
      </c>
      <c r="K900">
        <v>-0.293098474</v>
      </c>
      <c r="L900">
        <v>-0.153917466</v>
      </c>
      <c r="M900" s="21">
        <v>-1.103675296</v>
      </c>
      <c r="N900">
        <v>0.56915162900000005</v>
      </c>
    </row>
    <row r="901" spans="1:14" x14ac:dyDescent="0.2">
      <c r="A901" t="s">
        <v>551</v>
      </c>
      <c r="B901">
        <v>322000</v>
      </c>
      <c r="C901" t="s">
        <v>68</v>
      </c>
      <c r="D901" t="s">
        <v>551</v>
      </c>
      <c r="E901" t="s">
        <v>2154</v>
      </c>
      <c r="G901" t="s">
        <v>2155</v>
      </c>
      <c r="J901">
        <v>6.4561903559999996</v>
      </c>
      <c r="K901">
        <v>0.47291064100000002</v>
      </c>
      <c r="L901">
        <v>0.34414126499999997</v>
      </c>
      <c r="M901" s="21">
        <v>-1.1037937470000001</v>
      </c>
      <c r="N901">
        <v>0.56854310399999997</v>
      </c>
    </row>
    <row r="902" spans="1:14" x14ac:dyDescent="0.2">
      <c r="A902" t="s">
        <v>796</v>
      </c>
      <c r="B902">
        <v>364480</v>
      </c>
      <c r="C902" t="s">
        <v>84</v>
      </c>
      <c r="D902" t="s">
        <v>796</v>
      </c>
      <c r="E902" t="s">
        <v>2156</v>
      </c>
      <c r="J902">
        <v>3.600219579</v>
      </c>
      <c r="K902">
        <v>-0.293098474</v>
      </c>
      <c r="L902">
        <v>-0.153917466</v>
      </c>
      <c r="M902" s="21">
        <v>-1.10383236</v>
      </c>
      <c r="N902">
        <v>0.56834473299999999</v>
      </c>
    </row>
    <row r="903" spans="1:14" x14ac:dyDescent="0.2">
      <c r="A903" t="s">
        <v>178</v>
      </c>
      <c r="B903">
        <v>364480</v>
      </c>
      <c r="C903" t="s">
        <v>84</v>
      </c>
      <c r="D903" t="s">
        <v>178</v>
      </c>
      <c r="E903" t="s">
        <v>2157</v>
      </c>
      <c r="J903">
        <v>3.600219579</v>
      </c>
      <c r="K903">
        <v>-0.293098474</v>
      </c>
      <c r="L903">
        <v>-0.153917466</v>
      </c>
      <c r="M903" s="21">
        <v>-1.10383236</v>
      </c>
      <c r="N903">
        <v>0.56834473299999999</v>
      </c>
    </row>
    <row r="904" spans="1:14" x14ac:dyDescent="0.2">
      <c r="A904" t="s">
        <v>1055</v>
      </c>
      <c r="B904">
        <v>364320</v>
      </c>
      <c r="C904" t="s">
        <v>84</v>
      </c>
      <c r="D904" t="s">
        <v>1055</v>
      </c>
      <c r="E904" t="s">
        <v>2158</v>
      </c>
      <c r="J904">
        <v>3.600219579</v>
      </c>
      <c r="K904">
        <v>-0.293098474</v>
      </c>
      <c r="L904">
        <v>-0.153917466</v>
      </c>
      <c r="M904" s="21">
        <v>-1.1040417789999999</v>
      </c>
      <c r="N904">
        <v>0.56726887100000001</v>
      </c>
    </row>
    <row r="905" spans="1:14" x14ac:dyDescent="0.2">
      <c r="A905" t="s">
        <v>574</v>
      </c>
      <c r="B905">
        <v>416520</v>
      </c>
      <c r="C905" t="s">
        <v>100</v>
      </c>
      <c r="D905" t="s">
        <v>574</v>
      </c>
      <c r="E905" t="s">
        <v>2159</v>
      </c>
      <c r="G905" t="s">
        <v>2160</v>
      </c>
      <c r="J905">
        <v>5.9110743220000002</v>
      </c>
      <c r="K905">
        <v>0.71598987199999997</v>
      </c>
      <c r="L905">
        <v>0.29077365599999999</v>
      </c>
      <c r="M905" s="21">
        <v>-1.10411579</v>
      </c>
      <c r="N905">
        <v>0.56688864800000005</v>
      </c>
    </row>
    <row r="906" spans="1:14" x14ac:dyDescent="0.2">
      <c r="A906" t="s">
        <v>1076</v>
      </c>
      <c r="B906">
        <v>321600</v>
      </c>
      <c r="C906" t="s">
        <v>68</v>
      </c>
      <c r="D906" t="s">
        <v>1077</v>
      </c>
      <c r="E906" t="s">
        <v>2161</v>
      </c>
      <c r="G906" t="s">
        <v>2162</v>
      </c>
      <c r="J906">
        <v>6.4561903559999996</v>
      </c>
      <c r="K906">
        <v>0.47291064100000002</v>
      </c>
      <c r="L906">
        <v>0.34414126499999997</v>
      </c>
      <c r="M906" s="21">
        <v>-1.1041805680000001</v>
      </c>
      <c r="N906">
        <v>0.56655586000000002</v>
      </c>
    </row>
    <row r="907" spans="1:14" x14ac:dyDescent="0.2">
      <c r="A907" t="s">
        <v>259</v>
      </c>
      <c r="B907">
        <v>321560</v>
      </c>
      <c r="C907" t="s">
        <v>68</v>
      </c>
      <c r="D907" t="s">
        <v>260</v>
      </c>
      <c r="E907" t="s">
        <v>2163</v>
      </c>
      <c r="G907" t="s">
        <v>2164</v>
      </c>
      <c r="J907">
        <v>6.4561903559999996</v>
      </c>
      <c r="K907">
        <v>0.47291064100000002</v>
      </c>
      <c r="L907">
        <v>0.34414126499999997</v>
      </c>
      <c r="M907" s="21">
        <v>-1.1042192500000001</v>
      </c>
      <c r="N907">
        <v>0.56635713499999996</v>
      </c>
    </row>
    <row r="908" spans="1:14" x14ac:dyDescent="0.2">
      <c r="A908" t="s">
        <v>2054</v>
      </c>
      <c r="B908">
        <v>410360</v>
      </c>
      <c r="C908" t="s">
        <v>130</v>
      </c>
      <c r="D908" t="s">
        <v>2054</v>
      </c>
      <c r="E908" t="s">
        <v>2165</v>
      </c>
      <c r="G908" t="s">
        <v>2166</v>
      </c>
      <c r="J908">
        <v>5.1222566499999997</v>
      </c>
      <c r="K908">
        <v>0.21422175600000001</v>
      </c>
      <c r="L908">
        <v>0.25354511400000002</v>
      </c>
      <c r="M908" s="21">
        <v>-1.1042377940000001</v>
      </c>
      <c r="N908">
        <v>0.56626186899999997</v>
      </c>
    </row>
    <row r="909" spans="1:14" x14ac:dyDescent="0.2">
      <c r="A909" t="s">
        <v>2167</v>
      </c>
      <c r="B909">
        <v>225360</v>
      </c>
      <c r="C909" t="s">
        <v>34</v>
      </c>
      <c r="D909" t="s">
        <v>2168</v>
      </c>
      <c r="E909" t="s">
        <v>2169</v>
      </c>
      <c r="G909" t="s">
        <v>2170</v>
      </c>
      <c r="J909">
        <v>7.0544859390000001</v>
      </c>
      <c r="K909">
        <v>0.623000361</v>
      </c>
      <c r="L909">
        <v>0.42866702800000001</v>
      </c>
      <c r="M909" s="21">
        <v>-1.1043003570000001</v>
      </c>
      <c r="N909">
        <v>0.56594045999999998</v>
      </c>
    </row>
    <row r="910" spans="1:14" x14ac:dyDescent="0.2">
      <c r="A910" t="s">
        <v>111</v>
      </c>
      <c r="B910">
        <v>410000</v>
      </c>
      <c r="C910" t="s">
        <v>130</v>
      </c>
      <c r="D910" t="s">
        <v>112</v>
      </c>
      <c r="E910" t="s">
        <v>2171</v>
      </c>
      <c r="G910" t="s">
        <v>2172</v>
      </c>
      <c r="J910">
        <v>5.1222566499999997</v>
      </c>
      <c r="K910">
        <v>0.21422175600000001</v>
      </c>
      <c r="L910">
        <v>0.25354511400000002</v>
      </c>
      <c r="M910" s="21">
        <v>-1.1045242930000001</v>
      </c>
      <c r="N910">
        <v>0.56479001699999998</v>
      </c>
    </row>
    <row r="911" spans="1:14" x14ac:dyDescent="0.2">
      <c r="A911" t="s">
        <v>812</v>
      </c>
      <c r="B911">
        <v>224920</v>
      </c>
      <c r="C911" t="s">
        <v>34</v>
      </c>
      <c r="D911" t="s">
        <v>813</v>
      </c>
      <c r="E911" t="s">
        <v>2173</v>
      </c>
      <c r="G911" t="s">
        <v>2174</v>
      </c>
      <c r="J911">
        <v>7.0544859390000001</v>
      </c>
      <c r="K911">
        <v>0.623000361</v>
      </c>
      <c r="L911">
        <v>0.42866702800000001</v>
      </c>
      <c r="M911" s="21">
        <v>-1.104687143</v>
      </c>
      <c r="N911">
        <v>0.56395339499999997</v>
      </c>
    </row>
    <row r="912" spans="1:14" x14ac:dyDescent="0.2">
      <c r="A912" t="s">
        <v>111</v>
      </c>
      <c r="B912">
        <v>439160</v>
      </c>
      <c r="C912" t="s">
        <v>14</v>
      </c>
      <c r="D912" t="s">
        <v>112</v>
      </c>
      <c r="E912" t="s">
        <v>2175</v>
      </c>
      <c r="G912" t="s">
        <v>2176</v>
      </c>
      <c r="J912">
        <v>6.7484204910000001</v>
      </c>
      <c r="K912">
        <v>0.48629166299999999</v>
      </c>
      <c r="L912">
        <v>0.375053939</v>
      </c>
      <c r="M912" s="21">
        <v>-1.1047839239999999</v>
      </c>
      <c r="N912">
        <v>0.56345619700000005</v>
      </c>
    </row>
    <row r="913" spans="1:14" x14ac:dyDescent="0.2">
      <c r="A913" t="s">
        <v>801</v>
      </c>
      <c r="B913">
        <v>443920</v>
      </c>
      <c r="C913" t="s">
        <v>149</v>
      </c>
      <c r="D913" t="s">
        <v>801</v>
      </c>
      <c r="E913" t="s">
        <v>2177</v>
      </c>
      <c r="G913" t="s">
        <v>2178</v>
      </c>
      <c r="J913">
        <v>5.0381074159999999</v>
      </c>
      <c r="K913">
        <v>0.81312368999999995</v>
      </c>
      <c r="L913">
        <v>0.16969141800000001</v>
      </c>
      <c r="M913" s="21">
        <v>-1.1048699529999999</v>
      </c>
      <c r="N913">
        <v>0.563014232</v>
      </c>
    </row>
    <row r="914" spans="1:14" x14ac:dyDescent="0.2">
      <c r="A914" t="s">
        <v>2028</v>
      </c>
      <c r="B914">
        <v>443800</v>
      </c>
      <c r="C914" t="s">
        <v>149</v>
      </c>
      <c r="D914" t="s">
        <v>2028</v>
      </c>
      <c r="E914" t="s">
        <v>2179</v>
      </c>
      <c r="G914" t="s">
        <v>2180</v>
      </c>
      <c r="J914">
        <v>5.0381074159999999</v>
      </c>
      <c r="K914">
        <v>0.81312368999999995</v>
      </c>
      <c r="L914">
        <v>0.16969141800000001</v>
      </c>
      <c r="M914" s="21">
        <v>-1.1049809070000001</v>
      </c>
      <c r="N914">
        <v>0.56244422100000002</v>
      </c>
    </row>
    <row r="915" spans="1:14" x14ac:dyDescent="0.2">
      <c r="A915" t="s">
        <v>169</v>
      </c>
      <c r="B915">
        <v>415560</v>
      </c>
      <c r="C915" t="s">
        <v>100</v>
      </c>
      <c r="D915" t="s">
        <v>169</v>
      </c>
      <c r="E915" t="s">
        <v>2181</v>
      </c>
      <c r="G915" t="s">
        <v>2182</v>
      </c>
      <c r="J915">
        <v>5.9110743220000002</v>
      </c>
      <c r="K915">
        <v>0.71598987199999997</v>
      </c>
      <c r="L915">
        <v>0.29077365599999999</v>
      </c>
      <c r="M915" s="21">
        <v>-1.105068795</v>
      </c>
      <c r="N915">
        <v>0.56199270499999998</v>
      </c>
    </row>
    <row r="916" spans="1:14" x14ac:dyDescent="0.2">
      <c r="A916" t="s">
        <v>1076</v>
      </c>
      <c r="B916">
        <v>363360</v>
      </c>
      <c r="C916" t="s">
        <v>84</v>
      </c>
      <c r="D916" t="s">
        <v>1077</v>
      </c>
      <c r="E916" t="s">
        <v>2183</v>
      </c>
      <c r="J916">
        <v>3.600219579</v>
      </c>
      <c r="K916">
        <v>-0.293098474</v>
      </c>
      <c r="L916">
        <v>-0.153917466</v>
      </c>
      <c r="M916" s="21">
        <v>-1.105298291</v>
      </c>
      <c r="N916">
        <v>0.56081369999999997</v>
      </c>
    </row>
    <row r="917" spans="1:14" x14ac:dyDescent="0.2">
      <c r="A917" t="s">
        <v>572</v>
      </c>
      <c r="B917">
        <v>269800</v>
      </c>
      <c r="C917" t="s">
        <v>28</v>
      </c>
      <c r="D917" t="s">
        <v>572</v>
      </c>
      <c r="E917" t="s">
        <v>2184</v>
      </c>
      <c r="G917" t="s">
        <v>2185</v>
      </c>
      <c r="J917">
        <v>5.8462906840000004</v>
      </c>
      <c r="K917">
        <v>0.60615847</v>
      </c>
      <c r="L917">
        <v>0.28550877299999999</v>
      </c>
      <c r="M917" s="21">
        <v>-1.105448472</v>
      </c>
      <c r="N917">
        <v>0.56004216299999998</v>
      </c>
    </row>
    <row r="918" spans="1:14" x14ac:dyDescent="0.2">
      <c r="A918" t="s">
        <v>1535</v>
      </c>
      <c r="B918">
        <v>269680</v>
      </c>
      <c r="C918" t="s">
        <v>28</v>
      </c>
      <c r="D918" t="s">
        <v>1535</v>
      </c>
      <c r="E918" t="s">
        <v>2186</v>
      </c>
      <c r="G918" t="s">
        <v>2187</v>
      </c>
      <c r="J918">
        <v>5.8462906840000004</v>
      </c>
      <c r="K918">
        <v>0.60615847</v>
      </c>
      <c r="L918">
        <v>0.28550877299999999</v>
      </c>
      <c r="M918" s="21">
        <v>-1.1055568090000001</v>
      </c>
      <c r="N918">
        <v>0.55948559200000003</v>
      </c>
    </row>
    <row r="919" spans="1:14" x14ac:dyDescent="0.2">
      <c r="A919" t="s">
        <v>2188</v>
      </c>
      <c r="B919">
        <v>438360</v>
      </c>
      <c r="C919" t="s">
        <v>14</v>
      </c>
      <c r="D919" t="s">
        <v>2188</v>
      </c>
      <c r="E919" t="s">
        <v>2189</v>
      </c>
      <c r="G919" t="s">
        <v>2190</v>
      </c>
      <c r="J919">
        <v>6.7484204910000001</v>
      </c>
      <c r="K919">
        <v>0.48629166299999999</v>
      </c>
      <c r="L919">
        <v>0.375053939</v>
      </c>
      <c r="M919" s="21">
        <v>-1.105660501</v>
      </c>
      <c r="N919">
        <v>0.55895288799999998</v>
      </c>
    </row>
    <row r="920" spans="1:14" x14ac:dyDescent="0.2">
      <c r="A920" t="s">
        <v>482</v>
      </c>
      <c r="B920">
        <v>408440</v>
      </c>
      <c r="C920" t="s">
        <v>130</v>
      </c>
      <c r="D920" t="s">
        <v>482</v>
      </c>
      <c r="E920" t="s">
        <v>2191</v>
      </c>
      <c r="G920" t="s">
        <v>2192</v>
      </c>
      <c r="J920">
        <v>5.1222566499999997</v>
      </c>
      <c r="K920">
        <v>0.21422175600000001</v>
      </c>
      <c r="L920">
        <v>0.25354511400000002</v>
      </c>
      <c r="M920" s="21">
        <v>-1.1057657869999999</v>
      </c>
      <c r="N920">
        <v>0.55841199500000005</v>
      </c>
    </row>
    <row r="921" spans="1:14" x14ac:dyDescent="0.2">
      <c r="A921" t="s">
        <v>616</v>
      </c>
      <c r="B921">
        <v>363000</v>
      </c>
      <c r="C921" t="s">
        <v>84</v>
      </c>
      <c r="D921" t="s">
        <v>616</v>
      </c>
      <c r="E921" t="s">
        <v>2193</v>
      </c>
      <c r="J921">
        <v>3.600219579</v>
      </c>
      <c r="K921">
        <v>-0.293098474</v>
      </c>
      <c r="L921">
        <v>-0.153917466</v>
      </c>
      <c r="M921" s="21">
        <v>-1.1057694819999999</v>
      </c>
      <c r="N921">
        <v>0.55839301200000002</v>
      </c>
    </row>
    <row r="922" spans="1:14" x14ac:dyDescent="0.2">
      <c r="A922" t="s">
        <v>2080</v>
      </c>
      <c r="B922">
        <v>362960</v>
      </c>
      <c r="C922" t="s">
        <v>84</v>
      </c>
      <c r="D922" t="s">
        <v>2080</v>
      </c>
      <c r="E922" t="s">
        <v>2194</v>
      </c>
      <c r="J922">
        <v>3.600219579</v>
      </c>
      <c r="K922">
        <v>-0.293098474</v>
      </c>
      <c r="L922">
        <v>-0.153917466</v>
      </c>
      <c r="M922" s="21">
        <v>-1.1058218369999999</v>
      </c>
      <c r="N922">
        <v>0.55812404599999998</v>
      </c>
    </row>
    <row r="923" spans="1:14" x14ac:dyDescent="0.2">
      <c r="A923" t="s">
        <v>574</v>
      </c>
      <c r="B923">
        <v>438080</v>
      </c>
      <c r="C923" t="s">
        <v>14</v>
      </c>
      <c r="D923" t="s">
        <v>574</v>
      </c>
      <c r="E923" t="s">
        <v>2195</v>
      </c>
      <c r="G923" t="s">
        <v>2196</v>
      </c>
      <c r="J923">
        <v>6.7484204910000001</v>
      </c>
      <c r="K923">
        <v>0.48629166299999999</v>
      </c>
      <c r="L923">
        <v>0.375053939</v>
      </c>
      <c r="M923" s="21">
        <v>-1.105967304</v>
      </c>
      <c r="N923">
        <v>0.55737672999999999</v>
      </c>
    </row>
    <row r="924" spans="1:14" x14ac:dyDescent="0.2">
      <c r="A924" t="s">
        <v>598</v>
      </c>
      <c r="B924">
        <v>414520</v>
      </c>
      <c r="C924" t="s">
        <v>100</v>
      </c>
      <c r="D924" t="s">
        <v>598</v>
      </c>
      <c r="E924" t="s">
        <v>2197</v>
      </c>
      <c r="G924" t="s">
        <v>2198</v>
      </c>
      <c r="J924">
        <v>5.9110743220000002</v>
      </c>
      <c r="K924">
        <v>0.71598987199999997</v>
      </c>
      <c r="L924">
        <v>0.29077365599999999</v>
      </c>
      <c r="M924" s="21">
        <v>-1.106101217</v>
      </c>
      <c r="N924">
        <v>0.55668876700000003</v>
      </c>
    </row>
    <row r="925" spans="1:14" x14ac:dyDescent="0.2">
      <c r="A925" t="s">
        <v>157</v>
      </c>
      <c r="B925">
        <v>442560</v>
      </c>
      <c r="C925" t="s">
        <v>149</v>
      </c>
      <c r="D925" t="s">
        <v>157</v>
      </c>
      <c r="E925" t="s">
        <v>2199</v>
      </c>
      <c r="G925" t="s">
        <v>2200</v>
      </c>
      <c r="J925">
        <v>5.0381074159999999</v>
      </c>
      <c r="K925">
        <v>0.81312368999999995</v>
      </c>
      <c r="L925">
        <v>0.16969141800000001</v>
      </c>
      <c r="M925" s="21">
        <v>-1.106127431</v>
      </c>
      <c r="N925">
        <v>0.556554098</v>
      </c>
    </row>
    <row r="926" spans="1:14" x14ac:dyDescent="0.2">
      <c r="A926" t="s">
        <v>912</v>
      </c>
      <c r="B926">
        <v>414480</v>
      </c>
      <c r="C926" t="s">
        <v>100</v>
      </c>
      <c r="D926" t="s">
        <v>912</v>
      </c>
      <c r="E926" t="s">
        <v>2201</v>
      </c>
      <c r="G926" t="s">
        <v>2202</v>
      </c>
      <c r="J926">
        <v>5.9110743220000002</v>
      </c>
      <c r="K926">
        <v>0.71598987199999997</v>
      </c>
      <c r="L926">
        <v>0.29077365599999999</v>
      </c>
      <c r="M926" s="21">
        <v>-1.1061409259999999</v>
      </c>
      <c r="N926">
        <v>0.55648476899999999</v>
      </c>
    </row>
    <row r="927" spans="1:14" x14ac:dyDescent="0.2">
      <c r="A927" t="s">
        <v>1126</v>
      </c>
      <c r="B927">
        <v>362600</v>
      </c>
      <c r="C927" t="s">
        <v>84</v>
      </c>
      <c r="D927" t="s">
        <v>1126</v>
      </c>
      <c r="E927" t="s">
        <v>2203</v>
      </c>
      <c r="J927">
        <v>3.600219579</v>
      </c>
      <c r="K927">
        <v>-0.293098474</v>
      </c>
      <c r="L927">
        <v>-0.153917466</v>
      </c>
      <c r="M927" s="21">
        <v>-1.1062930289999999</v>
      </c>
      <c r="N927">
        <v>0.55570335699999995</v>
      </c>
    </row>
    <row r="928" spans="1:14" x14ac:dyDescent="0.2">
      <c r="A928" t="s">
        <v>444</v>
      </c>
      <c r="B928">
        <v>442240</v>
      </c>
      <c r="C928" t="s">
        <v>149</v>
      </c>
      <c r="D928" t="s">
        <v>445</v>
      </c>
      <c r="E928" t="s">
        <v>2204</v>
      </c>
      <c r="G928" t="s">
        <v>2205</v>
      </c>
      <c r="J928">
        <v>5.0381074159999999</v>
      </c>
      <c r="K928">
        <v>0.81312368999999995</v>
      </c>
      <c r="L928">
        <v>0.16969141800000001</v>
      </c>
      <c r="M928" s="21">
        <v>-1.1064233080000001</v>
      </c>
      <c r="N928">
        <v>0.55503406600000005</v>
      </c>
    </row>
    <row r="929" spans="1:14" x14ac:dyDescent="0.2">
      <c r="A929" t="s">
        <v>2206</v>
      </c>
      <c r="B929">
        <v>319200</v>
      </c>
      <c r="C929" t="s">
        <v>68</v>
      </c>
      <c r="D929" t="s">
        <v>2207</v>
      </c>
      <c r="E929" t="s">
        <v>2208</v>
      </c>
      <c r="G929" t="s">
        <v>2209</v>
      </c>
      <c r="J929">
        <v>6.4561903559999996</v>
      </c>
      <c r="K929">
        <v>0.47291064100000002</v>
      </c>
      <c r="L929">
        <v>0.34414126499999997</v>
      </c>
      <c r="M929" s="21">
        <v>-1.106501494</v>
      </c>
      <c r="N929">
        <v>0.55463239399999997</v>
      </c>
    </row>
    <row r="930" spans="1:14" x14ac:dyDescent="0.2">
      <c r="A930" t="s">
        <v>644</v>
      </c>
      <c r="B930">
        <v>362360</v>
      </c>
      <c r="C930" t="s">
        <v>84</v>
      </c>
      <c r="D930" t="s">
        <v>644</v>
      </c>
      <c r="E930" t="s">
        <v>2210</v>
      </c>
      <c r="J930">
        <v>3.600219579</v>
      </c>
      <c r="K930">
        <v>-0.293098474</v>
      </c>
      <c r="L930">
        <v>-0.153917466</v>
      </c>
      <c r="M930" s="21">
        <v>-1.106607157</v>
      </c>
      <c r="N930">
        <v>0.55408956499999995</v>
      </c>
    </row>
    <row r="931" spans="1:14" x14ac:dyDescent="0.2">
      <c r="A931" t="s">
        <v>1231</v>
      </c>
      <c r="B931">
        <v>413960</v>
      </c>
      <c r="C931" t="s">
        <v>100</v>
      </c>
      <c r="D931" t="s">
        <v>1231</v>
      </c>
      <c r="E931" t="s">
        <v>2211</v>
      </c>
      <c r="G931" t="s">
        <v>2212</v>
      </c>
      <c r="J931">
        <v>5.9110743220000002</v>
      </c>
      <c r="K931">
        <v>0.71598987199999997</v>
      </c>
      <c r="L931">
        <v>0.29077365599999999</v>
      </c>
      <c r="M931" s="21">
        <v>-1.106657137</v>
      </c>
      <c r="N931">
        <v>0.55383280000000001</v>
      </c>
    </row>
    <row r="932" spans="1:14" x14ac:dyDescent="0.2">
      <c r="A932" t="s">
        <v>333</v>
      </c>
      <c r="B932">
        <v>268320</v>
      </c>
      <c r="C932" t="s">
        <v>28</v>
      </c>
      <c r="D932" t="s">
        <v>334</v>
      </c>
      <c r="E932" t="s">
        <v>2213</v>
      </c>
      <c r="G932" t="s">
        <v>2214</v>
      </c>
      <c r="J932">
        <v>5.8462906840000004</v>
      </c>
      <c r="K932">
        <v>0.60615847</v>
      </c>
      <c r="L932">
        <v>0.28550877299999999</v>
      </c>
      <c r="M932" s="21">
        <v>-1.106784634</v>
      </c>
      <c r="N932">
        <v>0.55317779700000003</v>
      </c>
    </row>
    <row r="933" spans="1:14" x14ac:dyDescent="0.2">
      <c r="A933" t="s">
        <v>1383</v>
      </c>
      <c r="B933">
        <v>268280</v>
      </c>
      <c r="C933" t="s">
        <v>28</v>
      </c>
      <c r="D933" t="s">
        <v>1384</v>
      </c>
      <c r="E933" t="s">
        <v>2215</v>
      </c>
      <c r="G933" t="s">
        <v>2216</v>
      </c>
      <c r="J933">
        <v>5.8462906840000004</v>
      </c>
      <c r="K933">
        <v>0.60615847</v>
      </c>
      <c r="L933">
        <v>0.28550877299999999</v>
      </c>
      <c r="M933" s="21">
        <v>-1.106820747</v>
      </c>
      <c r="N933">
        <v>0.55299227399999995</v>
      </c>
    </row>
    <row r="934" spans="1:14" x14ac:dyDescent="0.2">
      <c r="A934" t="s">
        <v>736</v>
      </c>
      <c r="B934">
        <v>222400</v>
      </c>
      <c r="C934" t="s">
        <v>34</v>
      </c>
      <c r="D934" t="s">
        <v>736</v>
      </c>
      <c r="E934" t="s">
        <v>2217</v>
      </c>
      <c r="G934" t="s">
        <v>2218</v>
      </c>
      <c r="J934">
        <v>7.0544859390000001</v>
      </c>
      <c r="K934">
        <v>0.623000361</v>
      </c>
      <c r="L934">
        <v>0.42866702800000001</v>
      </c>
      <c r="M934" s="21">
        <v>-1.106902372</v>
      </c>
      <c r="N934">
        <v>0.55257293500000004</v>
      </c>
    </row>
    <row r="935" spans="1:14" x14ac:dyDescent="0.2">
      <c r="A935" t="s">
        <v>963</v>
      </c>
      <c r="B935">
        <v>362120</v>
      </c>
      <c r="C935" t="s">
        <v>84</v>
      </c>
      <c r="D935" t="s">
        <v>963</v>
      </c>
      <c r="E935" t="s">
        <v>2219</v>
      </c>
      <c r="J935">
        <v>3.600219579</v>
      </c>
      <c r="K935">
        <v>-0.293098474</v>
      </c>
      <c r="L935">
        <v>-0.153917466</v>
      </c>
      <c r="M935" s="21">
        <v>-1.1069212850000001</v>
      </c>
      <c r="N935">
        <v>0.55247577199999998</v>
      </c>
    </row>
    <row r="936" spans="1:14" x14ac:dyDescent="0.2">
      <c r="A936" t="s">
        <v>1368</v>
      </c>
      <c r="B936">
        <v>268120</v>
      </c>
      <c r="C936" t="s">
        <v>28</v>
      </c>
      <c r="D936" t="s">
        <v>1368</v>
      </c>
      <c r="E936" t="s">
        <v>2220</v>
      </c>
      <c r="G936" t="s">
        <v>2221</v>
      </c>
      <c r="J936">
        <v>5.8462906840000004</v>
      </c>
      <c r="K936">
        <v>0.60615847</v>
      </c>
      <c r="L936">
        <v>0.28550877299999999</v>
      </c>
      <c r="M936" s="21">
        <v>-1.1069651970000001</v>
      </c>
      <c r="N936">
        <v>0.55225018100000001</v>
      </c>
    </row>
    <row r="937" spans="1:14" x14ac:dyDescent="0.2">
      <c r="A937" t="s">
        <v>221</v>
      </c>
      <c r="B937">
        <v>417680</v>
      </c>
      <c r="C937" t="s">
        <v>58</v>
      </c>
      <c r="D937" t="s">
        <v>221</v>
      </c>
      <c r="E937" t="s">
        <v>2222</v>
      </c>
      <c r="G937" t="s">
        <v>2223</v>
      </c>
      <c r="J937">
        <v>4.5363847230000003</v>
      </c>
      <c r="K937">
        <v>0.245646371</v>
      </c>
      <c r="L937">
        <v>7.5242279999999995E-2</v>
      </c>
      <c r="M937" s="21">
        <v>-1.107282543</v>
      </c>
      <c r="N937">
        <v>0.55061985499999999</v>
      </c>
    </row>
    <row r="938" spans="1:14" x14ac:dyDescent="0.2">
      <c r="A938" t="s">
        <v>2224</v>
      </c>
      <c r="B938">
        <v>318280</v>
      </c>
      <c r="C938" t="s">
        <v>68</v>
      </c>
      <c r="D938" t="s">
        <v>2224</v>
      </c>
      <c r="E938" t="s">
        <v>2225</v>
      </c>
      <c r="G938" t="s">
        <v>2226</v>
      </c>
      <c r="J938">
        <v>6.4561903559999996</v>
      </c>
      <c r="K938">
        <v>0.47291064100000002</v>
      </c>
      <c r="L938">
        <v>0.34414126499999997</v>
      </c>
      <c r="M938" s="21">
        <v>-1.107391182</v>
      </c>
      <c r="N938">
        <v>0.55006173199999997</v>
      </c>
    </row>
    <row r="939" spans="1:14" x14ac:dyDescent="0.2">
      <c r="A939" t="s">
        <v>956</v>
      </c>
      <c r="B939">
        <v>361720</v>
      </c>
      <c r="C939" t="s">
        <v>84</v>
      </c>
      <c r="D939" t="s">
        <v>956</v>
      </c>
      <c r="E939" t="s">
        <v>2227</v>
      </c>
      <c r="J939">
        <v>3.600219579</v>
      </c>
      <c r="K939">
        <v>-0.293098474</v>
      </c>
      <c r="L939">
        <v>-0.153917466</v>
      </c>
      <c r="M939" s="21">
        <v>-1.107444831</v>
      </c>
      <c r="N939">
        <v>0.54978611799999999</v>
      </c>
    </row>
    <row r="940" spans="1:14" x14ac:dyDescent="0.2">
      <c r="A940" t="s">
        <v>1140</v>
      </c>
      <c r="B940">
        <v>412880</v>
      </c>
      <c r="C940" t="s">
        <v>100</v>
      </c>
      <c r="D940" t="s">
        <v>1141</v>
      </c>
      <c r="E940" t="s">
        <v>2228</v>
      </c>
      <c r="G940" t="s">
        <v>2229</v>
      </c>
      <c r="J940">
        <v>5.9110743220000002</v>
      </c>
      <c r="K940">
        <v>0.71598987199999997</v>
      </c>
      <c r="L940">
        <v>0.29077365599999999</v>
      </c>
      <c r="M940" s="21">
        <v>-1.1077292670000001</v>
      </c>
      <c r="N940">
        <v>0.54832486400000002</v>
      </c>
    </row>
    <row r="941" spans="1:14" x14ac:dyDescent="0.2">
      <c r="A941" t="s">
        <v>2230</v>
      </c>
      <c r="B941">
        <v>361360</v>
      </c>
      <c r="C941" t="s">
        <v>84</v>
      </c>
      <c r="D941" t="s">
        <v>2231</v>
      </c>
      <c r="E941" t="s">
        <v>2232</v>
      </c>
      <c r="G941" t="s">
        <v>2233</v>
      </c>
      <c r="J941">
        <v>3.600219579</v>
      </c>
      <c r="K941">
        <v>-0.293098474</v>
      </c>
      <c r="L941">
        <v>-0.153917466</v>
      </c>
      <c r="M941" s="21">
        <v>-1.107916023</v>
      </c>
      <c r="N941">
        <v>0.54736542899999996</v>
      </c>
    </row>
    <row r="942" spans="1:14" x14ac:dyDescent="0.2">
      <c r="A942" t="s">
        <v>779</v>
      </c>
      <c r="B942">
        <v>361320</v>
      </c>
      <c r="C942" t="s">
        <v>84</v>
      </c>
      <c r="D942" t="s">
        <v>780</v>
      </c>
      <c r="E942" t="s">
        <v>2234</v>
      </c>
      <c r="J942">
        <v>3.600219579</v>
      </c>
      <c r="K942">
        <v>-0.293098474</v>
      </c>
      <c r="L942">
        <v>-0.153917466</v>
      </c>
      <c r="M942" s="21">
        <v>-1.107968378</v>
      </c>
      <c r="N942">
        <v>0.54709646300000003</v>
      </c>
    </row>
    <row r="943" spans="1:14" x14ac:dyDescent="0.2">
      <c r="A943" t="s">
        <v>1150</v>
      </c>
      <c r="B943">
        <v>361200</v>
      </c>
      <c r="C943" t="s">
        <v>84</v>
      </c>
      <c r="D943" t="s">
        <v>1150</v>
      </c>
      <c r="E943" t="s">
        <v>2235</v>
      </c>
      <c r="J943">
        <v>3.600219579</v>
      </c>
      <c r="K943">
        <v>-0.293098474</v>
      </c>
      <c r="L943">
        <v>-0.153917466</v>
      </c>
      <c r="M943" s="21">
        <v>-1.108125442</v>
      </c>
      <c r="N943">
        <v>0.54628956699999998</v>
      </c>
    </row>
    <row r="944" spans="1:14" x14ac:dyDescent="0.2">
      <c r="A944" t="s">
        <v>325</v>
      </c>
      <c r="B944">
        <v>436080</v>
      </c>
      <c r="C944" t="s">
        <v>14</v>
      </c>
      <c r="D944" t="s">
        <v>326</v>
      </c>
      <c r="E944" t="s">
        <v>2236</v>
      </c>
      <c r="G944" t="s">
        <v>2237</v>
      </c>
      <c r="J944">
        <v>6.7484204910000001</v>
      </c>
      <c r="K944">
        <v>0.48629166299999999</v>
      </c>
      <c r="L944">
        <v>0.375053939</v>
      </c>
      <c r="M944" s="21">
        <v>-1.1081587479999999</v>
      </c>
      <c r="N944">
        <v>0.546118459</v>
      </c>
    </row>
    <row r="945" spans="1:14" x14ac:dyDescent="0.2">
      <c r="A945" t="s">
        <v>968</v>
      </c>
      <c r="B945">
        <v>360920</v>
      </c>
      <c r="C945" t="s">
        <v>84</v>
      </c>
      <c r="D945" t="s">
        <v>969</v>
      </c>
      <c r="E945" t="s">
        <v>2238</v>
      </c>
      <c r="J945">
        <v>3.600219579</v>
      </c>
      <c r="K945">
        <v>-0.293098474</v>
      </c>
      <c r="L945">
        <v>-0.153917466</v>
      </c>
      <c r="M945" s="21">
        <v>-1.108491924</v>
      </c>
      <c r="N945">
        <v>0.54440680900000005</v>
      </c>
    </row>
    <row r="946" spans="1:14" x14ac:dyDescent="0.2">
      <c r="A946" t="s">
        <v>2239</v>
      </c>
      <c r="B946">
        <v>360800</v>
      </c>
      <c r="C946" t="s">
        <v>84</v>
      </c>
      <c r="D946" t="s">
        <v>2240</v>
      </c>
      <c r="E946" t="s">
        <v>2241</v>
      </c>
      <c r="J946">
        <v>3.600219579</v>
      </c>
      <c r="K946">
        <v>-0.293098474</v>
      </c>
      <c r="L946">
        <v>-0.153917466</v>
      </c>
      <c r="M946" s="21">
        <v>-1.1086489879999999</v>
      </c>
      <c r="N946">
        <v>0.54359991299999999</v>
      </c>
    </row>
    <row r="947" spans="1:14" x14ac:dyDescent="0.2">
      <c r="A947" t="s">
        <v>1668</v>
      </c>
      <c r="B947">
        <v>416240</v>
      </c>
      <c r="C947" t="s">
        <v>58</v>
      </c>
      <c r="D947" t="s">
        <v>1668</v>
      </c>
      <c r="E947" t="s">
        <v>2242</v>
      </c>
      <c r="G947" t="s">
        <v>2243</v>
      </c>
      <c r="J947">
        <v>4.5363847230000003</v>
      </c>
      <c r="K947">
        <v>0.245646371</v>
      </c>
      <c r="L947">
        <v>7.5242279999999995E-2</v>
      </c>
      <c r="M947" s="21">
        <v>-1.1086731889999999</v>
      </c>
      <c r="N947">
        <v>0.54347558699999998</v>
      </c>
    </row>
    <row r="948" spans="1:14" x14ac:dyDescent="0.2">
      <c r="A948" t="s">
        <v>1409</v>
      </c>
      <c r="B948">
        <v>316920</v>
      </c>
      <c r="C948" t="s">
        <v>68</v>
      </c>
      <c r="D948" t="s">
        <v>1410</v>
      </c>
      <c r="E948" t="s">
        <v>2244</v>
      </c>
      <c r="G948" t="s">
        <v>2245</v>
      </c>
      <c r="J948">
        <v>6.4561903559999996</v>
      </c>
      <c r="K948">
        <v>0.47291064100000002</v>
      </c>
      <c r="L948">
        <v>0.34414126499999997</v>
      </c>
      <c r="M948" s="21">
        <v>-1.1087063740000001</v>
      </c>
      <c r="N948">
        <v>0.54330510099999996</v>
      </c>
    </row>
    <row r="949" spans="1:14" x14ac:dyDescent="0.2">
      <c r="A949" t="s">
        <v>693</v>
      </c>
      <c r="B949">
        <v>439680</v>
      </c>
      <c r="C949" t="s">
        <v>149</v>
      </c>
      <c r="D949" t="s">
        <v>693</v>
      </c>
      <c r="E949" t="s">
        <v>2246</v>
      </c>
      <c r="G949" t="s">
        <v>2247</v>
      </c>
      <c r="J949">
        <v>5.0381074159999999</v>
      </c>
      <c r="K949">
        <v>0.81312368999999995</v>
      </c>
      <c r="L949">
        <v>0.16969141800000001</v>
      </c>
      <c r="M949" s="21">
        <v>-1.108790325</v>
      </c>
      <c r="N949">
        <v>0.54287381400000001</v>
      </c>
    </row>
    <row r="950" spans="1:14" x14ac:dyDescent="0.2">
      <c r="A950" t="s">
        <v>1349</v>
      </c>
      <c r="B950">
        <v>220240</v>
      </c>
      <c r="C950" t="s">
        <v>34</v>
      </c>
      <c r="D950" t="s">
        <v>1350</v>
      </c>
      <c r="E950" t="s">
        <v>2248</v>
      </c>
      <c r="G950" t="s">
        <v>2249</v>
      </c>
      <c r="J950">
        <v>7.0544859390000001</v>
      </c>
      <c r="K950">
        <v>0.623000361</v>
      </c>
      <c r="L950">
        <v>0.42866702800000001</v>
      </c>
      <c r="M950" s="21">
        <v>-1.1088011390000001</v>
      </c>
      <c r="N950">
        <v>0.542818256</v>
      </c>
    </row>
    <row r="951" spans="1:14" x14ac:dyDescent="0.2">
      <c r="A951" t="s">
        <v>451</v>
      </c>
      <c r="B951">
        <v>220200</v>
      </c>
      <c r="C951" t="s">
        <v>34</v>
      </c>
      <c r="D951" t="s">
        <v>452</v>
      </c>
      <c r="E951" t="s">
        <v>2250</v>
      </c>
      <c r="G951" t="s">
        <v>2251</v>
      </c>
      <c r="J951">
        <v>7.0544859390000001</v>
      </c>
      <c r="K951">
        <v>0.623000361</v>
      </c>
      <c r="L951">
        <v>0.42866702800000001</v>
      </c>
      <c r="M951" s="21">
        <v>-1.1088363020000001</v>
      </c>
      <c r="N951">
        <v>0.54263761399999999</v>
      </c>
    </row>
    <row r="952" spans="1:14" x14ac:dyDescent="0.2">
      <c r="A952" t="s">
        <v>2252</v>
      </c>
      <c r="B952">
        <v>435360</v>
      </c>
      <c r="C952" t="s">
        <v>14</v>
      </c>
      <c r="D952" t="s">
        <v>2253</v>
      </c>
      <c r="E952" t="s">
        <v>2254</v>
      </c>
      <c r="G952" t="s">
        <v>2255</v>
      </c>
      <c r="J952">
        <v>6.7484204910000001</v>
      </c>
      <c r="K952">
        <v>0.48629166299999999</v>
      </c>
      <c r="L952">
        <v>0.375053939</v>
      </c>
      <c r="M952" s="21">
        <v>-1.1089476680000001</v>
      </c>
      <c r="N952">
        <v>0.54206548099999996</v>
      </c>
    </row>
    <row r="953" spans="1:14" x14ac:dyDescent="0.2">
      <c r="A953" t="s">
        <v>1167</v>
      </c>
      <c r="B953">
        <v>360520</v>
      </c>
      <c r="C953" t="s">
        <v>84</v>
      </c>
      <c r="D953" t="s">
        <v>1168</v>
      </c>
      <c r="E953" t="s">
        <v>2256</v>
      </c>
      <c r="J953">
        <v>3.600219579</v>
      </c>
      <c r="K953">
        <v>-0.293098474</v>
      </c>
      <c r="L953">
        <v>-0.153917466</v>
      </c>
      <c r="M953" s="21">
        <v>-1.109015471</v>
      </c>
      <c r="N953">
        <v>0.54171715399999998</v>
      </c>
    </row>
    <row r="954" spans="1:14" x14ac:dyDescent="0.2">
      <c r="A954" t="s">
        <v>2257</v>
      </c>
      <c r="B954">
        <v>435040</v>
      </c>
      <c r="C954" t="s">
        <v>14</v>
      </c>
      <c r="D954" t="s">
        <v>2257</v>
      </c>
      <c r="E954" t="s">
        <v>2258</v>
      </c>
      <c r="G954" t="s">
        <v>2259</v>
      </c>
      <c r="J954">
        <v>6.7484204910000001</v>
      </c>
      <c r="K954">
        <v>0.48629166299999999</v>
      </c>
      <c r="L954">
        <v>0.375053939</v>
      </c>
      <c r="M954" s="21">
        <v>-1.109298299</v>
      </c>
      <c r="N954">
        <v>0.54026415800000005</v>
      </c>
    </row>
    <row r="955" spans="1:14" x14ac:dyDescent="0.2">
      <c r="A955" t="s">
        <v>259</v>
      </c>
      <c r="B955">
        <v>360080</v>
      </c>
      <c r="C955" t="s">
        <v>84</v>
      </c>
      <c r="D955" t="s">
        <v>260</v>
      </c>
      <c r="E955" t="s">
        <v>2260</v>
      </c>
      <c r="G955" t="s">
        <v>2261</v>
      </c>
      <c r="J955">
        <v>3.600219579</v>
      </c>
      <c r="K955">
        <v>-0.293098474</v>
      </c>
      <c r="L955">
        <v>-0.153917466</v>
      </c>
      <c r="M955" s="21">
        <v>-1.1095913719999999</v>
      </c>
      <c r="N955">
        <v>0.53875853500000004</v>
      </c>
    </row>
    <row r="956" spans="1:14" x14ac:dyDescent="0.2">
      <c r="A956" t="s">
        <v>124</v>
      </c>
      <c r="B956">
        <v>415240</v>
      </c>
      <c r="C956" t="s">
        <v>58</v>
      </c>
      <c r="D956" t="s">
        <v>125</v>
      </c>
      <c r="E956" t="s">
        <v>2262</v>
      </c>
      <c r="G956" t="s">
        <v>2263</v>
      </c>
      <c r="J956">
        <v>4.5363847230000003</v>
      </c>
      <c r="K956">
        <v>0.245646371</v>
      </c>
      <c r="L956">
        <v>7.5242279999999995E-2</v>
      </c>
      <c r="M956" s="21">
        <v>-1.1096389149999999</v>
      </c>
      <c r="N956">
        <v>0.53851428899999998</v>
      </c>
    </row>
    <row r="957" spans="1:14" x14ac:dyDescent="0.2">
      <c r="A957" t="s">
        <v>1971</v>
      </c>
      <c r="B957">
        <v>265120</v>
      </c>
      <c r="C957" t="s">
        <v>28</v>
      </c>
      <c r="D957" t="s">
        <v>1971</v>
      </c>
      <c r="E957" t="s">
        <v>2264</v>
      </c>
      <c r="G957" t="s">
        <v>2265</v>
      </c>
      <c r="J957">
        <v>5.8462906840000004</v>
      </c>
      <c r="K957">
        <v>0.60615847</v>
      </c>
      <c r="L957">
        <v>0.28550877299999999</v>
      </c>
      <c r="M957" s="21">
        <v>-1.1096736330000001</v>
      </c>
      <c r="N957">
        <v>0.53833592699999999</v>
      </c>
    </row>
    <row r="958" spans="1:14" x14ac:dyDescent="0.2">
      <c r="A958" t="s">
        <v>995</v>
      </c>
      <c r="B958">
        <v>219200</v>
      </c>
      <c r="C958" t="s">
        <v>34</v>
      </c>
      <c r="D958" t="s">
        <v>995</v>
      </c>
      <c r="E958" t="s">
        <v>2266</v>
      </c>
      <c r="G958" t="s">
        <v>2267</v>
      </c>
      <c r="J958">
        <v>7.0544859390000001</v>
      </c>
      <c r="K958">
        <v>0.623000361</v>
      </c>
      <c r="L958">
        <v>0.42866702800000001</v>
      </c>
      <c r="M958" s="21">
        <v>-1.1097153609999999</v>
      </c>
      <c r="N958">
        <v>0.53812155800000006</v>
      </c>
    </row>
    <row r="959" spans="1:14" x14ac:dyDescent="0.2">
      <c r="A959" t="s">
        <v>134</v>
      </c>
      <c r="B959">
        <v>264240</v>
      </c>
      <c r="C959" t="s">
        <v>28</v>
      </c>
      <c r="D959" t="s">
        <v>135</v>
      </c>
      <c r="E959" t="s">
        <v>2268</v>
      </c>
      <c r="G959" t="s">
        <v>2269</v>
      </c>
      <c r="J959">
        <v>5.8462906840000004</v>
      </c>
      <c r="K959">
        <v>0.60615847</v>
      </c>
      <c r="L959">
        <v>0.28550877299999999</v>
      </c>
      <c r="M959" s="21">
        <v>-1.1104681080000001</v>
      </c>
      <c r="N959">
        <v>0.53425441299999998</v>
      </c>
    </row>
    <row r="960" spans="1:14" x14ac:dyDescent="0.2">
      <c r="A960" t="s">
        <v>2270</v>
      </c>
      <c r="B960">
        <v>218040</v>
      </c>
      <c r="C960" t="s">
        <v>34</v>
      </c>
      <c r="D960" t="s">
        <v>2271</v>
      </c>
      <c r="E960" t="s">
        <v>2272</v>
      </c>
      <c r="G960" t="s">
        <v>2273</v>
      </c>
      <c r="J960">
        <v>7.0544859390000001</v>
      </c>
      <c r="K960">
        <v>0.623000361</v>
      </c>
      <c r="L960">
        <v>0.42866702800000001</v>
      </c>
      <c r="M960" s="21">
        <v>-1.110735069</v>
      </c>
      <c r="N960">
        <v>0.53288293399999997</v>
      </c>
    </row>
    <row r="961" spans="1:14" x14ac:dyDescent="0.2">
      <c r="A961" t="s">
        <v>859</v>
      </c>
      <c r="B961">
        <v>437560</v>
      </c>
      <c r="C961" t="s">
        <v>149</v>
      </c>
      <c r="D961" t="s">
        <v>859</v>
      </c>
      <c r="E961" t="s">
        <v>2274</v>
      </c>
      <c r="G961" t="s">
        <v>2275</v>
      </c>
      <c r="J961">
        <v>5.0381074159999999</v>
      </c>
      <c r="K961">
        <v>0.81312368999999995</v>
      </c>
      <c r="L961">
        <v>0.16969141800000001</v>
      </c>
      <c r="M961" s="21">
        <v>-1.110750511</v>
      </c>
      <c r="N961">
        <v>0.53280360400000004</v>
      </c>
    </row>
    <row r="962" spans="1:14" x14ac:dyDescent="0.2">
      <c r="A962" t="s">
        <v>1356</v>
      </c>
      <c r="B962">
        <v>218000</v>
      </c>
      <c r="C962" t="s">
        <v>34</v>
      </c>
      <c r="D962" t="s">
        <v>1356</v>
      </c>
      <c r="E962" t="s">
        <v>2276</v>
      </c>
      <c r="G962" t="s">
        <v>2277</v>
      </c>
      <c r="J962">
        <v>7.0544859390000001</v>
      </c>
      <c r="K962">
        <v>0.623000361</v>
      </c>
      <c r="L962">
        <v>0.42866702800000001</v>
      </c>
      <c r="M962" s="21">
        <v>-1.1107702319999999</v>
      </c>
      <c r="N962">
        <v>0.53270229199999997</v>
      </c>
    </row>
    <row r="963" spans="1:14" x14ac:dyDescent="0.2">
      <c r="A963" t="s">
        <v>1163</v>
      </c>
      <c r="B963">
        <v>314680</v>
      </c>
      <c r="C963" t="s">
        <v>68</v>
      </c>
      <c r="D963" t="s">
        <v>1164</v>
      </c>
      <c r="E963" t="s">
        <v>2278</v>
      </c>
      <c r="G963" t="s">
        <v>2279</v>
      </c>
      <c r="J963">
        <v>6.4561903559999996</v>
      </c>
      <c r="K963">
        <v>0.47291064100000002</v>
      </c>
      <c r="L963">
        <v>0.34414126499999997</v>
      </c>
      <c r="M963" s="21">
        <v>-1.110872571</v>
      </c>
      <c r="N963">
        <v>0.53217653300000001</v>
      </c>
    </row>
    <row r="964" spans="1:14" x14ac:dyDescent="0.2">
      <c r="A964" t="s">
        <v>1426</v>
      </c>
      <c r="B964">
        <v>217680</v>
      </c>
      <c r="C964" t="s">
        <v>34</v>
      </c>
      <c r="D964" t="s">
        <v>1426</v>
      </c>
      <c r="E964" t="s">
        <v>2280</v>
      </c>
      <c r="G964" t="s">
        <v>2281</v>
      </c>
      <c r="J964">
        <v>7.0544859390000001</v>
      </c>
      <c r="K964">
        <v>0.623000361</v>
      </c>
      <c r="L964">
        <v>0.42866702800000001</v>
      </c>
      <c r="M964" s="21">
        <v>-1.1110515299999999</v>
      </c>
      <c r="N964">
        <v>0.53125715399999995</v>
      </c>
    </row>
    <row r="965" spans="1:14" x14ac:dyDescent="0.2">
      <c r="A965" t="s">
        <v>157</v>
      </c>
      <c r="B965">
        <v>413760</v>
      </c>
      <c r="C965" t="s">
        <v>58</v>
      </c>
      <c r="D965" t="s">
        <v>157</v>
      </c>
      <c r="E965" t="s">
        <v>2282</v>
      </c>
      <c r="G965" t="s">
        <v>2283</v>
      </c>
      <c r="J965">
        <v>4.5363847230000003</v>
      </c>
      <c r="K965">
        <v>0.245646371</v>
      </c>
      <c r="L965">
        <v>7.5242279999999995E-2</v>
      </c>
      <c r="M965" s="21">
        <v>-1.1110681899999999</v>
      </c>
      <c r="N965">
        <v>0.53117156799999998</v>
      </c>
    </row>
    <row r="966" spans="1:14" x14ac:dyDescent="0.2">
      <c r="A966" t="s">
        <v>769</v>
      </c>
      <c r="B966">
        <v>217480</v>
      </c>
      <c r="C966" t="s">
        <v>34</v>
      </c>
      <c r="D966" t="s">
        <v>769</v>
      </c>
      <c r="J966">
        <v>7.0544859390000001</v>
      </c>
      <c r="K966">
        <v>0.623000361</v>
      </c>
      <c r="L966">
        <v>0.42866702800000001</v>
      </c>
      <c r="M966" s="21">
        <v>-1.1112273420000001</v>
      </c>
      <c r="N966">
        <v>0.53035394300000005</v>
      </c>
    </row>
    <row r="967" spans="1:14" x14ac:dyDescent="0.2">
      <c r="A967" t="s">
        <v>1144</v>
      </c>
      <c r="B967">
        <v>358720</v>
      </c>
      <c r="C967" t="s">
        <v>84</v>
      </c>
      <c r="D967" t="s">
        <v>1145</v>
      </c>
      <c r="E967" t="s">
        <v>2284</v>
      </c>
      <c r="J967">
        <v>3.600219579</v>
      </c>
      <c r="K967">
        <v>-0.293098474</v>
      </c>
      <c r="L967">
        <v>-0.153917466</v>
      </c>
      <c r="M967" s="21">
        <v>-1.1113714299999999</v>
      </c>
      <c r="N967">
        <v>0.52961371000000002</v>
      </c>
    </row>
    <row r="968" spans="1:14" x14ac:dyDescent="0.2">
      <c r="A968" t="s">
        <v>348</v>
      </c>
      <c r="B968">
        <v>401240</v>
      </c>
      <c r="C968" t="s">
        <v>130</v>
      </c>
      <c r="D968" t="s">
        <v>349</v>
      </c>
      <c r="E968" t="s">
        <v>2285</v>
      </c>
      <c r="G968" t="s">
        <v>2286</v>
      </c>
      <c r="J968">
        <v>5.1222566499999997</v>
      </c>
      <c r="K968">
        <v>0.21422175600000001</v>
      </c>
      <c r="L968">
        <v>0.25354511400000002</v>
      </c>
      <c r="M968" s="21">
        <v>-1.1114957620000001</v>
      </c>
      <c r="N968">
        <v>0.52897496899999996</v>
      </c>
    </row>
    <row r="969" spans="1:14" x14ac:dyDescent="0.2">
      <c r="A969" t="s">
        <v>1989</v>
      </c>
      <c r="B969">
        <v>400960</v>
      </c>
      <c r="C969" t="s">
        <v>130</v>
      </c>
      <c r="D969" t="s">
        <v>1990</v>
      </c>
      <c r="E969" t="s">
        <v>2287</v>
      </c>
      <c r="G969" t="s">
        <v>2288</v>
      </c>
      <c r="J969">
        <v>5.1222566499999997</v>
      </c>
      <c r="K969">
        <v>0.21422175600000001</v>
      </c>
      <c r="L969">
        <v>0.25354511400000002</v>
      </c>
      <c r="M969" s="21">
        <v>-1.1117185949999999</v>
      </c>
      <c r="N969">
        <v>0.52783019600000003</v>
      </c>
    </row>
    <row r="970" spans="1:14" x14ac:dyDescent="0.2">
      <c r="A970" t="s">
        <v>385</v>
      </c>
      <c r="B970">
        <v>357920</v>
      </c>
      <c r="C970" t="s">
        <v>84</v>
      </c>
      <c r="D970" t="s">
        <v>386</v>
      </c>
      <c r="E970" t="s">
        <v>2289</v>
      </c>
      <c r="J970">
        <v>3.600219579</v>
      </c>
      <c r="K970">
        <v>-0.293098474</v>
      </c>
      <c r="L970">
        <v>-0.153917466</v>
      </c>
      <c r="M970" s="21">
        <v>-1.1124185230000001</v>
      </c>
      <c r="N970">
        <v>0.52423440099999996</v>
      </c>
    </row>
    <row r="971" spans="1:14" x14ac:dyDescent="0.2">
      <c r="A971" t="s">
        <v>1112</v>
      </c>
      <c r="B971">
        <v>313040</v>
      </c>
      <c r="C971" t="s">
        <v>68</v>
      </c>
      <c r="D971" t="s">
        <v>1112</v>
      </c>
      <c r="E971" t="s">
        <v>2290</v>
      </c>
      <c r="G971" t="s">
        <v>2291</v>
      </c>
      <c r="J971">
        <v>6.4561903559999996</v>
      </c>
      <c r="K971">
        <v>0.47291064100000002</v>
      </c>
      <c r="L971">
        <v>0.34414126499999997</v>
      </c>
      <c r="M971" s="21">
        <v>-1.1124585380000001</v>
      </c>
      <c r="N971">
        <v>0.52402883099999997</v>
      </c>
    </row>
    <row r="972" spans="1:14" x14ac:dyDescent="0.2">
      <c r="A972" t="s">
        <v>820</v>
      </c>
      <c r="B972">
        <v>399960</v>
      </c>
      <c r="C972" t="s">
        <v>130</v>
      </c>
      <c r="D972" t="s">
        <v>820</v>
      </c>
      <c r="E972" t="s">
        <v>2292</v>
      </c>
      <c r="G972" t="s">
        <v>2293</v>
      </c>
      <c r="J972">
        <v>5.1222566499999997</v>
      </c>
      <c r="K972">
        <v>0.21422175600000001</v>
      </c>
      <c r="L972">
        <v>0.25354511400000002</v>
      </c>
      <c r="M972" s="21">
        <v>-1.112514424</v>
      </c>
      <c r="N972">
        <v>0.52374171999999997</v>
      </c>
    </row>
    <row r="973" spans="1:14" x14ac:dyDescent="0.2">
      <c r="A973" t="s">
        <v>2294</v>
      </c>
      <c r="B973">
        <v>399560</v>
      </c>
      <c r="C973" t="s">
        <v>130</v>
      </c>
      <c r="D973" t="s">
        <v>2294</v>
      </c>
      <c r="E973" t="s">
        <v>2295</v>
      </c>
      <c r="G973" t="s">
        <v>2296</v>
      </c>
      <c r="J973">
        <v>5.1222566499999997</v>
      </c>
      <c r="K973">
        <v>0.21422175600000001</v>
      </c>
      <c r="L973">
        <v>0.25354511400000002</v>
      </c>
      <c r="M973" s="21">
        <v>-1.112832756</v>
      </c>
      <c r="N973">
        <v>0.52210632999999995</v>
      </c>
    </row>
    <row r="974" spans="1:14" x14ac:dyDescent="0.2">
      <c r="A974" t="s">
        <v>756</v>
      </c>
      <c r="B974">
        <v>407720</v>
      </c>
      <c r="C974" t="s">
        <v>100</v>
      </c>
      <c r="D974" t="s">
        <v>756</v>
      </c>
      <c r="E974" t="s">
        <v>2297</v>
      </c>
      <c r="G974" t="s">
        <v>2298</v>
      </c>
      <c r="J974">
        <v>5.9110743220000002</v>
      </c>
      <c r="K974">
        <v>0.71598987199999997</v>
      </c>
      <c r="L974">
        <v>0.29077365599999999</v>
      </c>
      <c r="M974" s="21">
        <v>-1.1128516690000001</v>
      </c>
      <c r="N974">
        <v>0.52200917000000002</v>
      </c>
    </row>
    <row r="975" spans="1:14" x14ac:dyDescent="0.2">
      <c r="A975" t="s">
        <v>33</v>
      </c>
      <c r="B975">
        <v>435240</v>
      </c>
      <c r="C975" t="s">
        <v>149</v>
      </c>
      <c r="D975" t="s">
        <v>33</v>
      </c>
      <c r="E975" t="s">
        <v>2299</v>
      </c>
      <c r="G975" t="s">
        <v>2300</v>
      </c>
      <c r="J975">
        <v>5.0381074159999999</v>
      </c>
      <c r="K975">
        <v>0.81312368999999995</v>
      </c>
      <c r="L975">
        <v>0.16969141800000001</v>
      </c>
      <c r="M975" s="21">
        <v>-1.11289562</v>
      </c>
      <c r="N975">
        <v>0.52178337500000005</v>
      </c>
    </row>
    <row r="976" spans="1:14" x14ac:dyDescent="0.2">
      <c r="A976" t="s">
        <v>1069</v>
      </c>
      <c r="B976">
        <v>215560</v>
      </c>
      <c r="C976" t="s">
        <v>34</v>
      </c>
      <c r="D976" t="s">
        <v>1070</v>
      </c>
      <c r="E976" t="s">
        <v>2301</v>
      </c>
      <c r="G976" t="s">
        <v>2302</v>
      </c>
      <c r="J976">
        <v>7.0544859390000001</v>
      </c>
      <c r="K976">
        <v>0.623000361</v>
      </c>
      <c r="L976">
        <v>0.42866702800000001</v>
      </c>
      <c r="M976" s="21">
        <v>-1.112915136</v>
      </c>
      <c r="N976">
        <v>0.52168311599999995</v>
      </c>
    </row>
    <row r="977" spans="1:14" x14ac:dyDescent="0.2">
      <c r="A977" t="s">
        <v>883</v>
      </c>
      <c r="B977">
        <v>312560</v>
      </c>
      <c r="C977" t="s">
        <v>68</v>
      </c>
      <c r="D977" t="s">
        <v>883</v>
      </c>
      <c r="E977" t="s">
        <v>2303</v>
      </c>
      <c r="G977" t="s">
        <v>2304</v>
      </c>
      <c r="J977">
        <v>6.4561903559999996</v>
      </c>
      <c r="K977">
        <v>0.47291064100000002</v>
      </c>
      <c r="L977">
        <v>0.34414126499999997</v>
      </c>
      <c r="M977" s="21">
        <v>-1.1129227230000001</v>
      </c>
      <c r="N977">
        <v>0.52164413799999998</v>
      </c>
    </row>
    <row r="978" spans="1:14" x14ac:dyDescent="0.2">
      <c r="A978" t="s">
        <v>1794</v>
      </c>
      <c r="B978">
        <v>399440</v>
      </c>
      <c r="C978" t="s">
        <v>130</v>
      </c>
      <c r="D978" t="s">
        <v>1794</v>
      </c>
      <c r="E978" t="s">
        <v>2305</v>
      </c>
      <c r="G978" t="s">
        <v>2306</v>
      </c>
      <c r="J978">
        <v>5.1222566499999997</v>
      </c>
      <c r="K978">
        <v>0.21422175600000001</v>
      </c>
      <c r="L978">
        <v>0.25354511400000002</v>
      </c>
      <c r="M978" s="21">
        <v>-1.112928256</v>
      </c>
      <c r="N978">
        <v>0.52161571299999998</v>
      </c>
    </row>
    <row r="979" spans="1:14" x14ac:dyDescent="0.2">
      <c r="A979" t="s">
        <v>2294</v>
      </c>
      <c r="B979">
        <v>215480</v>
      </c>
      <c r="C979" t="s">
        <v>34</v>
      </c>
      <c r="D979" t="s">
        <v>2294</v>
      </c>
      <c r="E979" t="s">
        <v>2307</v>
      </c>
      <c r="G979" t="s">
        <v>2308</v>
      </c>
      <c r="J979">
        <v>7.0544859390000001</v>
      </c>
      <c r="K979">
        <v>0.623000361</v>
      </c>
      <c r="L979">
        <v>0.42866702800000001</v>
      </c>
      <c r="M979" s="21">
        <v>-1.11298546</v>
      </c>
      <c r="N979">
        <v>0.52132183200000004</v>
      </c>
    </row>
    <row r="980" spans="1:14" x14ac:dyDescent="0.2">
      <c r="A980" t="s">
        <v>2139</v>
      </c>
      <c r="B980">
        <v>215320</v>
      </c>
      <c r="C980" t="s">
        <v>34</v>
      </c>
      <c r="D980" t="s">
        <v>2140</v>
      </c>
      <c r="E980" t="s">
        <v>2309</v>
      </c>
      <c r="G980" t="s">
        <v>2310</v>
      </c>
      <c r="J980">
        <v>7.0544859390000001</v>
      </c>
      <c r="K980">
        <v>0.623000361</v>
      </c>
      <c r="L980">
        <v>0.42866702800000001</v>
      </c>
      <c r="M980" s="21">
        <v>-1.1131261100000001</v>
      </c>
      <c r="N980">
        <v>0.52059926300000003</v>
      </c>
    </row>
    <row r="981" spans="1:14" x14ac:dyDescent="0.2">
      <c r="A981" t="s">
        <v>1052</v>
      </c>
      <c r="B981">
        <v>261200</v>
      </c>
      <c r="C981" t="s">
        <v>28</v>
      </c>
      <c r="D981" t="s">
        <v>1052</v>
      </c>
      <c r="E981" t="s">
        <v>2311</v>
      </c>
      <c r="G981" t="s">
        <v>2312</v>
      </c>
      <c r="J981">
        <v>5.8462906840000004</v>
      </c>
      <c r="K981">
        <v>0.60615847</v>
      </c>
      <c r="L981">
        <v>0.28550877299999999</v>
      </c>
      <c r="M981" s="21">
        <v>-1.113212657</v>
      </c>
      <c r="N981">
        <v>0.520154636</v>
      </c>
    </row>
    <row r="982" spans="1:14" x14ac:dyDescent="0.2">
      <c r="A982" t="s">
        <v>977</v>
      </c>
      <c r="B982">
        <v>261000</v>
      </c>
      <c r="C982" t="s">
        <v>28</v>
      </c>
      <c r="D982" t="s">
        <v>978</v>
      </c>
      <c r="E982" t="s">
        <v>2313</v>
      </c>
      <c r="G982" t="s">
        <v>2314</v>
      </c>
      <c r="J982">
        <v>5.8462906840000004</v>
      </c>
      <c r="K982">
        <v>0.60615847</v>
      </c>
      <c r="L982">
        <v>0.28550877299999999</v>
      </c>
      <c r="M982" s="21">
        <v>-1.1133932200000001</v>
      </c>
      <c r="N982">
        <v>0.51922701900000001</v>
      </c>
    </row>
    <row r="983" spans="1:14" x14ac:dyDescent="0.2">
      <c r="A983" t="s">
        <v>2315</v>
      </c>
      <c r="B983">
        <v>260880</v>
      </c>
      <c r="C983" t="s">
        <v>28</v>
      </c>
      <c r="D983" t="s">
        <v>2316</v>
      </c>
      <c r="E983" t="s">
        <v>2317</v>
      </c>
      <c r="G983" t="s">
        <v>2318</v>
      </c>
      <c r="J983">
        <v>5.8462906840000004</v>
      </c>
      <c r="K983">
        <v>0.60615847</v>
      </c>
      <c r="L983">
        <v>0.28550877299999999</v>
      </c>
      <c r="M983" s="21">
        <v>-1.113501557</v>
      </c>
      <c r="N983">
        <v>0.51867044900000003</v>
      </c>
    </row>
    <row r="984" spans="1:14" x14ac:dyDescent="0.2">
      <c r="A984" t="s">
        <v>2319</v>
      </c>
      <c r="B984">
        <v>311800</v>
      </c>
      <c r="C984" t="s">
        <v>68</v>
      </c>
      <c r="D984" t="s">
        <v>2320</v>
      </c>
      <c r="E984" t="s">
        <v>2321</v>
      </c>
      <c r="G984" t="s">
        <v>2322</v>
      </c>
      <c r="J984">
        <v>6.4561903559999996</v>
      </c>
      <c r="K984">
        <v>0.47291064100000002</v>
      </c>
      <c r="L984">
        <v>0.34414126499999997</v>
      </c>
      <c r="M984" s="21">
        <v>-1.113657683</v>
      </c>
      <c r="N984">
        <v>0.51786837399999996</v>
      </c>
    </row>
    <row r="985" spans="1:14" x14ac:dyDescent="0.2">
      <c r="A985" t="s">
        <v>1436</v>
      </c>
      <c r="B985">
        <v>356680</v>
      </c>
      <c r="C985" t="s">
        <v>84</v>
      </c>
      <c r="D985" t="s">
        <v>1437</v>
      </c>
      <c r="E985" t="s">
        <v>2323</v>
      </c>
      <c r="J985">
        <v>3.600219579</v>
      </c>
      <c r="K985">
        <v>-0.293098474</v>
      </c>
      <c r="L985">
        <v>-0.153917466</v>
      </c>
      <c r="M985" s="21">
        <v>-1.114041517</v>
      </c>
      <c r="N985">
        <v>0.51589647299999997</v>
      </c>
    </row>
    <row r="986" spans="1:14" x14ac:dyDescent="0.2">
      <c r="A986" t="s">
        <v>541</v>
      </c>
      <c r="B986">
        <v>430600</v>
      </c>
      <c r="C986" t="s">
        <v>14</v>
      </c>
      <c r="D986" t="s">
        <v>542</v>
      </c>
      <c r="E986" t="s">
        <v>2324</v>
      </c>
      <c r="G986" t="s">
        <v>2325</v>
      </c>
      <c r="J986">
        <v>6.7484204910000001</v>
      </c>
      <c r="K986">
        <v>0.48629166299999999</v>
      </c>
      <c r="L986">
        <v>0.375053939</v>
      </c>
      <c r="M986" s="21">
        <v>-1.114163306</v>
      </c>
      <c r="N986">
        <v>0.51527079600000003</v>
      </c>
    </row>
    <row r="987" spans="1:14" x14ac:dyDescent="0.2">
      <c r="A987" t="s">
        <v>198</v>
      </c>
      <c r="B987">
        <v>406160</v>
      </c>
      <c r="C987" t="s">
        <v>100</v>
      </c>
      <c r="D987" t="s">
        <v>199</v>
      </c>
      <c r="E987" t="s">
        <v>2326</v>
      </c>
      <c r="G987" t="s">
        <v>2327</v>
      </c>
      <c r="J987">
        <v>5.9110743220000002</v>
      </c>
      <c r="K987">
        <v>0.71598987199999997</v>
      </c>
      <c r="L987">
        <v>0.29077365599999999</v>
      </c>
      <c r="M987" s="21">
        <v>-1.114400302</v>
      </c>
      <c r="N987">
        <v>0.51405326200000001</v>
      </c>
    </row>
    <row r="988" spans="1:14" x14ac:dyDescent="0.2">
      <c r="A988" t="s">
        <v>1052</v>
      </c>
      <c r="B988">
        <v>405880</v>
      </c>
      <c r="C988" t="s">
        <v>100</v>
      </c>
      <c r="D988" t="s">
        <v>1052</v>
      </c>
      <c r="E988" t="s">
        <v>2328</v>
      </c>
      <c r="G988" t="s">
        <v>2329</v>
      </c>
      <c r="J988">
        <v>5.9110743220000002</v>
      </c>
      <c r="K988">
        <v>0.71598987199999997</v>
      </c>
      <c r="L988">
        <v>0.29077365599999999</v>
      </c>
      <c r="M988" s="21">
        <v>-1.114678262</v>
      </c>
      <c r="N988">
        <v>0.51262527899999999</v>
      </c>
    </row>
    <row r="989" spans="1:14" x14ac:dyDescent="0.2">
      <c r="A989" t="s">
        <v>1049</v>
      </c>
      <c r="B989">
        <v>356120</v>
      </c>
      <c r="C989" t="s">
        <v>84</v>
      </c>
      <c r="D989" t="s">
        <v>1049</v>
      </c>
      <c r="E989" t="s">
        <v>2330</v>
      </c>
      <c r="J989">
        <v>3.600219579</v>
      </c>
      <c r="K989">
        <v>-0.293098474</v>
      </c>
      <c r="L989">
        <v>-0.153917466</v>
      </c>
      <c r="M989" s="21">
        <v>-1.1147744820000001</v>
      </c>
      <c r="N989">
        <v>0.51213095600000003</v>
      </c>
    </row>
    <row r="990" spans="1:14" x14ac:dyDescent="0.2">
      <c r="A990" t="s">
        <v>622</v>
      </c>
      <c r="B990">
        <v>397120</v>
      </c>
      <c r="C990" t="s">
        <v>130</v>
      </c>
      <c r="D990" t="s">
        <v>622</v>
      </c>
      <c r="E990" t="s">
        <v>2331</v>
      </c>
      <c r="G990" t="s">
        <v>2332</v>
      </c>
      <c r="J990">
        <v>5.1222566499999997</v>
      </c>
      <c r="K990">
        <v>0.21422175600000001</v>
      </c>
      <c r="L990">
        <v>0.25354511400000002</v>
      </c>
      <c r="M990" s="21">
        <v>-1.114774581</v>
      </c>
      <c r="N990">
        <v>0.51213044900000004</v>
      </c>
    </row>
    <row r="991" spans="1:14" x14ac:dyDescent="0.2">
      <c r="A991" t="s">
        <v>1101</v>
      </c>
      <c r="B991">
        <v>213280</v>
      </c>
      <c r="C991" t="s">
        <v>34</v>
      </c>
      <c r="D991" t="s">
        <v>1101</v>
      </c>
      <c r="J991">
        <v>7.0544859390000001</v>
      </c>
      <c r="K991">
        <v>0.623000361</v>
      </c>
      <c r="L991">
        <v>0.42866702800000001</v>
      </c>
      <c r="M991" s="21">
        <v>-1.1149193900000001</v>
      </c>
      <c r="N991">
        <v>0.51138651000000002</v>
      </c>
    </row>
    <row r="992" spans="1:14" x14ac:dyDescent="0.2">
      <c r="A992" t="s">
        <v>18</v>
      </c>
      <c r="B992">
        <v>355480</v>
      </c>
      <c r="C992" t="s">
        <v>84</v>
      </c>
      <c r="D992" t="s">
        <v>19</v>
      </c>
      <c r="E992" t="s">
        <v>2333</v>
      </c>
      <c r="G992" t="s">
        <v>2334</v>
      </c>
      <c r="J992">
        <v>3.600219579</v>
      </c>
      <c r="K992">
        <v>-0.293098474</v>
      </c>
      <c r="L992">
        <v>-0.153917466</v>
      </c>
      <c r="M992" s="21">
        <v>-1.1156121569999999</v>
      </c>
      <c r="N992">
        <v>0.50782750899999995</v>
      </c>
    </row>
    <row r="993" spans="1:14" x14ac:dyDescent="0.2">
      <c r="A993" t="s">
        <v>2335</v>
      </c>
      <c r="B993">
        <v>432240</v>
      </c>
      <c r="C993" t="s">
        <v>149</v>
      </c>
      <c r="D993" t="s">
        <v>2335</v>
      </c>
      <c r="E993" t="s">
        <v>2336</v>
      </c>
      <c r="G993" t="s">
        <v>2337</v>
      </c>
      <c r="J993">
        <v>5.0381074159999999</v>
      </c>
      <c r="K993">
        <v>0.81312368999999995</v>
      </c>
      <c r="L993">
        <v>0.16969141800000001</v>
      </c>
      <c r="M993" s="21">
        <v>-1.1156694680000001</v>
      </c>
      <c r="N993">
        <v>0.507533079</v>
      </c>
    </row>
    <row r="994" spans="1:14" x14ac:dyDescent="0.2">
      <c r="A994" t="s">
        <v>311</v>
      </c>
      <c r="B994">
        <v>355400</v>
      </c>
      <c r="C994" t="s">
        <v>84</v>
      </c>
      <c r="D994" t="s">
        <v>311</v>
      </c>
      <c r="E994" t="s">
        <v>2338</v>
      </c>
      <c r="J994">
        <v>3.600219579</v>
      </c>
      <c r="K994">
        <v>-0.293098474</v>
      </c>
      <c r="L994">
        <v>-0.153917466</v>
      </c>
      <c r="M994" s="21">
        <v>-1.1157168660000001</v>
      </c>
      <c r="N994">
        <v>0.50728957900000005</v>
      </c>
    </row>
    <row r="995" spans="1:14" x14ac:dyDescent="0.2">
      <c r="A995" t="s">
        <v>944</v>
      </c>
      <c r="B995">
        <v>258000</v>
      </c>
      <c r="C995" t="s">
        <v>28</v>
      </c>
      <c r="D995" t="s">
        <v>944</v>
      </c>
      <c r="E995" t="s">
        <v>2339</v>
      </c>
      <c r="G995" t="s">
        <v>2340</v>
      </c>
      <c r="J995">
        <v>5.8462906840000004</v>
      </c>
      <c r="K995">
        <v>0.60615847</v>
      </c>
      <c r="L995">
        <v>0.28550877299999999</v>
      </c>
      <c r="M995" s="21">
        <v>-1.116101657</v>
      </c>
      <c r="N995">
        <v>0.505312765</v>
      </c>
    </row>
    <row r="996" spans="1:14" x14ac:dyDescent="0.2">
      <c r="A996" t="s">
        <v>2341</v>
      </c>
      <c r="B996">
        <v>431760</v>
      </c>
      <c r="C996" t="s">
        <v>149</v>
      </c>
      <c r="D996" t="s">
        <v>2341</v>
      </c>
      <c r="E996" t="s">
        <v>2342</v>
      </c>
      <c r="G996" t="s">
        <v>2343</v>
      </c>
      <c r="J996">
        <v>5.0381074159999999</v>
      </c>
      <c r="K996">
        <v>0.81312368999999995</v>
      </c>
      <c r="L996">
        <v>0.16969141800000001</v>
      </c>
      <c r="M996" s="21">
        <v>-1.1161132840000001</v>
      </c>
      <c r="N996">
        <v>0.50525303099999996</v>
      </c>
    </row>
    <row r="997" spans="1:14" x14ac:dyDescent="0.2">
      <c r="A997" t="s">
        <v>892</v>
      </c>
      <c r="B997">
        <v>403960</v>
      </c>
      <c r="C997" t="s">
        <v>100</v>
      </c>
      <c r="D997" t="s">
        <v>892</v>
      </c>
      <c r="E997" t="s">
        <v>2344</v>
      </c>
      <c r="G997" t="s">
        <v>2345</v>
      </c>
      <c r="J997">
        <v>5.9110743220000002</v>
      </c>
      <c r="K997">
        <v>0.71598987199999997</v>
      </c>
      <c r="L997">
        <v>0.29077365599999999</v>
      </c>
      <c r="M997" s="21">
        <v>-1.116584271</v>
      </c>
      <c r="N997">
        <v>0.50283339199999999</v>
      </c>
    </row>
    <row r="998" spans="1:14" x14ac:dyDescent="0.2">
      <c r="A998" t="s">
        <v>1963</v>
      </c>
      <c r="B998">
        <v>407800</v>
      </c>
      <c r="C998" t="s">
        <v>58</v>
      </c>
      <c r="D998" t="s">
        <v>1963</v>
      </c>
      <c r="E998" t="s">
        <v>2346</v>
      </c>
      <c r="G998" t="s">
        <v>2347</v>
      </c>
      <c r="J998">
        <v>4.5363847230000003</v>
      </c>
      <c r="K998">
        <v>0.245646371</v>
      </c>
      <c r="L998">
        <v>7.5242279999999995E-2</v>
      </c>
      <c r="M998" s="21">
        <v>-1.116823919</v>
      </c>
      <c r="N998">
        <v>0.50160223299999995</v>
      </c>
    </row>
    <row r="999" spans="1:14" x14ac:dyDescent="0.2">
      <c r="A999" t="s">
        <v>2348</v>
      </c>
      <c r="B999">
        <v>354480</v>
      </c>
      <c r="C999" t="s">
        <v>84</v>
      </c>
      <c r="D999" t="s">
        <v>2348</v>
      </c>
      <c r="E999" t="s">
        <v>2349</v>
      </c>
      <c r="J999">
        <v>3.600219579</v>
      </c>
      <c r="K999">
        <v>-0.293098474</v>
      </c>
      <c r="L999">
        <v>-0.153917466</v>
      </c>
      <c r="M999" s="21">
        <v>-1.116921023</v>
      </c>
      <c r="N999">
        <v>0.50110337400000005</v>
      </c>
    </row>
    <row r="1000" spans="1:14" x14ac:dyDescent="0.2">
      <c r="A1000" t="s">
        <v>537</v>
      </c>
      <c r="B1000">
        <v>308400</v>
      </c>
      <c r="C1000" t="s">
        <v>68</v>
      </c>
      <c r="D1000" t="s">
        <v>538</v>
      </c>
      <c r="E1000" t="s">
        <v>2350</v>
      </c>
      <c r="G1000" t="s">
        <v>2351</v>
      </c>
      <c r="J1000">
        <v>6.4561903559999996</v>
      </c>
      <c r="K1000">
        <v>0.47291064100000002</v>
      </c>
      <c r="L1000">
        <v>0.34414126499999997</v>
      </c>
      <c r="M1000" s="21">
        <v>-1.1169456609999999</v>
      </c>
      <c r="N1000">
        <v>0.50097679699999997</v>
      </c>
    </row>
    <row r="1001" spans="1:14" x14ac:dyDescent="0.2">
      <c r="A1001" t="s">
        <v>314</v>
      </c>
      <c r="B1001">
        <v>354400</v>
      </c>
      <c r="C1001" t="s">
        <v>84</v>
      </c>
      <c r="D1001" t="s">
        <v>315</v>
      </c>
      <c r="E1001" t="s">
        <v>2352</v>
      </c>
      <c r="J1001">
        <v>3.600219579</v>
      </c>
      <c r="K1001">
        <v>-0.293098474</v>
      </c>
      <c r="L1001">
        <v>-0.153917466</v>
      </c>
      <c r="M1001" s="21">
        <v>-1.1170257320000001</v>
      </c>
      <c r="N1001">
        <v>0.50056544300000005</v>
      </c>
    </row>
    <row r="1002" spans="1:14" x14ac:dyDescent="0.2">
      <c r="A1002" t="s">
        <v>2031</v>
      </c>
      <c r="B1002">
        <v>256920</v>
      </c>
      <c r="C1002" t="s">
        <v>28</v>
      </c>
      <c r="D1002" t="s">
        <v>2032</v>
      </c>
      <c r="E1002" t="s">
        <v>2353</v>
      </c>
      <c r="G1002" t="s">
        <v>2354</v>
      </c>
      <c r="J1002">
        <v>5.8462906840000004</v>
      </c>
      <c r="K1002">
        <v>0.60615847</v>
      </c>
      <c r="L1002">
        <v>0.28550877299999999</v>
      </c>
      <c r="M1002" s="21">
        <v>-1.1170766940000001</v>
      </c>
      <c r="N1002">
        <v>0.500303634</v>
      </c>
    </row>
    <row r="1003" spans="1:14" x14ac:dyDescent="0.2">
      <c r="A1003" t="s">
        <v>977</v>
      </c>
      <c r="B1003">
        <v>308200</v>
      </c>
      <c r="C1003" t="s">
        <v>68</v>
      </c>
      <c r="D1003" t="s">
        <v>978</v>
      </c>
      <c r="E1003" t="s">
        <v>2355</v>
      </c>
      <c r="G1003" t="s">
        <v>2356</v>
      </c>
      <c r="J1003">
        <v>6.4561903559999996</v>
      </c>
      <c r="K1003">
        <v>0.47291064100000002</v>
      </c>
      <c r="L1003">
        <v>0.34414126499999997</v>
      </c>
      <c r="M1003" s="21">
        <v>-1.1171390720000001</v>
      </c>
      <c r="N1003">
        <v>0.499983175</v>
      </c>
    </row>
    <row r="1004" spans="1:14" x14ac:dyDescent="0.2">
      <c r="A1004" t="s">
        <v>2294</v>
      </c>
      <c r="B1004">
        <v>256160</v>
      </c>
      <c r="C1004" t="s">
        <v>28</v>
      </c>
      <c r="D1004" t="s">
        <v>2294</v>
      </c>
      <c r="E1004" t="s">
        <v>2357</v>
      </c>
      <c r="G1004" t="s">
        <v>2358</v>
      </c>
      <c r="J1004">
        <v>5.8462906840000004</v>
      </c>
      <c r="K1004">
        <v>0.60615847</v>
      </c>
      <c r="L1004">
        <v>0.28550877299999999</v>
      </c>
      <c r="M1004" s="21">
        <v>-1.1177628310000001</v>
      </c>
      <c r="N1004">
        <v>0.49677869000000002</v>
      </c>
    </row>
    <row r="1005" spans="1:14" x14ac:dyDescent="0.2">
      <c r="A1005" t="s">
        <v>832</v>
      </c>
      <c r="B1005">
        <v>393320</v>
      </c>
      <c r="C1005" t="s">
        <v>130</v>
      </c>
      <c r="D1005" t="s">
        <v>832</v>
      </c>
      <c r="E1005" t="s">
        <v>2359</v>
      </c>
      <c r="G1005" t="s">
        <v>2360</v>
      </c>
      <c r="J1005">
        <v>5.1222566499999997</v>
      </c>
      <c r="K1005">
        <v>0.21422175600000001</v>
      </c>
      <c r="L1005">
        <v>0.25354511400000002</v>
      </c>
      <c r="M1005" s="21">
        <v>-1.117798735</v>
      </c>
      <c r="N1005">
        <v>0.49659424000000002</v>
      </c>
    </row>
    <row r="1006" spans="1:14" x14ac:dyDescent="0.2">
      <c r="A1006" t="s">
        <v>221</v>
      </c>
      <c r="B1006">
        <v>427160</v>
      </c>
      <c r="C1006" t="s">
        <v>14</v>
      </c>
      <c r="D1006" t="s">
        <v>221</v>
      </c>
      <c r="E1006" t="s">
        <v>2361</v>
      </c>
      <c r="G1006" t="s">
        <v>2362</v>
      </c>
      <c r="J1006">
        <v>6.7484204910000001</v>
      </c>
      <c r="K1006">
        <v>0.48629166299999999</v>
      </c>
      <c r="L1006">
        <v>0.375053939</v>
      </c>
      <c r="M1006" s="21">
        <v>-1.117932591</v>
      </c>
      <c r="N1006">
        <v>0.49590656900000002</v>
      </c>
    </row>
    <row r="1007" spans="1:14" x14ac:dyDescent="0.2">
      <c r="A1007" t="s">
        <v>148</v>
      </c>
      <c r="B1007">
        <v>392960</v>
      </c>
      <c r="C1007" t="s">
        <v>130</v>
      </c>
      <c r="D1007" t="s">
        <v>148</v>
      </c>
      <c r="E1007" t="s">
        <v>2363</v>
      </c>
      <c r="G1007" t="s">
        <v>2364</v>
      </c>
      <c r="J1007">
        <v>5.1222566499999997</v>
      </c>
      <c r="K1007">
        <v>0.21422175600000001</v>
      </c>
      <c r="L1007">
        <v>0.25354511400000002</v>
      </c>
      <c r="M1007" s="21">
        <v>-1.118085233</v>
      </c>
      <c r="N1007">
        <v>0.495122389</v>
      </c>
    </row>
    <row r="1008" spans="1:14" x14ac:dyDescent="0.2">
      <c r="A1008" t="s">
        <v>1108</v>
      </c>
      <c r="B1008">
        <v>392920</v>
      </c>
      <c r="C1008" t="s">
        <v>130</v>
      </c>
      <c r="D1008" t="s">
        <v>1109</v>
      </c>
      <c r="E1008" t="s">
        <v>2365</v>
      </c>
      <c r="G1008" t="s">
        <v>2366</v>
      </c>
      <c r="J1008">
        <v>5.1222566499999997</v>
      </c>
      <c r="K1008">
        <v>0.21422175600000001</v>
      </c>
      <c r="L1008">
        <v>0.25354511400000002</v>
      </c>
      <c r="M1008" s="21">
        <v>-1.118117067</v>
      </c>
      <c r="N1008">
        <v>0.49495885000000001</v>
      </c>
    </row>
    <row r="1009" spans="1:14" x14ac:dyDescent="0.2">
      <c r="A1009" t="s">
        <v>1498</v>
      </c>
      <c r="B1009">
        <v>429480</v>
      </c>
      <c r="C1009" t="s">
        <v>149</v>
      </c>
      <c r="D1009" t="s">
        <v>1498</v>
      </c>
      <c r="E1009" t="s">
        <v>2367</v>
      </c>
      <c r="G1009" t="s">
        <v>2368</v>
      </c>
      <c r="J1009">
        <v>5.0381074159999999</v>
      </c>
      <c r="K1009">
        <v>0.81312368999999995</v>
      </c>
      <c r="L1009">
        <v>0.16969141800000001</v>
      </c>
      <c r="M1009" s="21">
        <v>-1.118221409</v>
      </c>
      <c r="N1009">
        <v>0.49442280599999999</v>
      </c>
    </row>
    <row r="1010" spans="1:14" x14ac:dyDescent="0.2">
      <c r="A1010" t="s">
        <v>1426</v>
      </c>
      <c r="B1010">
        <v>307000</v>
      </c>
      <c r="C1010" t="s">
        <v>68</v>
      </c>
      <c r="D1010" t="s">
        <v>1426</v>
      </c>
      <c r="E1010" t="s">
        <v>2369</v>
      </c>
      <c r="G1010" t="s">
        <v>2370</v>
      </c>
      <c r="J1010">
        <v>6.4561903559999996</v>
      </c>
      <c r="K1010">
        <v>0.47291064100000002</v>
      </c>
      <c r="L1010">
        <v>0.34414126499999997</v>
      </c>
      <c r="M1010" s="21">
        <v>-1.118299535</v>
      </c>
      <c r="N1010">
        <v>0.49402144199999998</v>
      </c>
    </row>
    <row r="1011" spans="1:14" x14ac:dyDescent="0.2">
      <c r="A1011" t="s">
        <v>1511</v>
      </c>
      <c r="B1011">
        <v>406040</v>
      </c>
      <c r="C1011" t="s">
        <v>58</v>
      </c>
      <c r="D1011" t="s">
        <v>1512</v>
      </c>
      <c r="E1011" t="s">
        <v>2371</v>
      </c>
      <c r="G1011" t="s">
        <v>2372</v>
      </c>
      <c r="J1011">
        <v>4.5363847230000003</v>
      </c>
      <c r="K1011">
        <v>0.245646371</v>
      </c>
      <c r="L1011">
        <v>7.5242279999999995E-2</v>
      </c>
      <c r="M1011" s="21">
        <v>-1.1185235979999999</v>
      </c>
      <c r="N1011">
        <v>0.49287034800000001</v>
      </c>
    </row>
    <row r="1012" spans="1:14" x14ac:dyDescent="0.2">
      <c r="A1012" t="s">
        <v>42</v>
      </c>
      <c r="B1012">
        <v>392320</v>
      </c>
      <c r="C1012" t="s">
        <v>130</v>
      </c>
      <c r="D1012" t="s">
        <v>42</v>
      </c>
      <c r="E1012" t="s">
        <v>2373</v>
      </c>
      <c r="G1012" t="s">
        <v>2374</v>
      </c>
      <c r="J1012">
        <v>5.1222566499999997</v>
      </c>
      <c r="K1012">
        <v>0.21422175600000001</v>
      </c>
      <c r="L1012">
        <v>0.25354511400000002</v>
      </c>
      <c r="M1012" s="21">
        <v>-1.1185945639999999</v>
      </c>
      <c r="N1012">
        <v>0.49250576499999998</v>
      </c>
    </row>
    <row r="1013" spans="1:14" x14ac:dyDescent="0.2">
      <c r="A1013" t="s">
        <v>1484</v>
      </c>
      <c r="B1013">
        <v>255120</v>
      </c>
      <c r="C1013" t="s">
        <v>28</v>
      </c>
      <c r="D1013" t="s">
        <v>1484</v>
      </c>
      <c r="E1013" t="s">
        <v>2375</v>
      </c>
      <c r="G1013" t="s">
        <v>2376</v>
      </c>
      <c r="J1013">
        <v>5.8462906840000004</v>
      </c>
      <c r="K1013">
        <v>0.60615847</v>
      </c>
      <c r="L1013">
        <v>0.28550877299999999</v>
      </c>
      <c r="M1013" s="21">
        <v>-1.1187017560000001</v>
      </c>
      <c r="N1013">
        <v>0.49195508199999999</v>
      </c>
    </row>
    <row r="1014" spans="1:14" x14ac:dyDescent="0.2">
      <c r="A1014" t="s">
        <v>2035</v>
      </c>
      <c r="B1014">
        <v>352960</v>
      </c>
      <c r="C1014" t="s">
        <v>84</v>
      </c>
      <c r="D1014" t="s">
        <v>2035</v>
      </c>
      <c r="E1014" t="s">
        <v>2377</v>
      </c>
      <c r="J1014">
        <v>3.600219579</v>
      </c>
      <c r="K1014">
        <v>-0.293098474</v>
      </c>
      <c r="L1014">
        <v>-0.153917466</v>
      </c>
      <c r="M1014" s="21">
        <v>-1.1189104999999999</v>
      </c>
      <c r="N1014">
        <v>0.49088268699999998</v>
      </c>
    </row>
    <row r="1015" spans="1:14" x14ac:dyDescent="0.2">
      <c r="A1015" t="s">
        <v>267</v>
      </c>
      <c r="B1015">
        <v>306160</v>
      </c>
      <c r="C1015" t="s">
        <v>68</v>
      </c>
      <c r="D1015" t="s">
        <v>268</v>
      </c>
      <c r="E1015" t="s">
        <v>2378</v>
      </c>
      <c r="G1015" t="s">
        <v>2379</v>
      </c>
      <c r="J1015">
        <v>6.4561903559999996</v>
      </c>
      <c r="K1015">
        <v>0.47291064100000002</v>
      </c>
      <c r="L1015">
        <v>0.34414126499999997</v>
      </c>
      <c r="M1015" s="21">
        <v>-1.119111859</v>
      </c>
      <c r="N1015">
        <v>0.48984822900000002</v>
      </c>
    </row>
    <row r="1016" spans="1:14" x14ac:dyDescent="0.2">
      <c r="A1016" t="s">
        <v>1788</v>
      </c>
      <c r="B1016">
        <v>254560</v>
      </c>
      <c r="C1016" t="s">
        <v>28</v>
      </c>
      <c r="D1016" t="s">
        <v>1788</v>
      </c>
      <c r="E1016" t="s">
        <v>2380</v>
      </c>
      <c r="G1016" t="s">
        <v>2381</v>
      </c>
      <c r="J1016">
        <v>5.8462906840000004</v>
      </c>
      <c r="K1016">
        <v>0.60615847</v>
      </c>
      <c r="L1016">
        <v>0.28550877299999999</v>
      </c>
      <c r="M1016" s="21">
        <v>-1.1192073309999999</v>
      </c>
      <c r="N1016">
        <v>0.48935775399999998</v>
      </c>
    </row>
    <row r="1017" spans="1:14" x14ac:dyDescent="0.2">
      <c r="A1017" t="s">
        <v>1349</v>
      </c>
      <c r="B1017">
        <v>352680</v>
      </c>
      <c r="C1017" t="s">
        <v>84</v>
      </c>
      <c r="D1017" t="s">
        <v>1350</v>
      </c>
      <c r="E1017" t="s">
        <v>2382</v>
      </c>
      <c r="J1017">
        <v>3.600219579</v>
      </c>
      <c r="K1017">
        <v>-0.293098474</v>
      </c>
      <c r="L1017">
        <v>-0.153917466</v>
      </c>
      <c r="M1017" s="21">
        <v>-1.1192769819999999</v>
      </c>
      <c r="N1017">
        <v>0.488999929</v>
      </c>
    </row>
    <row r="1018" spans="1:14" x14ac:dyDescent="0.2">
      <c r="A1018" t="s">
        <v>1222</v>
      </c>
      <c r="B1018">
        <v>391440</v>
      </c>
      <c r="C1018" t="s">
        <v>130</v>
      </c>
      <c r="D1018" t="s">
        <v>1223</v>
      </c>
      <c r="E1018" t="s">
        <v>2383</v>
      </c>
      <c r="G1018" t="s">
        <v>2384</v>
      </c>
      <c r="J1018">
        <v>5.1222566499999997</v>
      </c>
      <c r="K1018">
        <v>0.21422175600000001</v>
      </c>
      <c r="L1018">
        <v>0.25354511400000002</v>
      </c>
      <c r="M1018" s="21">
        <v>-1.1192948949999999</v>
      </c>
      <c r="N1018">
        <v>0.488907906</v>
      </c>
    </row>
    <row r="1019" spans="1:14" x14ac:dyDescent="0.2">
      <c r="A1019" t="s">
        <v>2385</v>
      </c>
      <c r="B1019">
        <v>254440</v>
      </c>
      <c r="C1019" t="s">
        <v>28</v>
      </c>
      <c r="D1019" t="s">
        <v>2385</v>
      </c>
      <c r="E1019" t="s">
        <v>2386</v>
      </c>
      <c r="G1019" t="s">
        <v>2387</v>
      </c>
      <c r="J1019">
        <v>5.8462906840000004</v>
      </c>
      <c r="K1019">
        <v>0.60615847</v>
      </c>
      <c r="L1019">
        <v>0.28550877299999999</v>
      </c>
      <c r="M1019" s="21">
        <v>-1.119315668</v>
      </c>
      <c r="N1019">
        <v>0.488801184</v>
      </c>
    </row>
    <row r="1020" spans="1:14" x14ac:dyDescent="0.2">
      <c r="A1020" t="s">
        <v>1456</v>
      </c>
      <c r="B1020">
        <v>208160</v>
      </c>
      <c r="C1020" t="s">
        <v>34</v>
      </c>
      <c r="D1020" t="s">
        <v>1457</v>
      </c>
      <c r="E1020" t="s">
        <v>2388</v>
      </c>
      <c r="G1020" t="s">
        <v>2389</v>
      </c>
      <c r="J1020">
        <v>7.0544859390000001</v>
      </c>
      <c r="K1020">
        <v>0.623000361</v>
      </c>
      <c r="L1020">
        <v>0.42866702800000001</v>
      </c>
      <c r="M1020" s="21">
        <v>-1.119420173</v>
      </c>
      <c r="N1020">
        <v>0.48826430599999998</v>
      </c>
    </row>
    <row r="1021" spans="1:14" x14ac:dyDescent="0.2">
      <c r="A1021" t="s">
        <v>907</v>
      </c>
      <c r="B1021">
        <v>305760</v>
      </c>
      <c r="C1021" t="s">
        <v>68</v>
      </c>
      <c r="D1021" t="s">
        <v>907</v>
      </c>
      <c r="E1021" t="s">
        <v>2390</v>
      </c>
      <c r="G1021" t="s">
        <v>2391</v>
      </c>
      <c r="J1021">
        <v>6.4561903559999996</v>
      </c>
      <c r="K1021">
        <v>0.47291064100000002</v>
      </c>
      <c r="L1021">
        <v>0.34414126499999997</v>
      </c>
      <c r="M1021" s="21">
        <v>-1.11949868</v>
      </c>
      <c r="N1021">
        <v>0.48786098500000002</v>
      </c>
    </row>
    <row r="1022" spans="1:14" x14ac:dyDescent="0.2">
      <c r="A1022" t="s">
        <v>222</v>
      </c>
      <c r="B1022">
        <v>254120</v>
      </c>
      <c r="C1022" t="s">
        <v>28</v>
      </c>
      <c r="D1022" t="s">
        <v>222</v>
      </c>
      <c r="E1022" t="s">
        <v>2392</v>
      </c>
      <c r="G1022" t="s">
        <v>2393</v>
      </c>
      <c r="J1022">
        <v>5.8462906840000004</v>
      </c>
      <c r="K1022">
        <v>0.60615847</v>
      </c>
      <c r="L1022">
        <v>0.28550877299999999</v>
      </c>
      <c r="M1022" s="21">
        <v>-1.119604568</v>
      </c>
      <c r="N1022">
        <v>0.48731699699999997</v>
      </c>
    </row>
    <row r="1023" spans="1:14" x14ac:dyDescent="0.2">
      <c r="A1023" t="s">
        <v>57</v>
      </c>
      <c r="B1023">
        <v>391000</v>
      </c>
      <c r="C1023" t="s">
        <v>130</v>
      </c>
      <c r="D1023" t="s">
        <v>59</v>
      </c>
      <c r="E1023" t="s">
        <v>2394</v>
      </c>
      <c r="G1023" t="s">
        <v>2395</v>
      </c>
      <c r="J1023">
        <v>5.1222566499999997</v>
      </c>
      <c r="K1023">
        <v>0.21422175600000001</v>
      </c>
      <c r="L1023">
        <v>0.25354511400000002</v>
      </c>
      <c r="M1023" s="21">
        <v>-1.1196450600000001</v>
      </c>
      <c r="N1023">
        <v>0.48710897600000003</v>
      </c>
    </row>
    <row r="1024" spans="1:14" x14ac:dyDescent="0.2">
      <c r="A1024" t="s">
        <v>116</v>
      </c>
      <c r="B1024">
        <v>253880</v>
      </c>
      <c r="C1024" t="s">
        <v>28</v>
      </c>
      <c r="D1024" t="s">
        <v>117</v>
      </c>
      <c r="E1024" t="s">
        <v>2396</v>
      </c>
      <c r="G1024" t="s">
        <v>2397</v>
      </c>
      <c r="J1024">
        <v>5.8462906840000004</v>
      </c>
      <c r="K1024">
        <v>0.60615847</v>
      </c>
      <c r="L1024">
        <v>0.28550877299999999</v>
      </c>
      <c r="M1024" s="21">
        <v>-1.1198212430000001</v>
      </c>
      <c r="N1024">
        <v>0.48620385700000002</v>
      </c>
    </row>
    <row r="1025" spans="1:14" x14ac:dyDescent="0.2">
      <c r="A1025" t="s">
        <v>491</v>
      </c>
      <c r="B1025">
        <v>404320</v>
      </c>
      <c r="C1025" t="s">
        <v>58</v>
      </c>
      <c r="D1025" t="s">
        <v>491</v>
      </c>
      <c r="E1025" t="s">
        <v>2398</v>
      </c>
      <c r="G1025" t="s">
        <v>2399</v>
      </c>
      <c r="J1025">
        <v>4.5363847230000003</v>
      </c>
      <c r="K1025">
        <v>0.245646371</v>
      </c>
      <c r="L1025">
        <v>7.5242279999999995E-2</v>
      </c>
      <c r="M1025" s="21">
        <v>-1.1201846470000001</v>
      </c>
      <c r="N1025">
        <v>0.48433691600000001</v>
      </c>
    </row>
    <row r="1026" spans="1:14" x14ac:dyDescent="0.2">
      <c r="A1026" t="s">
        <v>2118</v>
      </c>
      <c r="B1026">
        <v>253440</v>
      </c>
      <c r="C1026" t="s">
        <v>28</v>
      </c>
      <c r="D1026" t="s">
        <v>2119</v>
      </c>
      <c r="E1026" t="s">
        <v>2400</v>
      </c>
      <c r="G1026" t="s">
        <v>2401</v>
      </c>
      <c r="J1026">
        <v>5.8462906840000004</v>
      </c>
      <c r="K1026">
        <v>0.60615847</v>
      </c>
      <c r="L1026">
        <v>0.28550877299999999</v>
      </c>
      <c r="M1026" s="21">
        <v>-1.120218481</v>
      </c>
      <c r="N1026">
        <v>0.48416310000000001</v>
      </c>
    </row>
    <row r="1027" spans="1:14" x14ac:dyDescent="0.2">
      <c r="A1027" t="s">
        <v>1415</v>
      </c>
      <c r="B1027">
        <v>253400</v>
      </c>
      <c r="C1027" t="s">
        <v>28</v>
      </c>
      <c r="D1027" t="s">
        <v>1415</v>
      </c>
      <c r="E1027" t="s">
        <v>2402</v>
      </c>
      <c r="G1027" t="s">
        <v>2403</v>
      </c>
      <c r="J1027">
        <v>5.8462906840000004</v>
      </c>
      <c r="K1027">
        <v>0.60615847</v>
      </c>
      <c r="L1027">
        <v>0.28550877299999999</v>
      </c>
      <c r="M1027" s="21">
        <v>-1.1202545930000001</v>
      </c>
      <c r="N1027">
        <v>0.48397757600000002</v>
      </c>
    </row>
    <row r="1028" spans="1:14" x14ac:dyDescent="0.2">
      <c r="A1028" t="s">
        <v>1065</v>
      </c>
      <c r="B1028">
        <v>399680</v>
      </c>
      <c r="C1028" t="s">
        <v>100</v>
      </c>
      <c r="D1028" t="s">
        <v>1066</v>
      </c>
      <c r="E1028" t="s">
        <v>2404</v>
      </c>
      <c r="G1028" t="s">
        <v>2405</v>
      </c>
      <c r="J1028">
        <v>5.9110743220000002</v>
      </c>
      <c r="K1028">
        <v>0.71598987199999997</v>
      </c>
      <c r="L1028">
        <v>0.29077365599999999</v>
      </c>
      <c r="M1028" s="21">
        <v>-1.1208330849999999</v>
      </c>
      <c r="N1028">
        <v>0.48100564600000001</v>
      </c>
    </row>
    <row r="1029" spans="1:14" x14ac:dyDescent="0.2">
      <c r="A1029" t="s">
        <v>111</v>
      </c>
      <c r="B1029">
        <v>351440</v>
      </c>
      <c r="C1029" t="s">
        <v>84</v>
      </c>
      <c r="D1029" t="s">
        <v>112</v>
      </c>
      <c r="E1029" t="s">
        <v>2406</v>
      </c>
      <c r="G1029" t="s">
        <v>2407</v>
      </c>
      <c r="J1029">
        <v>3.600219579</v>
      </c>
      <c r="K1029">
        <v>-0.293098474</v>
      </c>
      <c r="L1029">
        <v>-0.153917466</v>
      </c>
      <c r="M1029" s="21">
        <v>-1.120899976</v>
      </c>
      <c r="N1029">
        <v>0.48066199999999998</v>
      </c>
    </row>
    <row r="1030" spans="1:14" x14ac:dyDescent="0.2">
      <c r="A1030" t="s">
        <v>1275</v>
      </c>
      <c r="B1030">
        <v>304240</v>
      </c>
      <c r="C1030" t="s">
        <v>68</v>
      </c>
      <c r="D1030" t="s">
        <v>1276</v>
      </c>
      <c r="E1030" t="s">
        <v>2408</v>
      </c>
      <c r="G1030" t="s">
        <v>2409</v>
      </c>
      <c r="J1030">
        <v>6.4561903559999996</v>
      </c>
      <c r="K1030">
        <v>0.47291064100000002</v>
      </c>
      <c r="L1030">
        <v>0.34414126499999997</v>
      </c>
      <c r="M1030" s="21">
        <v>-1.1209686000000001</v>
      </c>
      <c r="N1030">
        <v>0.480309457</v>
      </c>
    </row>
    <row r="1031" spans="1:14" x14ac:dyDescent="0.2">
      <c r="A1031" t="s">
        <v>820</v>
      </c>
      <c r="B1031">
        <v>403440</v>
      </c>
      <c r="C1031" t="s">
        <v>58</v>
      </c>
      <c r="D1031" t="s">
        <v>820</v>
      </c>
      <c r="E1031" t="s">
        <v>2410</v>
      </c>
      <c r="G1031" t="s">
        <v>2411</v>
      </c>
      <c r="J1031">
        <v>4.5363847230000003</v>
      </c>
      <c r="K1031">
        <v>0.245646371</v>
      </c>
      <c r="L1031">
        <v>7.5242279999999995E-2</v>
      </c>
      <c r="M1031" s="21">
        <v>-1.1210344860000001</v>
      </c>
      <c r="N1031">
        <v>0.47997097399999999</v>
      </c>
    </row>
    <row r="1032" spans="1:14" x14ac:dyDescent="0.2">
      <c r="A1032" t="s">
        <v>2412</v>
      </c>
      <c r="B1032">
        <v>389120</v>
      </c>
      <c r="C1032" t="s">
        <v>130</v>
      </c>
      <c r="D1032" t="s">
        <v>2412</v>
      </c>
      <c r="E1032" t="s">
        <v>2413</v>
      </c>
      <c r="G1032" t="s">
        <v>2414</v>
      </c>
      <c r="J1032">
        <v>5.1222566499999997</v>
      </c>
      <c r="K1032">
        <v>0.21422175600000001</v>
      </c>
      <c r="L1032">
        <v>0.25354511400000002</v>
      </c>
      <c r="M1032" s="21">
        <v>-1.1211412199999999</v>
      </c>
      <c r="N1032">
        <v>0.47942264200000001</v>
      </c>
    </row>
    <row r="1033" spans="1:14" x14ac:dyDescent="0.2">
      <c r="A1033" t="s">
        <v>139</v>
      </c>
      <c r="B1033">
        <v>399320</v>
      </c>
      <c r="C1033" t="s">
        <v>100</v>
      </c>
      <c r="D1033" t="s">
        <v>139</v>
      </c>
      <c r="E1033" t="s">
        <v>2415</v>
      </c>
      <c r="G1033" t="s">
        <v>2416</v>
      </c>
      <c r="J1033">
        <v>5.9110743220000002</v>
      </c>
      <c r="K1033">
        <v>0.71598987199999997</v>
      </c>
      <c r="L1033">
        <v>0.29077365599999999</v>
      </c>
      <c r="M1033" s="21">
        <v>-1.1211904619999999</v>
      </c>
      <c r="N1033">
        <v>0.47916966700000002</v>
      </c>
    </row>
    <row r="1034" spans="1:14" x14ac:dyDescent="0.2">
      <c r="A1034" t="s">
        <v>632</v>
      </c>
      <c r="B1034">
        <v>205720</v>
      </c>
      <c r="C1034" t="s">
        <v>34</v>
      </c>
      <c r="D1034" t="s">
        <v>632</v>
      </c>
      <c r="E1034" t="s">
        <v>2417</v>
      </c>
      <c r="G1034" t="s">
        <v>2418</v>
      </c>
      <c r="J1034">
        <v>7.0544859390000001</v>
      </c>
      <c r="K1034">
        <v>0.623000361</v>
      </c>
      <c r="L1034">
        <v>0.42866702800000001</v>
      </c>
      <c r="M1034" s="21">
        <v>-1.1215650770000001</v>
      </c>
      <c r="N1034">
        <v>0.47724513099999999</v>
      </c>
    </row>
    <row r="1035" spans="1:14" x14ac:dyDescent="0.2">
      <c r="A1035" t="s">
        <v>1971</v>
      </c>
      <c r="B1035">
        <v>423840</v>
      </c>
      <c r="C1035" t="s">
        <v>14</v>
      </c>
      <c r="D1035" t="s">
        <v>1971</v>
      </c>
      <c r="E1035" t="s">
        <v>2419</v>
      </c>
      <c r="G1035" t="s">
        <v>2420</v>
      </c>
      <c r="J1035">
        <v>6.7484204910000001</v>
      </c>
      <c r="K1035">
        <v>0.48629166299999999</v>
      </c>
      <c r="L1035">
        <v>0.375053939</v>
      </c>
      <c r="M1035" s="21">
        <v>-1.1215703889999999</v>
      </c>
      <c r="N1035">
        <v>0.47721783899999998</v>
      </c>
    </row>
    <row r="1036" spans="1:14" x14ac:dyDescent="0.2">
      <c r="A1036" t="s">
        <v>2421</v>
      </c>
      <c r="B1036">
        <v>350840</v>
      </c>
      <c r="C1036" t="s">
        <v>84</v>
      </c>
      <c r="D1036" t="s">
        <v>2422</v>
      </c>
      <c r="E1036" t="s">
        <v>2423</v>
      </c>
      <c r="J1036">
        <v>3.600219579</v>
      </c>
      <c r="K1036">
        <v>-0.293098474</v>
      </c>
      <c r="L1036">
        <v>-0.153917466</v>
      </c>
      <c r="M1036" s="21">
        <v>-1.1216852960000001</v>
      </c>
      <c r="N1036">
        <v>0.476627519</v>
      </c>
    </row>
    <row r="1037" spans="1:14" x14ac:dyDescent="0.2">
      <c r="A1037" t="s">
        <v>314</v>
      </c>
      <c r="B1037">
        <v>423680</v>
      </c>
      <c r="C1037" t="s">
        <v>14</v>
      </c>
      <c r="D1037" t="s">
        <v>315</v>
      </c>
      <c r="E1037" t="s">
        <v>2424</v>
      </c>
      <c r="G1037" t="s">
        <v>2425</v>
      </c>
      <c r="J1037">
        <v>6.7484204910000001</v>
      </c>
      <c r="K1037">
        <v>0.48629166299999999</v>
      </c>
      <c r="L1037">
        <v>0.375053939</v>
      </c>
      <c r="M1037" s="21">
        <v>-1.1217457049999999</v>
      </c>
      <c r="N1037">
        <v>0.47631717699999998</v>
      </c>
    </row>
    <row r="1038" spans="1:14" x14ac:dyDescent="0.2">
      <c r="A1038" t="s">
        <v>1778</v>
      </c>
      <c r="B1038">
        <v>350720</v>
      </c>
      <c r="C1038" t="s">
        <v>84</v>
      </c>
      <c r="D1038" t="s">
        <v>1778</v>
      </c>
      <c r="E1038" t="s">
        <v>2426</v>
      </c>
      <c r="J1038">
        <v>3.600219579</v>
      </c>
      <c r="K1038">
        <v>-0.293098474</v>
      </c>
      <c r="L1038">
        <v>-0.153917466</v>
      </c>
      <c r="M1038" s="21">
        <v>-1.12184236</v>
      </c>
      <c r="N1038">
        <v>0.475820623</v>
      </c>
    </row>
    <row r="1039" spans="1:14" x14ac:dyDescent="0.2">
      <c r="A1039" t="s">
        <v>2315</v>
      </c>
      <c r="B1039">
        <v>205400</v>
      </c>
      <c r="C1039" t="s">
        <v>34</v>
      </c>
      <c r="D1039" t="s">
        <v>2316</v>
      </c>
      <c r="E1039" t="s">
        <v>2427</v>
      </c>
      <c r="G1039" t="s">
        <v>2428</v>
      </c>
      <c r="J1039">
        <v>7.0544859390000001</v>
      </c>
      <c r="K1039">
        <v>0.623000361</v>
      </c>
      <c r="L1039">
        <v>0.42866702800000001</v>
      </c>
      <c r="M1039" s="21">
        <v>-1.1218463759999999</v>
      </c>
      <c r="N1039">
        <v>0.47579999299999998</v>
      </c>
    </row>
    <row r="1040" spans="1:14" x14ac:dyDescent="0.2">
      <c r="A1040" t="s">
        <v>947</v>
      </c>
      <c r="B1040">
        <v>251600</v>
      </c>
      <c r="C1040" t="s">
        <v>28</v>
      </c>
      <c r="D1040" t="s">
        <v>948</v>
      </c>
      <c r="E1040" t="s">
        <v>2429</v>
      </c>
      <c r="G1040" t="s">
        <v>2430</v>
      </c>
      <c r="J1040">
        <v>5.8462906840000004</v>
      </c>
      <c r="K1040">
        <v>0.60615847</v>
      </c>
      <c r="L1040">
        <v>0.28550877299999999</v>
      </c>
      <c r="M1040" s="21">
        <v>-1.1218796550000001</v>
      </c>
      <c r="N1040">
        <v>0.47562902400000001</v>
      </c>
    </row>
    <row r="1041" spans="1:14" x14ac:dyDescent="0.2">
      <c r="A1041" t="s">
        <v>116</v>
      </c>
      <c r="B1041">
        <v>388000</v>
      </c>
      <c r="C1041" t="s">
        <v>130</v>
      </c>
      <c r="D1041" t="s">
        <v>117</v>
      </c>
      <c r="E1041" t="s">
        <v>2431</v>
      </c>
      <c r="G1041" t="s">
        <v>2432</v>
      </c>
      <c r="J1041">
        <v>5.1222566499999997</v>
      </c>
      <c r="K1041">
        <v>0.21422175600000001</v>
      </c>
      <c r="L1041">
        <v>0.25354511400000002</v>
      </c>
      <c r="M1041" s="21">
        <v>-1.122032549</v>
      </c>
      <c r="N1041">
        <v>0.47484354899999998</v>
      </c>
    </row>
    <row r="1042" spans="1:14" x14ac:dyDescent="0.2">
      <c r="A1042" t="s">
        <v>2089</v>
      </c>
      <c r="B1042">
        <v>350440</v>
      </c>
      <c r="C1042" t="s">
        <v>84</v>
      </c>
      <c r="D1042" t="s">
        <v>2090</v>
      </c>
      <c r="E1042" t="s">
        <v>2433</v>
      </c>
      <c r="G1042" t="s">
        <v>2434</v>
      </c>
      <c r="J1042">
        <v>3.600219579</v>
      </c>
      <c r="K1042">
        <v>-0.293098474</v>
      </c>
      <c r="L1042">
        <v>-0.153917466</v>
      </c>
      <c r="M1042" s="21">
        <v>-1.1222088429999999</v>
      </c>
      <c r="N1042">
        <v>0.47393786500000001</v>
      </c>
    </row>
    <row r="1043" spans="1:14" x14ac:dyDescent="0.2">
      <c r="A1043" t="s">
        <v>1069</v>
      </c>
      <c r="B1043">
        <v>350320</v>
      </c>
      <c r="C1043" t="s">
        <v>84</v>
      </c>
      <c r="D1043" t="s">
        <v>1070</v>
      </c>
      <c r="E1043" t="s">
        <v>2435</v>
      </c>
      <c r="J1043">
        <v>3.600219579</v>
      </c>
      <c r="K1043">
        <v>-0.293098474</v>
      </c>
      <c r="L1043">
        <v>-0.153917466</v>
      </c>
      <c r="M1043" s="21">
        <v>-1.1223659070000001</v>
      </c>
      <c r="N1043">
        <v>0.47313096799999999</v>
      </c>
    </row>
    <row r="1044" spans="1:14" x14ac:dyDescent="0.2">
      <c r="A1044" t="s">
        <v>2080</v>
      </c>
      <c r="B1044">
        <v>302600</v>
      </c>
      <c r="C1044" t="s">
        <v>68</v>
      </c>
      <c r="D1044" t="s">
        <v>2080</v>
      </c>
      <c r="E1044" t="s">
        <v>2436</v>
      </c>
      <c r="G1044" t="s">
        <v>2437</v>
      </c>
      <c r="J1044">
        <v>6.4561903559999996</v>
      </c>
      <c r="K1044">
        <v>0.47291064100000002</v>
      </c>
      <c r="L1044">
        <v>0.34414126499999997</v>
      </c>
      <c r="M1044" s="21">
        <v>-1.122554566</v>
      </c>
      <c r="N1044">
        <v>0.47216175500000002</v>
      </c>
    </row>
    <row r="1045" spans="1:14" x14ac:dyDescent="0.2">
      <c r="A1045" t="s">
        <v>280</v>
      </c>
      <c r="B1045">
        <v>302560</v>
      </c>
      <c r="C1045" t="s">
        <v>68</v>
      </c>
      <c r="D1045" t="s">
        <v>280</v>
      </c>
      <c r="E1045" t="s">
        <v>2438</v>
      </c>
      <c r="G1045" t="s">
        <v>2439</v>
      </c>
      <c r="J1045">
        <v>6.4561903559999996</v>
      </c>
      <c r="K1045">
        <v>0.47291064100000002</v>
      </c>
      <c r="L1045">
        <v>0.34414126499999997</v>
      </c>
      <c r="M1045" s="21">
        <v>-1.122593248</v>
      </c>
      <c r="N1045">
        <v>0.47196303000000001</v>
      </c>
    </row>
    <row r="1046" spans="1:14" x14ac:dyDescent="0.2">
      <c r="A1046" t="s">
        <v>1394</v>
      </c>
      <c r="B1046">
        <v>350120</v>
      </c>
      <c r="C1046" t="s">
        <v>84</v>
      </c>
      <c r="D1046" t="s">
        <v>1394</v>
      </c>
      <c r="E1046" t="s">
        <v>2440</v>
      </c>
      <c r="J1046">
        <v>3.600219579</v>
      </c>
      <c r="K1046">
        <v>-0.293098474</v>
      </c>
      <c r="L1046">
        <v>-0.153917466</v>
      </c>
      <c r="M1046" s="21">
        <v>-1.1226276799999999</v>
      </c>
      <c r="N1046">
        <v>0.47178614099999999</v>
      </c>
    </row>
    <row r="1047" spans="1:14" x14ac:dyDescent="0.2">
      <c r="A1047" t="s">
        <v>1778</v>
      </c>
      <c r="B1047">
        <v>302200</v>
      </c>
      <c r="C1047" t="s">
        <v>68</v>
      </c>
      <c r="D1047" t="s">
        <v>1778</v>
      </c>
      <c r="E1047" t="s">
        <v>2441</v>
      </c>
      <c r="G1047" t="s">
        <v>2442</v>
      </c>
      <c r="J1047">
        <v>6.4561903559999996</v>
      </c>
      <c r="K1047">
        <v>0.47291064100000002</v>
      </c>
      <c r="L1047">
        <v>0.34414126499999997</v>
      </c>
      <c r="M1047" s="21">
        <v>-1.122941387</v>
      </c>
      <c r="N1047">
        <v>0.47017451100000002</v>
      </c>
    </row>
    <row r="1048" spans="1:14" x14ac:dyDescent="0.2">
      <c r="A1048" t="s">
        <v>2443</v>
      </c>
      <c r="B1048">
        <v>422520</v>
      </c>
      <c r="C1048" t="s">
        <v>14</v>
      </c>
      <c r="D1048" t="s">
        <v>2444</v>
      </c>
      <c r="E1048" t="s">
        <v>2445</v>
      </c>
      <c r="G1048" t="s">
        <v>2446</v>
      </c>
      <c r="J1048">
        <v>6.7484204910000001</v>
      </c>
      <c r="K1048">
        <v>0.48629166299999999</v>
      </c>
      <c r="L1048">
        <v>0.375053939</v>
      </c>
      <c r="M1048" s="21">
        <v>-1.123016743</v>
      </c>
      <c r="N1048">
        <v>0.46978737999999998</v>
      </c>
    </row>
    <row r="1049" spans="1:14" x14ac:dyDescent="0.2">
      <c r="A1049" t="s">
        <v>18</v>
      </c>
      <c r="B1049">
        <v>301800</v>
      </c>
      <c r="C1049" t="s">
        <v>68</v>
      </c>
      <c r="D1049" t="s">
        <v>19</v>
      </c>
      <c r="E1049" t="s">
        <v>2447</v>
      </c>
      <c r="G1049" t="s">
        <v>2448</v>
      </c>
      <c r="J1049">
        <v>6.4561903559999996</v>
      </c>
      <c r="K1049">
        <v>0.47291064100000002</v>
      </c>
      <c r="L1049">
        <v>0.34414126499999997</v>
      </c>
      <c r="M1049" s="21">
        <v>-1.123328208</v>
      </c>
      <c r="N1049">
        <v>0.46818726599999999</v>
      </c>
    </row>
    <row r="1050" spans="1:14" x14ac:dyDescent="0.2">
      <c r="A1050" t="s">
        <v>592</v>
      </c>
      <c r="B1050">
        <v>249920</v>
      </c>
      <c r="C1050" t="s">
        <v>28</v>
      </c>
      <c r="D1050" t="s">
        <v>593</v>
      </c>
      <c r="E1050" t="s">
        <v>2449</v>
      </c>
      <c r="G1050" t="s">
        <v>2450</v>
      </c>
      <c r="J1050">
        <v>5.8462906840000004</v>
      </c>
      <c r="K1050">
        <v>0.60615847</v>
      </c>
      <c r="L1050">
        <v>0.28550877299999999</v>
      </c>
      <c r="M1050" s="21">
        <v>-1.12339638</v>
      </c>
      <c r="N1050">
        <v>0.46783704199999998</v>
      </c>
    </row>
    <row r="1051" spans="1:14" x14ac:dyDescent="0.2">
      <c r="A1051" t="s">
        <v>1321</v>
      </c>
      <c r="B1051">
        <v>203160</v>
      </c>
      <c r="C1051" t="s">
        <v>34</v>
      </c>
      <c r="D1051" t="s">
        <v>1321</v>
      </c>
      <c r="E1051" t="s">
        <v>2451</v>
      </c>
      <c r="G1051" t="s">
        <v>2452</v>
      </c>
      <c r="J1051">
        <v>7.0544859390000001</v>
      </c>
      <c r="K1051">
        <v>0.623000361</v>
      </c>
      <c r="L1051">
        <v>0.42866702800000001</v>
      </c>
      <c r="M1051" s="21">
        <v>-1.1238154680000001</v>
      </c>
      <c r="N1051">
        <v>0.465684029</v>
      </c>
    </row>
    <row r="1052" spans="1:14" x14ac:dyDescent="0.2">
      <c r="A1052" t="s">
        <v>2453</v>
      </c>
      <c r="B1052">
        <v>203040</v>
      </c>
      <c r="C1052" t="s">
        <v>34</v>
      </c>
      <c r="D1052" t="s">
        <v>2454</v>
      </c>
      <c r="E1052" t="s">
        <v>2455</v>
      </c>
      <c r="G1052" t="s">
        <v>2456</v>
      </c>
      <c r="J1052">
        <v>7.0544859390000001</v>
      </c>
      <c r="K1052">
        <v>0.623000361</v>
      </c>
      <c r="L1052">
        <v>0.42866702800000001</v>
      </c>
      <c r="M1052" s="21">
        <v>-1.123920955</v>
      </c>
      <c r="N1052">
        <v>0.46514210299999997</v>
      </c>
    </row>
    <row r="1053" spans="1:14" x14ac:dyDescent="0.2">
      <c r="A1053" t="s">
        <v>2457</v>
      </c>
      <c r="B1053">
        <v>349120</v>
      </c>
      <c r="C1053" t="s">
        <v>84</v>
      </c>
      <c r="D1053" t="s">
        <v>2458</v>
      </c>
      <c r="E1053" t="s">
        <v>2459</v>
      </c>
      <c r="J1053">
        <v>3.600219579</v>
      </c>
      <c r="K1053">
        <v>-0.293098474</v>
      </c>
      <c r="L1053">
        <v>-0.153917466</v>
      </c>
      <c r="M1053" s="21">
        <v>-1.1239365459999999</v>
      </c>
      <c r="N1053">
        <v>0.465062005</v>
      </c>
    </row>
    <row r="1054" spans="1:14" x14ac:dyDescent="0.2">
      <c r="A1054" t="s">
        <v>619</v>
      </c>
      <c r="B1054">
        <v>301160</v>
      </c>
      <c r="C1054" t="s">
        <v>68</v>
      </c>
      <c r="D1054" t="s">
        <v>619</v>
      </c>
      <c r="E1054" t="s">
        <v>2460</v>
      </c>
      <c r="G1054" t="s">
        <v>2461</v>
      </c>
      <c r="J1054">
        <v>6.4561903559999996</v>
      </c>
      <c r="K1054">
        <v>0.47291064100000002</v>
      </c>
      <c r="L1054">
        <v>0.34414126499999997</v>
      </c>
      <c r="M1054" s="21">
        <v>-1.1239471219999999</v>
      </c>
      <c r="N1054">
        <v>0.46500767500000001</v>
      </c>
    </row>
    <row r="1055" spans="1:14" x14ac:dyDescent="0.2">
      <c r="A1055" t="s">
        <v>1409</v>
      </c>
      <c r="B1055">
        <v>422920</v>
      </c>
      <c r="C1055" t="s">
        <v>149</v>
      </c>
      <c r="D1055" t="s">
        <v>1410</v>
      </c>
      <c r="E1055" t="s">
        <v>2462</v>
      </c>
      <c r="G1055" t="s">
        <v>2463</v>
      </c>
      <c r="J1055">
        <v>5.0381074159999999</v>
      </c>
      <c r="K1055">
        <v>0.81312368999999995</v>
      </c>
      <c r="L1055">
        <v>0.16969141800000001</v>
      </c>
      <c r="M1055" s="21">
        <v>-1.12428689</v>
      </c>
      <c r="N1055">
        <v>0.46326215799999998</v>
      </c>
    </row>
    <row r="1056" spans="1:14" x14ac:dyDescent="0.2">
      <c r="A1056" t="s">
        <v>547</v>
      </c>
      <c r="B1056">
        <v>348680</v>
      </c>
      <c r="C1056" t="s">
        <v>84</v>
      </c>
      <c r="D1056" t="s">
        <v>548</v>
      </c>
      <c r="E1056" t="s">
        <v>2464</v>
      </c>
      <c r="J1056">
        <v>3.600219579</v>
      </c>
      <c r="K1056">
        <v>-0.293098474</v>
      </c>
      <c r="L1056">
        <v>-0.153917466</v>
      </c>
      <c r="M1056" s="21">
        <v>-1.1245124470000001</v>
      </c>
      <c r="N1056">
        <v>0.46210338499999998</v>
      </c>
    </row>
    <row r="1057" spans="1:14" x14ac:dyDescent="0.2">
      <c r="A1057" t="s">
        <v>1698</v>
      </c>
      <c r="B1057">
        <v>348640</v>
      </c>
      <c r="C1057" t="s">
        <v>84</v>
      </c>
      <c r="D1057" t="s">
        <v>1698</v>
      </c>
      <c r="E1057" t="s">
        <v>2465</v>
      </c>
      <c r="J1057">
        <v>3.600219579</v>
      </c>
      <c r="K1057">
        <v>-0.293098474</v>
      </c>
      <c r="L1057">
        <v>-0.153917466</v>
      </c>
      <c r="M1057" s="21">
        <v>-1.1245648020000001</v>
      </c>
      <c r="N1057">
        <v>0.46183442000000002</v>
      </c>
    </row>
    <row r="1058" spans="1:14" x14ac:dyDescent="0.2">
      <c r="A1058" t="s">
        <v>2257</v>
      </c>
      <c r="B1058">
        <v>248480</v>
      </c>
      <c r="C1058" t="s">
        <v>28</v>
      </c>
      <c r="D1058" t="s">
        <v>2257</v>
      </c>
      <c r="E1058" t="s">
        <v>2466</v>
      </c>
      <c r="G1058" t="s">
        <v>2467</v>
      </c>
      <c r="J1058">
        <v>5.8462906840000004</v>
      </c>
      <c r="K1058">
        <v>0.60615847</v>
      </c>
      <c r="L1058">
        <v>0.28550877299999999</v>
      </c>
      <c r="M1058" s="21">
        <v>-1.1246964290000001</v>
      </c>
      <c r="N1058">
        <v>0.46115820099999999</v>
      </c>
    </row>
    <row r="1059" spans="1:14" x14ac:dyDescent="0.2">
      <c r="A1059" t="s">
        <v>1857</v>
      </c>
      <c r="B1059">
        <v>248280</v>
      </c>
      <c r="C1059" t="s">
        <v>28</v>
      </c>
      <c r="D1059" t="s">
        <v>1858</v>
      </c>
      <c r="E1059" t="s">
        <v>2468</v>
      </c>
      <c r="G1059" t="s">
        <v>2469</v>
      </c>
      <c r="J1059">
        <v>5.8462906840000004</v>
      </c>
      <c r="K1059">
        <v>0.60615847</v>
      </c>
      <c r="L1059">
        <v>0.28550877299999999</v>
      </c>
      <c r="M1059" s="21">
        <v>-1.1248769919999999</v>
      </c>
      <c r="N1059">
        <v>0.460230584</v>
      </c>
    </row>
    <row r="1060" spans="1:14" x14ac:dyDescent="0.2">
      <c r="A1060" t="s">
        <v>239</v>
      </c>
      <c r="B1060">
        <v>348360</v>
      </c>
      <c r="C1060" t="s">
        <v>84</v>
      </c>
      <c r="D1060" t="s">
        <v>240</v>
      </c>
      <c r="E1060" t="s">
        <v>2470</v>
      </c>
      <c r="G1060" t="s">
        <v>2471</v>
      </c>
      <c r="J1060">
        <v>3.600219579</v>
      </c>
      <c r="K1060">
        <v>-0.293098474</v>
      </c>
      <c r="L1060">
        <v>-0.153917466</v>
      </c>
      <c r="M1060" s="21">
        <v>-1.1249312849999999</v>
      </c>
      <c r="N1060">
        <v>0.45995166199999998</v>
      </c>
    </row>
    <row r="1061" spans="1:14" x14ac:dyDescent="0.2">
      <c r="A1061" t="s">
        <v>2028</v>
      </c>
      <c r="B1061">
        <v>348320</v>
      </c>
      <c r="C1061" t="s">
        <v>84</v>
      </c>
      <c r="D1061" t="s">
        <v>2028</v>
      </c>
      <c r="E1061" t="s">
        <v>2472</v>
      </c>
      <c r="J1061">
        <v>3.600219579</v>
      </c>
      <c r="K1061">
        <v>-0.293098474</v>
      </c>
      <c r="L1061">
        <v>-0.153917466</v>
      </c>
      <c r="M1061" s="21">
        <v>-1.1249836390000001</v>
      </c>
      <c r="N1061">
        <v>0.459682696</v>
      </c>
    </row>
    <row r="1062" spans="1:14" x14ac:dyDescent="0.2">
      <c r="A1062" t="s">
        <v>1365</v>
      </c>
      <c r="B1062">
        <v>420520</v>
      </c>
      <c r="C1062" t="s">
        <v>14</v>
      </c>
      <c r="D1062" t="s">
        <v>1365</v>
      </c>
      <c r="E1062" t="s">
        <v>2473</v>
      </c>
      <c r="G1062" t="s">
        <v>2474</v>
      </c>
      <c r="J1062">
        <v>6.7484204910000001</v>
      </c>
      <c r="K1062">
        <v>0.48629166299999999</v>
      </c>
      <c r="L1062">
        <v>0.375053939</v>
      </c>
      <c r="M1062" s="21">
        <v>-1.1252081869999999</v>
      </c>
      <c r="N1062">
        <v>0.45852910899999999</v>
      </c>
    </row>
    <row r="1063" spans="1:14" x14ac:dyDescent="0.2">
      <c r="A1063" t="s">
        <v>944</v>
      </c>
      <c r="B1063">
        <v>421640</v>
      </c>
      <c r="C1063" t="s">
        <v>149</v>
      </c>
      <c r="D1063" t="s">
        <v>944</v>
      </c>
      <c r="E1063" t="s">
        <v>2475</v>
      </c>
      <c r="G1063" t="s">
        <v>2476</v>
      </c>
      <c r="J1063">
        <v>5.0381074159999999</v>
      </c>
      <c r="K1063">
        <v>0.81312368999999995</v>
      </c>
      <c r="L1063">
        <v>0.16969141800000001</v>
      </c>
      <c r="M1063" s="21">
        <v>-1.125470398</v>
      </c>
      <c r="N1063">
        <v>0.45718203200000002</v>
      </c>
    </row>
    <row r="1064" spans="1:14" x14ac:dyDescent="0.2">
      <c r="A1064" t="s">
        <v>267</v>
      </c>
      <c r="B1064">
        <v>398840</v>
      </c>
      <c r="C1064" t="s">
        <v>58</v>
      </c>
      <c r="D1064" t="s">
        <v>268</v>
      </c>
      <c r="E1064" t="s">
        <v>2477</v>
      </c>
      <c r="G1064" t="s">
        <v>2478</v>
      </c>
      <c r="J1064">
        <v>4.5363847230000003</v>
      </c>
      <c r="K1064">
        <v>0.245646371</v>
      </c>
      <c r="L1064">
        <v>7.5242279999999995E-2</v>
      </c>
      <c r="M1064" s="21">
        <v>-1.125476827</v>
      </c>
      <c r="N1064">
        <v>0.45714900400000003</v>
      </c>
    </row>
    <row r="1065" spans="1:14" x14ac:dyDescent="0.2">
      <c r="A1065" t="s">
        <v>1747</v>
      </c>
      <c r="B1065">
        <v>347640</v>
      </c>
      <c r="C1065" t="s">
        <v>84</v>
      </c>
      <c r="D1065" t="s">
        <v>1747</v>
      </c>
      <c r="E1065" t="s">
        <v>2479</v>
      </c>
      <c r="J1065">
        <v>3.600219579</v>
      </c>
      <c r="K1065">
        <v>-0.293098474</v>
      </c>
      <c r="L1065">
        <v>-0.153917466</v>
      </c>
      <c r="M1065" s="21">
        <v>-1.1258736680000001</v>
      </c>
      <c r="N1065">
        <v>0.45511028399999998</v>
      </c>
    </row>
    <row r="1066" spans="1:14" x14ac:dyDescent="0.2">
      <c r="A1066" t="s">
        <v>929</v>
      </c>
      <c r="B1066">
        <v>299120</v>
      </c>
      <c r="C1066" t="s">
        <v>68</v>
      </c>
      <c r="D1066" t="s">
        <v>929</v>
      </c>
      <c r="E1066" t="s">
        <v>2480</v>
      </c>
      <c r="G1066" t="s">
        <v>2481</v>
      </c>
      <c r="J1066">
        <v>6.4561903559999996</v>
      </c>
      <c r="K1066">
        <v>0.47291064100000002</v>
      </c>
      <c r="L1066">
        <v>0.34414126499999997</v>
      </c>
      <c r="M1066" s="21">
        <v>-1.1259199090000001</v>
      </c>
      <c r="N1066">
        <v>0.45487272899999998</v>
      </c>
    </row>
    <row r="1067" spans="1:14" x14ac:dyDescent="0.2">
      <c r="A1067" t="s">
        <v>1082</v>
      </c>
      <c r="B1067">
        <v>247120</v>
      </c>
      <c r="C1067" t="s">
        <v>28</v>
      </c>
      <c r="D1067" t="s">
        <v>1082</v>
      </c>
      <c r="E1067" t="s">
        <v>2482</v>
      </c>
      <c r="G1067" t="s">
        <v>2483</v>
      </c>
      <c r="J1067">
        <v>5.8462906840000004</v>
      </c>
      <c r="K1067">
        <v>0.60615847</v>
      </c>
      <c r="L1067">
        <v>0.28550877299999999</v>
      </c>
      <c r="M1067" s="21">
        <v>-1.1259242540000001</v>
      </c>
      <c r="N1067">
        <v>0.45485040599999998</v>
      </c>
    </row>
    <row r="1068" spans="1:14" x14ac:dyDescent="0.2">
      <c r="A1068" t="s">
        <v>18</v>
      </c>
      <c r="B1068">
        <v>382840</v>
      </c>
      <c r="C1068" t="s">
        <v>130</v>
      </c>
      <c r="D1068" t="s">
        <v>19</v>
      </c>
      <c r="E1068" t="s">
        <v>2484</v>
      </c>
      <c r="G1068" t="s">
        <v>2485</v>
      </c>
      <c r="J1068">
        <v>5.1222566499999997</v>
      </c>
      <c r="K1068">
        <v>0.21422175600000001</v>
      </c>
      <c r="L1068">
        <v>0.25354511400000002</v>
      </c>
      <c r="M1068" s="21">
        <v>-1.1261390309999999</v>
      </c>
      <c r="N1068">
        <v>0.453747014</v>
      </c>
    </row>
    <row r="1069" spans="1:14" x14ac:dyDescent="0.2">
      <c r="A1069" t="s">
        <v>2257</v>
      </c>
      <c r="B1069">
        <v>200440</v>
      </c>
      <c r="C1069" t="s">
        <v>34</v>
      </c>
      <c r="D1069" t="s">
        <v>2257</v>
      </c>
      <c r="E1069" t="s">
        <v>2486</v>
      </c>
      <c r="G1069" t="s">
        <v>2487</v>
      </c>
      <c r="J1069">
        <v>7.0544859390000001</v>
      </c>
      <c r="K1069">
        <v>0.623000361</v>
      </c>
      <c r="L1069">
        <v>0.42866702800000001</v>
      </c>
      <c r="M1069" s="21">
        <v>-1.126206509</v>
      </c>
      <c r="N1069">
        <v>0.45340035899999998</v>
      </c>
    </row>
    <row r="1070" spans="1:14" x14ac:dyDescent="0.2">
      <c r="A1070" t="s">
        <v>2488</v>
      </c>
      <c r="B1070">
        <v>298320</v>
      </c>
      <c r="C1070" t="s">
        <v>68</v>
      </c>
      <c r="D1070" t="s">
        <v>2488</v>
      </c>
      <c r="E1070" t="s">
        <v>2489</v>
      </c>
      <c r="G1070" t="s">
        <v>2490</v>
      </c>
      <c r="J1070">
        <v>6.4561903559999996</v>
      </c>
      <c r="K1070">
        <v>0.47291064100000002</v>
      </c>
      <c r="L1070">
        <v>0.34414126499999997</v>
      </c>
      <c r="M1070" s="21">
        <v>-1.126693551</v>
      </c>
      <c r="N1070">
        <v>0.45089824099999998</v>
      </c>
    </row>
    <row r="1071" spans="1:14" x14ac:dyDescent="0.2">
      <c r="A1071" t="s">
        <v>1383</v>
      </c>
      <c r="B1071">
        <v>419080</v>
      </c>
      <c r="C1071" t="s">
        <v>14</v>
      </c>
      <c r="D1071" t="s">
        <v>1384</v>
      </c>
      <c r="E1071" t="s">
        <v>2491</v>
      </c>
      <c r="G1071" t="s">
        <v>2492</v>
      </c>
      <c r="J1071">
        <v>6.7484204910000001</v>
      </c>
      <c r="K1071">
        <v>0.48629166299999999</v>
      </c>
      <c r="L1071">
        <v>0.375053939</v>
      </c>
      <c r="M1071" s="21">
        <v>-1.1267860270000001</v>
      </c>
      <c r="N1071">
        <v>0.45042315399999999</v>
      </c>
    </row>
    <row r="1072" spans="1:14" x14ac:dyDescent="0.2">
      <c r="A1072" t="s">
        <v>820</v>
      </c>
      <c r="B1072">
        <v>298040</v>
      </c>
      <c r="C1072" t="s">
        <v>68</v>
      </c>
      <c r="D1072" t="s">
        <v>820</v>
      </c>
      <c r="E1072" t="s">
        <v>2493</v>
      </c>
      <c r="G1072" t="s">
        <v>2494</v>
      </c>
      <c r="J1072">
        <v>6.4561903559999996</v>
      </c>
      <c r="K1072">
        <v>0.47291064100000002</v>
      </c>
      <c r="L1072">
        <v>0.34414126499999997</v>
      </c>
      <c r="M1072" s="21">
        <v>-1.1269643250000001</v>
      </c>
      <c r="N1072">
        <v>0.44950717000000001</v>
      </c>
    </row>
    <row r="1073" spans="1:14" x14ac:dyDescent="0.2">
      <c r="A1073" t="s">
        <v>1160</v>
      </c>
      <c r="B1073">
        <v>419920</v>
      </c>
      <c r="C1073" t="s">
        <v>149</v>
      </c>
      <c r="D1073" t="s">
        <v>1160</v>
      </c>
      <c r="E1073" t="s">
        <v>2495</v>
      </c>
      <c r="G1073" t="s">
        <v>2496</v>
      </c>
      <c r="J1073">
        <v>5.0381074159999999</v>
      </c>
      <c r="K1073">
        <v>0.81312368999999995</v>
      </c>
      <c r="L1073">
        <v>0.16969141800000001</v>
      </c>
      <c r="M1073" s="21">
        <v>-1.127060738</v>
      </c>
      <c r="N1073">
        <v>0.44901186199999998</v>
      </c>
    </row>
    <row r="1074" spans="1:14" x14ac:dyDescent="0.2">
      <c r="A1074" t="s">
        <v>2457</v>
      </c>
      <c r="B1074">
        <v>245840</v>
      </c>
      <c r="C1074" t="s">
        <v>28</v>
      </c>
      <c r="D1074" t="s">
        <v>2458</v>
      </c>
      <c r="E1074" t="s">
        <v>2497</v>
      </c>
      <c r="G1074" t="s">
        <v>2498</v>
      </c>
      <c r="J1074">
        <v>5.8462906840000004</v>
      </c>
      <c r="K1074">
        <v>0.60615847</v>
      </c>
      <c r="L1074">
        <v>0.28550877299999999</v>
      </c>
      <c r="M1074" s="21">
        <v>-1.127079854</v>
      </c>
      <c r="N1074">
        <v>0.44891365700000002</v>
      </c>
    </row>
    <row r="1075" spans="1:14" x14ac:dyDescent="0.2">
      <c r="A1075" t="s">
        <v>2499</v>
      </c>
      <c r="B1075">
        <v>393360</v>
      </c>
      <c r="C1075" t="s">
        <v>100</v>
      </c>
      <c r="D1075" t="s">
        <v>2500</v>
      </c>
      <c r="E1075" t="s">
        <v>2501</v>
      </c>
      <c r="G1075" t="s">
        <v>2502</v>
      </c>
      <c r="J1075">
        <v>5.9110743220000002</v>
      </c>
      <c r="K1075">
        <v>0.71598987199999997</v>
      </c>
      <c r="L1075">
        <v>0.29077365599999999</v>
      </c>
      <c r="M1075" s="21">
        <v>-1.127107034</v>
      </c>
      <c r="N1075">
        <v>0.44877402</v>
      </c>
    </row>
    <row r="1076" spans="1:14" x14ac:dyDescent="0.2">
      <c r="A1076" t="s">
        <v>972</v>
      </c>
      <c r="B1076">
        <v>346600</v>
      </c>
      <c r="C1076" t="s">
        <v>84</v>
      </c>
      <c r="D1076" t="s">
        <v>972</v>
      </c>
      <c r="E1076" t="s">
        <v>2503</v>
      </c>
      <c r="J1076">
        <v>3.600219579</v>
      </c>
      <c r="K1076">
        <v>-0.293098474</v>
      </c>
      <c r="L1076">
        <v>-0.153917466</v>
      </c>
      <c r="M1076" s="21">
        <v>-1.1272348889999999</v>
      </c>
      <c r="N1076">
        <v>0.44811718299999997</v>
      </c>
    </row>
    <row r="1077" spans="1:14" x14ac:dyDescent="0.2">
      <c r="A1077" t="s">
        <v>1617</v>
      </c>
      <c r="B1077">
        <v>297600</v>
      </c>
      <c r="C1077" t="s">
        <v>68</v>
      </c>
      <c r="D1077" t="s">
        <v>1617</v>
      </c>
      <c r="E1077" t="s">
        <v>2504</v>
      </c>
      <c r="G1077" t="s">
        <v>2505</v>
      </c>
      <c r="J1077">
        <v>6.4561903559999996</v>
      </c>
      <c r="K1077">
        <v>0.47291064100000002</v>
      </c>
      <c r="L1077">
        <v>0.34414126499999997</v>
      </c>
      <c r="M1077" s="21">
        <v>-1.127389829</v>
      </c>
      <c r="N1077">
        <v>0.447321201</v>
      </c>
    </row>
    <row r="1078" spans="1:14" x14ac:dyDescent="0.2">
      <c r="A1078" t="s">
        <v>364</v>
      </c>
      <c r="B1078">
        <v>380840</v>
      </c>
      <c r="C1078" t="s">
        <v>130</v>
      </c>
      <c r="D1078" t="s">
        <v>364</v>
      </c>
      <c r="E1078" t="s">
        <v>2506</v>
      </c>
      <c r="G1078" t="s">
        <v>2507</v>
      </c>
      <c r="J1078">
        <v>5.1222566499999997</v>
      </c>
      <c r="K1078">
        <v>0.21422175600000001</v>
      </c>
      <c r="L1078">
        <v>0.25354511400000002</v>
      </c>
      <c r="M1078" s="21">
        <v>-1.127730691</v>
      </c>
      <c r="N1078">
        <v>0.44557006199999999</v>
      </c>
    </row>
    <row r="1079" spans="1:14" x14ac:dyDescent="0.2">
      <c r="A1079" t="s">
        <v>1290</v>
      </c>
      <c r="B1079">
        <v>297080</v>
      </c>
      <c r="C1079" t="s">
        <v>68</v>
      </c>
      <c r="D1079" t="s">
        <v>1291</v>
      </c>
      <c r="E1079" t="s">
        <v>2508</v>
      </c>
      <c r="G1079" t="s">
        <v>2509</v>
      </c>
      <c r="J1079">
        <v>6.4561903559999996</v>
      </c>
      <c r="K1079">
        <v>0.47291064100000002</v>
      </c>
      <c r="L1079">
        <v>0.34414126499999997</v>
      </c>
      <c r="M1079" s="21">
        <v>-1.127892696</v>
      </c>
      <c r="N1079">
        <v>0.444737783</v>
      </c>
    </row>
    <row r="1080" spans="1:14" x14ac:dyDescent="0.2">
      <c r="A1080" t="s">
        <v>1222</v>
      </c>
      <c r="B1080">
        <v>346000</v>
      </c>
      <c r="C1080" t="s">
        <v>84</v>
      </c>
      <c r="D1080" t="s">
        <v>1223</v>
      </c>
      <c r="E1080" t="s">
        <v>2510</v>
      </c>
      <c r="G1080" t="s">
        <v>2511</v>
      </c>
      <c r="J1080">
        <v>3.600219579</v>
      </c>
      <c r="K1080">
        <v>-0.293098474</v>
      </c>
      <c r="L1080">
        <v>-0.153917466</v>
      </c>
      <c r="M1080" s="21">
        <v>-1.128020209</v>
      </c>
      <c r="N1080">
        <v>0.44408270100000002</v>
      </c>
    </row>
    <row r="1081" spans="1:14" x14ac:dyDescent="0.2">
      <c r="A1081" t="s">
        <v>441</v>
      </c>
      <c r="B1081">
        <v>417480</v>
      </c>
      <c r="C1081" t="s">
        <v>14</v>
      </c>
      <c r="D1081" t="s">
        <v>442</v>
      </c>
      <c r="E1081" t="s">
        <v>2512</v>
      </c>
      <c r="G1081" t="s">
        <v>2513</v>
      </c>
      <c r="J1081">
        <v>6.7484204910000001</v>
      </c>
      <c r="K1081">
        <v>0.48629166299999999</v>
      </c>
      <c r="L1081">
        <v>0.375053939</v>
      </c>
      <c r="M1081" s="21">
        <v>-1.128539183</v>
      </c>
      <c r="N1081">
        <v>0.441416537</v>
      </c>
    </row>
    <row r="1082" spans="1:14" x14ac:dyDescent="0.2">
      <c r="A1082" t="s">
        <v>947</v>
      </c>
      <c r="B1082">
        <v>379720</v>
      </c>
      <c r="C1082" t="s">
        <v>130</v>
      </c>
      <c r="D1082" t="s">
        <v>948</v>
      </c>
      <c r="E1082" t="s">
        <v>2514</v>
      </c>
      <c r="G1082" t="s">
        <v>2515</v>
      </c>
      <c r="J1082">
        <v>5.1222566499999997</v>
      </c>
      <c r="K1082">
        <v>0.21422175600000001</v>
      </c>
      <c r="L1082">
        <v>0.25354511400000002</v>
      </c>
      <c r="M1082" s="21">
        <v>-1.128622021</v>
      </c>
      <c r="N1082">
        <v>0.44099096900000001</v>
      </c>
    </row>
    <row r="1083" spans="1:14" x14ac:dyDescent="0.2">
      <c r="A1083" t="s">
        <v>79</v>
      </c>
      <c r="B1083">
        <v>379560</v>
      </c>
      <c r="C1083" t="s">
        <v>130</v>
      </c>
      <c r="D1083" t="s">
        <v>80</v>
      </c>
      <c r="E1083" t="s">
        <v>2516</v>
      </c>
      <c r="G1083" t="s">
        <v>2517</v>
      </c>
      <c r="J1083">
        <v>5.1222566499999997</v>
      </c>
      <c r="K1083">
        <v>0.21422175600000001</v>
      </c>
      <c r="L1083">
        <v>0.25354511400000002</v>
      </c>
      <c r="M1083" s="21">
        <v>-1.1287493529999999</v>
      </c>
      <c r="N1083">
        <v>0.44033681299999999</v>
      </c>
    </row>
    <row r="1084" spans="1:14" x14ac:dyDescent="0.2">
      <c r="A1084" t="s">
        <v>307</v>
      </c>
      <c r="B1084">
        <v>391640</v>
      </c>
      <c r="C1084" t="s">
        <v>100</v>
      </c>
      <c r="D1084" t="s">
        <v>308</v>
      </c>
      <c r="E1084" t="s">
        <v>2518</v>
      </c>
      <c r="G1084" t="s">
        <v>2519</v>
      </c>
      <c r="J1084">
        <v>5.9110743220000002</v>
      </c>
      <c r="K1084">
        <v>0.71598987199999997</v>
      </c>
      <c r="L1084">
        <v>0.29077365599999999</v>
      </c>
      <c r="M1084" s="21">
        <v>-1.128814502</v>
      </c>
      <c r="N1084">
        <v>0.440002122</v>
      </c>
    </row>
    <row r="1085" spans="1:14" x14ac:dyDescent="0.2">
      <c r="A1085" t="s">
        <v>1318</v>
      </c>
      <c r="B1085">
        <v>296040</v>
      </c>
      <c r="C1085" t="s">
        <v>68</v>
      </c>
      <c r="D1085" t="s">
        <v>1318</v>
      </c>
      <c r="E1085" t="s">
        <v>2520</v>
      </c>
      <c r="G1085" t="s">
        <v>2521</v>
      </c>
      <c r="J1085">
        <v>6.4561903559999996</v>
      </c>
      <c r="K1085">
        <v>0.47291064100000002</v>
      </c>
      <c r="L1085">
        <v>0.34414126499999997</v>
      </c>
      <c r="M1085" s="21">
        <v>-1.12889843</v>
      </c>
      <c r="N1085">
        <v>0.43957094800000002</v>
      </c>
    </row>
    <row r="1086" spans="1:14" x14ac:dyDescent="0.2">
      <c r="A1086" t="s">
        <v>2385</v>
      </c>
      <c r="B1086">
        <v>345280</v>
      </c>
      <c r="C1086" t="s">
        <v>84</v>
      </c>
      <c r="D1086" t="s">
        <v>2385</v>
      </c>
      <c r="E1086" t="s">
        <v>2522</v>
      </c>
      <c r="J1086">
        <v>3.600219579</v>
      </c>
      <c r="K1086">
        <v>-0.293098474</v>
      </c>
      <c r="L1086">
        <v>-0.153917466</v>
      </c>
      <c r="M1086" s="21">
        <v>-1.128962593</v>
      </c>
      <c r="N1086">
        <v>0.43924132300000002</v>
      </c>
    </row>
    <row r="1087" spans="1:14" x14ac:dyDescent="0.2">
      <c r="A1087" t="s">
        <v>563</v>
      </c>
      <c r="B1087">
        <v>379280</v>
      </c>
      <c r="C1087" t="s">
        <v>130</v>
      </c>
      <c r="D1087" t="s">
        <v>564</v>
      </c>
      <c r="E1087" t="s">
        <v>2523</v>
      </c>
      <c r="G1087" t="s">
        <v>2524</v>
      </c>
      <c r="J1087">
        <v>5.1222566499999997</v>
      </c>
      <c r="K1087">
        <v>0.21422175600000001</v>
      </c>
      <c r="L1087">
        <v>0.25354511400000002</v>
      </c>
      <c r="M1087" s="21">
        <v>-1.1289721859999999</v>
      </c>
      <c r="N1087">
        <v>0.43919204000000001</v>
      </c>
    </row>
    <row r="1088" spans="1:14" x14ac:dyDescent="0.2">
      <c r="A1088" t="s">
        <v>1431</v>
      </c>
      <c r="B1088">
        <v>345200</v>
      </c>
      <c r="C1088" t="s">
        <v>84</v>
      </c>
      <c r="D1088" t="s">
        <v>1431</v>
      </c>
      <c r="E1088" t="s">
        <v>2525</v>
      </c>
      <c r="J1088">
        <v>3.600219579</v>
      </c>
      <c r="K1088">
        <v>-0.293098474</v>
      </c>
      <c r="L1088">
        <v>-0.153917466</v>
      </c>
      <c r="M1088" s="21">
        <v>-1.1290673019999999</v>
      </c>
      <c r="N1088">
        <v>0.43870339200000003</v>
      </c>
    </row>
    <row r="1089" spans="1:14" x14ac:dyDescent="0.2">
      <c r="A1089" t="s">
        <v>551</v>
      </c>
      <c r="B1089">
        <v>416920</v>
      </c>
      <c r="C1089" t="s">
        <v>14</v>
      </c>
      <c r="D1089" t="s">
        <v>551</v>
      </c>
      <c r="E1089" t="s">
        <v>2526</v>
      </c>
      <c r="G1089" t="s">
        <v>2527</v>
      </c>
      <c r="J1089">
        <v>6.7484204910000001</v>
      </c>
      <c r="K1089">
        <v>0.48629166299999999</v>
      </c>
      <c r="L1089">
        <v>0.375053939</v>
      </c>
      <c r="M1089" s="21">
        <v>-1.1291527880000001</v>
      </c>
      <c r="N1089">
        <v>0.43826422100000001</v>
      </c>
    </row>
    <row r="1090" spans="1:14" x14ac:dyDescent="0.2">
      <c r="A1090" t="s">
        <v>1986</v>
      </c>
      <c r="B1090">
        <v>345120</v>
      </c>
      <c r="C1090" t="s">
        <v>84</v>
      </c>
      <c r="D1090" t="s">
        <v>1986</v>
      </c>
      <c r="E1090" t="s">
        <v>2528</v>
      </c>
      <c r="J1090">
        <v>3.600219579</v>
      </c>
      <c r="K1090">
        <v>-0.293098474</v>
      </c>
      <c r="L1090">
        <v>-0.153917466</v>
      </c>
      <c r="M1090" s="21">
        <v>-1.1291720110000001</v>
      </c>
      <c r="N1090">
        <v>0.43816546099999998</v>
      </c>
    </row>
    <row r="1091" spans="1:14" x14ac:dyDescent="0.2">
      <c r="A1091" t="s">
        <v>348</v>
      </c>
      <c r="B1091">
        <v>243520</v>
      </c>
      <c r="C1091" t="s">
        <v>28</v>
      </c>
      <c r="D1091" t="s">
        <v>349</v>
      </c>
      <c r="E1091" t="s">
        <v>2529</v>
      </c>
      <c r="G1091" t="s">
        <v>2530</v>
      </c>
      <c r="J1091">
        <v>5.8462906840000004</v>
      </c>
      <c r="K1091">
        <v>0.60615847</v>
      </c>
      <c r="L1091">
        <v>0.28550877299999999</v>
      </c>
      <c r="M1091" s="21">
        <v>-1.1291743780000001</v>
      </c>
      <c r="N1091">
        <v>0.438153301</v>
      </c>
    </row>
    <row r="1092" spans="1:14" x14ac:dyDescent="0.2">
      <c r="A1092" t="s">
        <v>709</v>
      </c>
      <c r="B1092">
        <v>416800</v>
      </c>
      <c r="C1092" t="s">
        <v>14</v>
      </c>
      <c r="D1092" t="s">
        <v>709</v>
      </c>
      <c r="E1092" t="s">
        <v>2531</v>
      </c>
      <c r="G1092" t="s">
        <v>2532</v>
      </c>
      <c r="J1092">
        <v>6.7484204910000001</v>
      </c>
      <c r="K1092">
        <v>0.48629166299999999</v>
      </c>
      <c r="L1092">
        <v>0.375053939</v>
      </c>
      <c r="M1092" s="21">
        <v>-1.129284274</v>
      </c>
      <c r="N1092">
        <v>0.43758872399999998</v>
      </c>
    </row>
    <row r="1093" spans="1:14" x14ac:dyDescent="0.2">
      <c r="A1093" t="s">
        <v>1174</v>
      </c>
      <c r="B1093">
        <v>295440</v>
      </c>
      <c r="C1093" t="s">
        <v>68</v>
      </c>
      <c r="D1093" t="s">
        <v>1174</v>
      </c>
      <c r="E1093" t="s">
        <v>2533</v>
      </c>
      <c r="G1093" t="s">
        <v>2534</v>
      </c>
      <c r="J1093">
        <v>6.4561903559999996</v>
      </c>
      <c r="K1093">
        <v>0.47291064100000002</v>
      </c>
      <c r="L1093">
        <v>0.34414126499999997</v>
      </c>
      <c r="M1093" s="21">
        <v>-1.1294786619999999</v>
      </c>
      <c r="N1093">
        <v>0.43659008199999999</v>
      </c>
    </row>
    <row r="1094" spans="1:14" x14ac:dyDescent="0.2">
      <c r="A1094" t="s">
        <v>178</v>
      </c>
      <c r="B1094">
        <v>416600</v>
      </c>
      <c r="C1094" t="s">
        <v>14</v>
      </c>
      <c r="D1094" t="s">
        <v>178</v>
      </c>
      <c r="E1094" t="s">
        <v>2535</v>
      </c>
      <c r="G1094" t="s">
        <v>2536</v>
      </c>
      <c r="J1094">
        <v>6.7484204910000001</v>
      </c>
      <c r="K1094">
        <v>0.48629166299999999</v>
      </c>
      <c r="L1094">
        <v>0.375053939</v>
      </c>
      <c r="M1094" s="21">
        <v>-1.129503419</v>
      </c>
      <c r="N1094">
        <v>0.43646289700000002</v>
      </c>
    </row>
    <row r="1095" spans="1:14" x14ac:dyDescent="0.2">
      <c r="A1095" t="s">
        <v>2319</v>
      </c>
      <c r="B1095">
        <v>394640</v>
      </c>
      <c r="C1095" t="s">
        <v>58</v>
      </c>
      <c r="D1095" t="s">
        <v>2320</v>
      </c>
      <c r="E1095" t="s">
        <v>2537</v>
      </c>
      <c r="G1095" t="s">
        <v>2538</v>
      </c>
      <c r="J1095">
        <v>4.5363847230000003</v>
      </c>
      <c r="K1095">
        <v>0.245646371</v>
      </c>
      <c r="L1095">
        <v>7.5242279999999995E-2</v>
      </c>
      <c r="M1095" s="21">
        <v>-1.129532878</v>
      </c>
      <c r="N1095">
        <v>0.43631155300000002</v>
      </c>
    </row>
    <row r="1096" spans="1:14" x14ac:dyDescent="0.2">
      <c r="A1096" t="s">
        <v>687</v>
      </c>
      <c r="B1096">
        <v>295080</v>
      </c>
      <c r="C1096" t="s">
        <v>68</v>
      </c>
      <c r="D1096" t="s">
        <v>688</v>
      </c>
      <c r="E1096" t="s">
        <v>2539</v>
      </c>
      <c r="G1096" t="s">
        <v>2540</v>
      </c>
      <c r="J1096">
        <v>6.4561903559999996</v>
      </c>
      <c r="K1096">
        <v>0.47291064100000002</v>
      </c>
      <c r="L1096">
        <v>0.34414126499999997</v>
      </c>
      <c r="M1096" s="21">
        <v>-1.1298268010000001</v>
      </c>
      <c r="N1096">
        <v>0.43480156199999997</v>
      </c>
    </row>
    <row r="1097" spans="1:14" x14ac:dyDescent="0.2">
      <c r="A1097" t="s">
        <v>63</v>
      </c>
      <c r="B1097">
        <v>344600</v>
      </c>
      <c r="C1097" t="s">
        <v>84</v>
      </c>
      <c r="D1097" t="s">
        <v>63</v>
      </c>
      <c r="E1097" t="s">
        <v>2541</v>
      </c>
      <c r="J1097">
        <v>3.600219579</v>
      </c>
      <c r="K1097">
        <v>-0.293098474</v>
      </c>
      <c r="L1097">
        <v>-0.153917466</v>
      </c>
      <c r="M1097" s="21">
        <v>-1.129852622</v>
      </c>
      <c r="N1097">
        <v>0.43466891099999999</v>
      </c>
    </row>
    <row r="1098" spans="1:14" x14ac:dyDescent="0.2">
      <c r="A1098" t="s">
        <v>2149</v>
      </c>
      <c r="B1098">
        <v>295000</v>
      </c>
      <c r="C1098" t="s">
        <v>68</v>
      </c>
      <c r="D1098" t="s">
        <v>2149</v>
      </c>
      <c r="E1098" t="s">
        <v>2542</v>
      </c>
      <c r="G1098" t="s">
        <v>2543</v>
      </c>
      <c r="J1098">
        <v>6.4561903559999996</v>
      </c>
      <c r="K1098">
        <v>0.47291064100000002</v>
      </c>
      <c r="L1098">
        <v>0.34414126499999997</v>
      </c>
      <c r="M1098" s="21">
        <v>-1.1299041649999999</v>
      </c>
      <c r="N1098">
        <v>0.43440411299999998</v>
      </c>
    </row>
    <row r="1099" spans="1:14" x14ac:dyDescent="0.2">
      <c r="A1099" t="s">
        <v>554</v>
      </c>
      <c r="B1099">
        <v>416200</v>
      </c>
      <c r="C1099" t="s">
        <v>14</v>
      </c>
      <c r="D1099" t="s">
        <v>555</v>
      </c>
      <c r="E1099" t="s">
        <v>2544</v>
      </c>
      <c r="G1099" t="s">
        <v>2545</v>
      </c>
      <c r="J1099">
        <v>6.7484204910000001</v>
      </c>
      <c r="K1099">
        <v>0.48629166299999999</v>
      </c>
      <c r="L1099">
        <v>0.375053939</v>
      </c>
      <c r="M1099" s="21">
        <v>-1.129941708</v>
      </c>
      <c r="N1099">
        <v>0.43421124300000002</v>
      </c>
    </row>
    <row r="1100" spans="1:14" x14ac:dyDescent="0.2">
      <c r="A1100" t="s">
        <v>1857</v>
      </c>
      <c r="B1100">
        <v>377960</v>
      </c>
      <c r="C1100" t="s">
        <v>130</v>
      </c>
      <c r="D1100" t="s">
        <v>1858</v>
      </c>
      <c r="E1100" t="s">
        <v>2546</v>
      </c>
      <c r="G1100" t="s">
        <v>2547</v>
      </c>
      <c r="J1100">
        <v>5.1222566499999997</v>
      </c>
      <c r="K1100">
        <v>0.21422175600000001</v>
      </c>
      <c r="L1100">
        <v>0.25354511400000002</v>
      </c>
      <c r="M1100" s="21">
        <v>-1.130022681</v>
      </c>
      <c r="N1100">
        <v>0.43379525200000002</v>
      </c>
    </row>
    <row r="1101" spans="1:14" x14ac:dyDescent="0.2">
      <c r="A1101" t="s">
        <v>1422</v>
      </c>
      <c r="B1101">
        <v>377920</v>
      </c>
      <c r="C1101" t="s">
        <v>130</v>
      </c>
      <c r="D1101" t="s">
        <v>1423</v>
      </c>
      <c r="E1101" t="s">
        <v>2548</v>
      </c>
      <c r="G1101" t="s">
        <v>2549</v>
      </c>
      <c r="J1101">
        <v>5.1222566499999997</v>
      </c>
      <c r="K1101">
        <v>0.21422175600000001</v>
      </c>
      <c r="L1101">
        <v>0.25354511400000002</v>
      </c>
      <c r="M1101" s="21">
        <v>-1.130054514</v>
      </c>
      <c r="N1101">
        <v>0.43363171299999997</v>
      </c>
    </row>
    <row r="1102" spans="1:14" x14ac:dyDescent="0.2">
      <c r="A1102" t="s">
        <v>221</v>
      </c>
      <c r="B1102">
        <v>390320</v>
      </c>
      <c r="C1102" t="s">
        <v>100</v>
      </c>
      <c r="D1102" t="s">
        <v>221</v>
      </c>
      <c r="E1102" t="s">
        <v>2550</v>
      </c>
      <c r="G1102" t="s">
        <v>2551</v>
      </c>
      <c r="J1102">
        <v>5.9110743220000002</v>
      </c>
      <c r="K1102">
        <v>0.71598987199999997</v>
      </c>
      <c r="L1102">
        <v>0.29077365599999999</v>
      </c>
      <c r="M1102" s="21">
        <v>-1.1301248829999999</v>
      </c>
      <c r="N1102">
        <v>0.43327020100000002</v>
      </c>
    </row>
    <row r="1103" spans="1:14" x14ac:dyDescent="0.2">
      <c r="A1103" t="s">
        <v>1275</v>
      </c>
      <c r="B1103">
        <v>344320</v>
      </c>
      <c r="C1103" t="s">
        <v>84</v>
      </c>
      <c r="D1103" t="s">
        <v>1276</v>
      </c>
      <c r="E1103" t="s">
        <v>2552</v>
      </c>
      <c r="J1103">
        <v>3.600219579</v>
      </c>
      <c r="K1103">
        <v>-0.293098474</v>
      </c>
      <c r="L1103">
        <v>-0.153917466</v>
      </c>
      <c r="M1103" s="21">
        <v>-1.130219104</v>
      </c>
      <c r="N1103">
        <v>0.43278615300000001</v>
      </c>
    </row>
    <row r="1104" spans="1:14" x14ac:dyDescent="0.2">
      <c r="A1104" t="s">
        <v>185</v>
      </c>
      <c r="B1104">
        <v>416400</v>
      </c>
      <c r="C1104" t="s">
        <v>149</v>
      </c>
      <c r="D1104" t="s">
        <v>185</v>
      </c>
      <c r="E1104" t="s">
        <v>2553</v>
      </c>
      <c r="G1104" t="s">
        <v>2554</v>
      </c>
      <c r="J1104">
        <v>5.0381074159999999</v>
      </c>
      <c r="K1104">
        <v>0.81312368999999995</v>
      </c>
      <c r="L1104">
        <v>0.16969141800000001</v>
      </c>
      <c r="M1104" s="21">
        <v>-1.130315387</v>
      </c>
      <c r="N1104">
        <v>0.43229151399999999</v>
      </c>
    </row>
    <row r="1105" spans="1:14" x14ac:dyDescent="0.2">
      <c r="A1105" t="s">
        <v>1668</v>
      </c>
      <c r="B1105">
        <v>377480</v>
      </c>
      <c r="C1105" t="s">
        <v>130</v>
      </c>
      <c r="D1105" t="s">
        <v>1668</v>
      </c>
      <c r="E1105" t="s">
        <v>2555</v>
      </c>
      <c r="G1105" t="s">
        <v>2556</v>
      </c>
      <c r="J1105">
        <v>5.1222566499999997</v>
      </c>
      <c r="K1105">
        <v>0.21422175600000001</v>
      </c>
      <c r="L1105">
        <v>0.25354511400000002</v>
      </c>
      <c r="M1105" s="21">
        <v>-1.130404679</v>
      </c>
      <c r="N1105">
        <v>0.431832783</v>
      </c>
    </row>
    <row r="1106" spans="1:14" x14ac:dyDescent="0.2">
      <c r="A1106" t="s">
        <v>2224</v>
      </c>
      <c r="B1106">
        <v>343920</v>
      </c>
      <c r="C1106" t="s">
        <v>84</v>
      </c>
      <c r="D1106" t="s">
        <v>2224</v>
      </c>
      <c r="E1106" t="s">
        <v>2557</v>
      </c>
      <c r="J1106">
        <v>3.600219579</v>
      </c>
      <c r="K1106">
        <v>-0.293098474</v>
      </c>
      <c r="L1106">
        <v>-0.153917466</v>
      </c>
      <c r="M1106" s="21">
        <v>-1.130742651</v>
      </c>
      <c r="N1106">
        <v>0.43009649799999999</v>
      </c>
    </row>
    <row r="1107" spans="1:14" x14ac:dyDescent="0.2">
      <c r="A1107" t="s">
        <v>637</v>
      </c>
      <c r="B1107">
        <v>389360</v>
      </c>
      <c r="C1107" t="s">
        <v>100</v>
      </c>
      <c r="D1107" t="s">
        <v>637</v>
      </c>
      <c r="E1107" t="s">
        <v>2558</v>
      </c>
      <c r="G1107" t="s">
        <v>2559</v>
      </c>
      <c r="J1107">
        <v>5.9110743220000002</v>
      </c>
      <c r="K1107">
        <v>0.71598987199999997</v>
      </c>
      <c r="L1107">
        <v>0.29077365599999999</v>
      </c>
      <c r="M1107" s="21">
        <v>-1.1310778880000001</v>
      </c>
      <c r="N1107">
        <v>0.42837425699999998</v>
      </c>
    </row>
    <row r="1108" spans="1:14" x14ac:dyDescent="0.2">
      <c r="A1108" t="s">
        <v>610</v>
      </c>
      <c r="B1108">
        <v>241400</v>
      </c>
      <c r="C1108" t="s">
        <v>28</v>
      </c>
      <c r="D1108" t="s">
        <v>611</v>
      </c>
      <c r="E1108" t="s">
        <v>2560</v>
      </c>
      <c r="G1108" t="s">
        <v>2561</v>
      </c>
      <c r="J1108">
        <v>5.8462906840000004</v>
      </c>
      <c r="K1108">
        <v>0.60615847</v>
      </c>
      <c r="L1108">
        <v>0.28550877299999999</v>
      </c>
      <c r="M1108" s="21">
        <v>-1.13108834</v>
      </c>
      <c r="N1108">
        <v>0.42832056200000002</v>
      </c>
    </row>
    <row r="1109" spans="1:14" x14ac:dyDescent="0.2">
      <c r="A1109" t="s">
        <v>541</v>
      </c>
      <c r="B1109">
        <v>415520</v>
      </c>
      <c r="C1109" t="s">
        <v>149</v>
      </c>
      <c r="D1109" t="s">
        <v>542</v>
      </c>
      <c r="E1109" t="s">
        <v>2562</v>
      </c>
      <c r="G1109" t="s">
        <v>2563</v>
      </c>
      <c r="J1109">
        <v>5.0381074159999999</v>
      </c>
      <c r="K1109">
        <v>0.81312368999999995</v>
      </c>
      <c r="L1109">
        <v>0.16969141800000001</v>
      </c>
      <c r="M1109" s="21">
        <v>-1.1311290490000001</v>
      </c>
      <c r="N1109">
        <v>0.42811142699999999</v>
      </c>
    </row>
    <row r="1110" spans="1:14" x14ac:dyDescent="0.2">
      <c r="A1110" t="s">
        <v>267</v>
      </c>
      <c r="B1110">
        <v>241320</v>
      </c>
      <c r="C1110" t="s">
        <v>28</v>
      </c>
      <c r="D1110" t="s">
        <v>268</v>
      </c>
      <c r="E1110" t="s">
        <v>2564</v>
      </c>
      <c r="G1110" t="s">
        <v>2565</v>
      </c>
      <c r="J1110">
        <v>5.8462906840000004</v>
      </c>
      <c r="K1110">
        <v>0.60615847</v>
      </c>
      <c r="L1110">
        <v>0.28550877299999999</v>
      </c>
      <c r="M1110" s="21">
        <v>-1.1311605650000001</v>
      </c>
      <c r="N1110">
        <v>0.427949515</v>
      </c>
    </row>
    <row r="1111" spans="1:14" x14ac:dyDescent="0.2">
      <c r="A1111" t="s">
        <v>1275</v>
      </c>
      <c r="B1111">
        <v>376520</v>
      </c>
      <c r="C1111" t="s">
        <v>130</v>
      </c>
      <c r="D1111" t="s">
        <v>1276</v>
      </c>
      <c r="E1111" t="s">
        <v>2566</v>
      </c>
      <c r="G1111" t="s">
        <v>2567</v>
      </c>
      <c r="J1111">
        <v>5.1222566499999997</v>
      </c>
      <c r="K1111">
        <v>0.21422175600000001</v>
      </c>
      <c r="L1111">
        <v>0.25354511400000002</v>
      </c>
      <c r="M1111" s="21">
        <v>-1.1311686759999999</v>
      </c>
      <c r="N1111">
        <v>0.42790784599999998</v>
      </c>
    </row>
    <row r="1112" spans="1:14" x14ac:dyDescent="0.2">
      <c r="A1112" t="s">
        <v>1436</v>
      </c>
      <c r="B1112">
        <v>376480</v>
      </c>
      <c r="C1112" t="s">
        <v>130</v>
      </c>
      <c r="D1112" t="s">
        <v>1437</v>
      </c>
      <c r="E1112" t="s">
        <v>2568</v>
      </c>
      <c r="G1112" t="s">
        <v>2569</v>
      </c>
      <c r="J1112">
        <v>5.1222566499999997</v>
      </c>
      <c r="K1112">
        <v>0.21422175600000001</v>
      </c>
      <c r="L1112">
        <v>0.25354511400000002</v>
      </c>
      <c r="M1112" s="21">
        <v>-1.1312005089999999</v>
      </c>
      <c r="N1112">
        <v>0.42774430699999999</v>
      </c>
    </row>
    <row r="1113" spans="1:14" x14ac:dyDescent="0.2">
      <c r="A1113" t="s">
        <v>912</v>
      </c>
      <c r="B1113">
        <v>343360</v>
      </c>
      <c r="C1113" t="s">
        <v>84</v>
      </c>
      <c r="D1113" t="s">
        <v>912</v>
      </c>
      <c r="E1113" t="s">
        <v>2570</v>
      </c>
      <c r="J1113">
        <v>3.600219579</v>
      </c>
      <c r="K1113">
        <v>-0.293098474</v>
      </c>
      <c r="L1113">
        <v>-0.153917466</v>
      </c>
      <c r="M1113" s="21">
        <v>-1.1314756159999999</v>
      </c>
      <c r="N1113">
        <v>0.42633098200000002</v>
      </c>
    </row>
    <row r="1114" spans="1:14" x14ac:dyDescent="0.2">
      <c r="A1114" t="s">
        <v>547</v>
      </c>
      <c r="B1114">
        <v>388760</v>
      </c>
      <c r="C1114" t="s">
        <v>100</v>
      </c>
      <c r="D1114" t="s">
        <v>548</v>
      </c>
      <c r="E1114" t="s">
        <v>2571</v>
      </c>
      <c r="G1114" t="s">
        <v>2572</v>
      </c>
      <c r="J1114">
        <v>5.9110743220000002</v>
      </c>
      <c r="K1114">
        <v>0.71598987199999997</v>
      </c>
      <c r="L1114">
        <v>0.29077365599999999</v>
      </c>
      <c r="M1114" s="21">
        <v>-1.131673516</v>
      </c>
      <c r="N1114">
        <v>0.42531429300000001</v>
      </c>
    </row>
    <row r="1115" spans="1:14" x14ac:dyDescent="0.2">
      <c r="A1115" t="s">
        <v>985</v>
      </c>
      <c r="B1115">
        <v>343120</v>
      </c>
      <c r="C1115" t="s">
        <v>84</v>
      </c>
      <c r="D1115" t="s">
        <v>985</v>
      </c>
      <c r="E1115" t="s">
        <v>2573</v>
      </c>
      <c r="J1115">
        <v>3.600219579</v>
      </c>
      <c r="K1115">
        <v>-0.293098474</v>
      </c>
      <c r="L1115">
        <v>-0.153917466</v>
      </c>
      <c r="M1115" s="21">
        <v>-1.131789744</v>
      </c>
      <c r="N1115">
        <v>0.42471719000000002</v>
      </c>
    </row>
    <row r="1116" spans="1:14" x14ac:dyDescent="0.2">
      <c r="A1116" t="s">
        <v>246</v>
      </c>
      <c r="B1116">
        <v>292960</v>
      </c>
      <c r="C1116" t="s">
        <v>68</v>
      </c>
      <c r="D1116" t="s">
        <v>246</v>
      </c>
      <c r="E1116" t="s">
        <v>2574</v>
      </c>
      <c r="G1116" t="s">
        <v>2575</v>
      </c>
      <c r="J1116">
        <v>6.4561903559999996</v>
      </c>
      <c r="K1116">
        <v>0.47291064100000002</v>
      </c>
      <c r="L1116">
        <v>0.34414126499999997</v>
      </c>
      <c r="M1116" s="21">
        <v>-1.131876952</v>
      </c>
      <c r="N1116">
        <v>0.424269167</v>
      </c>
    </row>
    <row r="1117" spans="1:14" x14ac:dyDescent="0.2">
      <c r="A1117" t="s">
        <v>919</v>
      </c>
      <c r="B1117">
        <v>388440</v>
      </c>
      <c r="C1117" t="s">
        <v>100</v>
      </c>
      <c r="D1117" t="s">
        <v>919</v>
      </c>
      <c r="E1117" t="s">
        <v>2576</v>
      </c>
      <c r="G1117" t="s">
        <v>2577</v>
      </c>
      <c r="J1117">
        <v>5.9110743220000002</v>
      </c>
      <c r="K1117">
        <v>0.71598987199999997</v>
      </c>
      <c r="L1117">
        <v>0.29077365599999999</v>
      </c>
      <c r="M1117" s="21">
        <v>-1.131991185</v>
      </c>
      <c r="N1117">
        <v>0.42368231200000001</v>
      </c>
    </row>
    <row r="1118" spans="1:14" x14ac:dyDescent="0.2">
      <c r="A1118" t="s">
        <v>1208</v>
      </c>
      <c r="B1118">
        <v>193840</v>
      </c>
      <c r="C1118" t="s">
        <v>34</v>
      </c>
      <c r="D1118" t="s">
        <v>1208</v>
      </c>
      <c r="E1118" t="s">
        <v>2578</v>
      </c>
      <c r="G1118" t="s">
        <v>2579</v>
      </c>
      <c r="J1118">
        <v>7.0544859390000001</v>
      </c>
      <c r="K1118">
        <v>0.623000361</v>
      </c>
      <c r="L1118">
        <v>0.42866702800000001</v>
      </c>
      <c r="M1118" s="21">
        <v>-1.1320082979999999</v>
      </c>
      <c r="N1118">
        <v>0.42359439300000001</v>
      </c>
    </row>
    <row r="1119" spans="1:14" x14ac:dyDescent="0.2">
      <c r="A1119" t="s">
        <v>1362</v>
      </c>
      <c r="B1119">
        <v>414200</v>
      </c>
      <c r="C1119" t="s">
        <v>14</v>
      </c>
      <c r="D1119" t="s">
        <v>1362</v>
      </c>
      <c r="E1119" t="s">
        <v>2580</v>
      </c>
      <c r="G1119" t="s">
        <v>2581</v>
      </c>
      <c r="J1119">
        <v>6.7484204910000001</v>
      </c>
      <c r="K1119">
        <v>0.48629166299999999</v>
      </c>
      <c r="L1119">
        <v>0.375053939</v>
      </c>
      <c r="M1119" s="21">
        <v>-1.132133152</v>
      </c>
      <c r="N1119">
        <v>0.42295297199999998</v>
      </c>
    </row>
    <row r="1120" spans="1:14" x14ac:dyDescent="0.2">
      <c r="A1120" t="s">
        <v>325</v>
      </c>
      <c r="B1120">
        <v>374960</v>
      </c>
      <c r="C1120" t="s">
        <v>130</v>
      </c>
      <c r="D1120" t="s">
        <v>326</v>
      </c>
      <c r="E1120" t="s">
        <v>2582</v>
      </c>
      <c r="G1120" t="s">
        <v>2583</v>
      </c>
      <c r="J1120">
        <v>5.1222566499999997</v>
      </c>
      <c r="K1120">
        <v>0.21422175600000001</v>
      </c>
      <c r="L1120">
        <v>0.25354511400000002</v>
      </c>
      <c r="M1120" s="21">
        <v>-1.1324101710000001</v>
      </c>
      <c r="N1120">
        <v>0.421529824</v>
      </c>
    </row>
    <row r="1121" spans="1:14" x14ac:dyDescent="0.2">
      <c r="A1121" t="s">
        <v>2239</v>
      </c>
      <c r="B1121">
        <v>239880</v>
      </c>
      <c r="C1121" t="s">
        <v>28</v>
      </c>
      <c r="D1121" t="s">
        <v>2240</v>
      </c>
      <c r="E1121" t="s">
        <v>2584</v>
      </c>
      <c r="G1121" t="s">
        <v>2585</v>
      </c>
      <c r="J1121">
        <v>5.8462906840000004</v>
      </c>
      <c r="K1121">
        <v>0.60615847</v>
      </c>
      <c r="L1121">
        <v>0.28550877299999999</v>
      </c>
      <c r="M1121" s="21">
        <v>-1.1324606150000001</v>
      </c>
      <c r="N1121">
        <v>0.42127067400000001</v>
      </c>
    </row>
    <row r="1122" spans="1:14" x14ac:dyDescent="0.2">
      <c r="A1122" t="s">
        <v>1783</v>
      </c>
      <c r="B1122">
        <v>193000</v>
      </c>
      <c r="C1122" t="s">
        <v>34</v>
      </c>
      <c r="D1122" t="s">
        <v>1783</v>
      </c>
      <c r="J1122">
        <v>7.0544859390000001</v>
      </c>
      <c r="K1122">
        <v>0.623000361</v>
      </c>
      <c r="L1122">
        <v>0.42866702800000001</v>
      </c>
      <c r="M1122" s="21">
        <v>-1.132746708</v>
      </c>
      <c r="N1122">
        <v>0.41980090599999997</v>
      </c>
    </row>
    <row r="1123" spans="1:14" x14ac:dyDescent="0.2">
      <c r="A1123" t="s">
        <v>280</v>
      </c>
      <c r="B1123">
        <v>413320</v>
      </c>
      <c r="C1123" t="s">
        <v>149</v>
      </c>
      <c r="D1123" t="s">
        <v>280</v>
      </c>
      <c r="E1123" t="s">
        <v>2586</v>
      </c>
      <c r="G1123" t="s">
        <v>2587</v>
      </c>
      <c r="J1123">
        <v>5.0381074159999999</v>
      </c>
      <c r="K1123">
        <v>0.81312368999999995</v>
      </c>
      <c r="L1123">
        <v>0.16969141800000001</v>
      </c>
      <c r="M1123" s="21">
        <v>-1.1331632039999999</v>
      </c>
      <c r="N1123">
        <v>0.41766121</v>
      </c>
    </row>
    <row r="1124" spans="1:14" x14ac:dyDescent="0.2">
      <c r="A1124" t="s">
        <v>1095</v>
      </c>
      <c r="B1124">
        <v>373760</v>
      </c>
      <c r="C1124" t="s">
        <v>130</v>
      </c>
      <c r="D1124" t="s">
        <v>1096</v>
      </c>
      <c r="E1124" t="s">
        <v>2588</v>
      </c>
      <c r="G1124" t="s">
        <v>2589</v>
      </c>
      <c r="J1124">
        <v>5.1222566499999997</v>
      </c>
      <c r="K1124">
        <v>0.21422175600000001</v>
      </c>
      <c r="L1124">
        <v>0.25354511400000002</v>
      </c>
      <c r="M1124" s="21">
        <v>-1.133365167</v>
      </c>
      <c r="N1124">
        <v>0.41662365299999998</v>
      </c>
    </row>
    <row r="1125" spans="1:14" x14ac:dyDescent="0.2">
      <c r="A1125" t="s">
        <v>610</v>
      </c>
      <c r="B1125">
        <v>341720</v>
      </c>
      <c r="C1125" t="s">
        <v>84</v>
      </c>
      <c r="D1125" t="s">
        <v>611</v>
      </c>
      <c r="E1125" t="s">
        <v>2590</v>
      </c>
      <c r="J1125">
        <v>3.600219579</v>
      </c>
      <c r="K1125">
        <v>-0.293098474</v>
      </c>
      <c r="L1125">
        <v>-0.153917466</v>
      </c>
      <c r="M1125" s="21">
        <v>-1.1336221559999999</v>
      </c>
      <c r="N1125">
        <v>0.41530339900000002</v>
      </c>
    </row>
    <row r="1126" spans="1:14" x14ac:dyDescent="0.2">
      <c r="A1126" t="s">
        <v>2108</v>
      </c>
      <c r="B1126">
        <v>291040</v>
      </c>
      <c r="C1126" t="s">
        <v>68</v>
      </c>
      <c r="D1126" t="s">
        <v>2108</v>
      </c>
      <c r="E1126" t="s">
        <v>2591</v>
      </c>
      <c r="G1126" t="s">
        <v>2592</v>
      </c>
      <c r="J1126">
        <v>6.4561903559999996</v>
      </c>
      <c r="K1126">
        <v>0.47291064100000002</v>
      </c>
      <c r="L1126">
        <v>0.34414126499999997</v>
      </c>
      <c r="M1126" s="21">
        <v>-1.1337336929999999</v>
      </c>
      <c r="N1126">
        <v>0.414730394</v>
      </c>
    </row>
    <row r="1127" spans="1:14" x14ac:dyDescent="0.2">
      <c r="A1127" t="s">
        <v>1112</v>
      </c>
      <c r="B1127">
        <v>412360</v>
      </c>
      <c r="C1127" t="s">
        <v>149</v>
      </c>
      <c r="D1127" t="s">
        <v>1112</v>
      </c>
      <c r="E1127" t="s">
        <v>2593</v>
      </c>
      <c r="G1127" t="s">
        <v>2594</v>
      </c>
      <c r="J1127">
        <v>5.0381074159999999</v>
      </c>
      <c r="K1127">
        <v>0.81312368999999995</v>
      </c>
      <c r="L1127">
        <v>0.16969141800000001</v>
      </c>
      <c r="M1127" s="21">
        <v>-1.134050835</v>
      </c>
      <c r="N1127">
        <v>0.41310111500000002</v>
      </c>
    </row>
    <row r="1128" spans="1:14" x14ac:dyDescent="0.2">
      <c r="A1128" t="s">
        <v>1335</v>
      </c>
      <c r="B1128">
        <v>372760</v>
      </c>
      <c r="C1128" t="s">
        <v>130</v>
      </c>
      <c r="D1128" t="s">
        <v>1335</v>
      </c>
      <c r="E1128" t="s">
        <v>2595</v>
      </c>
      <c r="G1128" t="s">
        <v>2596</v>
      </c>
      <c r="J1128">
        <v>5.1222566499999997</v>
      </c>
      <c r="K1128">
        <v>0.21422175600000001</v>
      </c>
      <c r="L1128">
        <v>0.25354511400000002</v>
      </c>
      <c r="M1128" s="21">
        <v>-1.1341609960000001</v>
      </c>
      <c r="N1128">
        <v>0.41253517699999998</v>
      </c>
    </row>
    <row r="1129" spans="1:14" x14ac:dyDescent="0.2">
      <c r="A1129" t="s">
        <v>1181</v>
      </c>
      <c r="B1129">
        <v>341280</v>
      </c>
      <c r="C1129" t="s">
        <v>84</v>
      </c>
      <c r="D1129" t="s">
        <v>1181</v>
      </c>
      <c r="E1129" t="s">
        <v>2597</v>
      </c>
      <c r="J1129">
        <v>3.600219579</v>
      </c>
      <c r="K1129">
        <v>-0.293098474</v>
      </c>
      <c r="L1129">
        <v>-0.153917466</v>
      </c>
      <c r="M1129" s="21">
        <v>-1.134198058</v>
      </c>
      <c r="N1129">
        <v>0.41234478000000002</v>
      </c>
    </row>
    <row r="1130" spans="1:14" x14ac:dyDescent="0.2">
      <c r="A1130" t="s">
        <v>1318</v>
      </c>
      <c r="B1130">
        <v>386160</v>
      </c>
      <c r="C1130" t="s">
        <v>100</v>
      </c>
      <c r="D1130" t="s">
        <v>1318</v>
      </c>
      <c r="E1130" t="s">
        <v>2598</v>
      </c>
      <c r="G1130" t="s">
        <v>2599</v>
      </c>
      <c r="J1130">
        <v>5.9110743220000002</v>
      </c>
      <c r="K1130">
        <v>0.71598987199999997</v>
      </c>
      <c r="L1130">
        <v>0.29077365599999999</v>
      </c>
      <c r="M1130" s="21">
        <v>-1.134254571</v>
      </c>
      <c r="N1130">
        <v>0.41205444699999999</v>
      </c>
    </row>
    <row r="1131" spans="1:14" x14ac:dyDescent="0.2">
      <c r="A1131" t="s">
        <v>1778</v>
      </c>
      <c r="B1131">
        <v>389680</v>
      </c>
      <c r="C1131" t="s">
        <v>58</v>
      </c>
      <c r="D1131" t="s">
        <v>1778</v>
      </c>
      <c r="E1131" t="s">
        <v>2600</v>
      </c>
      <c r="G1131" t="s">
        <v>2601</v>
      </c>
      <c r="J1131">
        <v>4.5363847230000003</v>
      </c>
      <c r="K1131">
        <v>0.245646371</v>
      </c>
      <c r="L1131">
        <v>7.5242279999999995E-2</v>
      </c>
      <c r="M1131" s="21">
        <v>-1.1343228809999999</v>
      </c>
      <c r="N1131">
        <v>0.41170351599999999</v>
      </c>
    </row>
    <row r="1132" spans="1:14" x14ac:dyDescent="0.2">
      <c r="A1132" t="s">
        <v>470</v>
      </c>
      <c r="B1132">
        <v>386000</v>
      </c>
      <c r="C1132" t="s">
        <v>100</v>
      </c>
      <c r="D1132" t="s">
        <v>470</v>
      </c>
      <c r="E1132" t="s">
        <v>2602</v>
      </c>
      <c r="G1132" t="s">
        <v>2603</v>
      </c>
      <c r="J1132">
        <v>5.9110743220000002</v>
      </c>
      <c r="K1132">
        <v>0.71598987199999997</v>
      </c>
      <c r="L1132">
        <v>0.29077365599999999</v>
      </c>
      <c r="M1132" s="21">
        <v>-1.134413406</v>
      </c>
      <c r="N1132">
        <v>0.411238457</v>
      </c>
    </row>
    <row r="1133" spans="1:14" x14ac:dyDescent="0.2">
      <c r="A1133" t="s">
        <v>516</v>
      </c>
      <c r="B1133">
        <v>236920</v>
      </c>
      <c r="C1133" t="s">
        <v>28</v>
      </c>
      <c r="D1133" t="s">
        <v>516</v>
      </c>
      <c r="E1133" t="s">
        <v>2604</v>
      </c>
      <c r="G1133" t="s">
        <v>2605</v>
      </c>
      <c r="J1133">
        <v>5.8462906840000004</v>
      </c>
      <c r="K1133">
        <v>0.60615847</v>
      </c>
      <c r="L1133">
        <v>0.28550877299999999</v>
      </c>
      <c r="M1133" s="21">
        <v>-1.135132939</v>
      </c>
      <c r="N1133">
        <v>0.40754194399999999</v>
      </c>
    </row>
    <row r="1134" spans="1:14" x14ac:dyDescent="0.2">
      <c r="A1134" t="s">
        <v>1318</v>
      </c>
      <c r="B1134">
        <v>340480</v>
      </c>
      <c r="C1134" t="s">
        <v>84</v>
      </c>
      <c r="D1134" t="s">
        <v>1318</v>
      </c>
      <c r="E1134" t="s">
        <v>2606</v>
      </c>
      <c r="J1134">
        <v>3.600219579</v>
      </c>
      <c r="K1134">
        <v>-0.293098474</v>
      </c>
      <c r="L1134">
        <v>-0.153917466</v>
      </c>
      <c r="M1134" s="21">
        <v>-1.1352451509999999</v>
      </c>
      <c r="N1134">
        <v>0.40696547100000002</v>
      </c>
    </row>
    <row r="1135" spans="1:14" x14ac:dyDescent="0.2">
      <c r="A1135" t="s">
        <v>465</v>
      </c>
      <c r="B1135">
        <v>384680</v>
      </c>
      <c r="C1135" t="s">
        <v>100</v>
      </c>
      <c r="D1135" t="s">
        <v>466</v>
      </c>
      <c r="E1135" t="s">
        <v>2607</v>
      </c>
      <c r="G1135" t="s">
        <v>2608</v>
      </c>
      <c r="J1135">
        <v>5.9110743220000002</v>
      </c>
      <c r="K1135">
        <v>0.71598987199999997</v>
      </c>
      <c r="L1135">
        <v>0.29077365599999999</v>
      </c>
      <c r="M1135" s="21">
        <v>-1.1357237870000001</v>
      </c>
      <c r="N1135">
        <v>0.404506535</v>
      </c>
    </row>
    <row r="1136" spans="1:14" x14ac:dyDescent="0.2">
      <c r="A1136" t="s">
        <v>1137</v>
      </c>
      <c r="B1136">
        <v>388160</v>
      </c>
      <c r="C1136" t="s">
        <v>58</v>
      </c>
      <c r="D1136" t="s">
        <v>1137</v>
      </c>
      <c r="E1136" t="s">
        <v>2609</v>
      </c>
      <c r="G1136" t="s">
        <v>2610</v>
      </c>
      <c r="J1136">
        <v>4.5363847230000003</v>
      </c>
      <c r="K1136">
        <v>0.245646371</v>
      </c>
      <c r="L1136">
        <v>7.5242279999999995E-2</v>
      </c>
      <c r="M1136" s="21">
        <v>-1.135790785</v>
      </c>
      <c r="N1136">
        <v>0.40416234299999998</v>
      </c>
    </row>
    <row r="1137" spans="1:14" x14ac:dyDescent="0.2">
      <c r="A1137" t="s">
        <v>1133</v>
      </c>
      <c r="B1137">
        <v>236160</v>
      </c>
      <c r="C1137" t="s">
        <v>28</v>
      </c>
      <c r="D1137" t="s">
        <v>1134</v>
      </c>
      <c r="E1137" t="s">
        <v>2611</v>
      </c>
      <c r="G1137" t="s">
        <v>2612</v>
      </c>
      <c r="J1137">
        <v>5.8462906840000004</v>
      </c>
      <c r="K1137">
        <v>0.60615847</v>
      </c>
      <c r="L1137">
        <v>0.28550877299999999</v>
      </c>
      <c r="M1137" s="21">
        <v>-1.135819076</v>
      </c>
      <c r="N1137">
        <v>0.40401699899999999</v>
      </c>
    </row>
    <row r="1138" spans="1:14" x14ac:dyDescent="0.2">
      <c r="A1138" t="s">
        <v>772</v>
      </c>
      <c r="B1138">
        <v>370600</v>
      </c>
      <c r="C1138" t="s">
        <v>130</v>
      </c>
      <c r="D1138" t="s">
        <v>772</v>
      </c>
      <c r="E1138" t="s">
        <v>2613</v>
      </c>
      <c r="G1138" t="s">
        <v>2614</v>
      </c>
      <c r="J1138">
        <v>5.1222566499999997</v>
      </c>
      <c r="K1138">
        <v>0.21422175600000001</v>
      </c>
      <c r="L1138">
        <v>0.25354511400000002</v>
      </c>
      <c r="M1138" s="21">
        <v>-1.135879989</v>
      </c>
      <c r="N1138">
        <v>0.403704069</v>
      </c>
    </row>
    <row r="1139" spans="1:14" x14ac:dyDescent="0.2">
      <c r="A1139" t="s">
        <v>1413</v>
      </c>
      <c r="B1139">
        <v>288680</v>
      </c>
      <c r="C1139" t="s">
        <v>68</v>
      </c>
      <c r="D1139" t="s">
        <v>1413</v>
      </c>
      <c r="E1139" t="s">
        <v>2615</v>
      </c>
      <c r="G1139" t="s">
        <v>2616</v>
      </c>
      <c r="J1139">
        <v>6.4561903559999996</v>
      </c>
      <c r="K1139">
        <v>0.47291064100000002</v>
      </c>
      <c r="L1139">
        <v>0.34414126499999997</v>
      </c>
      <c r="M1139" s="21">
        <v>-1.136015937</v>
      </c>
      <c r="N1139">
        <v>0.40300565300000002</v>
      </c>
    </row>
    <row r="1140" spans="1:14" x14ac:dyDescent="0.2">
      <c r="A1140" t="s">
        <v>426</v>
      </c>
      <c r="B1140">
        <v>189080</v>
      </c>
      <c r="C1140" t="s">
        <v>34</v>
      </c>
      <c r="D1140" t="s">
        <v>426</v>
      </c>
      <c r="E1140" t="s">
        <v>2617</v>
      </c>
      <c r="G1140" t="s">
        <v>2618</v>
      </c>
      <c r="J1140">
        <v>7.0544859390000001</v>
      </c>
      <c r="K1140">
        <v>0.623000361</v>
      </c>
      <c r="L1140">
        <v>0.42866702800000001</v>
      </c>
      <c r="M1140" s="21">
        <v>-1.136192619</v>
      </c>
      <c r="N1140">
        <v>0.402097969</v>
      </c>
    </row>
    <row r="1141" spans="1:14" x14ac:dyDescent="0.2">
      <c r="A1141" t="s">
        <v>153</v>
      </c>
      <c r="B1141">
        <v>410400</v>
      </c>
      <c r="C1141" t="s">
        <v>14</v>
      </c>
      <c r="D1141" t="s">
        <v>153</v>
      </c>
      <c r="E1141" t="s">
        <v>2619</v>
      </c>
      <c r="G1141" t="s">
        <v>2620</v>
      </c>
      <c r="J1141">
        <v>6.7484204910000001</v>
      </c>
      <c r="K1141">
        <v>0.48629166299999999</v>
      </c>
      <c r="L1141">
        <v>0.375053939</v>
      </c>
      <c r="M1141" s="21">
        <v>-1.136296897</v>
      </c>
      <c r="N1141">
        <v>0.40156225699999998</v>
      </c>
    </row>
    <row r="1142" spans="1:14" x14ac:dyDescent="0.2">
      <c r="A1142" t="s">
        <v>2206</v>
      </c>
      <c r="B1142">
        <v>409880</v>
      </c>
      <c r="C1142" t="s">
        <v>149</v>
      </c>
      <c r="D1142" t="s">
        <v>2207</v>
      </c>
      <c r="E1142" t="s">
        <v>2621</v>
      </c>
      <c r="G1142" t="s">
        <v>2622</v>
      </c>
      <c r="J1142">
        <v>5.0381074159999999</v>
      </c>
      <c r="K1142">
        <v>0.81312368999999995</v>
      </c>
      <c r="L1142">
        <v>0.16969141800000001</v>
      </c>
      <c r="M1142" s="21">
        <v>-1.1363438830000001</v>
      </c>
      <c r="N1142">
        <v>0.40132087</v>
      </c>
    </row>
    <row r="1143" spans="1:14" x14ac:dyDescent="0.2">
      <c r="A1143" t="s">
        <v>519</v>
      </c>
      <c r="B1143">
        <v>339520</v>
      </c>
      <c r="C1143" t="s">
        <v>84</v>
      </c>
      <c r="D1143" t="s">
        <v>519</v>
      </c>
      <c r="E1143" t="s">
        <v>2623</v>
      </c>
      <c r="J1143">
        <v>3.600219579</v>
      </c>
      <c r="K1143">
        <v>-0.293098474</v>
      </c>
      <c r="L1143">
        <v>-0.153917466</v>
      </c>
      <c r="M1143" s="21">
        <v>-1.1365016619999999</v>
      </c>
      <c r="N1143">
        <v>0.40051029999999999</v>
      </c>
    </row>
    <row r="1144" spans="1:14" x14ac:dyDescent="0.2">
      <c r="A1144" t="s">
        <v>622</v>
      </c>
      <c r="B1144">
        <v>339280</v>
      </c>
      <c r="C1144" t="s">
        <v>84</v>
      </c>
      <c r="D1144" t="s">
        <v>622</v>
      </c>
      <c r="E1144" t="s">
        <v>2624</v>
      </c>
      <c r="J1144">
        <v>3.600219579</v>
      </c>
      <c r="K1144">
        <v>-0.293098474</v>
      </c>
      <c r="L1144">
        <v>-0.153917466</v>
      </c>
      <c r="M1144" s="21">
        <v>-1.13681579</v>
      </c>
      <c r="N1144">
        <v>0.39889650799999998</v>
      </c>
    </row>
    <row r="1145" spans="1:14" x14ac:dyDescent="0.2">
      <c r="A1145" t="s">
        <v>289</v>
      </c>
      <c r="B1145">
        <v>339200</v>
      </c>
      <c r="C1145" t="s">
        <v>84</v>
      </c>
      <c r="D1145" t="s">
        <v>290</v>
      </c>
      <c r="E1145" t="s">
        <v>2625</v>
      </c>
      <c r="J1145">
        <v>3.600219579</v>
      </c>
      <c r="K1145">
        <v>-0.293098474</v>
      </c>
      <c r="L1145">
        <v>-0.153917466</v>
      </c>
      <c r="M1145" s="21">
        <v>-1.1369204989999999</v>
      </c>
      <c r="N1145">
        <v>0.39835857699999999</v>
      </c>
    </row>
    <row r="1146" spans="1:14" x14ac:dyDescent="0.2">
      <c r="A1146" t="s">
        <v>616</v>
      </c>
      <c r="B1146">
        <v>369120</v>
      </c>
      <c r="C1146" t="s">
        <v>130</v>
      </c>
      <c r="D1146" t="s">
        <v>616</v>
      </c>
      <c r="E1146" t="s">
        <v>2626</v>
      </c>
      <c r="G1146" t="s">
        <v>2627</v>
      </c>
      <c r="J1146">
        <v>5.1222566499999997</v>
      </c>
      <c r="K1146">
        <v>0.21422175600000001</v>
      </c>
      <c r="L1146">
        <v>0.25354511400000002</v>
      </c>
      <c r="M1146" s="21">
        <v>-1.1370578170000001</v>
      </c>
      <c r="N1146">
        <v>0.397653125</v>
      </c>
    </row>
    <row r="1147" spans="1:14" x14ac:dyDescent="0.2">
      <c r="A1147" t="s">
        <v>935</v>
      </c>
      <c r="B1147">
        <v>339000</v>
      </c>
      <c r="C1147" t="s">
        <v>84</v>
      </c>
      <c r="D1147" t="s">
        <v>935</v>
      </c>
      <c r="E1147" t="s">
        <v>2628</v>
      </c>
      <c r="J1147">
        <v>3.600219579</v>
      </c>
      <c r="K1147">
        <v>-0.293098474</v>
      </c>
      <c r="L1147">
        <v>-0.153917466</v>
      </c>
      <c r="M1147" s="21">
        <v>-1.1371822730000001</v>
      </c>
      <c r="N1147">
        <v>0.39701375</v>
      </c>
    </row>
    <row r="1148" spans="1:14" x14ac:dyDescent="0.2">
      <c r="A1148" t="s">
        <v>2040</v>
      </c>
      <c r="B1148">
        <v>338880</v>
      </c>
      <c r="C1148" t="s">
        <v>84</v>
      </c>
      <c r="D1148" t="s">
        <v>2040</v>
      </c>
      <c r="E1148" t="s">
        <v>2629</v>
      </c>
      <c r="J1148">
        <v>3.600219579</v>
      </c>
      <c r="K1148">
        <v>-0.293098474</v>
      </c>
      <c r="L1148">
        <v>-0.153917466</v>
      </c>
      <c r="M1148" s="21">
        <v>-1.137339337</v>
      </c>
      <c r="N1148">
        <v>0.39620685300000003</v>
      </c>
    </row>
    <row r="1149" spans="1:14" x14ac:dyDescent="0.2">
      <c r="A1149" t="s">
        <v>1595</v>
      </c>
      <c r="B1149">
        <v>286960</v>
      </c>
      <c r="C1149" t="s">
        <v>68</v>
      </c>
      <c r="D1149" t="s">
        <v>1595</v>
      </c>
      <c r="E1149" t="s">
        <v>2630</v>
      </c>
      <c r="G1149" t="s">
        <v>2631</v>
      </c>
      <c r="J1149">
        <v>6.4561903559999996</v>
      </c>
      <c r="K1149">
        <v>0.47291064100000002</v>
      </c>
      <c r="L1149">
        <v>0.34414126499999997</v>
      </c>
      <c r="M1149" s="21">
        <v>-1.137679267</v>
      </c>
      <c r="N1149">
        <v>0.39446050199999999</v>
      </c>
    </row>
    <row r="1150" spans="1:14" x14ac:dyDescent="0.2">
      <c r="A1150" t="s">
        <v>389</v>
      </c>
      <c r="B1150">
        <v>386040</v>
      </c>
      <c r="C1150" t="s">
        <v>58</v>
      </c>
      <c r="D1150" t="s">
        <v>389</v>
      </c>
      <c r="E1150" t="s">
        <v>2632</v>
      </c>
      <c r="G1150" t="s">
        <v>2633</v>
      </c>
      <c r="J1150">
        <v>4.5363847230000003</v>
      </c>
      <c r="K1150">
        <v>0.245646371</v>
      </c>
      <c r="L1150">
        <v>7.5242279999999995E-2</v>
      </c>
      <c r="M1150" s="21">
        <v>-1.137838125</v>
      </c>
      <c r="N1150">
        <v>0.39364439099999998</v>
      </c>
    </row>
    <row r="1151" spans="1:14" x14ac:dyDescent="0.2">
      <c r="A1151" t="s">
        <v>345</v>
      </c>
      <c r="B1151">
        <v>408920</v>
      </c>
      <c r="C1151" t="s">
        <v>14</v>
      </c>
      <c r="D1151" t="s">
        <v>345</v>
      </c>
      <c r="E1151" t="s">
        <v>2634</v>
      </c>
      <c r="G1151" t="s">
        <v>2635</v>
      </c>
      <c r="J1151">
        <v>6.7484204910000001</v>
      </c>
      <c r="K1151">
        <v>0.48629166299999999</v>
      </c>
      <c r="L1151">
        <v>0.375053939</v>
      </c>
      <c r="M1151" s="21">
        <v>-1.137918566</v>
      </c>
      <c r="N1151">
        <v>0.39323113599999998</v>
      </c>
    </row>
    <row r="1152" spans="1:14" x14ac:dyDescent="0.2">
      <c r="A1152" t="s">
        <v>178</v>
      </c>
      <c r="B1152">
        <v>408160</v>
      </c>
      <c r="C1152" t="s">
        <v>149</v>
      </c>
      <c r="D1152" t="s">
        <v>178</v>
      </c>
      <c r="E1152" t="s">
        <v>2636</v>
      </c>
      <c r="G1152" t="s">
        <v>2637</v>
      </c>
      <c r="J1152">
        <v>5.0381074159999999</v>
      </c>
      <c r="K1152">
        <v>0.81312368999999995</v>
      </c>
      <c r="L1152">
        <v>0.16969141800000001</v>
      </c>
      <c r="M1152" s="21">
        <v>-1.137934223</v>
      </c>
      <c r="N1152">
        <v>0.39315070099999999</v>
      </c>
    </row>
    <row r="1153" spans="1:14" x14ac:dyDescent="0.2">
      <c r="A1153" t="s">
        <v>2385</v>
      </c>
      <c r="B1153">
        <v>382360</v>
      </c>
      <c r="C1153" t="s">
        <v>100</v>
      </c>
      <c r="D1153" t="s">
        <v>2385</v>
      </c>
      <c r="E1153" t="s">
        <v>2638</v>
      </c>
      <c r="G1153" t="s">
        <v>2639</v>
      </c>
      <c r="J1153">
        <v>5.9110743220000002</v>
      </c>
      <c r="K1153">
        <v>0.71598987199999997</v>
      </c>
      <c r="L1153">
        <v>0.29077365599999999</v>
      </c>
      <c r="M1153" s="21">
        <v>-1.138026883</v>
      </c>
      <c r="N1153">
        <v>0.392674672</v>
      </c>
    </row>
    <row r="1154" spans="1:14" x14ac:dyDescent="0.2">
      <c r="A1154" t="s">
        <v>1675</v>
      </c>
      <c r="B1154">
        <v>286400</v>
      </c>
      <c r="C1154" t="s">
        <v>68</v>
      </c>
      <c r="D1154" t="s">
        <v>1675</v>
      </c>
      <c r="E1154" t="s">
        <v>2640</v>
      </c>
      <c r="G1154" t="s">
        <v>2641</v>
      </c>
      <c r="J1154">
        <v>6.4561903559999996</v>
      </c>
      <c r="K1154">
        <v>0.47291064100000002</v>
      </c>
      <c r="L1154">
        <v>0.34414126499999997</v>
      </c>
      <c r="M1154" s="21">
        <v>-1.1382208170000001</v>
      </c>
      <c r="N1154">
        <v>0.39167836</v>
      </c>
    </row>
    <row r="1155" spans="1:14" x14ac:dyDescent="0.2">
      <c r="A1155" t="s">
        <v>1174</v>
      </c>
      <c r="B1155">
        <v>367440</v>
      </c>
      <c r="C1155" t="s">
        <v>130</v>
      </c>
      <c r="D1155" t="s">
        <v>1174</v>
      </c>
      <c r="E1155" t="s">
        <v>2642</v>
      </c>
      <c r="G1155" t="s">
        <v>2643</v>
      </c>
      <c r="J1155">
        <v>5.1222566499999997</v>
      </c>
      <c r="K1155">
        <v>0.21422175600000001</v>
      </c>
      <c r="L1155">
        <v>0.25354511400000002</v>
      </c>
      <c r="M1155" s="21">
        <v>-1.138394811</v>
      </c>
      <c r="N1155">
        <v>0.39078448599999999</v>
      </c>
    </row>
    <row r="1156" spans="1:14" x14ac:dyDescent="0.2">
      <c r="A1156" t="s">
        <v>500</v>
      </c>
      <c r="B1156">
        <v>337960</v>
      </c>
      <c r="C1156" t="s">
        <v>84</v>
      </c>
      <c r="D1156" t="s">
        <v>501</v>
      </c>
      <c r="E1156" t="s">
        <v>2644</v>
      </c>
      <c r="J1156">
        <v>3.600219579</v>
      </c>
      <c r="K1156">
        <v>-0.293098474</v>
      </c>
      <c r="L1156">
        <v>-0.153917466</v>
      </c>
      <c r="M1156" s="21">
        <v>-1.1385434940000001</v>
      </c>
      <c r="N1156">
        <v>0.39002064800000003</v>
      </c>
    </row>
    <row r="1157" spans="1:14" x14ac:dyDescent="0.2">
      <c r="A1157" t="s">
        <v>1208</v>
      </c>
      <c r="B1157">
        <v>385120</v>
      </c>
      <c r="C1157" t="s">
        <v>58</v>
      </c>
      <c r="D1157" t="s">
        <v>1208</v>
      </c>
      <c r="E1157" t="s">
        <v>2645</v>
      </c>
      <c r="G1157" t="s">
        <v>2646</v>
      </c>
      <c r="J1157">
        <v>4.5363847230000003</v>
      </c>
      <c r="K1157">
        <v>0.245646371</v>
      </c>
      <c r="L1157">
        <v>7.5242279999999995E-2</v>
      </c>
      <c r="M1157" s="21">
        <v>-1.1387265929999999</v>
      </c>
      <c r="N1157">
        <v>0.38907999700000001</v>
      </c>
    </row>
    <row r="1158" spans="1:14" x14ac:dyDescent="0.2">
      <c r="A1158" t="s">
        <v>681</v>
      </c>
      <c r="B1158">
        <v>381640</v>
      </c>
      <c r="C1158" t="s">
        <v>100</v>
      </c>
      <c r="D1158" t="s">
        <v>682</v>
      </c>
      <c r="E1158" t="s">
        <v>2647</v>
      </c>
      <c r="G1158" t="s">
        <v>2648</v>
      </c>
      <c r="J1158">
        <v>5.9110743220000002</v>
      </c>
      <c r="K1158">
        <v>0.71598987199999997</v>
      </c>
      <c r="L1158">
        <v>0.29077365599999999</v>
      </c>
      <c r="M1158" s="21">
        <v>-1.138741636</v>
      </c>
      <c r="N1158">
        <v>0.389002715</v>
      </c>
    </row>
    <row r="1159" spans="1:14" x14ac:dyDescent="0.2">
      <c r="A1159" t="s">
        <v>415</v>
      </c>
      <c r="B1159">
        <v>285800</v>
      </c>
      <c r="C1159" t="s">
        <v>68</v>
      </c>
      <c r="D1159" t="s">
        <v>415</v>
      </c>
      <c r="E1159" t="s">
        <v>2649</v>
      </c>
      <c r="G1159" t="s">
        <v>2650</v>
      </c>
      <c r="J1159">
        <v>6.4561903559999996</v>
      </c>
      <c r="K1159">
        <v>0.47291064100000002</v>
      </c>
      <c r="L1159">
        <v>0.34414126499999997</v>
      </c>
      <c r="M1159" s="21">
        <v>-1.1388010479999999</v>
      </c>
      <c r="N1159">
        <v>0.38869749399999998</v>
      </c>
    </row>
    <row r="1160" spans="1:14" x14ac:dyDescent="0.2">
      <c r="A1160" t="s">
        <v>2319</v>
      </c>
      <c r="B1160">
        <v>337760</v>
      </c>
      <c r="C1160" t="s">
        <v>84</v>
      </c>
      <c r="D1160" t="s">
        <v>2320</v>
      </c>
      <c r="E1160" t="s">
        <v>2651</v>
      </c>
      <c r="J1160">
        <v>3.600219579</v>
      </c>
      <c r="K1160">
        <v>-0.293098474</v>
      </c>
      <c r="L1160">
        <v>-0.153917466</v>
      </c>
      <c r="M1160" s="21">
        <v>-1.138805267</v>
      </c>
      <c r="N1160">
        <v>0.38867582099999998</v>
      </c>
    </row>
    <row r="1161" spans="1:14" x14ac:dyDescent="0.2">
      <c r="A1161" t="s">
        <v>947</v>
      </c>
      <c r="B1161">
        <v>337600</v>
      </c>
      <c r="C1161" t="s">
        <v>84</v>
      </c>
      <c r="D1161" t="s">
        <v>948</v>
      </c>
      <c r="E1161" t="s">
        <v>2652</v>
      </c>
      <c r="J1161">
        <v>3.600219579</v>
      </c>
      <c r="K1161">
        <v>-0.293098474</v>
      </c>
      <c r="L1161">
        <v>-0.153917466</v>
      </c>
      <c r="M1161" s="21">
        <v>-1.139014685</v>
      </c>
      <c r="N1161">
        <v>0.38759995899999999</v>
      </c>
    </row>
    <row r="1162" spans="1:14" x14ac:dyDescent="0.2">
      <c r="A1162" t="s">
        <v>1101</v>
      </c>
      <c r="B1162">
        <v>232360</v>
      </c>
      <c r="C1162" t="s">
        <v>28</v>
      </c>
      <c r="D1162" t="s">
        <v>1101</v>
      </c>
      <c r="E1162" t="s">
        <v>2653</v>
      </c>
      <c r="G1162" t="s">
        <v>2654</v>
      </c>
      <c r="J1162">
        <v>5.8462906840000004</v>
      </c>
      <c r="K1162">
        <v>0.60615847</v>
      </c>
      <c r="L1162">
        <v>0.28550877299999999</v>
      </c>
      <c r="M1162" s="21">
        <v>-1.139249763</v>
      </c>
      <c r="N1162">
        <v>0.38639227799999998</v>
      </c>
    </row>
    <row r="1163" spans="1:14" x14ac:dyDescent="0.2">
      <c r="A1163" t="s">
        <v>1295</v>
      </c>
      <c r="B1163">
        <v>366120</v>
      </c>
      <c r="C1163" t="s">
        <v>130</v>
      </c>
      <c r="D1163" t="s">
        <v>1296</v>
      </c>
      <c r="E1163" t="s">
        <v>2655</v>
      </c>
      <c r="G1163" t="s">
        <v>2656</v>
      </c>
      <c r="J1163">
        <v>5.1222566499999997</v>
      </c>
      <c r="K1163">
        <v>0.21422175600000001</v>
      </c>
      <c r="L1163">
        <v>0.25354511400000002</v>
      </c>
      <c r="M1163" s="21">
        <v>-1.1394453069999999</v>
      </c>
      <c r="N1163">
        <v>0.385387698</v>
      </c>
    </row>
    <row r="1164" spans="1:14" x14ac:dyDescent="0.2">
      <c r="A1164" t="s">
        <v>2657</v>
      </c>
      <c r="B1164">
        <v>232080</v>
      </c>
      <c r="C1164" t="s">
        <v>28</v>
      </c>
      <c r="D1164" t="s">
        <v>2658</v>
      </c>
      <c r="E1164" t="s">
        <v>2659</v>
      </c>
      <c r="G1164" t="s">
        <v>2660</v>
      </c>
      <c r="J1164">
        <v>5.8462906840000004</v>
      </c>
      <c r="K1164">
        <v>0.60615847</v>
      </c>
      <c r="L1164">
        <v>0.28550877299999999</v>
      </c>
      <c r="M1164" s="21">
        <v>-1.13950255</v>
      </c>
      <c r="N1164">
        <v>0.385093615</v>
      </c>
    </row>
    <row r="1165" spans="1:14" x14ac:dyDescent="0.2">
      <c r="A1165" t="s">
        <v>1550</v>
      </c>
      <c r="B1165">
        <v>337120</v>
      </c>
      <c r="C1165" t="s">
        <v>84</v>
      </c>
      <c r="D1165" t="s">
        <v>1550</v>
      </c>
      <c r="E1165" t="s">
        <v>2661</v>
      </c>
      <c r="J1165">
        <v>3.600219579</v>
      </c>
      <c r="K1165">
        <v>-0.293098474</v>
      </c>
      <c r="L1165">
        <v>-0.153917466</v>
      </c>
      <c r="M1165" s="21">
        <v>-1.139642941</v>
      </c>
      <c r="N1165">
        <v>0.38437237400000002</v>
      </c>
    </row>
    <row r="1166" spans="1:14" x14ac:dyDescent="0.2">
      <c r="A1166" t="s">
        <v>1764</v>
      </c>
      <c r="B1166">
        <v>284760</v>
      </c>
      <c r="C1166" t="s">
        <v>68</v>
      </c>
      <c r="D1166" t="s">
        <v>1764</v>
      </c>
      <c r="E1166" t="s">
        <v>2662</v>
      </c>
      <c r="G1166" t="s">
        <v>2663</v>
      </c>
      <c r="J1166">
        <v>6.4561903559999996</v>
      </c>
      <c r="K1166">
        <v>0.47291064100000002</v>
      </c>
      <c r="L1166">
        <v>0.34414126499999997</v>
      </c>
      <c r="M1166" s="21">
        <v>-1.139806783</v>
      </c>
      <c r="N1166">
        <v>0.38353065800000002</v>
      </c>
    </row>
    <row r="1167" spans="1:14" x14ac:dyDescent="0.2">
      <c r="A1167" t="s">
        <v>644</v>
      </c>
      <c r="B1167">
        <v>231560</v>
      </c>
      <c r="C1167" t="s">
        <v>28</v>
      </c>
      <c r="D1167" t="s">
        <v>644</v>
      </c>
      <c r="E1167" t="s">
        <v>2664</v>
      </c>
      <c r="G1167" t="s">
        <v>2665</v>
      </c>
      <c r="J1167">
        <v>5.8462906840000004</v>
      </c>
      <c r="K1167">
        <v>0.60615847</v>
      </c>
      <c r="L1167">
        <v>0.28550877299999999</v>
      </c>
      <c r="M1167" s="21">
        <v>-1.139972013</v>
      </c>
      <c r="N1167">
        <v>0.38268181099999998</v>
      </c>
    </row>
    <row r="1168" spans="1:14" x14ac:dyDescent="0.2">
      <c r="A1168" t="s">
        <v>1511</v>
      </c>
      <c r="B1168">
        <v>184680</v>
      </c>
      <c r="C1168" t="s">
        <v>34</v>
      </c>
      <c r="D1168" t="s">
        <v>1512</v>
      </c>
      <c r="E1168" t="s">
        <v>2666</v>
      </c>
      <c r="G1168" t="s">
        <v>2667</v>
      </c>
      <c r="J1168">
        <v>7.0544859390000001</v>
      </c>
      <c r="K1168">
        <v>0.623000361</v>
      </c>
      <c r="L1168">
        <v>0.42866702800000001</v>
      </c>
      <c r="M1168" s="21">
        <v>-1.140060479</v>
      </c>
      <c r="N1168">
        <v>0.38222732500000001</v>
      </c>
    </row>
    <row r="1169" spans="1:14" x14ac:dyDescent="0.2">
      <c r="A1169" t="s">
        <v>408</v>
      </c>
      <c r="B1169">
        <v>383680</v>
      </c>
      <c r="C1169" t="s">
        <v>58</v>
      </c>
      <c r="D1169" t="s">
        <v>408</v>
      </c>
      <c r="E1169" t="s">
        <v>2668</v>
      </c>
      <c r="G1169" t="s">
        <v>2669</v>
      </c>
      <c r="J1169">
        <v>4.5363847230000003</v>
      </c>
      <c r="K1169">
        <v>0.245646371</v>
      </c>
      <c r="L1169">
        <v>7.5242279999999995E-2</v>
      </c>
      <c r="M1169" s="21">
        <v>-1.1401172390000001</v>
      </c>
      <c r="N1169">
        <v>0.38193572799999997</v>
      </c>
    </row>
    <row r="1170" spans="1:14" x14ac:dyDescent="0.2">
      <c r="A1170" t="s">
        <v>2488</v>
      </c>
      <c r="B1170">
        <v>406800</v>
      </c>
      <c r="C1170" t="s">
        <v>14</v>
      </c>
      <c r="D1170" t="s">
        <v>2488</v>
      </c>
      <c r="E1170" t="s">
        <v>2670</v>
      </c>
      <c r="G1170" t="s">
        <v>2671</v>
      </c>
      <c r="J1170">
        <v>6.7484204910000001</v>
      </c>
      <c r="K1170">
        <v>0.48629166299999999</v>
      </c>
      <c r="L1170">
        <v>0.375053939</v>
      </c>
      <c r="M1170" s="21">
        <v>-1.1402414970000001</v>
      </c>
      <c r="N1170">
        <v>0.38129736800000003</v>
      </c>
    </row>
    <row r="1171" spans="1:14" x14ac:dyDescent="0.2">
      <c r="A1171" t="s">
        <v>650</v>
      </c>
      <c r="B1171">
        <v>365040</v>
      </c>
      <c r="C1171" t="s">
        <v>130</v>
      </c>
      <c r="D1171" t="s">
        <v>651</v>
      </c>
      <c r="E1171" t="s">
        <v>2672</v>
      </c>
      <c r="G1171" t="s">
        <v>2673</v>
      </c>
      <c r="J1171">
        <v>5.1222566499999997</v>
      </c>
      <c r="K1171">
        <v>0.21422175600000001</v>
      </c>
      <c r="L1171">
        <v>0.25354511400000002</v>
      </c>
      <c r="M1171" s="21">
        <v>-1.140304803</v>
      </c>
      <c r="N1171">
        <v>0.38097214400000001</v>
      </c>
    </row>
    <row r="1172" spans="1:14" x14ac:dyDescent="0.2">
      <c r="A1172" t="s">
        <v>537</v>
      </c>
      <c r="B1172">
        <v>383200</v>
      </c>
      <c r="C1172" t="s">
        <v>58</v>
      </c>
      <c r="D1172" t="s">
        <v>538</v>
      </c>
      <c r="E1172" t="s">
        <v>2674</v>
      </c>
      <c r="G1172" t="s">
        <v>2675</v>
      </c>
      <c r="J1172">
        <v>4.5363847230000003</v>
      </c>
      <c r="K1172">
        <v>0.245646371</v>
      </c>
      <c r="L1172">
        <v>7.5242279999999995E-2</v>
      </c>
      <c r="M1172" s="21">
        <v>-1.1405807880000001</v>
      </c>
      <c r="N1172">
        <v>0.37955430499999998</v>
      </c>
    </row>
    <row r="1173" spans="1:14" x14ac:dyDescent="0.2">
      <c r="A1173" t="s">
        <v>1688</v>
      </c>
      <c r="B1173">
        <v>379760</v>
      </c>
      <c r="C1173" t="s">
        <v>100</v>
      </c>
      <c r="D1173" t="s">
        <v>1688</v>
      </c>
      <c r="E1173" t="s">
        <v>2676</v>
      </c>
      <c r="G1173" t="s">
        <v>2677</v>
      </c>
      <c r="J1173">
        <v>5.9110743220000002</v>
      </c>
      <c r="K1173">
        <v>0.71598987199999997</v>
      </c>
      <c r="L1173">
        <v>0.29077365599999999</v>
      </c>
      <c r="M1173" s="21">
        <v>-1.140607938</v>
      </c>
      <c r="N1173">
        <v>0.37941482599999998</v>
      </c>
    </row>
    <row r="1174" spans="1:14" x14ac:dyDescent="0.2">
      <c r="A1174" t="s">
        <v>207</v>
      </c>
      <c r="B1174">
        <v>405080</v>
      </c>
      <c r="C1174" t="s">
        <v>149</v>
      </c>
      <c r="D1174" t="s">
        <v>207</v>
      </c>
      <c r="E1174" t="s">
        <v>2678</v>
      </c>
      <c r="G1174" t="s">
        <v>2679</v>
      </c>
      <c r="J1174">
        <v>5.0381074159999999</v>
      </c>
      <c r="K1174">
        <v>0.81312368999999995</v>
      </c>
      <c r="L1174">
        <v>0.16969141800000001</v>
      </c>
      <c r="M1174" s="21">
        <v>-1.1407820399999999</v>
      </c>
      <c r="N1174">
        <v>0.37852039599999998</v>
      </c>
    </row>
    <row r="1175" spans="1:14" x14ac:dyDescent="0.2">
      <c r="A1175" t="s">
        <v>63</v>
      </c>
      <c r="B1175">
        <v>404920</v>
      </c>
      <c r="C1175" t="s">
        <v>149</v>
      </c>
      <c r="D1175" t="s">
        <v>63</v>
      </c>
      <c r="E1175" t="s">
        <v>2680</v>
      </c>
      <c r="G1175" t="s">
        <v>2681</v>
      </c>
      <c r="J1175">
        <v>5.0381074159999999</v>
      </c>
      <c r="K1175">
        <v>0.81312368999999995</v>
      </c>
      <c r="L1175">
        <v>0.16969141800000001</v>
      </c>
      <c r="M1175" s="21">
        <v>-1.140929979</v>
      </c>
      <c r="N1175">
        <v>0.37776038099999998</v>
      </c>
    </row>
    <row r="1176" spans="1:14" x14ac:dyDescent="0.2">
      <c r="A1176" t="s">
        <v>462</v>
      </c>
      <c r="B1176">
        <v>363960</v>
      </c>
      <c r="C1176" t="s">
        <v>130</v>
      </c>
      <c r="D1176" t="s">
        <v>462</v>
      </c>
      <c r="E1176" t="s">
        <v>2682</v>
      </c>
      <c r="G1176" t="s">
        <v>2683</v>
      </c>
      <c r="J1176">
        <v>5.1222566499999997</v>
      </c>
      <c r="K1176">
        <v>0.21422175600000001</v>
      </c>
      <c r="L1176">
        <v>0.25354511400000002</v>
      </c>
      <c r="M1176" s="21">
        <v>-1.1411642989999999</v>
      </c>
      <c r="N1176">
        <v>0.37655659000000002</v>
      </c>
    </row>
    <row r="1177" spans="1:14" x14ac:dyDescent="0.2">
      <c r="A1177" t="s">
        <v>671</v>
      </c>
      <c r="B1177">
        <v>335800</v>
      </c>
      <c r="C1177" t="s">
        <v>84</v>
      </c>
      <c r="D1177" t="s">
        <v>672</v>
      </c>
      <c r="E1177" t="s">
        <v>2684</v>
      </c>
      <c r="J1177">
        <v>3.600219579</v>
      </c>
      <c r="K1177">
        <v>-0.293098474</v>
      </c>
      <c r="L1177">
        <v>-0.153917466</v>
      </c>
      <c r="M1177" s="21">
        <v>-1.1413706450000001</v>
      </c>
      <c r="N1177">
        <v>0.37549651499999998</v>
      </c>
    </row>
    <row r="1178" spans="1:14" x14ac:dyDescent="0.2">
      <c r="A1178" t="s">
        <v>1013</v>
      </c>
      <c r="B1178">
        <v>335760</v>
      </c>
      <c r="C1178" t="s">
        <v>84</v>
      </c>
      <c r="D1178" t="s">
        <v>1014</v>
      </c>
      <c r="E1178" t="s">
        <v>2685</v>
      </c>
      <c r="J1178">
        <v>3.600219579</v>
      </c>
      <c r="K1178">
        <v>-0.293098474</v>
      </c>
      <c r="L1178">
        <v>-0.153917466</v>
      </c>
      <c r="M1178" s="21">
        <v>-1.141422999</v>
      </c>
      <c r="N1178">
        <v>0.37522754899999999</v>
      </c>
    </row>
    <row r="1179" spans="1:14" x14ac:dyDescent="0.2">
      <c r="A1179" t="s">
        <v>477</v>
      </c>
      <c r="B1179">
        <v>378880</v>
      </c>
      <c r="C1179" t="s">
        <v>100</v>
      </c>
      <c r="D1179" t="s">
        <v>477</v>
      </c>
      <c r="E1179" t="s">
        <v>2686</v>
      </c>
      <c r="G1179" t="s">
        <v>2687</v>
      </c>
      <c r="J1179">
        <v>5.9110743220000002</v>
      </c>
      <c r="K1179">
        <v>0.71598987199999997</v>
      </c>
      <c r="L1179">
        <v>0.29077365599999999</v>
      </c>
      <c r="M1179" s="21">
        <v>-1.141481526</v>
      </c>
      <c r="N1179">
        <v>0.37492687800000002</v>
      </c>
    </row>
    <row r="1180" spans="1:14" x14ac:dyDescent="0.2">
      <c r="A1180" t="s">
        <v>1675</v>
      </c>
      <c r="B1180">
        <v>335600</v>
      </c>
      <c r="C1180" t="s">
        <v>84</v>
      </c>
      <c r="D1180" t="s">
        <v>1675</v>
      </c>
      <c r="E1180" t="s">
        <v>2688</v>
      </c>
      <c r="J1180">
        <v>3.600219579</v>
      </c>
      <c r="K1180">
        <v>-0.293098474</v>
      </c>
      <c r="L1180">
        <v>-0.153917466</v>
      </c>
      <c r="M1180" s="21">
        <v>-1.1416324179999999</v>
      </c>
      <c r="N1180">
        <v>0.37415168799999998</v>
      </c>
    </row>
    <row r="1181" spans="1:14" x14ac:dyDescent="0.2">
      <c r="A1181" t="s">
        <v>1062</v>
      </c>
      <c r="B1181">
        <v>381920</v>
      </c>
      <c r="C1181" t="s">
        <v>58</v>
      </c>
      <c r="D1181" t="s">
        <v>1062</v>
      </c>
      <c r="E1181" t="s">
        <v>2689</v>
      </c>
      <c r="G1181" t="s">
        <v>2690</v>
      </c>
      <c r="J1181">
        <v>4.5363847230000003</v>
      </c>
      <c r="K1181">
        <v>0.245646371</v>
      </c>
      <c r="L1181">
        <v>7.5242279999999995E-2</v>
      </c>
      <c r="M1181" s="21">
        <v>-1.141816918</v>
      </c>
      <c r="N1181">
        <v>0.37320384400000001</v>
      </c>
    </row>
    <row r="1182" spans="1:14" x14ac:dyDescent="0.2">
      <c r="A1182" t="s">
        <v>2270</v>
      </c>
      <c r="B1182">
        <v>229360</v>
      </c>
      <c r="C1182" t="s">
        <v>28</v>
      </c>
      <c r="D1182" t="s">
        <v>2271</v>
      </c>
      <c r="E1182" t="s">
        <v>2691</v>
      </c>
      <c r="G1182" t="s">
        <v>2692</v>
      </c>
      <c r="J1182">
        <v>5.8462906840000004</v>
      </c>
      <c r="K1182">
        <v>0.60615847</v>
      </c>
      <c r="L1182">
        <v>0.28550877299999999</v>
      </c>
      <c r="M1182" s="21">
        <v>-1.1419581999999999</v>
      </c>
      <c r="N1182">
        <v>0.37247802499999999</v>
      </c>
    </row>
    <row r="1183" spans="1:14" x14ac:dyDescent="0.2">
      <c r="A1183" t="s">
        <v>832</v>
      </c>
      <c r="B1183">
        <v>378120</v>
      </c>
      <c r="C1183" t="s">
        <v>100</v>
      </c>
      <c r="D1183" t="s">
        <v>832</v>
      </c>
      <c r="E1183" t="s">
        <v>2693</v>
      </c>
      <c r="G1183" t="s">
        <v>2694</v>
      </c>
      <c r="J1183">
        <v>5.9110743220000002</v>
      </c>
      <c r="K1183">
        <v>0.71598987199999997</v>
      </c>
      <c r="L1183">
        <v>0.29077365599999999</v>
      </c>
      <c r="M1183" s="21">
        <v>-1.1422359879999999</v>
      </c>
      <c r="N1183">
        <v>0.37105092299999998</v>
      </c>
    </row>
    <row r="1184" spans="1:14" x14ac:dyDescent="0.2">
      <c r="A1184" t="s">
        <v>883</v>
      </c>
      <c r="B1184">
        <v>229000</v>
      </c>
      <c r="C1184" t="s">
        <v>28</v>
      </c>
      <c r="D1184" t="s">
        <v>883</v>
      </c>
      <c r="E1184" t="s">
        <v>2695</v>
      </c>
      <c r="G1184" t="s">
        <v>2696</v>
      </c>
      <c r="J1184">
        <v>5.8462906840000004</v>
      </c>
      <c r="K1184">
        <v>0.60615847</v>
      </c>
      <c r="L1184">
        <v>0.28550877299999999</v>
      </c>
      <c r="M1184" s="21">
        <v>-1.1422832119999999</v>
      </c>
      <c r="N1184">
        <v>0.37080831400000003</v>
      </c>
    </row>
    <row r="1185" spans="1:14" x14ac:dyDescent="0.2">
      <c r="A1185" t="s">
        <v>267</v>
      </c>
      <c r="B1185">
        <v>334960</v>
      </c>
      <c r="C1185" t="s">
        <v>84</v>
      </c>
      <c r="D1185" t="s">
        <v>268</v>
      </c>
      <c r="E1185" t="s">
        <v>2697</v>
      </c>
      <c r="G1185" t="s">
        <v>2698</v>
      </c>
      <c r="J1185">
        <v>3.600219579</v>
      </c>
      <c r="K1185">
        <v>-0.293098474</v>
      </c>
      <c r="L1185">
        <v>-0.153917466</v>
      </c>
      <c r="M1185" s="21">
        <v>-1.1424700919999999</v>
      </c>
      <c r="N1185">
        <v>0.36984824100000002</v>
      </c>
    </row>
    <row r="1186" spans="1:14" x14ac:dyDescent="0.2">
      <c r="A1186" t="s">
        <v>1263</v>
      </c>
      <c r="B1186">
        <v>181600</v>
      </c>
      <c r="C1186" t="s">
        <v>34</v>
      </c>
      <c r="D1186" t="s">
        <v>1264</v>
      </c>
      <c r="E1186" t="s">
        <v>2699</v>
      </c>
      <c r="G1186" t="s">
        <v>2700</v>
      </c>
      <c r="J1186">
        <v>7.0544859390000001</v>
      </c>
      <c r="K1186">
        <v>0.623000361</v>
      </c>
      <c r="L1186">
        <v>0.42866702800000001</v>
      </c>
      <c r="M1186" s="21">
        <v>-1.142767981</v>
      </c>
      <c r="N1186">
        <v>0.36831787500000002</v>
      </c>
    </row>
    <row r="1187" spans="1:14" x14ac:dyDescent="0.2">
      <c r="A1187" t="s">
        <v>547</v>
      </c>
      <c r="B1187">
        <v>181600</v>
      </c>
      <c r="C1187" t="s">
        <v>34</v>
      </c>
      <c r="D1187" t="s">
        <v>548</v>
      </c>
      <c r="E1187" t="s">
        <v>2701</v>
      </c>
      <c r="G1187" t="s">
        <v>2702</v>
      </c>
      <c r="J1187">
        <v>7.0544859390000001</v>
      </c>
      <c r="K1187">
        <v>0.623000361</v>
      </c>
      <c r="L1187">
        <v>0.42866702800000001</v>
      </c>
      <c r="M1187" s="21">
        <v>-1.142767981</v>
      </c>
      <c r="N1187">
        <v>0.36831787500000002</v>
      </c>
    </row>
    <row r="1188" spans="1:14" x14ac:dyDescent="0.2">
      <c r="A1188" t="s">
        <v>1222</v>
      </c>
      <c r="B1188">
        <v>377560</v>
      </c>
      <c r="C1188" t="s">
        <v>100</v>
      </c>
      <c r="D1188" t="s">
        <v>1223</v>
      </c>
      <c r="E1188" t="s">
        <v>2703</v>
      </c>
      <c r="G1188" t="s">
        <v>2704</v>
      </c>
      <c r="J1188">
        <v>5.9110743220000002</v>
      </c>
      <c r="K1188">
        <v>0.71598987199999997</v>
      </c>
      <c r="L1188">
        <v>0.29077365599999999</v>
      </c>
      <c r="M1188" s="21">
        <v>-1.1427919070000001</v>
      </c>
      <c r="N1188">
        <v>0.36819495699999999</v>
      </c>
    </row>
    <row r="1189" spans="1:14" x14ac:dyDescent="0.2">
      <c r="A1189" t="s">
        <v>2488</v>
      </c>
      <c r="B1189">
        <v>334560</v>
      </c>
      <c r="C1189" t="s">
        <v>84</v>
      </c>
      <c r="D1189" t="s">
        <v>2488</v>
      </c>
      <c r="E1189" t="s">
        <v>2705</v>
      </c>
      <c r="J1189">
        <v>3.600219579</v>
      </c>
      <c r="K1189">
        <v>-0.293098474</v>
      </c>
      <c r="L1189">
        <v>-0.153917466</v>
      </c>
      <c r="M1189" s="21">
        <v>-1.142993639</v>
      </c>
      <c r="N1189">
        <v>0.36715858600000001</v>
      </c>
    </row>
    <row r="1190" spans="1:14" x14ac:dyDescent="0.2">
      <c r="A1190" t="s">
        <v>1714</v>
      </c>
      <c r="B1190">
        <v>334520</v>
      </c>
      <c r="C1190" t="s">
        <v>84</v>
      </c>
      <c r="D1190" t="s">
        <v>1715</v>
      </c>
      <c r="E1190" t="s">
        <v>2706</v>
      </c>
      <c r="J1190">
        <v>3.600219579</v>
      </c>
      <c r="K1190">
        <v>-0.293098474</v>
      </c>
      <c r="L1190">
        <v>-0.153917466</v>
      </c>
      <c r="M1190" s="21">
        <v>-1.143045994</v>
      </c>
      <c r="N1190">
        <v>0.366889621</v>
      </c>
    </row>
    <row r="1191" spans="1:14" x14ac:dyDescent="0.2">
      <c r="A1191" t="s">
        <v>610</v>
      </c>
      <c r="B1191">
        <v>380640</v>
      </c>
      <c r="C1191" t="s">
        <v>58</v>
      </c>
      <c r="D1191" t="s">
        <v>611</v>
      </c>
      <c r="E1191" t="s">
        <v>2707</v>
      </c>
      <c r="G1191" t="s">
        <v>2708</v>
      </c>
      <c r="J1191">
        <v>4.5363847230000003</v>
      </c>
      <c r="K1191">
        <v>0.245646371</v>
      </c>
      <c r="L1191">
        <v>7.5242279999999995E-2</v>
      </c>
      <c r="M1191" s="21">
        <v>-1.143053047</v>
      </c>
      <c r="N1191">
        <v>0.36685338299999998</v>
      </c>
    </row>
    <row r="1192" spans="1:14" x14ac:dyDescent="0.2">
      <c r="A1192" t="s">
        <v>1001</v>
      </c>
      <c r="B1192">
        <v>402480</v>
      </c>
      <c r="C1192" t="s">
        <v>149</v>
      </c>
      <c r="D1192" t="s">
        <v>1001</v>
      </c>
      <c r="E1192" t="s">
        <v>2709</v>
      </c>
      <c r="G1192" t="s">
        <v>2710</v>
      </c>
      <c r="J1192">
        <v>5.0381074159999999</v>
      </c>
      <c r="K1192">
        <v>0.81312368999999995</v>
      </c>
      <c r="L1192">
        <v>0.16969141800000001</v>
      </c>
      <c r="M1192" s="21">
        <v>-1.143186042</v>
      </c>
      <c r="N1192">
        <v>0.36617013999999998</v>
      </c>
    </row>
    <row r="1193" spans="1:14" x14ac:dyDescent="0.2">
      <c r="A1193" t="s">
        <v>2031</v>
      </c>
      <c r="B1193">
        <v>281240</v>
      </c>
      <c r="C1193" t="s">
        <v>68</v>
      </c>
      <c r="D1193" t="s">
        <v>2032</v>
      </c>
      <c r="E1193" t="s">
        <v>2711</v>
      </c>
      <c r="G1193" t="s">
        <v>2712</v>
      </c>
      <c r="J1193">
        <v>6.4561903559999996</v>
      </c>
      <c r="K1193">
        <v>0.47291064100000002</v>
      </c>
      <c r="L1193">
        <v>0.34414126499999997</v>
      </c>
      <c r="M1193" s="21">
        <v>-1.1432108080000001</v>
      </c>
      <c r="N1193">
        <v>0.36604290900000003</v>
      </c>
    </row>
    <row r="1194" spans="1:14" x14ac:dyDescent="0.2">
      <c r="A1194" t="s">
        <v>537</v>
      </c>
      <c r="B1194">
        <v>227880</v>
      </c>
      <c r="C1194" t="s">
        <v>28</v>
      </c>
      <c r="D1194" t="s">
        <v>538</v>
      </c>
      <c r="E1194" t="s">
        <v>2713</v>
      </c>
      <c r="G1194" t="s">
        <v>2714</v>
      </c>
      <c r="J1194">
        <v>5.8462906840000004</v>
      </c>
      <c r="K1194">
        <v>0.60615847</v>
      </c>
      <c r="L1194">
        <v>0.28550877299999999</v>
      </c>
      <c r="M1194" s="21">
        <v>-1.143294362</v>
      </c>
      <c r="N1194">
        <v>0.36561366000000001</v>
      </c>
    </row>
    <row r="1195" spans="1:14" x14ac:dyDescent="0.2">
      <c r="A1195" t="s">
        <v>718</v>
      </c>
      <c r="B1195">
        <v>227800</v>
      </c>
      <c r="C1195" t="s">
        <v>28</v>
      </c>
      <c r="D1195" t="s">
        <v>718</v>
      </c>
      <c r="E1195" t="s">
        <v>2715</v>
      </c>
      <c r="G1195" t="s">
        <v>2716</v>
      </c>
      <c r="J1195">
        <v>5.8462906840000004</v>
      </c>
      <c r="K1195">
        <v>0.60615847</v>
      </c>
      <c r="L1195">
        <v>0.28550877299999999</v>
      </c>
      <c r="M1195" s="21">
        <v>-1.143366587</v>
      </c>
      <c r="N1195">
        <v>0.36524261299999999</v>
      </c>
    </row>
    <row r="1196" spans="1:14" x14ac:dyDescent="0.2">
      <c r="A1196" t="s">
        <v>901</v>
      </c>
      <c r="B1196">
        <v>180880</v>
      </c>
      <c r="C1196" t="s">
        <v>34</v>
      </c>
      <c r="D1196" t="s">
        <v>902</v>
      </c>
      <c r="E1196" t="s">
        <v>2717</v>
      </c>
      <c r="G1196" t="s">
        <v>2718</v>
      </c>
      <c r="J1196">
        <v>7.0544859390000001</v>
      </c>
      <c r="K1196">
        <v>0.623000361</v>
      </c>
      <c r="L1196">
        <v>0.42866702800000001</v>
      </c>
      <c r="M1196" s="21">
        <v>-1.1434009039999999</v>
      </c>
      <c r="N1196">
        <v>0.36506631499999997</v>
      </c>
    </row>
    <row r="1197" spans="1:14" x14ac:dyDescent="0.2">
      <c r="A1197" t="s">
        <v>1778</v>
      </c>
      <c r="B1197">
        <v>376680</v>
      </c>
      <c r="C1197" t="s">
        <v>100</v>
      </c>
      <c r="D1197" t="s">
        <v>1778</v>
      </c>
      <c r="E1197" t="s">
        <v>2719</v>
      </c>
      <c r="G1197" t="s">
        <v>2720</v>
      </c>
      <c r="J1197">
        <v>5.9110743220000002</v>
      </c>
      <c r="K1197">
        <v>0.71598987199999997</v>
      </c>
      <c r="L1197">
        <v>0.29077365599999999</v>
      </c>
      <c r="M1197" s="21">
        <v>-1.143665495</v>
      </c>
      <c r="N1197">
        <v>0.36370700900000003</v>
      </c>
    </row>
    <row r="1198" spans="1:14" x14ac:dyDescent="0.2">
      <c r="A1198" t="s">
        <v>560</v>
      </c>
      <c r="B1198">
        <v>334040</v>
      </c>
      <c r="C1198" t="s">
        <v>84</v>
      </c>
      <c r="D1198" t="s">
        <v>560</v>
      </c>
      <c r="E1198" t="s">
        <v>2721</v>
      </c>
      <c r="J1198">
        <v>3.600219579</v>
      </c>
      <c r="K1198">
        <v>-0.293098474</v>
      </c>
      <c r="L1198">
        <v>-0.153917466</v>
      </c>
      <c r="M1198" s="21">
        <v>-1.143674249</v>
      </c>
      <c r="N1198">
        <v>0.36366203600000002</v>
      </c>
    </row>
    <row r="1199" spans="1:14" x14ac:dyDescent="0.2">
      <c r="A1199" t="s">
        <v>2657</v>
      </c>
      <c r="B1199">
        <v>333960</v>
      </c>
      <c r="C1199" t="s">
        <v>84</v>
      </c>
      <c r="D1199" t="s">
        <v>2658</v>
      </c>
      <c r="E1199" t="s">
        <v>2722</v>
      </c>
      <c r="J1199">
        <v>3.600219579</v>
      </c>
      <c r="K1199">
        <v>-0.293098474</v>
      </c>
      <c r="L1199">
        <v>-0.153917466</v>
      </c>
      <c r="M1199" s="21">
        <v>-1.143778959</v>
      </c>
      <c r="N1199">
        <v>0.36312410499999997</v>
      </c>
    </row>
    <row r="1200" spans="1:14" x14ac:dyDescent="0.2">
      <c r="A1200" t="s">
        <v>1882</v>
      </c>
      <c r="B1200">
        <v>280640</v>
      </c>
      <c r="C1200" t="s">
        <v>68</v>
      </c>
      <c r="D1200" t="s">
        <v>1882</v>
      </c>
      <c r="E1200" t="s">
        <v>2723</v>
      </c>
      <c r="G1200" t="s">
        <v>2724</v>
      </c>
      <c r="J1200">
        <v>6.4561903559999996</v>
      </c>
      <c r="K1200">
        <v>0.47291064100000002</v>
      </c>
      <c r="L1200">
        <v>0.34414126499999997</v>
      </c>
      <c r="M1200" s="21">
        <v>-1.1437910389999999</v>
      </c>
      <c r="N1200">
        <v>0.36306204199999997</v>
      </c>
    </row>
    <row r="1201" spans="1:14" x14ac:dyDescent="0.2">
      <c r="A1201" t="s">
        <v>880</v>
      </c>
      <c r="B1201">
        <v>333920</v>
      </c>
      <c r="C1201" t="s">
        <v>84</v>
      </c>
      <c r="D1201" t="s">
        <v>880</v>
      </c>
      <c r="E1201" t="s">
        <v>2725</v>
      </c>
      <c r="J1201">
        <v>3.600219579</v>
      </c>
      <c r="K1201">
        <v>-0.293098474</v>
      </c>
      <c r="L1201">
        <v>-0.153917466</v>
      </c>
      <c r="M1201" s="21">
        <v>-1.143831313</v>
      </c>
      <c r="N1201">
        <v>0.36285513899999999</v>
      </c>
    </row>
    <row r="1202" spans="1:14" x14ac:dyDescent="0.2">
      <c r="A1202" t="s">
        <v>1939</v>
      </c>
      <c r="B1202">
        <v>360520</v>
      </c>
      <c r="C1202" t="s">
        <v>130</v>
      </c>
      <c r="D1202" t="s">
        <v>1939</v>
      </c>
      <c r="E1202" t="s">
        <v>2726</v>
      </c>
      <c r="G1202" t="s">
        <v>2727</v>
      </c>
      <c r="J1202">
        <v>5.1222566499999997</v>
      </c>
      <c r="K1202">
        <v>0.21422175600000001</v>
      </c>
      <c r="L1202">
        <v>0.25354511400000002</v>
      </c>
      <c r="M1202" s="21">
        <v>-1.1439019539999999</v>
      </c>
      <c r="N1202">
        <v>0.362492233</v>
      </c>
    </row>
    <row r="1203" spans="1:14" x14ac:dyDescent="0.2">
      <c r="A1203" t="s">
        <v>191</v>
      </c>
      <c r="B1203">
        <v>403120</v>
      </c>
      <c r="C1203" t="s">
        <v>14</v>
      </c>
      <c r="D1203" t="s">
        <v>192</v>
      </c>
      <c r="E1203" t="s">
        <v>2728</v>
      </c>
      <c r="G1203" t="s">
        <v>2729</v>
      </c>
      <c r="J1203">
        <v>6.7484204910000001</v>
      </c>
      <c r="K1203">
        <v>0.48629166299999999</v>
      </c>
      <c r="L1203">
        <v>0.375053939</v>
      </c>
      <c r="M1203" s="21">
        <v>-1.1442737549999999</v>
      </c>
      <c r="N1203">
        <v>0.36058214900000002</v>
      </c>
    </row>
    <row r="1204" spans="1:14" x14ac:dyDescent="0.2">
      <c r="A1204" t="s">
        <v>2335</v>
      </c>
      <c r="B1204">
        <v>378880</v>
      </c>
      <c r="C1204" t="s">
        <v>58</v>
      </c>
      <c r="D1204" t="s">
        <v>2335</v>
      </c>
      <c r="E1204" t="s">
        <v>2730</v>
      </c>
      <c r="G1204" t="s">
        <v>2731</v>
      </c>
      <c r="J1204">
        <v>4.5363847230000003</v>
      </c>
      <c r="K1204">
        <v>0.245646371</v>
      </c>
      <c r="L1204">
        <v>7.5242279999999995E-2</v>
      </c>
      <c r="M1204" s="21">
        <v>-1.1447527260000001</v>
      </c>
      <c r="N1204">
        <v>0.35812149900000001</v>
      </c>
    </row>
    <row r="1205" spans="1:14" x14ac:dyDescent="0.2">
      <c r="A1205" t="s">
        <v>1494</v>
      </c>
      <c r="B1205">
        <v>333200</v>
      </c>
      <c r="C1205" t="s">
        <v>84</v>
      </c>
      <c r="D1205" t="s">
        <v>1494</v>
      </c>
      <c r="E1205" t="s">
        <v>2732</v>
      </c>
      <c r="J1205">
        <v>3.600219579</v>
      </c>
      <c r="K1205">
        <v>-0.293098474</v>
      </c>
      <c r="L1205">
        <v>-0.153917466</v>
      </c>
      <c r="M1205" s="21">
        <v>-1.144773697</v>
      </c>
      <c r="N1205">
        <v>0.35801376099999999</v>
      </c>
    </row>
    <row r="1206" spans="1:14" x14ac:dyDescent="0.2">
      <c r="A1206" t="s">
        <v>554</v>
      </c>
      <c r="B1206">
        <v>333200</v>
      </c>
      <c r="C1206" t="s">
        <v>84</v>
      </c>
      <c r="D1206" t="s">
        <v>555</v>
      </c>
      <c r="E1206" t="s">
        <v>2733</v>
      </c>
      <c r="J1206">
        <v>3.600219579</v>
      </c>
      <c r="K1206">
        <v>-0.293098474</v>
      </c>
      <c r="L1206">
        <v>-0.153917466</v>
      </c>
      <c r="M1206" s="21">
        <v>-1.144773697</v>
      </c>
      <c r="N1206">
        <v>0.35801376099999999</v>
      </c>
    </row>
    <row r="1207" spans="1:14" x14ac:dyDescent="0.2">
      <c r="A1207" t="s">
        <v>2385</v>
      </c>
      <c r="B1207">
        <v>359360</v>
      </c>
      <c r="C1207" t="s">
        <v>130</v>
      </c>
      <c r="D1207" t="s">
        <v>2385</v>
      </c>
      <c r="E1207" t="s">
        <v>2734</v>
      </c>
      <c r="G1207" t="s">
        <v>2735</v>
      </c>
      <c r="J1207">
        <v>5.1222566499999997</v>
      </c>
      <c r="K1207">
        <v>0.21422175600000001</v>
      </c>
      <c r="L1207">
        <v>0.25354511400000002</v>
      </c>
      <c r="M1207" s="21">
        <v>-1.144825116</v>
      </c>
      <c r="N1207">
        <v>0.35774960099999997</v>
      </c>
    </row>
    <row r="1208" spans="1:14" x14ac:dyDescent="0.2">
      <c r="A1208" t="s">
        <v>1773</v>
      </c>
      <c r="B1208">
        <v>179160</v>
      </c>
      <c r="C1208" t="s">
        <v>34</v>
      </c>
      <c r="D1208" t="s">
        <v>1773</v>
      </c>
      <c r="E1208" t="s">
        <v>2736</v>
      </c>
      <c r="G1208" t="s">
        <v>2737</v>
      </c>
      <c r="J1208">
        <v>7.0544859390000001</v>
      </c>
      <c r="K1208">
        <v>0.623000361</v>
      </c>
      <c r="L1208">
        <v>0.42866702800000001</v>
      </c>
      <c r="M1208" s="21">
        <v>-1.1449128850000001</v>
      </c>
      <c r="N1208">
        <v>0.357298699</v>
      </c>
    </row>
    <row r="1209" spans="1:14" x14ac:dyDescent="0.2">
      <c r="A1209" t="s">
        <v>1593</v>
      </c>
      <c r="B1209">
        <v>225880</v>
      </c>
      <c r="C1209" t="s">
        <v>28</v>
      </c>
      <c r="D1209" t="s">
        <v>1593</v>
      </c>
      <c r="E1209" t="s">
        <v>2738</v>
      </c>
      <c r="G1209" t="s">
        <v>2739</v>
      </c>
      <c r="J1209">
        <v>5.8462906840000004</v>
      </c>
      <c r="K1209">
        <v>0.60615847</v>
      </c>
      <c r="L1209">
        <v>0.28550877299999999</v>
      </c>
      <c r="M1209" s="21">
        <v>-1.145099986</v>
      </c>
      <c r="N1209">
        <v>0.35633748999999998</v>
      </c>
    </row>
    <row r="1210" spans="1:14" x14ac:dyDescent="0.2">
      <c r="A1210" t="s">
        <v>175</v>
      </c>
      <c r="B1210">
        <v>401840</v>
      </c>
      <c r="C1210" t="s">
        <v>14</v>
      </c>
      <c r="D1210" t="s">
        <v>175</v>
      </c>
      <c r="E1210" t="s">
        <v>2740</v>
      </c>
      <c r="G1210" t="s">
        <v>2741</v>
      </c>
      <c r="J1210">
        <v>6.7484204910000001</v>
      </c>
      <c r="K1210">
        <v>0.48629166299999999</v>
      </c>
      <c r="L1210">
        <v>0.375053939</v>
      </c>
      <c r="M1210" s="21">
        <v>-1.14567628</v>
      </c>
      <c r="N1210">
        <v>0.35337685600000002</v>
      </c>
    </row>
    <row r="1211" spans="1:14" x14ac:dyDescent="0.2">
      <c r="A1211" t="s">
        <v>1897</v>
      </c>
      <c r="B1211">
        <v>178160</v>
      </c>
      <c r="C1211" t="s">
        <v>34</v>
      </c>
      <c r="D1211" t="s">
        <v>1897</v>
      </c>
      <c r="J1211">
        <v>7.0544859390000001</v>
      </c>
      <c r="K1211">
        <v>0.623000361</v>
      </c>
      <c r="L1211">
        <v>0.42866702800000001</v>
      </c>
      <c r="M1211" s="21">
        <v>-1.145791944</v>
      </c>
      <c r="N1211">
        <v>0.35278264399999998</v>
      </c>
    </row>
    <row r="1212" spans="1:14" x14ac:dyDescent="0.2">
      <c r="A1212" t="s">
        <v>1739</v>
      </c>
      <c r="B1212">
        <v>278520</v>
      </c>
      <c r="C1212" t="s">
        <v>68</v>
      </c>
      <c r="D1212" t="s">
        <v>1739</v>
      </c>
      <c r="E1212" t="s">
        <v>2742</v>
      </c>
      <c r="G1212" t="s">
        <v>2743</v>
      </c>
      <c r="J1212">
        <v>6.4561903559999996</v>
      </c>
      <c r="K1212">
        <v>0.47291064100000002</v>
      </c>
      <c r="L1212">
        <v>0.34414126499999997</v>
      </c>
      <c r="M1212" s="21">
        <v>-1.1458411909999999</v>
      </c>
      <c r="N1212">
        <v>0.352529647</v>
      </c>
    </row>
    <row r="1213" spans="1:14" x14ac:dyDescent="0.2">
      <c r="A1213" t="s">
        <v>868</v>
      </c>
      <c r="B1213">
        <v>374400</v>
      </c>
      <c r="C1213" t="s">
        <v>100</v>
      </c>
      <c r="D1213" t="s">
        <v>869</v>
      </c>
      <c r="E1213" t="s">
        <v>2744</v>
      </c>
      <c r="G1213" t="s">
        <v>2745</v>
      </c>
      <c r="J1213">
        <v>5.9110743220000002</v>
      </c>
      <c r="K1213">
        <v>0.71598987199999997</v>
      </c>
      <c r="L1213">
        <v>0.29077365599999999</v>
      </c>
      <c r="M1213" s="21">
        <v>-1.145928882</v>
      </c>
      <c r="N1213">
        <v>0.35207914400000001</v>
      </c>
    </row>
    <row r="1214" spans="1:14" x14ac:dyDescent="0.2">
      <c r="A1214" t="s">
        <v>1001</v>
      </c>
      <c r="B1214">
        <v>357120</v>
      </c>
      <c r="C1214" t="s">
        <v>130</v>
      </c>
      <c r="D1214" t="s">
        <v>1001</v>
      </c>
      <c r="E1214" t="s">
        <v>2746</v>
      </c>
      <c r="G1214" t="s">
        <v>2747</v>
      </c>
      <c r="J1214">
        <v>5.1222566499999997</v>
      </c>
      <c r="K1214">
        <v>0.21422175600000001</v>
      </c>
      <c r="L1214">
        <v>0.25354511400000002</v>
      </c>
      <c r="M1214" s="21">
        <v>-1.1466077750000001</v>
      </c>
      <c r="N1214">
        <v>0.34859141500000002</v>
      </c>
    </row>
    <row r="1215" spans="1:14" x14ac:dyDescent="0.2">
      <c r="A1215" t="s">
        <v>1659</v>
      </c>
      <c r="B1215">
        <v>331760</v>
      </c>
      <c r="C1215" t="s">
        <v>84</v>
      </c>
      <c r="D1215" t="s">
        <v>1660</v>
      </c>
      <c r="E1215" t="s">
        <v>2748</v>
      </c>
      <c r="J1215">
        <v>3.600219579</v>
      </c>
      <c r="K1215">
        <v>-0.293098474</v>
      </c>
      <c r="L1215">
        <v>-0.153917466</v>
      </c>
      <c r="M1215" s="21">
        <v>-1.1466584639999999</v>
      </c>
      <c r="N1215">
        <v>0.348331006</v>
      </c>
    </row>
    <row r="1216" spans="1:14" x14ac:dyDescent="0.2">
      <c r="A1216" t="s">
        <v>1013</v>
      </c>
      <c r="B1216">
        <v>400880</v>
      </c>
      <c r="C1216" t="s">
        <v>14</v>
      </c>
      <c r="D1216" t="s">
        <v>1014</v>
      </c>
      <c r="E1216" t="s">
        <v>2749</v>
      </c>
      <c r="G1216" t="s">
        <v>2750</v>
      </c>
      <c r="J1216">
        <v>6.7484204910000001</v>
      </c>
      <c r="K1216">
        <v>0.48629166299999999</v>
      </c>
      <c r="L1216">
        <v>0.375053939</v>
      </c>
      <c r="M1216" s="21">
        <v>-1.1467281730000001</v>
      </c>
      <c r="N1216">
        <v>0.34797288599999998</v>
      </c>
    </row>
    <row r="1217" spans="1:14" x14ac:dyDescent="0.2">
      <c r="A1217" t="s">
        <v>1373</v>
      </c>
      <c r="B1217">
        <v>398600</v>
      </c>
      <c r="C1217" t="s">
        <v>149</v>
      </c>
      <c r="D1217" t="s">
        <v>1373</v>
      </c>
      <c r="E1217" t="s">
        <v>2751</v>
      </c>
      <c r="G1217" t="s">
        <v>2752</v>
      </c>
      <c r="J1217">
        <v>5.0381074159999999</v>
      </c>
      <c r="K1217">
        <v>0.81312368999999995</v>
      </c>
      <c r="L1217">
        <v>0.16969141800000001</v>
      </c>
      <c r="M1217" s="21">
        <v>-1.146773552</v>
      </c>
      <c r="N1217">
        <v>0.34773975600000001</v>
      </c>
    </row>
    <row r="1218" spans="1:14" x14ac:dyDescent="0.2">
      <c r="A1218" t="s">
        <v>67</v>
      </c>
      <c r="B1218">
        <v>373320</v>
      </c>
      <c r="C1218" t="s">
        <v>100</v>
      </c>
      <c r="D1218" t="s">
        <v>69</v>
      </c>
      <c r="E1218" t="s">
        <v>2753</v>
      </c>
      <c r="G1218" t="s">
        <v>2754</v>
      </c>
      <c r="J1218">
        <v>5.9110743220000002</v>
      </c>
      <c r="K1218">
        <v>0.71598987199999997</v>
      </c>
      <c r="L1218">
        <v>0.29077365599999999</v>
      </c>
      <c r="M1218" s="21">
        <v>-1.1470010129999999</v>
      </c>
      <c r="N1218">
        <v>0.34657120800000002</v>
      </c>
    </row>
    <row r="1219" spans="1:14" x14ac:dyDescent="0.2">
      <c r="A1219" t="s">
        <v>1729</v>
      </c>
      <c r="B1219">
        <v>223680</v>
      </c>
      <c r="C1219" t="s">
        <v>28</v>
      </c>
      <c r="D1219" t="s">
        <v>1729</v>
      </c>
      <c r="E1219" t="s">
        <v>2755</v>
      </c>
      <c r="G1219" t="s">
        <v>2756</v>
      </c>
      <c r="J1219">
        <v>5.8462906840000004</v>
      </c>
      <c r="K1219">
        <v>0.60615847</v>
      </c>
      <c r="L1219">
        <v>0.28550877299999999</v>
      </c>
      <c r="M1219" s="21">
        <v>-1.1470861729999999</v>
      </c>
      <c r="N1219">
        <v>0.34613370500000001</v>
      </c>
    </row>
    <row r="1220" spans="1:14" x14ac:dyDescent="0.2">
      <c r="A1220" t="s">
        <v>431</v>
      </c>
      <c r="B1220">
        <v>400440</v>
      </c>
      <c r="C1220" t="s">
        <v>14</v>
      </c>
      <c r="D1220" t="s">
        <v>432</v>
      </c>
      <c r="E1220" t="s">
        <v>2757</v>
      </c>
      <c r="G1220" t="s">
        <v>2758</v>
      </c>
      <c r="J1220">
        <v>6.7484204910000001</v>
      </c>
      <c r="K1220">
        <v>0.48629166299999999</v>
      </c>
      <c r="L1220">
        <v>0.375053939</v>
      </c>
      <c r="M1220" s="21">
        <v>-1.1472102909999999</v>
      </c>
      <c r="N1220">
        <v>0.34549606599999999</v>
      </c>
    </row>
    <row r="1221" spans="1:14" x14ac:dyDescent="0.2">
      <c r="A1221" t="s">
        <v>625</v>
      </c>
      <c r="B1221">
        <v>376200</v>
      </c>
      <c r="C1221" t="s">
        <v>58</v>
      </c>
      <c r="D1221" t="s">
        <v>625</v>
      </c>
      <c r="E1221" t="s">
        <v>2759</v>
      </c>
      <c r="G1221" t="s">
        <v>2760</v>
      </c>
      <c r="J1221">
        <v>4.5363847230000003</v>
      </c>
      <c r="K1221">
        <v>0.245646371</v>
      </c>
      <c r="L1221">
        <v>7.5242279999999995E-2</v>
      </c>
      <c r="M1221" s="21">
        <v>-1.147340872</v>
      </c>
      <c r="N1221">
        <v>0.34482521999999999</v>
      </c>
    </row>
    <row r="1222" spans="1:14" x14ac:dyDescent="0.2">
      <c r="A1222" t="s">
        <v>2252</v>
      </c>
      <c r="B1222">
        <v>176360</v>
      </c>
      <c r="C1222" t="s">
        <v>34</v>
      </c>
      <c r="D1222" t="s">
        <v>2253</v>
      </c>
      <c r="E1222" t="s">
        <v>2761</v>
      </c>
      <c r="G1222" t="s">
        <v>2762</v>
      </c>
      <c r="J1222">
        <v>7.0544859390000001</v>
      </c>
      <c r="K1222">
        <v>0.623000361</v>
      </c>
      <c r="L1222">
        <v>0.42866702800000001</v>
      </c>
      <c r="M1222" s="21">
        <v>-1.147374251</v>
      </c>
      <c r="N1222">
        <v>0.34465374399999998</v>
      </c>
    </row>
    <row r="1223" spans="1:14" x14ac:dyDescent="0.2">
      <c r="A1223" t="s">
        <v>2270</v>
      </c>
      <c r="B1223">
        <v>331200</v>
      </c>
      <c r="C1223" t="s">
        <v>84</v>
      </c>
      <c r="D1223" t="s">
        <v>2271</v>
      </c>
      <c r="E1223" t="s">
        <v>2763</v>
      </c>
      <c r="J1223">
        <v>3.600219579</v>
      </c>
      <c r="K1223">
        <v>-0.293098474</v>
      </c>
      <c r="L1223">
        <v>-0.153917466</v>
      </c>
      <c r="M1223" s="21">
        <v>-1.1473914300000001</v>
      </c>
      <c r="N1223">
        <v>0.34456548999999997</v>
      </c>
    </row>
    <row r="1224" spans="1:14" x14ac:dyDescent="0.2">
      <c r="A1224" t="s">
        <v>2764</v>
      </c>
      <c r="B1224">
        <v>330920</v>
      </c>
      <c r="C1224" t="s">
        <v>84</v>
      </c>
      <c r="D1224" t="s">
        <v>2764</v>
      </c>
      <c r="E1224" t="s">
        <v>2765</v>
      </c>
      <c r="J1224">
        <v>3.600219579</v>
      </c>
      <c r="K1224">
        <v>-0.293098474</v>
      </c>
      <c r="L1224">
        <v>-0.153917466</v>
      </c>
      <c r="M1224" s="21">
        <v>-1.1477579120000001</v>
      </c>
      <c r="N1224">
        <v>0.34268273199999999</v>
      </c>
    </row>
    <row r="1225" spans="1:14" x14ac:dyDescent="0.2">
      <c r="A1225" t="s">
        <v>1321</v>
      </c>
      <c r="B1225">
        <v>375560</v>
      </c>
      <c r="C1225" t="s">
        <v>58</v>
      </c>
      <c r="D1225" t="s">
        <v>1321</v>
      </c>
      <c r="E1225" t="s">
        <v>2766</v>
      </c>
      <c r="G1225" t="s">
        <v>2767</v>
      </c>
      <c r="J1225">
        <v>4.5363847230000003</v>
      </c>
      <c r="K1225">
        <v>0.245646371</v>
      </c>
      <c r="L1225">
        <v>7.5242279999999995E-2</v>
      </c>
      <c r="M1225" s="21">
        <v>-1.1479589370000001</v>
      </c>
      <c r="N1225">
        <v>0.34164999000000001</v>
      </c>
    </row>
    <row r="1226" spans="1:14" x14ac:dyDescent="0.2">
      <c r="A1226" t="s">
        <v>681</v>
      </c>
      <c r="B1226">
        <v>330760</v>
      </c>
      <c r="C1226" t="s">
        <v>84</v>
      </c>
      <c r="D1226" t="s">
        <v>682</v>
      </c>
      <c r="E1226" t="s">
        <v>2768</v>
      </c>
      <c r="J1226">
        <v>3.600219579</v>
      </c>
      <c r="K1226">
        <v>-0.293098474</v>
      </c>
      <c r="L1226">
        <v>-0.153917466</v>
      </c>
      <c r="M1226" s="21">
        <v>-1.147967331</v>
      </c>
      <c r="N1226">
        <v>0.34160687000000001</v>
      </c>
    </row>
    <row r="1227" spans="1:14" x14ac:dyDescent="0.2">
      <c r="A1227" t="s">
        <v>504</v>
      </c>
      <c r="B1227">
        <v>397240</v>
      </c>
      <c r="C1227" t="s">
        <v>149</v>
      </c>
      <c r="D1227" t="s">
        <v>504</v>
      </c>
      <c r="E1227" t="s">
        <v>2769</v>
      </c>
      <c r="G1227" t="s">
        <v>2770</v>
      </c>
      <c r="J1227">
        <v>5.0381074159999999</v>
      </c>
      <c r="K1227">
        <v>0.81312368999999995</v>
      </c>
      <c r="L1227">
        <v>0.16969141800000001</v>
      </c>
      <c r="M1227" s="21">
        <v>-1.1480310300000001</v>
      </c>
      <c r="N1227">
        <v>0.341279622</v>
      </c>
    </row>
    <row r="1228" spans="1:14" x14ac:dyDescent="0.2">
      <c r="A1228" t="s">
        <v>1181</v>
      </c>
      <c r="B1228">
        <v>355120</v>
      </c>
      <c r="C1228" t="s">
        <v>130</v>
      </c>
      <c r="D1228" t="s">
        <v>1181</v>
      </c>
      <c r="E1228" t="s">
        <v>2771</v>
      </c>
      <c r="G1228" t="s">
        <v>2772</v>
      </c>
      <c r="J1228">
        <v>5.1222566499999997</v>
      </c>
      <c r="K1228">
        <v>0.21422175600000001</v>
      </c>
      <c r="L1228">
        <v>0.25354511400000002</v>
      </c>
      <c r="M1228" s="21">
        <v>-1.148199435</v>
      </c>
      <c r="N1228">
        <v>0.340414463</v>
      </c>
    </row>
    <row r="1229" spans="1:14" x14ac:dyDescent="0.2">
      <c r="A1229" t="s">
        <v>901</v>
      </c>
      <c r="B1229">
        <v>396760</v>
      </c>
      <c r="C1229" t="s">
        <v>149</v>
      </c>
      <c r="D1229" t="s">
        <v>902</v>
      </c>
      <c r="E1229" t="s">
        <v>2773</v>
      </c>
      <c r="G1229" t="s">
        <v>2774</v>
      </c>
      <c r="J1229">
        <v>5.0381074159999999</v>
      </c>
      <c r="K1229">
        <v>0.81312368999999995</v>
      </c>
      <c r="L1229">
        <v>0.16969141800000001</v>
      </c>
      <c r="M1229" s="21">
        <v>-1.148474846</v>
      </c>
      <c r="N1229">
        <v>0.338999575</v>
      </c>
    </row>
    <row r="1230" spans="1:14" x14ac:dyDescent="0.2">
      <c r="A1230" t="s">
        <v>516</v>
      </c>
      <c r="B1230">
        <v>275320</v>
      </c>
      <c r="C1230" t="s">
        <v>68</v>
      </c>
      <c r="D1230" t="s">
        <v>516</v>
      </c>
      <c r="E1230" t="s">
        <v>2775</v>
      </c>
      <c r="G1230" t="s">
        <v>2776</v>
      </c>
      <c r="J1230">
        <v>6.4561903559999996</v>
      </c>
      <c r="K1230">
        <v>0.47291064100000002</v>
      </c>
      <c r="L1230">
        <v>0.34414126499999997</v>
      </c>
      <c r="M1230" s="21">
        <v>-1.148935759</v>
      </c>
      <c r="N1230">
        <v>0.33663169300000001</v>
      </c>
    </row>
    <row r="1231" spans="1:14" x14ac:dyDescent="0.2">
      <c r="A1231" t="s">
        <v>769</v>
      </c>
      <c r="B1231">
        <v>329960</v>
      </c>
      <c r="C1231" t="s">
        <v>84</v>
      </c>
      <c r="D1231" t="s">
        <v>769</v>
      </c>
      <c r="E1231" t="s">
        <v>2777</v>
      </c>
      <c r="J1231">
        <v>3.600219579</v>
      </c>
      <c r="K1231">
        <v>-0.293098474</v>
      </c>
      <c r="L1231">
        <v>-0.153917466</v>
      </c>
      <c r="M1231" s="21">
        <v>-1.149014424</v>
      </c>
      <c r="N1231">
        <v>0.33622756100000001</v>
      </c>
    </row>
    <row r="1232" spans="1:14" x14ac:dyDescent="0.2">
      <c r="A1232" t="s">
        <v>779</v>
      </c>
      <c r="B1232">
        <v>275120</v>
      </c>
      <c r="C1232" t="s">
        <v>68</v>
      </c>
      <c r="D1232" t="s">
        <v>780</v>
      </c>
      <c r="E1232" t="s">
        <v>2778</v>
      </c>
      <c r="G1232" t="s">
        <v>2779</v>
      </c>
      <c r="J1232">
        <v>6.4561903559999996</v>
      </c>
      <c r="K1232">
        <v>0.47291064100000002</v>
      </c>
      <c r="L1232">
        <v>0.34414126499999997</v>
      </c>
      <c r="M1232" s="21">
        <v>-1.1491291690000001</v>
      </c>
      <c r="N1232">
        <v>0.33563807099999998</v>
      </c>
    </row>
    <row r="1233" spans="1:14" x14ac:dyDescent="0.2">
      <c r="A1233" t="s">
        <v>408</v>
      </c>
      <c r="B1233">
        <v>329760</v>
      </c>
      <c r="C1233" t="s">
        <v>84</v>
      </c>
      <c r="D1233" t="s">
        <v>408</v>
      </c>
      <c r="E1233" t="s">
        <v>2780</v>
      </c>
      <c r="J1233">
        <v>3.600219579</v>
      </c>
      <c r="K1233">
        <v>-0.293098474</v>
      </c>
      <c r="L1233">
        <v>-0.153917466</v>
      </c>
      <c r="M1233" s="21">
        <v>-1.1492761970000001</v>
      </c>
      <c r="N1233">
        <v>0.33488273400000002</v>
      </c>
    </row>
    <row r="1234" spans="1:14" x14ac:dyDescent="0.2">
      <c r="A1234" t="s">
        <v>709</v>
      </c>
      <c r="B1234">
        <v>329720</v>
      </c>
      <c r="C1234" t="s">
        <v>84</v>
      </c>
      <c r="D1234" t="s">
        <v>709</v>
      </c>
      <c r="E1234" t="s">
        <v>2781</v>
      </c>
      <c r="J1234">
        <v>3.600219579</v>
      </c>
      <c r="K1234">
        <v>-0.293098474</v>
      </c>
      <c r="L1234">
        <v>-0.153917466</v>
      </c>
      <c r="M1234" s="21">
        <v>-1.1493285520000001</v>
      </c>
      <c r="N1234">
        <v>0.33461376799999998</v>
      </c>
    </row>
    <row r="1235" spans="1:14" x14ac:dyDescent="0.2">
      <c r="A1235" t="s">
        <v>289</v>
      </c>
      <c r="B1235">
        <v>173960</v>
      </c>
      <c r="C1235" t="s">
        <v>34</v>
      </c>
      <c r="D1235" t="s">
        <v>290</v>
      </c>
      <c r="E1235" t="s">
        <v>2782</v>
      </c>
      <c r="G1235" t="s">
        <v>2783</v>
      </c>
      <c r="J1235">
        <v>7.0544859390000001</v>
      </c>
      <c r="K1235">
        <v>0.623000361</v>
      </c>
      <c r="L1235">
        <v>0.42866702800000001</v>
      </c>
      <c r="M1235" s="21">
        <v>-1.149483992</v>
      </c>
      <c r="N1235">
        <v>0.333815211</v>
      </c>
    </row>
    <row r="1236" spans="1:14" x14ac:dyDescent="0.2">
      <c r="A1236" t="s">
        <v>741</v>
      </c>
      <c r="B1236">
        <v>329600</v>
      </c>
      <c r="C1236" t="s">
        <v>84</v>
      </c>
      <c r="D1236" t="s">
        <v>741</v>
      </c>
      <c r="E1236" t="s">
        <v>2784</v>
      </c>
      <c r="J1236">
        <v>3.600219579</v>
      </c>
      <c r="K1236">
        <v>-0.293098474</v>
      </c>
      <c r="L1236">
        <v>-0.153917466</v>
      </c>
      <c r="M1236" s="21">
        <v>-1.149485616</v>
      </c>
      <c r="N1236">
        <v>0.33380687199999998</v>
      </c>
    </row>
    <row r="1237" spans="1:14" x14ac:dyDescent="0.2">
      <c r="A1237" t="s">
        <v>372</v>
      </c>
      <c r="B1237">
        <v>173640</v>
      </c>
      <c r="C1237" t="s">
        <v>34</v>
      </c>
      <c r="D1237" t="s">
        <v>372</v>
      </c>
      <c r="E1237" t="s">
        <v>2785</v>
      </c>
      <c r="G1237" t="s">
        <v>2786</v>
      </c>
      <c r="J1237">
        <v>7.0544859390000001</v>
      </c>
      <c r="K1237">
        <v>0.623000361</v>
      </c>
      <c r="L1237">
        <v>0.42866702800000001</v>
      </c>
      <c r="M1237" s="21">
        <v>-1.149765291</v>
      </c>
      <c r="N1237">
        <v>0.33237007400000002</v>
      </c>
    </row>
    <row r="1238" spans="1:14" x14ac:dyDescent="0.2">
      <c r="A1238" t="s">
        <v>1688</v>
      </c>
      <c r="B1238">
        <v>274240</v>
      </c>
      <c r="C1238" t="s">
        <v>68</v>
      </c>
      <c r="D1238" t="s">
        <v>1688</v>
      </c>
      <c r="E1238" t="s">
        <v>2787</v>
      </c>
      <c r="G1238" t="s">
        <v>2788</v>
      </c>
      <c r="J1238">
        <v>6.4561903559999996</v>
      </c>
      <c r="K1238">
        <v>0.47291064100000002</v>
      </c>
      <c r="L1238">
        <v>0.34414126499999997</v>
      </c>
      <c r="M1238" s="21">
        <v>-1.149980175</v>
      </c>
      <c r="N1238">
        <v>0.33126613300000002</v>
      </c>
    </row>
    <row r="1239" spans="1:14" x14ac:dyDescent="0.2">
      <c r="A1239" t="s">
        <v>1155</v>
      </c>
      <c r="B1239">
        <v>395080</v>
      </c>
      <c r="C1239" t="s">
        <v>149</v>
      </c>
      <c r="D1239" t="s">
        <v>1156</v>
      </c>
      <c r="E1239" t="s">
        <v>2789</v>
      </c>
      <c r="G1239" t="s">
        <v>2790</v>
      </c>
      <c r="J1239">
        <v>5.0381074159999999</v>
      </c>
      <c r="K1239">
        <v>0.81312368999999995</v>
      </c>
      <c r="L1239">
        <v>0.16969141800000001</v>
      </c>
      <c r="M1239" s="21">
        <v>-1.150028201</v>
      </c>
      <c r="N1239">
        <v>0.33101940899999999</v>
      </c>
    </row>
    <row r="1240" spans="1:14" x14ac:dyDescent="0.2">
      <c r="A1240" t="s">
        <v>2791</v>
      </c>
      <c r="B1240">
        <v>329120</v>
      </c>
      <c r="C1240" t="s">
        <v>84</v>
      </c>
      <c r="D1240" t="s">
        <v>2792</v>
      </c>
      <c r="E1240" t="s">
        <v>2793</v>
      </c>
      <c r="J1240">
        <v>3.600219579</v>
      </c>
      <c r="K1240">
        <v>-0.293098474</v>
      </c>
      <c r="L1240">
        <v>-0.153917466</v>
      </c>
      <c r="M1240" s="21">
        <v>-1.1501138710000001</v>
      </c>
      <c r="N1240">
        <v>0.330579287</v>
      </c>
    </row>
    <row r="1241" spans="1:14" x14ac:dyDescent="0.2">
      <c r="A1241" t="s">
        <v>759</v>
      </c>
      <c r="B1241">
        <v>329080</v>
      </c>
      <c r="C1241" t="s">
        <v>84</v>
      </c>
      <c r="D1241" t="s">
        <v>760</v>
      </c>
      <c r="E1241" t="s">
        <v>2794</v>
      </c>
      <c r="J1241">
        <v>3.600219579</v>
      </c>
      <c r="K1241">
        <v>-0.293098474</v>
      </c>
      <c r="L1241">
        <v>-0.153917466</v>
      </c>
      <c r="M1241" s="21">
        <v>-1.1501662260000001</v>
      </c>
      <c r="N1241">
        <v>0.33031032199999999</v>
      </c>
    </row>
    <row r="1242" spans="1:14" x14ac:dyDescent="0.2">
      <c r="A1242" t="s">
        <v>1535</v>
      </c>
      <c r="B1242">
        <v>373200</v>
      </c>
      <c r="C1242" t="s">
        <v>58</v>
      </c>
      <c r="D1242" t="s">
        <v>1535</v>
      </c>
      <c r="E1242" t="s">
        <v>2795</v>
      </c>
      <c r="G1242" t="s">
        <v>2796</v>
      </c>
      <c r="J1242">
        <v>4.5363847230000003</v>
      </c>
      <c r="K1242">
        <v>0.245646371</v>
      </c>
      <c r="L1242">
        <v>7.5242279999999995E-2</v>
      </c>
      <c r="M1242" s="21">
        <v>-1.150238052</v>
      </c>
      <c r="N1242">
        <v>0.32994132700000001</v>
      </c>
    </row>
    <row r="1243" spans="1:14" x14ac:dyDescent="0.2">
      <c r="A1243" t="s">
        <v>1144</v>
      </c>
      <c r="B1243">
        <v>394680</v>
      </c>
      <c r="C1243" t="s">
        <v>149</v>
      </c>
      <c r="D1243" t="s">
        <v>1145</v>
      </c>
      <c r="E1243" t="s">
        <v>2797</v>
      </c>
      <c r="G1243" t="s">
        <v>2798</v>
      </c>
      <c r="J1243">
        <v>5.0381074159999999</v>
      </c>
      <c r="K1243">
        <v>0.81312368999999995</v>
      </c>
      <c r="L1243">
        <v>0.16969141800000001</v>
      </c>
      <c r="M1243" s="21">
        <v>-1.1503980469999999</v>
      </c>
      <c r="N1243">
        <v>0.32911936899999999</v>
      </c>
    </row>
    <row r="1244" spans="1:14" x14ac:dyDescent="0.2">
      <c r="A1244" t="s">
        <v>820</v>
      </c>
      <c r="B1244">
        <v>328880</v>
      </c>
      <c r="C1244" t="s">
        <v>84</v>
      </c>
      <c r="D1244" t="s">
        <v>820</v>
      </c>
      <c r="E1244" t="s">
        <v>2799</v>
      </c>
      <c r="J1244">
        <v>3.600219579</v>
      </c>
      <c r="K1244">
        <v>-0.293098474</v>
      </c>
      <c r="L1244">
        <v>-0.153917466</v>
      </c>
      <c r="M1244" s="21">
        <v>-1.1504279989999999</v>
      </c>
      <c r="N1244">
        <v>0.32896549400000002</v>
      </c>
    </row>
    <row r="1245" spans="1:14" x14ac:dyDescent="0.2">
      <c r="A1245" t="s">
        <v>23</v>
      </c>
      <c r="B1245">
        <v>394320</v>
      </c>
      <c r="C1245" t="s">
        <v>149</v>
      </c>
      <c r="D1245" t="s">
        <v>23</v>
      </c>
      <c r="E1245" t="s">
        <v>2800</v>
      </c>
      <c r="G1245" t="s">
        <v>2801</v>
      </c>
      <c r="J1245">
        <v>5.0381074159999999</v>
      </c>
      <c r="K1245">
        <v>0.81312368999999995</v>
      </c>
      <c r="L1245">
        <v>0.16969141800000001</v>
      </c>
      <c r="M1245" s="21">
        <v>-1.150730909</v>
      </c>
      <c r="N1245">
        <v>0.327409334</v>
      </c>
    </row>
    <row r="1246" spans="1:14" x14ac:dyDescent="0.2">
      <c r="A1246" t="s">
        <v>337</v>
      </c>
      <c r="B1246">
        <v>273280</v>
      </c>
      <c r="C1246" t="s">
        <v>68</v>
      </c>
      <c r="D1246" t="s">
        <v>337</v>
      </c>
      <c r="E1246" t="s">
        <v>2802</v>
      </c>
      <c r="G1246" t="s">
        <v>2803</v>
      </c>
      <c r="J1246">
        <v>6.4561903559999996</v>
      </c>
      <c r="K1246">
        <v>0.47291064100000002</v>
      </c>
      <c r="L1246">
        <v>0.34414126499999997</v>
      </c>
      <c r="M1246" s="21">
        <v>-1.1509085459999999</v>
      </c>
      <c r="N1246">
        <v>0.32649674699999998</v>
      </c>
    </row>
    <row r="1247" spans="1:14" x14ac:dyDescent="0.2">
      <c r="A1247" t="s">
        <v>2224</v>
      </c>
      <c r="B1247">
        <v>393920</v>
      </c>
      <c r="C1247" t="s">
        <v>149</v>
      </c>
      <c r="D1247" t="s">
        <v>2224</v>
      </c>
      <c r="E1247" t="s">
        <v>2804</v>
      </c>
      <c r="G1247" t="s">
        <v>2805</v>
      </c>
      <c r="J1247">
        <v>5.0381074159999999</v>
      </c>
      <c r="K1247">
        <v>0.81312368999999995</v>
      </c>
      <c r="L1247">
        <v>0.16969141800000001</v>
      </c>
      <c r="M1247" s="21">
        <v>-1.1511007550000001</v>
      </c>
      <c r="N1247">
        <v>0.325509294</v>
      </c>
    </row>
    <row r="1248" spans="1:14" x14ac:dyDescent="0.2">
      <c r="A1248" t="s">
        <v>756</v>
      </c>
      <c r="B1248">
        <v>396800</v>
      </c>
      <c r="C1248" t="s">
        <v>14</v>
      </c>
      <c r="D1248" t="s">
        <v>756</v>
      </c>
      <c r="E1248" t="s">
        <v>2806</v>
      </c>
      <c r="G1248" t="s">
        <v>2807</v>
      </c>
      <c r="J1248">
        <v>6.7484204910000001</v>
      </c>
      <c r="K1248">
        <v>0.48629166299999999</v>
      </c>
      <c r="L1248">
        <v>0.375053939</v>
      </c>
      <c r="M1248" s="21">
        <v>-1.15119872</v>
      </c>
      <c r="N1248">
        <v>0.32500601200000001</v>
      </c>
    </row>
    <row r="1249" spans="1:14" x14ac:dyDescent="0.2">
      <c r="A1249" t="s">
        <v>243</v>
      </c>
      <c r="B1249">
        <v>372000</v>
      </c>
      <c r="C1249" t="s">
        <v>58</v>
      </c>
      <c r="D1249" t="s">
        <v>243</v>
      </c>
      <c r="E1249" t="s">
        <v>2808</v>
      </c>
      <c r="G1249" t="s">
        <v>2809</v>
      </c>
      <c r="J1249">
        <v>4.5363847230000003</v>
      </c>
      <c r="K1249">
        <v>0.245646371</v>
      </c>
      <c r="L1249">
        <v>7.5242279999999995E-2</v>
      </c>
      <c r="M1249" s="21">
        <v>-1.1513969230000001</v>
      </c>
      <c r="N1249">
        <v>0.32398776899999998</v>
      </c>
    </row>
    <row r="1250" spans="1:14" x14ac:dyDescent="0.2">
      <c r="A1250" t="s">
        <v>1986</v>
      </c>
      <c r="B1250">
        <v>371200</v>
      </c>
      <c r="C1250" t="s">
        <v>58</v>
      </c>
      <c r="D1250" t="s">
        <v>1986</v>
      </c>
      <c r="E1250" t="s">
        <v>2810</v>
      </c>
      <c r="G1250" t="s">
        <v>2811</v>
      </c>
      <c r="J1250">
        <v>4.5363847230000003</v>
      </c>
      <c r="K1250">
        <v>0.245646371</v>
      </c>
      <c r="L1250">
        <v>7.5242279999999995E-2</v>
      </c>
      <c r="M1250" s="21">
        <v>-1.152169504</v>
      </c>
      <c r="N1250">
        <v>0.320018731</v>
      </c>
    </row>
    <row r="1251" spans="1:14" x14ac:dyDescent="0.2">
      <c r="A1251" t="s">
        <v>1058</v>
      </c>
      <c r="B1251">
        <v>368040</v>
      </c>
      <c r="C1251" t="s">
        <v>100</v>
      </c>
      <c r="D1251" t="s">
        <v>1059</v>
      </c>
      <c r="E1251" t="s">
        <v>2812</v>
      </c>
      <c r="G1251" t="s">
        <v>2813</v>
      </c>
      <c r="J1251">
        <v>5.9110743220000002</v>
      </c>
      <c r="K1251">
        <v>0.71598987199999997</v>
      </c>
      <c r="L1251">
        <v>0.29077365599999999</v>
      </c>
      <c r="M1251" s="21">
        <v>-1.15224254</v>
      </c>
      <c r="N1251">
        <v>0.31964352099999999</v>
      </c>
    </row>
    <row r="1252" spans="1:14" x14ac:dyDescent="0.2">
      <c r="A1252" t="s">
        <v>741</v>
      </c>
      <c r="B1252">
        <v>392560</v>
      </c>
      <c r="C1252" t="s">
        <v>149</v>
      </c>
      <c r="D1252" t="s">
        <v>741</v>
      </c>
      <c r="E1252" t="s">
        <v>2814</v>
      </c>
      <c r="G1252" t="s">
        <v>2815</v>
      </c>
      <c r="J1252">
        <v>5.0381074159999999</v>
      </c>
      <c r="K1252">
        <v>0.81312368999999995</v>
      </c>
      <c r="L1252">
        <v>0.16969141800000001</v>
      </c>
      <c r="M1252" s="21">
        <v>-1.152358233</v>
      </c>
      <c r="N1252">
        <v>0.31904916</v>
      </c>
    </row>
    <row r="1253" spans="1:14" x14ac:dyDescent="0.2">
      <c r="A1253" t="s">
        <v>1082</v>
      </c>
      <c r="B1253">
        <v>367920</v>
      </c>
      <c r="C1253" t="s">
        <v>100</v>
      </c>
      <c r="D1253" t="s">
        <v>1082</v>
      </c>
      <c r="E1253" t="s">
        <v>2816</v>
      </c>
      <c r="G1253" t="s">
        <v>2817</v>
      </c>
      <c r="J1253">
        <v>5.9110743220000002</v>
      </c>
      <c r="K1253">
        <v>0.71598987199999997</v>
      </c>
      <c r="L1253">
        <v>0.29077365599999999</v>
      </c>
      <c r="M1253" s="21">
        <v>-1.1523616649999999</v>
      </c>
      <c r="N1253">
        <v>0.31903152800000001</v>
      </c>
    </row>
    <row r="1254" spans="1:14" x14ac:dyDescent="0.2">
      <c r="A1254" t="s">
        <v>355</v>
      </c>
      <c r="B1254">
        <v>392520</v>
      </c>
      <c r="C1254" t="s">
        <v>149</v>
      </c>
      <c r="D1254" t="s">
        <v>356</v>
      </c>
      <c r="E1254" t="s">
        <v>2818</v>
      </c>
      <c r="G1254" t="s">
        <v>2819</v>
      </c>
      <c r="J1254">
        <v>5.0381074159999999</v>
      </c>
      <c r="K1254">
        <v>0.81312368999999995</v>
      </c>
      <c r="L1254">
        <v>0.16969141800000001</v>
      </c>
      <c r="M1254" s="21">
        <v>-1.1523952180000001</v>
      </c>
      <c r="N1254">
        <v>0.31885915599999998</v>
      </c>
    </row>
    <row r="1255" spans="1:14" x14ac:dyDescent="0.2">
      <c r="A1255" t="s">
        <v>889</v>
      </c>
      <c r="B1255">
        <v>271360</v>
      </c>
      <c r="C1255" t="s">
        <v>68</v>
      </c>
      <c r="D1255" t="s">
        <v>889</v>
      </c>
      <c r="E1255" t="s">
        <v>2820</v>
      </c>
      <c r="G1255" t="s">
        <v>2821</v>
      </c>
      <c r="J1255">
        <v>6.4561903559999996</v>
      </c>
      <c r="K1255">
        <v>0.47291064100000002</v>
      </c>
      <c r="L1255">
        <v>0.34414126499999997</v>
      </c>
      <c r="M1255" s="21">
        <v>-1.152765287</v>
      </c>
      <c r="N1255">
        <v>0.31695797399999998</v>
      </c>
    </row>
    <row r="1256" spans="1:14" x14ac:dyDescent="0.2">
      <c r="A1256" t="s">
        <v>1683</v>
      </c>
      <c r="B1256">
        <v>271360</v>
      </c>
      <c r="C1256" t="s">
        <v>68</v>
      </c>
      <c r="D1256" t="s">
        <v>1683</v>
      </c>
      <c r="E1256" t="s">
        <v>2822</v>
      </c>
      <c r="G1256" t="s">
        <v>2823</v>
      </c>
      <c r="J1256">
        <v>6.4561903559999996</v>
      </c>
      <c r="K1256">
        <v>0.47291064100000002</v>
      </c>
      <c r="L1256">
        <v>0.34414126499999997</v>
      </c>
      <c r="M1256" s="21">
        <v>-1.152765287</v>
      </c>
      <c r="N1256">
        <v>0.31695797399999998</v>
      </c>
    </row>
    <row r="1257" spans="1:14" x14ac:dyDescent="0.2">
      <c r="A1257" t="s">
        <v>1231</v>
      </c>
      <c r="B1257">
        <v>392040</v>
      </c>
      <c r="C1257" t="s">
        <v>149</v>
      </c>
      <c r="D1257" t="s">
        <v>1231</v>
      </c>
      <c r="E1257" t="s">
        <v>2824</v>
      </c>
      <c r="G1257" t="s">
        <v>2825</v>
      </c>
      <c r="J1257">
        <v>5.0381074159999999</v>
      </c>
      <c r="K1257">
        <v>0.81312368999999995</v>
      </c>
      <c r="L1257">
        <v>0.16969141800000001</v>
      </c>
      <c r="M1257" s="21">
        <v>-1.1528390340000001</v>
      </c>
      <c r="N1257">
        <v>0.31657910900000003</v>
      </c>
    </row>
    <row r="1258" spans="1:14" x14ac:dyDescent="0.2">
      <c r="A1258" t="s">
        <v>89</v>
      </c>
      <c r="B1258">
        <v>391960</v>
      </c>
      <c r="C1258" t="s">
        <v>149</v>
      </c>
      <c r="D1258" t="s">
        <v>90</v>
      </c>
      <c r="E1258" t="s">
        <v>2826</v>
      </c>
      <c r="G1258" t="s">
        <v>2827</v>
      </c>
      <c r="J1258">
        <v>5.0381074159999999</v>
      </c>
      <c r="K1258">
        <v>0.81312368999999995</v>
      </c>
      <c r="L1258">
        <v>0.16969141800000001</v>
      </c>
      <c r="M1258" s="21">
        <v>-1.1529130030000001</v>
      </c>
      <c r="N1258">
        <v>0.31619910099999998</v>
      </c>
    </row>
    <row r="1259" spans="1:14" x14ac:dyDescent="0.2">
      <c r="A1259" t="s">
        <v>2270</v>
      </c>
      <c r="B1259">
        <v>348040</v>
      </c>
      <c r="C1259" t="s">
        <v>130</v>
      </c>
      <c r="D1259" t="s">
        <v>2271</v>
      </c>
      <c r="E1259" t="s">
        <v>2828</v>
      </c>
      <c r="G1259" t="s">
        <v>2829</v>
      </c>
      <c r="J1259">
        <v>5.1222566499999997</v>
      </c>
      <c r="K1259">
        <v>0.21422175600000001</v>
      </c>
      <c r="L1259">
        <v>0.25354511400000002</v>
      </c>
      <c r="M1259" s="21">
        <v>-1.1538339099999999</v>
      </c>
      <c r="N1259">
        <v>0.31146805399999999</v>
      </c>
    </row>
    <row r="1260" spans="1:14" x14ac:dyDescent="0.2">
      <c r="A1260" t="s">
        <v>2421</v>
      </c>
      <c r="B1260">
        <v>216160</v>
      </c>
      <c r="C1260" t="s">
        <v>28</v>
      </c>
      <c r="D1260" t="s">
        <v>2422</v>
      </c>
      <c r="E1260" t="s">
        <v>2830</v>
      </c>
      <c r="G1260" t="s">
        <v>2831</v>
      </c>
      <c r="J1260">
        <v>5.8462906840000004</v>
      </c>
      <c r="K1260">
        <v>0.60615847</v>
      </c>
      <c r="L1260">
        <v>0.28550877299999999</v>
      </c>
      <c r="M1260" s="21">
        <v>-1.153875322</v>
      </c>
      <c r="N1260">
        <v>0.31125530899999998</v>
      </c>
    </row>
    <row r="1261" spans="1:14" x14ac:dyDescent="0.2">
      <c r="A1261" t="s">
        <v>116</v>
      </c>
      <c r="B1261">
        <v>270160</v>
      </c>
      <c r="C1261" t="s">
        <v>68</v>
      </c>
      <c r="D1261" t="s">
        <v>117</v>
      </c>
      <c r="E1261" t="s">
        <v>2832</v>
      </c>
      <c r="G1261" t="s">
        <v>2833</v>
      </c>
      <c r="J1261">
        <v>6.4561903559999996</v>
      </c>
      <c r="K1261">
        <v>0.47291064100000002</v>
      </c>
      <c r="L1261">
        <v>0.34414126499999997</v>
      </c>
      <c r="M1261" s="21">
        <v>-1.15392575</v>
      </c>
      <c r="N1261">
        <v>0.31099624100000001</v>
      </c>
    </row>
    <row r="1262" spans="1:14" x14ac:dyDescent="0.2">
      <c r="A1262" t="s">
        <v>1330</v>
      </c>
      <c r="B1262">
        <v>168880</v>
      </c>
      <c r="C1262" t="s">
        <v>34</v>
      </c>
      <c r="D1262" t="s">
        <v>1330</v>
      </c>
      <c r="E1262" t="s">
        <v>2834</v>
      </c>
      <c r="G1262" t="s">
        <v>2835</v>
      </c>
      <c r="J1262">
        <v>7.0544859390000001</v>
      </c>
      <c r="K1262">
        <v>0.623000361</v>
      </c>
      <c r="L1262">
        <v>0.42866702800000001</v>
      </c>
      <c r="M1262" s="21">
        <v>-1.1539496119999999</v>
      </c>
      <c r="N1262">
        <v>0.31087365</v>
      </c>
    </row>
    <row r="1263" spans="1:14" x14ac:dyDescent="0.2">
      <c r="A1263" t="s">
        <v>718</v>
      </c>
      <c r="B1263">
        <v>347760</v>
      </c>
      <c r="C1263" t="s">
        <v>130</v>
      </c>
      <c r="D1263" t="s">
        <v>718</v>
      </c>
      <c r="E1263" t="s">
        <v>2836</v>
      </c>
      <c r="G1263" t="s">
        <v>2837</v>
      </c>
      <c r="J1263">
        <v>5.1222566499999997</v>
      </c>
      <c r="K1263">
        <v>0.21422175600000001</v>
      </c>
      <c r="L1263">
        <v>0.25354511400000002</v>
      </c>
      <c r="M1263" s="21">
        <v>-1.1540567429999999</v>
      </c>
      <c r="N1263">
        <v>0.31032328100000001</v>
      </c>
    </row>
    <row r="1264" spans="1:14" x14ac:dyDescent="0.2">
      <c r="A1264" t="s">
        <v>364</v>
      </c>
      <c r="B1264">
        <v>390720</v>
      </c>
      <c r="C1264" t="s">
        <v>149</v>
      </c>
      <c r="D1264" t="s">
        <v>364</v>
      </c>
      <c r="E1264" t="s">
        <v>2838</v>
      </c>
      <c r="G1264" t="s">
        <v>2839</v>
      </c>
      <c r="J1264">
        <v>5.0381074159999999</v>
      </c>
      <c r="K1264">
        <v>0.81312368999999995</v>
      </c>
      <c r="L1264">
        <v>0.16969141800000001</v>
      </c>
      <c r="M1264" s="21">
        <v>-1.154059527</v>
      </c>
      <c r="N1264">
        <v>0.31030897800000001</v>
      </c>
    </row>
    <row r="1265" spans="1:14" x14ac:dyDescent="0.2">
      <c r="A1265" t="s">
        <v>283</v>
      </c>
      <c r="B1265">
        <v>390640</v>
      </c>
      <c r="C1265" t="s">
        <v>149</v>
      </c>
      <c r="D1265" t="s">
        <v>284</v>
      </c>
      <c r="E1265" t="s">
        <v>2840</v>
      </c>
      <c r="G1265" t="s">
        <v>2841</v>
      </c>
      <c r="J1265">
        <v>5.0381074159999999</v>
      </c>
      <c r="K1265">
        <v>0.81312368999999995</v>
      </c>
      <c r="L1265">
        <v>0.16969141800000001</v>
      </c>
      <c r="M1265" s="21">
        <v>-1.154133496</v>
      </c>
      <c r="N1265">
        <v>0.30992897000000003</v>
      </c>
    </row>
    <row r="1266" spans="1:14" x14ac:dyDescent="0.2">
      <c r="A1266" t="s">
        <v>622</v>
      </c>
      <c r="B1266">
        <v>168320</v>
      </c>
      <c r="C1266" t="s">
        <v>34</v>
      </c>
      <c r="D1266" t="s">
        <v>622</v>
      </c>
      <c r="J1266">
        <v>7.0544859390000001</v>
      </c>
      <c r="K1266">
        <v>0.623000361</v>
      </c>
      <c r="L1266">
        <v>0.42866702800000001</v>
      </c>
      <c r="M1266" s="21">
        <v>-1.154441885</v>
      </c>
      <c r="N1266">
        <v>0.30834465900000002</v>
      </c>
    </row>
    <row r="1267" spans="1:14" x14ac:dyDescent="0.2">
      <c r="A1267" t="s">
        <v>1535</v>
      </c>
      <c r="B1267">
        <v>269600</v>
      </c>
      <c r="C1267" t="s">
        <v>68</v>
      </c>
      <c r="D1267" t="s">
        <v>1535</v>
      </c>
      <c r="E1267" t="s">
        <v>2842</v>
      </c>
      <c r="G1267" t="s">
        <v>2843</v>
      </c>
      <c r="J1267">
        <v>6.4561903559999996</v>
      </c>
      <c r="K1267">
        <v>0.47291064100000002</v>
      </c>
      <c r="L1267">
        <v>0.34414126499999997</v>
      </c>
      <c r="M1267" s="21">
        <v>-1.154467299</v>
      </c>
      <c r="N1267">
        <v>0.30821409900000002</v>
      </c>
    </row>
    <row r="1268" spans="1:14" x14ac:dyDescent="0.2">
      <c r="A1268" t="s">
        <v>932</v>
      </c>
      <c r="B1268">
        <v>347240</v>
      </c>
      <c r="C1268" t="s">
        <v>130</v>
      </c>
      <c r="D1268" t="s">
        <v>932</v>
      </c>
      <c r="E1268" t="s">
        <v>2844</v>
      </c>
      <c r="G1268" t="s">
        <v>2845</v>
      </c>
      <c r="J1268">
        <v>5.1222566499999997</v>
      </c>
      <c r="K1268">
        <v>0.21422175600000001</v>
      </c>
      <c r="L1268">
        <v>0.25354511400000002</v>
      </c>
      <c r="M1268" s="21">
        <v>-1.1544705740000001</v>
      </c>
      <c r="N1268">
        <v>0.30819727400000002</v>
      </c>
    </row>
    <row r="1269" spans="1:14" x14ac:dyDescent="0.2">
      <c r="A1269" t="s">
        <v>537</v>
      </c>
      <c r="B1269">
        <v>347240</v>
      </c>
      <c r="C1269" t="s">
        <v>130</v>
      </c>
      <c r="D1269" t="s">
        <v>538</v>
      </c>
      <c r="E1269" t="s">
        <v>2846</v>
      </c>
      <c r="G1269" t="s">
        <v>2847</v>
      </c>
      <c r="J1269">
        <v>5.1222566499999997</v>
      </c>
      <c r="K1269">
        <v>0.21422175600000001</v>
      </c>
      <c r="L1269">
        <v>0.25354511400000002</v>
      </c>
      <c r="M1269" s="21">
        <v>-1.1544705740000001</v>
      </c>
      <c r="N1269">
        <v>0.30819727400000002</v>
      </c>
    </row>
    <row r="1270" spans="1:14" x14ac:dyDescent="0.2">
      <c r="A1270" t="s">
        <v>1729</v>
      </c>
      <c r="B1270">
        <v>365720</v>
      </c>
      <c r="C1270" t="s">
        <v>100</v>
      </c>
      <c r="D1270" t="s">
        <v>1729</v>
      </c>
      <c r="E1270" t="s">
        <v>2848</v>
      </c>
      <c r="G1270" t="s">
        <v>2849</v>
      </c>
      <c r="J1270">
        <v>5.9110743220000002</v>
      </c>
      <c r="K1270">
        <v>0.71598987199999997</v>
      </c>
      <c r="L1270">
        <v>0.29077365599999999</v>
      </c>
      <c r="M1270" s="21">
        <v>-1.1545456350000001</v>
      </c>
      <c r="N1270">
        <v>0.30781165799999999</v>
      </c>
    </row>
    <row r="1271" spans="1:14" x14ac:dyDescent="0.2">
      <c r="A1271" t="s">
        <v>1076</v>
      </c>
      <c r="B1271">
        <v>365600</v>
      </c>
      <c r="C1271" t="s">
        <v>100</v>
      </c>
      <c r="D1271" t="s">
        <v>1077</v>
      </c>
      <c r="E1271" t="s">
        <v>2850</v>
      </c>
      <c r="G1271" t="s">
        <v>2851</v>
      </c>
      <c r="J1271">
        <v>5.9110743220000002</v>
      </c>
      <c r="K1271">
        <v>0.71598987199999997</v>
      </c>
      <c r="L1271">
        <v>0.29077365599999999</v>
      </c>
      <c r="M1271" s="21">
        <v>-1.154664761</v>
      </c>
      <c r="N1271">
        <v>0.30719966500000001</v>
      </c>
    </row>
    <row r="1272" spans="1:14" x14ac:dyDescent="0.2">
      <c r="A1272" t="s">
        <v>380</v>
      </c>
      <c r="B1272">
        <v>346320</v>
      </c>
      <c r="C1272" t="s">
        <v>130</v>
      </c>
      <c r="D1272" t="s">
        <v>380</v>
      </c>
      <c r="E1272" t="s">
        <v>2852</v>
      </c>
      <c r="G1272" t="s">
        <v>2853</v>
      </c>
      <c r="J1272">
        <v>5.1222566499999997</v>
      </c>
      <c r="K1272">
        <v>0.21422175600000001</v>
      </c>
      <c r="L1272">
        <v>0.25354511400000002</v>
      </c>
      <c r="M1272" s="21">
        <v>-1.1552027380000001</v>
      </c>
      <c r="N1272">
        <v>0.30443587599999999</v>
      </c>
    </row>
    <row r="1273" spans="1:14" x14ac:dyDescent="0.2">
      <c r="A1273" t="s">
        <v>1764</v>
      </c>
      <c r="B1273">
        <v>389440</v>
      </c>
      <c r="C1273" t="s">
        <v>149</v>
      </c>
      <c r="D1273" t="s">
        <v>1764</v>
      </c>
      <c r="E1273" t="s">
        <v>2854</v>
      </c>
      <c r="G1273" t="s">
        <v>2855</v>
      </c>
      <c r="J1273">
        <v>5.0381074159999999</v>
      </c>
      <c r="K1273">
        <v>0.81312368999999995</v>
      </c>
      <c r="L1273">
        <v>0.16969141800000001</v>
      </c>
      <c r="M1273" s="21">
        <v>-1.155243035</v>
      </c>
      <c r="N1273">
        <v>0.30422885199999999</v>
      </c>
    </row>
    <row r="1274" spans="1:14" x14ac:dyDescent="0.2">
      <c r="A1274" t="s">
        <v>185</v>
      </c>
      <c r="B1274">
        <v>367800</v>
      </c>
      <c r="C1274" t="s">
        <v>58</v>
      </c>
      <c r="D1274" t="s">
        <v>185</v>
      </c>
      <c r="E1274" t="s">
        <v>2856</v>
      </c>
      <c r="G1274" t="s">
        <v>2857</v>
      </c>
      <c r="J1274">
        <v>4.5363847230000003</v>
      </c>
      <c r="K1274">
        <v>0.245646371</v>
      </c>
      <c r="L1274">
        <v>7.5242279999999995E-2</v>
      </c>
      <c r="M1274" s="21">
        <v>-1.1554529739999999</v>
      </c>
      <c r="N1274">
        <v>0.30315031799999997</v>
      </c>
    </row>
    <row r="1275" spans="1:14" x14ac:dyDescent="0.2">
      <c r="A1275" t="s">
        <v>2118</v>
      </c>
      <c r="B1275">
        <v>166560</v>
      </c>
      <c r="C1275" t="s">
        <v>34</v>
      </c>
      <c r="D1275" t="s">
        <v>2119</v>
      </c>
      <c r="E1275" t="s">
        <v>2858</v>
      </c>
      <c r="G1275" t="s">
        <v>2859</v>
      </c>
      <c r="J1275">
        <v>7.0544859390000001</v>
      </c>
      <c r="K1275">
        <v>0.623000361</v>
      </c>
      <c r="L1275">
        <v>0.42866702800000001</v>
      </c>
      <c r="M1275" s="21">
        <v>-1.1559890289999999</v>
      </c>
      <c r="N1275">
        <v>0.30039640099999998</v>
      </c>
    </row>
    <row r="1276" spans="1:14" x14ac:dyDescent="0.2">
      <c r="A1276" t="s">
        <v>300</v>
      </c>
      <c r="B1276">
        <v>324600</v>
      </c>
      <c r="C1276" t="s">
        <v>84</v>
      </c>
      <c r="D1276" t="s">
        <v>300</v>
      </c>
      <c r="E1276" t="s">
        <v>2860</v>
      </c>
      <c r="J1276">
        <v>3.600219579</v>
      </c>
      <c r="K1276">
        <v>-0.293098474</v>
      </c>
      <c r="L1276">
        <v>-0.153917466</v>
      </c>
      <c r="M1276" s="21">
        <v>-1.1560299469999999</v>
      </c>
      <c r="N1276">
        <v>0.30018619299999999</v>
      </c>
    </row>
    <row r="1277" spans="1:14" x14ac:dyDescent="0.2">
      <c r="A1277" t="s">
        <v>1140</v>
      </c>
      <c r="B1277">
        <v>324600</v>
      </c>
      <c r="C1277" t="s">
        <v>84</v>
      </c>
      <c r="D1277" t="s">
        <v>1141</v>
      </c>
      <c r="E1277" t="s">
        <v>2861</v>
      </c>
      <c r="J1277">
        <v>3.600219579</v>
      </c>
      <c r="K1277">
        <v>-0.293098474</v>
      </c>
      <c r="L1277">
        <v>-0.153917466</v>
      </c>
      <c r="M1277" s="21">
        <v>-1.1560299469999999</v>
      </c>
      <c r="N1277">
        <v>0.30018619299999999</v>
      </c>
    </row>
    <row r="1278" spans="1:14" x14ac:dyDescent="0.2">
      <c r="A1278" t="s">
        <v>944</v>
      </c>
      <c r="B1278">
        <v>324480</v>
      </c>
      <c r="C1278" t="s">
        <v>84</v>
      </c>
      <c r="D1278" t="s">
        <v>944</v>
      </c>
      <c r="E1278" t="s">
        <v>2862</v>
      </c>
      <c r="J1278">
        <v>3.600219579</v>
      </c>
      <c r="K1278">
        <v>-0.293098474</v>
      </c>
      <c r="L1278">
        <v>-0.153917466</v>
      </c>
      <c r="M1278" s="21">
        <v>-1.1561870110000001</v>
      </c>
      <c r="N1278">
        <v>0.29937929600000002</v>
      </c>
    </row>
    <row r="1279" spans="1:14" x14ac:dyDescent="0.2">
      <c r="A1279" t="s">
        <v>504</v>
      </c>
      <c r="B1279">
        <v>364000</v>
      </c>
      <c r="C1279" t="s">
        <v>100</v>
      </c>
      <c r="D1279" t="s">
        <v>504</v>
      </c>
      <c r="E1279" t="s">
        <v>2863</v>
      </c>
      <c r="G1279" t="s">
        <v>2864</v>
      </c>
      <c r="J1279">
        <v>5.9110743220000002</v>
      </c>
      <c r="K1279">
        <v>0.71598987199999997</v>
      </c>
      <c r="L1279">
        <v>0.29077365599999999</v>
      </c>
      <c r="M1279" s="21">
        <v>-1.156253102</v>
      </c>
      <c r="N1279">
        <v>0.29903975999999999</v>
      </c>
    </row>
    <row r="1280" spans="1:14" x14ac:dyDescent="0.2">
      <c r="A1280" t="s">
        <v>337</v>
      </c>
      <c r="B1280">
        <v>344680</v>
      </c>
      <c r="C1280" t="s">
        <v>130</v>
      </c>
      <c r="D1280" t="s">
        <v>337</v>
      </c>
      <c r="E1280" t="s">
        <v>2865</v>
      </c>
      <c r="G1280" t="s">
        <v>2866</v>
      </c>
      <c r="J1280">
        <v>5.1222566499999997</v>
      </c>
      <c r="K1280">
        <v>0.21422175600000001</v>
      </c>
      <c r="L1280">
        <v>0.25354511400000002</v>
      </c>
      <c r="M1280" s="21">
        <v>-1.156507899</v>
      </c>
      <c r="N1280">
        <v>0.29773077599999997</v>
      </c>
    </row>
    <row r="1281" spans="1:14" x14ac:dyDescent="0.2">
      <c r="A1281" t="s">
        <v>741</v>
      </c>
      <c r="B1281">
        <v>344280</v>
      </c>
      <c r="C1281" t="s">
        <v>130</v>
      </c>
      <c r="D1281" t="s">
        <v>741</v>
      </c>
      <c r="E1281" t="s">
        <v>2867</v>
      </c>
      <c r="G1281" t="s">
        <v>2868</v>
      </c>
      <c r="J1281">
        <v>5.1222566499999997</v>
      </c>
      <c r="K1281">
        <v>0.21422175600000001</v>
      </c>
      <c r="L1281">
        <v>0.25354511400000002</v>
      </c>
      <c r="M1281" s="21">
        <v>-1.1568262309999999</v>
      </c>
      <c r="N1281">
        <v>0.29609538499999999</v>
      </c>
    </row>
    <row r="1282" spans="1:14" x14ac:dyDescent="0.2">
      <c r="A1282" t="s">
        <v>397</v>
      </c>
      <c r="B1282">
        <v>391560</v>
      </c>
      <c r="C1282" t="s">
        <v>14</v>
      </c>
      <c r="D1282" t="s">
        <v>397</v>
      </c>
      <c r="E1282" t="s">
        <v>2869</v>
      </c>
      <c r="G1282" t="s">
        <v>2870</v>
      </c>
      <c r="J1282">
        <v>6.7484204910000001</v>
      </c>
      <c r="K1282">
        <v>0.48629166299999999</v>
      </c>
      <c r="L1282">
        <v>0.375053939</v>
      </c>
      <c r="M1282" s="21">
        <v>-1.156940305</v>
      </c>
      <c r="N1282">
        <v>0.29550934200000001</v>
      </c>
    </row>
    <row r="1283" spans="1:14" x14ac:dyDescent="0.2">
      <c r="A1283" t="s">
        <v>2871</v>
      </c>
      <c r="B1283">
        <v>323800</v>
      </c>
      <c r="C1283" t="s">
        <v>84</v>
      </c>
      <c r="D1283" t="s">
        <v>2871</v>
      </c>
      <c r="E1283" t="s">
        <v>2872</v>
      </c>
      <c r="J1283">
        <v>3.600219579</v>
      </c>
      <c r="K1283">
        <v>-0.293098474</v>
      </c>
      <c r="L1283">
        <v>-0.153917466</v>
      </c>
      <c r="M1283" s="21">
        <v>-1.1570770399999999</v>
      </c>
      <c r="N1283">
        <v>0.29480688399999999</v>
      </c>
    </row>
    <row r="1284" spans="1:14" x14ac:dyDescent="0.2">
      <c r="A1284" t="s">
        <v>1336</v>
      </c>
      <c r="B1284">
        <v>391200</v>
      </c>
      <c r="C1284" t="s">
        <v>14</v>
      </c>
      <c r="D1284" t="s">
        <v>1336</v>
      </c>
      <c r="E1284" t="s">
        <v>2873</v>
      </c>
      <c r="G1284" t="s">
        <v>2874</v>
      </c>
      <c r="J1284">
        <v>6.7484204910000001</v>
      </c>
      <c r="K1284">
        <v>0.48629166299999999</v>
      </c>
      <c r="L1284">
        <v>0.375053939</v>
      </c>
      <c r="M1284" s="21">
        <v>-1.1573347650000001</v>
      </c>
      <c r="N1284">
        <v>0.29348285299999999</v>
      </c>
    </row>
    <row r="1285" spans="1:14" x14ac:dyDescent="0.2">
      <c r="A1285" t="s">
        <v>668</v>
      </c>
      <c r="B1285">
        <v>323240</v>
      </c>
      <c r="C1285" t="s">
        <v>84</v>
      </c>
      <c r="D1285" t="s">
        <v>668</v>
      </c>
      <c r="E1285" t="s">
        <v>2875</v>
      </c>
      <c r="J1285">
        <v>3.600219579</v>
      </c>
      <c r="K1285">
        <v>-0.293098474</v>
      </c>
      <c r="L1285">
        <v>-0.153917466</v>
      </c>
      <c r="M1285" s="21">
        <v>-1.157810005</v>
      </c>
      <c r="N1285">
        <v>0.29104136800000002</v>
      </c>
    </row>
    <row r="1286" spans="1:14" x14ac:dyDescent="0.2">
      <c r="A1286" t="s">
        <v>1336</v>
      </c>
      <c r="B1286">
        <v>362400</v>
      </c>
      <c r="C1286" t="s">
        <v>100</v>
      </c>
      <c r="D1286" t="s">
        <v>1336</v>
      </c>
      <c r="E1286" t="s">
        <v>2876</v>
      </c>
      <c r="G1286" t="s">
        <v>2877</v>
      </c>
      <c r="J1286">
        <v>5.9110743220000002</v>
      </c>
      <c r="K1286">
        <v>0.71598987199999997</v>
      </c>
      <c r="L1286">
        <v>0.29077365599999999</v>
      </c>
      <c r="M1286" s="21">
        <v>-1.157841444</v>
      </c>
      <c r="N1286">
        <v>0.29087985500000002</v>
      </c>
    </row>
    <row r="1287" spans="1:14" x14ac:dyDescent="0.2">
      <c r="A1287" t="s">
        <v>1511</v>
      </c>
      <c r="B1287">
        <v>211760</v>
      </c>
      <c r="C1287" t="s">
        <v>28</v>
      </c>
      <c r="D1287" t="s">
        <v>1512</v>
      </c>
      <c r="E1287" t="s">
        <v>2878</v>
      </c>
      <c r="G1287" t="s">
        <v>2879</v>
      </c>
      <c r="J1287">
        <v>5.8462906840000004</v>
      </c>
      <c r="K1287">
        <v>0.60615847</v>
      </c>
      <c r="L1287">
        <v>0.28550877299999999</v>
      </c>
      <c r="M1287" s="21">
        <v>-1.1578476959999999</v>
      </c>
      <c r="N1287">
        <v>0.290847737</v>
      </c>
    </row>
    <row r="1288" spans="1:14" x14ac:dyDescent="0.2">
      <c r="A1288" t="s">
        <v>320</v>
      </c>
      <c r="B1288">
        <v>323200</v>
      </c>
      <c r="C1288" t="s">
        <v>84</v>
      </c>
      <c r="D1288" t="s">
        <v>320</v>
      </c>
      <c r="E1288" t="s">
        <v>2880</v>
      </c>
      <c r="J1288">
        <v>3.600219579</v>
      </c>
      <c r="K1288">
        <v>-0.293098474</v>
      </c>
      <c r="L1288">
        <v>-0.153917466</v>
      </c>
      <c r="M1288" s="21">
        <v>-1.15786236</v>
      </c>
      <c r="N1288">
        <v>0.29077240199999999</v>
      </c>
    </row>
    <row r="1289" spans="1:14" x14ac:dyDescent="0.2">
      <c r="A1289" t="s">
        <v>912</v>
      </c>
      <c r="B1289">
        <v>390680</v>
      </c>
      <c r="C1289" t="s">
        <v>14</v>
      </c>
      <c r="D1289" t="s">
        <v>912</v>
      </c>
      <c r="E1289" t="s">
        <v>2881</v>
      </c>
      <c r="G1289" t="s">
        <v>2882</v>
      </c>
      <c r="J1289">
        <v>6.7484204910000001</v>
      </c>
      <c r="K1289">
        <v>0.48629166299999999</v>
      </c>
      <c r="L1289">
        <v>0.375053939</v>
      </c>
      <c r="M1289" s="21">
        <v>-1.157904541</v>
      </c>
      <c r="N1289">
        <v>0.290555703</v>
      </c>
    </row>
    <row r="1290" spans="1:14" x14ac:dyDescent="0.2">
      <c r="A1290" t="s">
        <v>2028</v>
      </c>
      <c r="B1290">
        <v>342920</v>
      </c>
      <c r="C1290" t="s">
        <v>130</v>
      </c>
      <c r="D1290" t="s">
        <v>2028</v>
      </c>
      <c r="E1290" t="s">
        <v>2883</v>
      </c>
      <c r="G1290" t="s">
        <v>2884</v>
      </c>
      <c r="J1290">
        <v>5.1222566499999997</v>
      </c>
      <c r="K1290">
        <v>0.21422175600000001</v>
      </c>
      <c r="L1290">
        <v>0.25354511400000002</v>
      </c>
      <c r="M1290" s="21">
        <v>-1.157908559</v>
      </c>
      <c r="N1290">
        <v>0.29053505800000001</v>
      </c>
    </row>
    <row r="1291" spans="1:14" x14ac:dyDescent="0.2">
      <c r="A1291" t="s">
        <v>2885</v>
      </c>
      <c r="B1291">
        <v>342720</v>
      </c>
      <c r="C1291" t="s">
        <v>130</v>
      </c>
      <c r="D1291" t="s">
        <v>2885</v>
      </c>
      <c r="E1291" t="s">
        <v>2886</v>
      </c>
      <c r="G1291" t="s">
        <v>2887</v>
      </c>
      <c r="J1291">
        <v>5.1222566499999997</v>
      </c>
      <c r="K1291">
        <v>0.21422175600000001</v>
      </c>
      <c r="L1291">
        <v>0.25354511400000002</v>
      </c>
      <c r="M1291" s="21">
        <v>-1.158067725</v>
      </c>
      <c r="N1291">
        <v>0.28971736300000001</v>
      </c>
    </row>
    <row r="1292" spans="1:14" x14ac:dyDescent="0.2">
      <c r="A1292" t="s">
        <v>1939</v>
      </c>
      <c r="B1292">
        <v>322960</v>
      </c>
      <c r="C1292" t="s">
        <v>84</v>
      </c>
      <c r="D1292" t="s">
        <v>1939</v>
      </c>
      <c r="E1292" t="s">
        <v>2888</v>
      </c>
      <c r="J1292">
        <v>3.600219579</v>
      </c>
      <c r="K1292">
        <v>-0.293098474</v>
      </c>
      <c r="L1292">
        <v>-0.153917466</v>
      </c>
      <c r="M1292" s="21">
        <v>-1.1581764880000001</v>
      </c>
      <c r="N1292">
        <v>0.28915860999999998</v>
      </c>
    </row>
    <row r="1293" spans="1:14" x14ac:dyDescent="0.2">
      <c r="A1293" t="s">
        <v>259</v>
      </c>
      <c r="B1293">
        <v>163320</v>
      </c>
      <c r="C1293" t="s">
        <v>34</v>
      </c>
      <c r="D1293" t="s">
        <v>260</v>
      </c>
      <c r="E1293" t="s">
        <v>2889</v>
      </c>
      <c r="G1293" t="s">
        <v>2890</v>
      </c>
      <c r="J1293">
        <v>7.0544859390000001</v>
      </c>
      <c r="K1293">
        <v>0.623000361</v>
      </c>
      <c r="L1293">
        <v>0.42866702800000001</v>
      </c>
      <c r="M1293" s="21">
        <v>-1.158837181</v>
      </c>
      <c r="N1293">
        <v>0.28576438199999998</v>
      </c>
    </row>
    <row r="1294" spans="1:14" x14ac:dyDescent="0.2">
      <c r="A1294" t="s">
        <v>2206</v>
      </c>
      <c r="B1294">
        <v>210600</v>
      </c>
      <c r="C1294" t="s">
        <v>28</v>
      </c>
      <c r="D1294" t="s">
        <v>2207</v>
      </c>
      <c r="E1294" t="s">
        <v>2891</v>
      </c>
      <c r="G1294" t="s">
        <v>2892</v>
      </c>
      <c r="J1294">
        <v>5.8462906840000004</v>
      </c>
      <c r="K1294">
        <v>0.60615847</v>
      </c>
      <c r="L1294">
        <v>0.28550877299999999</v>
      </c>
      <c r="M1294" s="21">
        <v>-1.1588949580000001</v>
      </c>
      <c r="N1294">
        <v>0.28546755899999998</v>
      </c>
    </row>
    <row r="1295" spans="1:14" x14ac:dyDescent="0.2">
      <c r="A1295" t="s">
        <v>730</v>
      </c>
      <c r="B1295">
        <v>361280</v>
      </c>
      <c r="C1295" t="s">
        <v>100</v>
      </c>
      <c r="D1295" t="s">
        <v>731</v>
      </c>
      <c r="E1295" t="s">
        <v>2893</v>
      </c>
      <c r="G1295" t="s">
        <v>2894</v>
      </c>
      <c r="J1295">
        <v>5.9110743220000002</v>
      </c>
      <c r="K1295">
        <v>0.71598987199999997</v>
      </c>
      <c r="L1295">
        <v>0.29077365599999999</v>
      </c>
      <c r="M1295" s="21">
        <v>-1.158953283</v>
      </c>
      <c r="N1295">
        <v>0.28516792099999999</v>
      </c>
    </row>
    <row r="1296" spans="1:14" x14ac:dyDescent="0.2">
      <c r="A1296" t="s">
        <v>1550</v>
      </c>
      <c r="B1296">
        <v>341560</v>
      </c>
      <c r="C1296" t="s">
        <v>130</v>
      </c>
      <c r="D1296" t="s">
        <v>1550</v>
      </c>
      <c r="E1296" t="s">
        <v>2895</v>
      </c>
      <c r="G1296" t="s">
        <v>2896</v>
      </c>
      <c r="J1296">
        <v>5.1222566499999997</v>
      </c>
      <c r="K1296">
        <v>0.21422175600000001</v>
      </c>
      <c r="L1296">
        <v>0.25354511400000002</v>
      </c>
      <c r="M1296" s="21">
        <v>-1.1589908879999999</v>
      </c>
      <c r="N1296">
        <v>0.28497473099999998</v>
      </c>
    </row>
    <row r="1297" spans="1:14" x14ac:dyDescent="0.2">
      <c r="A1297" t="s">
        <v>355</v>
      </c>
      <c r="B1297">
        <v>162560</v>
      </c>
      <c r="C1297" t="s">
        <v>34</v>
      </c>
      <c r="D1297" t="s">
        <v>356</v>
      </c>
      <c r="E1297" t="s">
        <v>2897</v>
      </c>
      <c r="G1297" t="s">
        <v>2898</v>
      </c>
      <c r="J1297">
        <v>7.0544859390000001</v>
      </c>
      <c r="K1297">
        <v>0.623000361</v>
      </c>
      <c r="L1297">
        <v>0.42866702800000001</v>
      </c>
      <c r="M1297" s="21">
        <v>-1.159505266</v>
      </c>
      <c r="N1297">
        <v>0.28233217999999999</v>
      </c>
    </row>
    <row r="1298" spans="1:14" x14ac:dyDescent="0.2">
      <c r="A1298" t="s">
        <v>1101</v>
      </c>
      <c r="B1298">
        <v>321800</v>
      </c>
      <c r="C1298" t="s">
        <v>84</v>
      </c>
      <c r="D1298" t="s">
        <v>1101</v>
      </c>
      <c r="E1298" t="s">
        <v>2899</v>
      </c>
      <c r="J1298">
        <v>3.600219579</v>
      </c>
      <c r="K1298">
        <v>-0.293098474</v>
      </c>
      <c r="L1298">
        <v>-0.153917466</v>
      </c>
      <c r="M1298" s="21">
        <v>-1.1596947719999999</v>
      </c>
      <c r="N1298">
        <v>0.28135861200000001</v>
      </c>
    </row>
    <row r="1299" spans="1:14" x14ac:dyDescent="0.2">
      <c r="A1299" t="s">
        <v>1336</v>
      </c>
      <c r="B1299">
        <v>209440</v>
      </c>
      <c r="C1299" t="s">
        <v>28</v>
      </c>
      <c r="D1299" t="s">
        <v>1336</v>
      </c>
      <c r="E1299" t="s">
        <v>2900</v>
      </c>
      <c r="G1299" t="s">
        <v>2901</v>
      </c>
      <c r="J1299">
        <v>5.8462906840000004</v>
      </c>
      <c r="K1299">
        <v>0.60615847</v>
      </c>
      <c r="L1299">
        <v>0.28550877299999999</v>
      </c>
      <c r="M1299" s="21">
        <v>-1.15994222</v>
      </c>
      <c r="N1299">
        <v>0.28008738100000002</v>
      </c>
    </row>
    <row r="1300" spans="1:14" x14ac:dyDescent="0.2">
      <c r="A1300" t="s">
        <v>2902</v>
      </c>
      <c r="B1300">
        <v>161920</v>
      </c>
      <c r="C1300" t="s">
        <v>34</v>
      </c>
      <c r="D1300" t="s">
        <v>2903</v>
      </c>
      <c r="E1300" t="s">
        <v>2904</v>
      </c>
      <c r="G1300" t="s">
        <v>2905</v>
      </c>
      <c r="J1300">
        <v>7.0544859390000001</v>
      </c>
      <c r="K1300">
        <v>0.623000361</v>
      </c>
      <c r="L1300">
        <v>0.42866702800000001</v>
      </c>
      <c r="M1300" s="21">
        <v>-1.1600678630000001</v>
      </c>
      <c r="N1300">
        <v>0.27944190400000002</v>
      </c>
    </row>
    <row r="1301" spans="1:14" x14ac:dyDescent="0.2">
      <c r="A1301" t="s">
        <v>932</v>
      </c>
      <c r="B1301">
        <v>321440</v>
      </c>
      <c r="C1301" t="s">
        <v>84</v>
      </c>
      <c r="D1301" t="s">
        <v>932</v>
      </c>
      <c r="E1301" t="s">
        <v>2906</v>
      </c>
      <c r="J1301">
        <v>3.600219579</v>
      </c>
      <c r="K1301">
        <v>-0.293098474</v>
      </c>
      <c r="L1301">
        <v>-0.153917466</v>
      </c>
      <c r="M1301" s="21">
        <v>-1.1601659639999999</v>
      </c>
      <c r="N1301">
        <v>0.27893792299999998</v>
      </c>
    </row>
    <row r="1302" spans="1:14" x14ac:dyDescent="0.2">
      <c r="A1302" t="s">
        <v>494</v>
      </c>
      <c r="B1302">
        <v>362000</v>
      </c>
      <c r="C1302" t="s">
        <v>58</v>
      </c>
      <c r="D1302" t="s">
        <v>495</v>
      </c>
      <c r="E1302" t="s">
        <v>2907</v>
      </c>
      <c r="G1302" t="s">
        <v>2908</v>
      </c>
      <c r="J1302">
        <v>4.5363847230000003</v>
      </c>
      <c r="K1302">
        <v>0.245646371</v>
      </c>
      <c r="L1302">
        <v>7.5242279999999995E-2</v>
      </c>
      <c r="M1302" s="21">
        <v>-1.161054187</v>
      </c>
      <c r="N1302">
        <v>0.27437479100000001</v>
      </c>
    </row>
    <row r="1303" spans="1:14" x14ac:dyDescent="0.2">
      <c r="A1303" t="s">
        <v>172</v>
      </c>
      <c r="B1303">
        <v>361720</v>
      </c>
      <c r="C1303" t="s">
        <v>58</v>
      </c>
      <c r="D1303" t="s">
        <v>172</v>
      </c>
      <c r="E1303" t="s">
        <v>2909</v>
      </c>
      <c r="G1303" t="s">
        <v>2910</v>
      </c>
      <c r="J1303">
        <v>4.5363847230000003</v>
      </c>
      <c r="K1303">
        <v>0.245646371</v>
      </c>
      <c r="L1303">
        <v>7.5242279999999995E-2</v>
      </c>
      <c r="M1303" s="21">
        <v>-1.16132459</v>
      </c>
      <c r="N1303">
        <v>0.27298562700000001</v>
      </c>
    </row>
    <row r="1304" spans="1:14" x14ac:dyDescent="0.2">
      <c r="A1304" t="s">
        <v>2911</v>
      </c>
      <c r="B1304">
        <v>358880</v>
      </c>
      <c r="C1304" t="s">
        <v>100</v>
      </c>
      <c r="D1304" t="s">
        <v>2912</v>
      </c>
      <c r="E1304" t="s">
        <v>2913</v>
      </c>
      <c r="G1304" t="s">
        <v>2914</v>
      </c>
      <c r="J1304">
        <v>5.9110743220000002</v>
      </c>
      <c r="K1304">
        <v>0.71598987199999997</v>
      </c>
      <c r="L1304">
        <v>0.29077365599999999</v>
      </c>
      <c r="M1304" s="21">
        <v>-1.1613357950000001</v>
      </c>
      <c r="N1304">
        <v>0.272928063</v>
      </c>
    </row>
    <row r="1305" spans="1:14" x14ac:dyDescent="0.2">
      <c r="A1305" t="s">
        <v>175</v>
      </c>
      <c r="B1305">
        <v>338400</v>
      </c>
      <c r="C1305" t="s">
        <v>130</v>
      </c>
      <c r="D1305" t="s">
        <v>175</v>
      </c>
      <c r="E1305" t="s">
        <v>2915</v>
      </c>
      <c r="G1305" t="s">
        <v>2916</v>
      </c>
      <c r="J1305">
        <v>5.1222566499999997</v>
      </c>
      <c r="K1305">
        <v>0.21422175600000001</v>
      </c>
      <c r="L1305">
        <v>0.25354511400000002</v>
      </c>
      <c r="M1305" s="21">
        <v>-1.1615057099999999</v>
      </c>
      <c r="N1305">
        <v>0.272055147</v>
      </c>
    </row>
    <row r="1306" spans="1:14" x14ac:dyDescent="0.2">
      <c r="A1306" t="s">
        <v>1788</v>
      </c>
      <c r="B1306">
        <v>262320</v>
      </c>
      <c r="C1306" t="s">
        <v>68</v>
      </c>
      <c r="D1306" t="s">
        <v>1788</v>
      </c>
      <c r="E1306" t="s">
        <v>2917</v>
      </c>
      <c r="G1306" t="s">
        <v>2918</v>
      </c>
      <c r="J1306">
        <v>6.4561903559999996</v>
      </c>
      <c r="K1306">
        <v>0.47291064100000002</v>
      </c>
      <c r="L1306">
        <v>0.34414126499999997</v>
      </c>
      <c r="M1306" s="21">
        <v>-1.1615074409999999</v>
      </c>
      <c r="N1306">
        <v>0.27204625300000002</v>
      </c>
    </row>
    <row r="1307" spans="1:14" x14ac:dyDescent="0.2">
      <c r="A1307" t="s">
        <v>1598</v>
      </c>
      <c r="B1307">
        <v>160160</v>
      </c>
      <c r="C1307" t="s">
        <v>34</v>
      </c>
      <c r="D1307" t="s">
        <v>1598</v>
      </c>
      <c r="E1307" t="s">
        <v>2919</v>
      </c>
      <c r="G1307" t="s">
        <v>2920</v>
      </c>
      <c r="J1307">
        <v>7.0544859390000001</v>
      </c>
      <c r="K1307">
        <v>0.623000361</v>
      </c>
      <c r="L1307">
        <v>0.42866702800000001</v>
      </c>
      <c r="M1307" s="21">
        <v>-1.161615007</v>
      </c>
      <c r="N1307">
        <v>0.271493647</v>
      </c>
    </row>
    <row r="1308" spans="1:14" x14ac:dyDescent="0.2">
      <c r="A1308" t="s">
        <v>337</v>
      </c>
      <c r="B1308">
        <v>320240</v>
      </c>
      <c r="C1308" t="s">
        <v>84</v>
      </c>
      <c r="D1308" t="s">
        <v>337</v>
      </c>
      <c r="E1308" t="s">
        <v>2921</v>
      </c>
      <c r="J1308">
        <v>3.600219579</v>
      </c>
      <c r="K1308">
        <v>-0.293098474</v>
      </c>
      <c r="L1308">
        <v>-0.153917466</v>
      </c>
      <c r="M1308" s="21">
        <v>-1.1617366039999999</v>
      </c>
      <c r="N1308">
        <v>0.27086895999999999</v>
      </c>
    </row>
    <row r="1309" spans="1:14" x14ac:dyDescent="0.2">
      <c r="A1309" t="s">
        <v>1394</v>
      </c>
      <c r="B1309">
        <v>361280</v>
      </c>
      <c r="C1309" t="s">
        <v>58</v>
      </c>
      <c r="D1309" t="s">
        <v>1394</v>
      </c>
      <c r="E1309" t="s">
        <v>2922</v>
      </c>
      <c r="G1309" t="s">
        <v>2923</v>
      </c>
      <c r="J1309">
        <v>4.5363847230000003</v>
      </c>
      <c r="K1309">
        <v>0.245646371</v>
      </c>
      <c r="L1309">
        <v>7.5242279999999995E-2</v>
      </c>
      <c r="M1309" s="21">
        <v>-1.1617495099999999</v>
      </c>
      <c r="N1309">
        <v>0.27080265599999997</v>
      </c>
    </row>
    <row r="1310" spans="1:14" x14ac:dyDescent="0.2">
      <c r="A1310" t="s">
        <v>1431</v>
      </c>
      <c r="B1310">
        <v>261680</v>
      </c>
      <c r="C1310" t="s">
        <v>68</v>
      </c>
      <c r="D1310" t="s">
        <v>1431</v>
      </c>
      <c r="E1310" t="s">
        <v>2924</v>
      </c>
      <c r="G1310" t="s">
        <v>2925</v>
      </c>
      <c r="J1310">
        <v>6.4561903559999996</v>
      </c>
      <c r="K1310">
        <v>0.47291064100000002</v>
      </c>
      <c r="L1310">
        <v>0.34414126499999997</v>
      </c>
      <c r="M1310" s="21">
        <v>-1.1621263550000001</v>
      </c>
      <c r="N1310">
        <v>0.26886666199999998</v>
      </c>
    </row>
    <row r="1311" spans="1:14" x14ac:dyDescent="0.2">
      <c r="A1311" t="s">
        <v>1119</v>
      </c>
      <c r="B1311">
        <v>319880</v>
      </c>
      <c r="C1311" t="s">
        <v>84</v>
      </c>
      <c r="D1311" t="s">
        <v>1120</v>
      </c>
      <c r="E1311" t="s">
        <v>2926</v>
      </c>
      <c r="J1311">
        <v>3.600219579</v>
      </c>
      <c r="K1311">
        <v>-0.293098474</v>
      </c>
      <c r="L1311">
        <v>-0.153917466</v>
      </c>
      <c r="M1311" s="21">
        <v>-1.1622077959999999</v>
      </c>
      <c r="N1311">
        <v>0.26844827100000002</v>
      </c>
    </row>
    <row r="1312" spans="1:14" x14ac:dyDescent="0.2">
      <c r="A1312" t="s">
        <v>577</v>
      </c>
      <c r="B1312">
        <v>337400</v>
      </c>
      <c r="C1312" t="s">
        <v>130</v>
      </c>
      <c r="D1312" t="s">
        <v>578</v>
      </c>
      <c r="E1312" t="s">
        <v>2927</v>
      </c>
      <c r="G1312" t="s">
        <v>2928</v>
      </c>
      <c r="J1312">
        <v>5.1222566499999997</v>
      </c>
      <c r="K1312">
        <v>0.21422175600000001</v>
      </c>
      <c r="L1312">
        <v>0.25354511400000002</v>
      </c>
      <c r="M1312" s="21">
        <v>-1.1623015400000001</v>
      </c>
      <c r="N1312">
        <v>0.26796667099999999</v>
      </c>
    </row>
    <row r="1313" spans="1:14" x14ac:dyDescent="0.2">
      <c r="A1313" t="s">
        <v>1215</v>
      </c>
      <c r="B1313">
        <v>261480</v>
      </c>
      <c r="C1313" t="s">
        <v>68</v>
      </c>
      <c r="D1313" t="s">
        <v>1215</v>
      </c>
      <c r="E1313" t="s">
        <v>2929</v>
      </c>
      <c r="G1313" t="s">
        <v>2930</v>
      </c>
      <c r="J1313">
        <v>6.4561903559999996</v>
      </c>
      <c r="K1313">
        <v>0.47291064100000002</v>
      </c>
      <c r="L1313">
        <v>0.34414126499999997</v>
      </c>
      <c r="M1313" s="21">
        <v>-1.162319766</v>
      </c>
      <c r="N1313">
        <v>0.26787303899999998</v>
      </c>
    </row>
    <row r="1314" spans="1:14" x14ac:dyDescent="0.2">
      <c r="A1314" t="s">
        <v>2871</v>
      </c>
      <c r="B1314">
        <v>360560</v>
      </c>
      <c r="C1314" t="s">
        <v>58</v>
      </c>
      <c r="D1314" t="s">
        <v>2871</v>
      </c>
      <c r="E1314" t="s">
        <v>2931</v>
      </c>
      <c r="G1314" t="s">
        <v>2932</v>
      </c>
      <c r="J1314">
        <v>4.5363847230000003</v>
      </c>
      <c r="K1314">
        <v>0.245646371</v>
      </c>
      <c r="L1314">
        <v>7.5242279999999995E-2</v>
      </c>
      <c r="M1314" s="21">
        <v>-1.1624448329999999</v>
      </c>
      <c r="N1314">
        <v>0.26723052200000003</v>
      </c>
    </row>
    <row r="1315" spans="1:14" x14ac:dyDescent="0.2">
      <c r="A1315" t="s">
        <v>859</v>
      </c>
      <c r="B1315">
        <v>319680</v>
      </c>
      <c r="C1315" t="s">
        <v>84</v>
      </c>
      <c r="D1315" t="s">
        <v>859</v>
      </c>
      <c r="E1315" t="s">
        <v>2933</v>
      </c>
      <c r="J1315">
        <v>3.600219579</v>
      </c>
      <c r="K1315">
        <v>-0.293098474</v>
      </c>
      <c r="L1315">
        <v>-0.153917466</v>
      </c>
      <c r="M1315" s="21">
        <v>-1.162469569</v>
      </c>
      <c r="N1315">
        <v>0.26710344400000002</v>
      </c>
    </row>
    <row r="1316" spans="1:14" x14ac:dyDescent="0.2">
      <c r="A1316" t="s">
        <v>516</v>
      </c>
      <c r="B1316">
        <v>386440</v>
      </c>
      <c r="C1316" t="s">
        <v>14</v>
      </c>
      <c r="D1316" t="s">
        <v>516</v>
      </c>
      <c r="E1316" t="s">
        <v>2934</v>
      </c>
      <c r="G1316" t="s">
        <v>2935</v>
      </c>
      <c r="J1316">
        <v>6.7484204910000001</v>
      </c>
      <c r="K1316">
        <v>0.48629166299999999</v>
      </c>
      <c r="L1316">
        <v>0.375053939</v>
      </c>
      <c r="M1316" s="21">
        <v>-1.162550403</v>
      </c>
      <c r="N1316">
        <v>0.266688168</v>
      </c>
    </row>
    <row r="1317" spans="1:14" x14ac:dyDescent="0.2">
      <c r="A1317" t="s">
        <v>1683</v>
      </c>
      <c r="B1317">
        <v>206440</v>
      </c>
      <c r="C1317" t="s">
        <v>28</v>
      </c>
      <c r="D1317" t="s">
        <v>1683</v>
      </c>
      <c r="E1317" t="s">
        <v>2936</v>
      </c>
      <c r="G1317" t="s">
        <v>2937</v>
      </c>
      <c r="J1317">
        <v>5.8462906840000004</v>
      </c>
      <c r="K1317">
        <v>0.60615847</v>
      </c>
      <c r="L1317">
        <v>0.28550877299999999</v>
      </c>
      <c r="M1317" s="21">
        <v>-1.1626506569999999</v>
      </c>
      <c r="N1317">
        <v>0.26617312700000001</v>
      </c>
    </row>
    <row r="1318" spans="1:14" x14ac:dyDescent="0.2">
      <c r="A1318" t="s">
        <v>1321</v>
      </c>
      <c r="B1318">
        <v>357520</v>
      </c>
      <c r="C1318" t="s">
        <v>100</v>
      </c>
      <c r="D1318" t="s">
        <v>1321</v>
      </c>
      <c r="E1318" t="s">
        <v>2938</v>
      </c>
      <c r="G1318" t="s">
        <v>2939</v>
      </c>
      <c r="J1318">
        <v>5.9110743220000002</v>
      </c>
      <c r="K1318">
        <v>0.71598987199999997</v>
      </c>
      <c r="L1318">
        <v>0.29077365599999999</v>
      </c>
      <c r="M1318" s="21">
        <v>-1.162685886</v>
      </c>
      <c r="N1318">
        <v>0.26599214399999999</v>
      </c>
    </row>
    <row r="1319" spans="1:14" x14ac:dyDescent="0.2">
      <c r="A1319" t="s">
        <v>1031</v>
      </c>
      <c r="B1319">
        <v>319480</v>
      </c>
      <c r="C1319" t="s">
        <v>84</v>
      </c>
      <c r="D1319" t="s">
        <v>1031</v>
      </c>
      <c r="E1319" t="s">
        <v>2940</v>
      </c>
      <c r="J1319">
        <v>3.600219579</v>
      </c>
      <c r="K1319">
        <v>-0.293098474</v>
      </c>
      <c r="L1319">
        <v>-0.153917466</v>
      </c>
      <c r="M1319" s="21">
        <v>-1.1627313420000001</v>
      </c>
      <c r="N1319">
        <v>0.26575861699999997</v>
      </c>
    </row>
    <row r="1320" spans="1:14" x14ac:dyDescent="0.2">
      <c r="A1320" t="s">
        <v>2139</v>
      </c>
      <c r="B1320">
        <v>261040</v>
      </c>
      <c r="C1320" t="s">
        <v>68</v>
      </c>
      <c r="D1320" t="s">
        <v>2140</v>
      </c>
      <c r="E1320" t="s">
        <v>2941</v>
      </c>
      <c r="G1320" t="s">
        <v>2942</v>
      </c>
      <c r="J1320">
        <v>6.4561903559999996</v>
      </c>
      <c r="K1320">
        <v>0.47291064100000002</v>
      </c>
      <c r="L1320">
        <v>0.34414126499999997</v>
      </c>
      <c r="M1320" s="21">
        <v>-1.162745269</v>
      </c>
      <c r="N1320">
        <v>0.265687071</v>
      </c>
    </row>
    <row r="1321" spans="1:14" x14ac:dyDescent="0.2">
      <c r="A1321" t="s">
        <v>2270</v>
      </c>
      <c r="B1321">
        <v>260960</v>
      </c>
      <c r="C1321" t="s">
        <v>68</v>
      </c>
      <c r="D1321" t="s">
        <v>2271</v>
      </c>
      <c r="E1321" t="s">
        <v>2943</v>
      </c>
      <c r="G1321" t="s">
        <v>2944</v>
      </c>
      <c r="J1321">
        <v>6.4561903559999996</v>
      </c>
      <c r="K1321">
        <v>0.47291064100000002</v>
      </c>
      <c r="L1321">
        <v>0.34414126499999997</v>
      </c>
      <c r="M1321" s="21">
        <v>-1.162822633</v>
      </c>
      <c r="N1321">
        <v>0.265289622</v>
      </c>
    </row>
    <row r="1322" spans="1:14" x14ac:dyDescent="0.2">
      <c r="A1322" t="s">
        <v>1675</v>
      </c>
      <c r="B1322">
        <v>158600</v>
      </c>
      <c r="C1322" t="s">
        <v>34</v>
      </c>
      <c r="D1322" t="s">
        <v>1675</v>
      </c>
      <c r="E1322" t="s">
        <v>2945</v>
      </c>
      <c r="G1322" t="s">
        <v>2946</v>
      </c>
      <c r="J1322">
        <v>7.0544859390000001</v>
      </c>
      <c r="K1322">
        <v>0.623000361</v>
      </c>
      <c r="L1322">
        <v>0.42866702800000001</v>
      </c>
      <c r="M1322" s="21">
        <v>-1.1629863389999999</v>
      </c>
      <c r="N1322">
        <v>0.26444859999999998</v>
      </c>
    </row>
    <row r="1323" spans="1:14" x14ac:dyDescent="0.2">
      <c r="A1323" t="s">
        <v>42</v>
      </c>
      <c r="B1323">
        <v>381040</v>
      </c>
      <c r="C1323" t="s">
        <v>149</v>
      </c>
      <c r="D1323" t="s">
        <v>42</v>
      </c>
      <c r="E1323" t="s">
        <v>2947</v>
      </c>
      <c r="G1323" t="s">
        <v>2948</v>
      </c>
      <c r="J1323">
        <v>5.0381074159999999</v>
      </c>
      <c r="K1323">
        <v>0.81312368999999995</v>
      </c>
      <c r="L1323">
        <v>0.16969141800000001</v>
      </c>
      <c r="M1323" s="21">
        <v>-1.1630098099999999</v>
      </c>
      <c r="N1323">
        <v>0.264328022</v>
      </c>
    </row>
    <row r="1324" spans="1:14" x14ac:dyDescent="0.2">
      <c r="A1324" t="s">
        <v>1422</v>
      </c>
      <c r="B1324">
        <v>318920</v>
      </c>
      <c r="C1324" t="s">
        <v>84</v>
      </c>
      <c r="D1324" t="s">
        <v>1423</v>
      </c>
      <c r="E1324" t="s">
        <v>2949</v>
      </c>
      <c r="J1324">
        <v>3.600219579</v>
      </c>
      <c r="K1324">
        <v>-0.293098474</v>
      </c>
      <c r="L1324">
        <v>-0.153917466</v>
      </c>
      <c r="M1324" s="21">
        <v>-1.1634643069999999</v>
      </c>
      <c r="N1324">
        <v>0.26199310100000001</v>
      </c>
    </row>
    <row r="1325" spans="1:14" x14ac:dyDescent="0.2">
      <c r="A1325" t="s">
        <v>1598</v>
      </c>
      <c r="B1325">
        <v>356640</v>
      </c>
      <c r="C1325" t="s">
        <v>100</v>
      </c>
      <c r="D1325" t="s">
        <v>1598</v>
      </c>
      <c r="E1325" t="s">
        <v>2950</v>
      </c>
      <c r="G1325" t="s">
        <v>2951</v>
      </c>
      <c r="J1325">
        <v>5.9110743220000002</v>
      </c>
      <c r="K1325">
        <v>0.71598987199999997</v>
      </c>
      <c r="L1325">
        <v>0.29077365599999999</v>
      </c>
      <c r="M1325" s="21">
        <v>-1.1635594730000001</v>
      </c>
      <c r="N1325">
        <v>0.26150419600000002</v>
      </c>
    </row>
    <row r="1326" spans="1:14" x14ac:dyDescent="0.2">
      <c r="A1326" t="s">
        <v>293</v>
      </c>
      <c r="B1326">
        <v>359320</v>
      </c>
      <c r="C1326" t="s">
        <v>58</v>
      </c>
      <c r="D1326" t="s">
        <v>293</v>
      </c>
      <c r="E1326" t="s">
        <v>2952</v>
      </c>
      <c r="G1326" t="s">
        <v>2953</v>
      </c>
      <c r="J1326">
        <v>4.5363847230000003</v>
      </c>
      <c r="K1326">
        <v>0.245646371</v>
      </c>
      <c r="L1326">
        <v>7.5242279999999995E-2</v>
      </c>
      <c r="M1326" s="21">
        <v>-1.1636423339999999</v>
      </c>
      <c r="N1326">
        <v>0.26107851300000001</v>
      </c>
    </row>
    <row r="1327" spans="1:14" x14ac:dyDescent="0.2">
      <c r="A1327" t="s">
        <v>1133</v>
      </c>
      <c r="B1327">
        <v>318600</v>
      </c>
      <c r="C1327" t="s">
        <v>84</v>
      </c>
      <c r="D1327" t="s">
        <v>1134</v>
      </c>
      <c r="E1327" t="s">
        <v>2954</v>
      </c>
      <c r="J1327">
        <v>3.600219579</v>
      </c>
      <c r="K1327">
        <v>-0.293098474</v>
      </c>
      <c r="L1327">
        <v>-0.153917466</v>
      </c>
      <c r="M1327" s="21">
        <v>-1.1638831439999999</v>
      </c>
      <c r="N1327">
        <v>0.25984137699999998</v>
      </c>
    </row>
    <row r="1328" spans="1:14" x14ac:dyDescent="0.2">
      <c r="A1328" t="s">
        <v>1783</v>
      </c>
      <c r="B1328">
        <v>359000</v>
      </c>
      <c r="C1328" t="s">
        <v>58</v>
      </c>
      <c r="D1328" t="s">
        <v>1783</v>
      </c>
      <c r="E1328" t="s">
        <v>2955</v>
      </c>
      <c r="G1328" t="s">
        <v>2956</v>
      </c>
      <c r="J1328">
        <v>4.5363847230000003</v>
      </c>
      <c r="K1328">
        <v>0.245646371</v>
      </c>
      <c r="L1328">
        <v>7.5242279999999995E-2</v>
      </c>
      <c r="M1328" s="21">
        <v>-1.163951366</v>
      </c>
      <c r="N1328">
        <v>0.259490897</v>
      </c>
    </row>
    <row r="1329" spans="1:14" x14ac:dyDescent="0.2">
      <c r="A1329" t="s">
        <v>1343</v>
      </c>
      <c r="B1329">
        <v>318480</v>
      </c>
      <c r="C1329" t="s">
        <v>84</v>
      </c>
      <c r="D1329" t="s">
        <v>1344</v>
      </c>
      <c r="E1329" t="s">
        <v>2957</v>
      </c>
      <c r="J1329">
        <v>3.600219579</v>
      </c>
      <c r="K1329">
        <v>-0.293098474</v>
      </c>
      <c r="L1329">
        <v>-0.153917466</v>
      </c>
      <c r="M1329" s="21">
        <v>-1.1640402080000001</v>
      </c>
      <c r="N1329">
        <v>0.25903448099999998</v>
      </c>
    </row>
    <row r="1330" spans="1:14" x14ac:dyDescent="0.2">
      <c r="A1330" t="s">
        <v>529</v>
      </c>
      <c r="B1330">
        <v>259640</v>
      </c>
      <c r="C1330" t="s">
        <v>68</v>
      </c>
      <c r="D1330" t="s">
        <v>529</v>
      </c>
      <c r="E1330" t="s">
        <v>2958</v>
      </c>
      <c r="G1330" t="s">
        <v>2959</v>
      </c>
      <c r="J1330">
        <v>6.4561903559999996</v>
      </c>
      <c r="K1330">
        <v>0.47291064100000002</v>
      </c>
      <c r="L1330">
        <v>0.34414126499999997</v>
      </c>
      <c r="M1330" s="21">
        <v>-1.164099142</v>
      </c>
      <c r="N1330">
        <v>0.258731716</v>
      </c>
    </row>
    <row r="1331" spans="1:14" x14ac:dyDescent="0.2">
      <c r="A1331" t="s">
        <v>2960</v>
      </c>
      <c r="B1331">
        <v>334800</v>
      </c>
      <c r="C1331" t="s">
        <v>130</v>
      </c>
      <c r="D1331" t="s">
        <v>2961</v>
      </c>
      <c r="E1331" t="s">
        <v>2962</v>
      </c>
      <c r="G1331" t="s">
        <v>2963</v>
      </c>
      <c r="J1331">
        <v>5.1222566499999997</v>
      </c>
      <c r="K1331">
        <v>0.21422175600000001</v>
      </c>
      <c r="L1331">
        <v>0.25354511400000002</v>
      </c>
      <c r="M1331" s="21">
        <v>-1.1643706979999999</v>
      </c>
      <c r="N1331">
        <v>0.25733663400000001</v>
      </c>
    </row>
    <row r="1332" spans="1:14" x14ac:dyDescent="0.2">
      <c r="A1332" t="s">
        <v>2657</v>
      </c>
      <c r="B1332">
        <v>156960</v>
      </c>
      <c r="C1332" t="s">
        <v>34</v>
      </c>
      <c r="D1332" t="s">
        <v>2658</v>
      </c>
      <c r="E1332" t="s">
        <v>2964</v>
      </c>
      <c r="G1332" t="s">
        <v>2965</v>
      </c>
      <c r="J1332">
        <v>7.0544859390000001</v>
      </c>
      <c r="K1332">
        <v>0.623000361</v>
      </c>
      <c r="L1332">
        <v>0.42866702800000001</v>
      </c>
      <c r="M1332" s="21">
        <v>-1.1644279959999999</v>
      </c>
      <c r="N1332">
        <v>0.25704226899999999</v>
      </c>
    </row>
    <row r="1333" spans="1:14" x14ac:dyDescent="0.2">
      <c r="A1333" t="s">
        <v>598</v>
      </c>
      <c r="B1333">
        <v>384720</v>
      </c>
      <c r="C1333" t="s">
        <v>14</v>
      </c>
      <c r="D1333" t="s">
        <v>598</v>
      </c>
      <c r="E1333" t="s">
        <v>2966</v>
      </c>
      <c r="G1333" t="s">
        <v>2967</v>
      </c>
      <c r="J1333">
        <v>6.7484204910000001</v>
      </c>
      <c r="K1333">
        <v>0.48629166299999999</v>
      </c>
      <c r="L1333">
        <v>0.375053939</v>
      </c>
      <c r="M1333" s="21">
        <v>-1.1644350459999999</v>
      </c>
      <c r="N1333">
        <v>0.25700605399999998</v>
      </c>
    </row>
    <row r="1334" spans="1:14" x14ac:dyDescent="0.2">
      <c r="A1334" t="s">
        <v>2040</v>
      </c>
      <c r="B1334">
        <v>355720</v>
      </c>
      <c r="C1334" t="s">
        <v>100</v>
      </c>
      <c r="D1334" t="s">
        <v>2040</v>
      </c>
      <c r="E1334" t="s">
        <v>2968</v>
      </c>
      <c r="G1334" t="s">
        <v>2969</v>
      </c>
      <c r="J1334">
        <v>5.9110743220000002</v>
      </c>
      <c r="K1334">
        <v>0.71598987199999997</v>
      </c>
      <c r="L1334">
        <v>0.29077365599999999</v>
      </c>
      <c r="M1334" s="21">
        <v>-1.1644727699999999</v>
      </c>
      <c r="N1334">
        <v>0.25681225099999999</v>
      </c>
    </row>
    <row r="1335" spans="1:14" x14ac:dyDescent="0.2">
      <c r="A1335" t="s">
        <v>907</v>
      </c>
      <c r="B1335">
        <v>355640</v>
      </c>
      <c r="C1335" t="s">
        <v>100</v>
      </c>
      <c r="D1335" t="s">
        <v>907</v>
      </c>
      <c r="E1335" t="s">
        <v>2970</v>
      </c>
      <c r="G1335" t="s">
        <v>2971</v>
      </c>
      <c r="J1335">
        <v>5.9110743220000002</v>
      </c>
      <c r="K1335">
        <v>0.71598987199999997</v>
      </c>
      <c r="L1335">
        <v>0.29077365599999999</v>
      </c>
      <c r="M1335" s="21">
        <v>-1.164552187</v>
      </c>
      <c r="N1335">
        <v>0.25640425500000003</v>
      </c>
    </row>
    <row r="1336" spans="1:14" x14ac:dyDescent="0.2">
      <c r="A1336" t="s">
        <v>57</v>
      </c>
      <c r="B1336">
        <v>259160</v>
      </c>
      <c r="C1336" t="s">
        <v>68</v>
      </c>
      <c r="D1336" t="s">
        <v>59</v>
      </c>
      <c r="E1336" t="s">
        <v>2972</v>
      </c>
      <c r="G1336" t="s">
        <v>2973</v>
      </c>
      <c r="J1336">
        <v>6.4561903559999996</v>
      </c>
      <c r="K1336">
        <v>0.47291064100000002</v>
      </c>
      <c r="L1336">
        <v>0.34414126499999997</v>
      </c>
      <c r="M1336" s="21">
        <v>-1.164563327</v>
      </c>
      <c r="N1336">
        <v>0.25634702199999998</v>
      </c>
    </row>
    <row r="1337" spans="1:14" x14ac:dyDescent="0.2">
      <c r="A1337" t="s">
        <v>369</v>
      </c>
      <c r="B1337">
        <v>317960</v>
      </c>
      <c r="C1337" t="s">
        <v>84</v>
      </c>
      <c r="D1337" t="s">
        <v>369</v>
      </c>
      <c r="E1337" t="s">
        <v>2974</v>
      </c>
      <c r="J1337">
        <v>3.600219579</v>
      </c>
      <c r="K1337">
        <v>-0.293098474</v>
      </c>
      <c r="L1337">
        <v>-0.153917466</v>
      </c>
      <c r="M1337" s="21">
        <v>-1.164720819</v>
      </c>
      <c r="N1337">
        <v>0.25553793000000002</v>
      </c>
    </row>
    <row r="1338" spans="1:14" x14ac:dyDescent="0.2">
      <c r="A1338" t="s">
        <v>1330</v>
      </c>
      <c r="B1338">
        <v>317960</v>
      </c>
      <c r="C1338" t="s">
        <v>84</v>
      </c>
      <c r="D1338" t="s">
        <v>1330</v>
      </c>
      <c r="E1338" t="s">
        <v>2975</v>
      </c>
      <c r="J1338">
        <v>3.600219579</v>
      </c>
      <c r="K1338">
        <v>-0.293098474</v>
      </c>
      <c r="L1338">
        <v>-0.153917466</v>
      </c>
      <c r="M1338" s="21">
        <v>-1.164720819</v>
      </c>
      <c r="N1338">
        <v>0.25553793000000002</v>
      </c>
    </row>
    <row r="1339" spans="1:14" x14ac:dyDescent="0.2">
      <c r="A1339" t="s">
        <v>13</v>
      </c>
      <c r="B1339">
        <v>156240</v>
      </c>
      <c r="C1339" t="s">
        <v>34</v>
      </c>
      <c r="D1339" t="s">
        <v>13</v>
      </c>
      <c r="E1339" t="s">
        <v>2976</v>
      </c>
      <c r="G1339" t="s">
        <v>2977</v>
      </c>
      <c r="J1339">
        <v>7.0544859390000001</v>
      </c>
      <c r="K1339">
        <v>0.623000361</v>
      </c>
      <c r="L1339">
        <v>0.42866702800000001</v>
      </c>
      <c r="M1339" s="21">
        <v>-1.1650609190000001</v>
      </c>
      <c r="N1339">
        <v>0.253790709</v>
      </c>
    </row>
    <row r="1340" spans="1:14" x14ac:dyDescent="0.2">
      <c r="A1340" t="s">
        <v>89</v>
      </c>
      <c r="B1340">
        <v>357800</v>
      </c>
      <c r="C1340" t="s">
        <v>58</v>
      </c>
      <c r="D1340" t="s">
        <v>90</v>
      </c>
      <c r="E1340" t="s">
        <v>2978</v>
      </c>
      <c r="G1340" t="s">
        <v>2979</v>
      </c>
      <c r="J1340">
        <v>4.5363847230000003</v>
      </c>
      <c r="K1340">
        <v>0.245646371</v>
      </c>
      <c r="L1340">
        <v>7.5242279999999995E-2</v>
      </c>
      <c r="M1340" s="21">
        <v>-1.165110238</v>
      </c>
      <c r="N1340">
        <v>0.25353734</v>
      </c>
    </row>
    <row r="1341" spans="1:14" x14ac:dyDescent="0.2">
      <c r="A1341" t="s">
        <v>259</v>
      </c>
      <c r="B1341">
        <v>357760</v>
      </c>
      <c r="C1341" t="s">
        <v>58</v>
      </c>
      <c r="D1341" t="s">
        <v>260</v>
      </c>
      <c r="E1341" t="s">
        <v>2980</v>
      </c>
      <c r="G1341" t="s">
        <v>2981</v>
      </c>
      <c r="J1341">
        <v>4.5363847230000003</v>
      </c>
      <c r="K1341">
        <v>0.245646371</v>
      </c>
      <c r="L1341">
        <v>7.5242279999999995E-2</v>
      </c>
      <c r="M1341" s="21">
        <v>-1.1651488670000001</v>
      </c>
      <c r="N1341">
        <v>0.25333888799999998</v>
      </c>
    </row>
    <row r="1342" spans="1:14" x14ac:dyDescent="0.2">
      <c r="A1342" t="s">
        <v>880</v>
      </c>
      <c r="B1342">
        <v>156120</v>
      </c>
      <c r="C1342" t="s">
        <v>34</v>
      </c>
      <c r="D1342" t="s">
        <v>880</v>
      </c>
      <c r="E1342" t="s">
        <v>2982</v>
      </c>
      <c r="G1342" t="s">
        <v>2983</v>
      </c>
      <c r="J1342">
        <v>7.0544859390000001</v>
      </c>
      <c r="K1342">
        <v>0.623000361</v>
      </c>
      <c r="L1342">
        <v>0.42866702800000001</v>
      </c>
      <c r="M1342" s="21">
        <v>-1.165166406</v>
      </c>
      <c r="N1342">
        <v>0.25324878299999998</v>
      </c>
    </row>
    <row r="1343" spans="1:14" x14ac:dyDescent="0.2">
      <c r="A1343" t="s">
        <v>1362</v>
      </c>
      <c r="B1343">
        <v>355000</v>
      </c>
      <c r="C1343" t="s">
        <v>100</v>
      </c>
      <c r="D1343" t="s">
        <v>1362</v>
      </c>
      <c r="E1343" t="s">
        <v>2984</v>
      </c>
      <c r="G1343" t="s">
        <v>2985</v>
      </c>
      <c r="J1343">
        <v>5.9110743220000002</v>
      </c>
      <c r="K1343">
        <v>0.71598987199999997</v>
      </c>
      <c r="L1343">
        <v>0.29077365599999999</v>
      </c>
      <c r="M1343" s="21">
        <v>-1.165187524</v>
      </c>
      <c r="N1343">
        <v>0.25314029300000002</v>
      </c>
    </row>
    <row r="1344" spans="1:14" x14ac:dyDescent="0.2">
      <c r="A1344" t="s">
        <v>693</v>
      </c>
      <c r="B1344">
        <v>155960</v>
      </c>
      <c r="C1344" t="s">
        <v>34</v>
      </c>
      <c r="D1344" t="s">
        <v>693</v>
      </c>
      <c r="E1344" t="s">
        <v>2986</v>
      </c>
      <c r="G1344" t="s">
        <v>2987</v>
      </c>
      <c r="J1344">
        <v>7.0544859390000001</v>
      </c>
      <c r="K1344">
        <v>0.623000361</v>
      </c>
      <c r="L1344">
        <v>0.42866702800000001</v>
      </c>
      <c r="M1344" s="21">
        <v>-1.165307055</v>
      </c>
      <c r="N1344">
        <v>0.25252621400000003</v>
      </c>
    </row>
    <row r="1345" spans="1:14" x14ac:dyDescent="0.2">
      <c r="A1345" t="s">
        <v>2960</v>
      </c>
      <c r="B1345">
        <v>155840</v>
      </c>
      <c r="C1345" t="s">
        <v>34</v>
      </c>
      <c r="D1345" t="s">
        <v>2961</v>
      </c>
      <c r="E1345" t="s">
        <v>2988</v>
      </c>
      <c r="G1345" t="s">
        <v>2989</v>
      </c>
      <c r="J1345">
        <v>7.0544859390000001</v>
      </c>
      <c r="K1345">
        <v>0.623000361</v>
      </c>
      <c r="L1345">
        <v>0.42866702800000001</v>
      </c>
      <c r="M1345" s="21">
        <v>-1.1654125420000001</v>
      </c>
      <c r="N1345">
        <v>0.25198428699999997</v>
      </c>
    </row>
    <row r="1346" spans="1:14" x14ac:dyDescent="0.2">
      <c r="A1346" t="s">
        <v>1065</v>
      </c>
      <c r="B1346">
        <v>357280</v>
      </c>
      <c r="C1346" t="s">
        <v>58</v>
      </c>
      <c r="D1346" t="s">
        <v>1066</v>
      </c>
      <c r="E1346" t="s">
        <v>2990</v>
      </c>
      <c r="G1346" t="s">
        <v>2991</v>
      </c>
      <c r="J1346">
        <v>4.5363847230000003</v>
      </c>
      <c r="K1346">
        <v>0.245646371</v>
      </c>
      <c r="L1346">
        <v>7.5242279999999995E-2</v>
      </c>
      <c r="M1346" s="21">
        <v>-1.165612415</v>
      </c>
      <c r="N1346">
        <v>0.25095746499999999</v>
      </c>
    </row>
    <row r="1347" spans="1:14" x14ac:dyDescent="0.2">
      <c r="A1347" t="s">
        <v>253</v>
      </c>
      <c r="B1347">
        <v>258000</v>
      </c>
      <c r="C1347" t="s">
        <v>68</v>
      </c>
      <c r="D1347" t="s">
        <v>254</v>
      </c>
      <c r="E1347" t="s">
        <v>2992</v>
      </c>
      <c r="G1347" t="s">
        <v>2993</v>
      </c>
      <c r="J1347">
        <v>6.4561903559999996</v>
      </c>
      <c r="K1347">
        <v>0.47291064100000002</v>
      </c>
      <c r="L1347">
        <v>0.34414126499999997</v>
      </c>
      <c r="M1347" s="21">
        <v>-1.1656851079999999</v>
      </c>
      <c r="N1347">
        <v>0.25058401400000002</v>
      </c>
    </row>
    <row r="1348" spans="1:14" x14ac:dyDescent="0.2">
      <c r="A1348" t="s">
        <v>169</v>
      </c>
      <c r="B1348">
        <v>257920</v>
      </c>
      <c r="C1348" t="s">
        <v>68</v>
      </c>
      <c r="D1348" t="s">
        <v>169</v>
      </c>
      <c r="E1348" t="s">
        <v>2994</v>
      </c>
      <c r="G1348" t="s">
        <v>2995</v>
      </c>
      <c r="J1348">
        <v>6.4561903559999996</v>
      </c>
      <c r="K1348">
        <v>0.47291064100000002</v>
      </c>
      <c r="L1348">
        <v>0.34414126499999997</v>
      </c>
      <c r="M1348" s="21">
        <v>-1.165762473</v>
      </c>
      <c r="N1348">
        <v>0.25018656500000003</v>
      </c>
    </row>
    <row r="1349" spans="1:14" x14ac:dyDescent="0.2">
      <c r="A1349" t="s">
        <v>38</v>
      </c>
      <c r="B1349">
        <v>354400</v>
      </c>
      <c r="C1349" t="s">
        <v>100</v>
      </c>
      <c r="D1349" t="s">
        <v>38</v>
      </c>
      <c r="E1349" t="s">
        <v>2996</v>
      </c>
      <c r="G1349" t="s">
        <v>2997</v>
      </c>
      <c r="J1349">
        <v>5.9110743220000002</v>
      </c>
      <c r="K1349">
        <v>0.71598987199999997</v>
      </c>
      <c r="L1349">
        <v>0.29077365599999999</v>
      </c>
      <c r="M1349" s="21">
        <v>-1.1657831519999999</v>
      </c>
      <c r="N1349">
        <v>0.25008032899999999</v>
      </c>
    </row>
    <row r="1350" spans="1:14" x14ac:dyDescent="0.2">
      <c r="A1350" t="s">
        <v>172</v>
      </c>
      <c r="B1350">
        <v>377800</v>
      </c>
      <c r="C1350" t="s">
        <v>149</v>
      </c>
      <c r="D1350" t="s">
        <v>172</v>
      </c>
      <c r="E1350" t="s">
        <v>2998</v>
      </c>
      <c r="G1350" t="s">
        <v>2999</v>
      </c>
      <c r="J1350">
        <v>5.0381074159999999</v>
      </c>
      <c r="K1350">
        <v>0.81312368999999995</v>
      </c>
      <c r="L1350">
        <v>0.16969141800000001</v>
      </c>
      <c r="M1350" s="21">
        <v>-1.1660055659999999</v>
      </c>
      <c r="N1350">
        <v>0.24893770200000001</v>
      </c>
    </row>
    <row r="1351" spans="1:14" x14ac:dyDescent="0.2">
      <c r="A1351" t="s">
        <v>1535</v>
      </c>
      <c r="B1351">
        <v>155000</v>
      </c>
      <c r="C1351" t="s">
        <v>34</v>
      </c>
      <c r="D1351" t="s">
        <v>1535</v>
      </c>
      <c r="E1351" t="s">
        <v>3000</v>
      </c>
      <c r="G1351" t="s">
        <v>3001</v>
      </c>
      <c r="J1351">
        <v>7.0544859390000001</v>
      </c>
      <c r="K1351">
        <v>0.623000361</v>
      </c>
      <c r="L1351">
        <v>0.42866702800000001</v>
      </c>
      <c r="M1351" s="21">
        <v>-1.166150952</v>
      </c>
      <c r="N1351">
        <v>0.24819080099999999</v>
      </c>
    </row>
    <row r="1352" spans="1:14" x14ac:dyDescent="0.2">
      <c r="A1352" t="s">
        <v>1714</v>
      </c>
      <c r="B1352">
        <v>353960</v>
      </c>
      <c r="C1352" t="s">
        <v>100</v>
      </c>
      <c r="D1352" t="s">
        <v>1715</v>
      </c>
      <c r="E1352" t="s">
        <v>3002</v>
      </c>
      <c r="G1352" t="s">
        <v>3003</v>
      </c>
      <c r="J1352">
        <v>5.9110743220000002</v>
      </c>
      <c r="K1352">
        <v>0.71598987199999997</v>
      </c>
      <c r="L1352">
        <v>0.29077365599999999</v>
      </c>
      <c r="M1352" s="21">
        <v>-1.166219946</v>
      </c>
      <c r="N1352">
        <v>0.24783635500000001</v>
      </c>
    </row>
    <row r="1353" spans="1:14" x14ac:dyDescent="0.2">
      <c r="A1353" t="s">
        <v>1318</v>
      </c>
      <c r="B1353">
        <v>377480</v>
      </c>
      <c r="C1353" t="s">
        <v>149</v>
      </c>
      <c r="D1353" t="s">
        <v>1318</v>
      </c>
      <c r="E1353" t="s">
        <v>3004</v>
      </c>
      <c r="G1353" t="s">
        <v>3005</v>
      </c>
      <c r="J1353">
        <v>5.0381074159999999</v>
      </c>
      <c r="K1353">
        <v>0.81312368999999995</v>
      </c>
      <c r="L1353">
        <v>0.16969141800000001</v>
      </c>
      <c r="M1353" s="21">
        <v>-1.166301443</v>
      </c>
      <c r="N1353">
        <v>0.24741767100000001</v>
      </c>
    </row>
    <row r="1354" spans="1:14" x14ac:dyDescent="0.2">
      <c r="A1354" t="s">
        <v>225</v>
      </c>
      <c r="B1354">
        <v>316600</v>
      </c>
      <c r="C1354" t="s">
        <v>84</v>
      </c>
      <c r="D1354" t="s">
        <v>225</v>
      </c>
      <c r="E1354" t="s">
        <v>3006</v>
      </c>
      <c r="J1354">
        <v>3.600219579</v>
      </c>
      <c r="K1354">
        <v>-0.293098474</v>
      </c>
      <c r="L1354">
        <v>-0.153917466</v>
      </c>
      <c r="M1354" s="21">
        <v>-1.166500877</v>
      </c>
      <c r="N1354">
        <v>0.246393105</v>
      </c>
    </row>
    <row r="1355" spans="1:14" x14ac:dyDescent="0.2">
      <c r="A1355" t="s">
        <v>2224</v>
      </c>
      <c r="B1355">
        <v>353560</v>
      </c>
      <c r="C1355" t="s">
        <v>100</v>
      </c>
      <c r="D1355" t="s">
        <v>2224</v>
      </c>
      <c r="E1355" t="s">
        <v>3007</v>
      </c>
      <c r="G1355" t="s">
        <v>3008</v>
      </c>
      <c r="J1355">
        <v>5.9110743220000002</v>
      </c>
      <c r="K1355">
        <v>0.71598987199999997</v>
      </c>
      <c r="L1355">
        <v>0.29077365599999999</v>
      </c>
      <c r="M1355" s="21">
        <v>-1.1666170309999999</v>
      </c>
      <c r="N1355">
        <v>0.24579637900000001</v>
      </c>
    </row>
    <row r="1356" spans="1:14" x14ac:dyDescent="0.2">
      <c r="A1356" t="s">
        <v>422</v>
      </c>
      <c r="B1356">
        <v>353520</v>
      </c>
      <c r="C1356" t="s">
        <v>100</v>
      </c>
      <c r="D1356" t="s">
        <v>423</v>
      </c>
      <c r="E1356" t="s">
        <v>3009</v>
      </c>
      <c r="G1356" t="s">
        <v>3010</v>
      </c>
      <c r="J1356">
        <v>5.9110743220000002</v>
      </c>
      <c r="K1356">
        <v>0.71598987199999997</v>
      </c>
      <c r="L1356">
        <v>0.29077365599999999</v>
      </c>
      <c r="M1356" s="21">
        <v>-1.1666567400000001</v>
      </c>
      <c r="N1356">
        <v>0.245592381</v>
      </c>
    </row>
    <row r="1357" spans="1:14" x14ac:dyDescent="0.2">
      <c r="A1357" t="s">
        <v>1144</v>
      </c>
      <c r="B1357">
        <v>353440</v>
      </c>
      <c r="C1357" t="s">
        <v>100</v>
      </c>
      <c r="D1357" t="s">
        <v>1145</v>
      </c>
      <c r="E1357" t="s">
        <v>3011</v>
      </c>
      <c r="G1357" t="s">
        <v>3012</v>
      </c>
      <c r="J1357">
        <v>5.9110743220000002</v>
      </c>
      <c r="K1357">
        <v>0.71598987199999997</v>
      </c>
      <c r="L1357">
        <v>0.29077365599999999</v>
      </c>
      <c r="M1357" s="21">
        <v>-1.1667361570000001</v>
      </c>
      <c r="N1357">
        <v>0.245184386</v>
      </c>
    </row>
    <row r="1358" spans="1:14" x14ac:dyDescent="0.2">
      <c r="A1358" t="s">
        <v>1256</v>
      </c>
      <c r="B1358">
        <v>382520</v>
      </c>
      <c r="C1358" t="s">
        <v>14</v>
      </c>
      <c r="D1358" t="s">
        <v>1257</v>
      </c>
      <c r="E1358" t="s">
        <v>3013</v>
      </c>
      <c r="G1358" t="s">
        <v>3014</v>
      </c>
      <c r="J1358">
        <v>6.7484204910000001</v>
      </c>
      <c r="K1358">
        <v>0.48629166299999999</v>
      </c>
      <c r="L1358">
        <v>0.375053939</v>
      </c>
      <c r="M1358" s="21">
        <v>-1.166845635</v>
      </c>
      <c r="N1358">
        <v>0.244621956</v>
      </c>
    </row>
    <row r="1359" spans="1:14" x14ac:dyDescent="0.2">
      <c r="A1359" t="s">
        <v>1971</v>
      </c>
      <c r="B1359">
        <v>256480</v>
      </c>
      <c r="C1359" t="s">
        <v>68</v>
      </c>
      <c r="D1359" t="s">
        <v>1971</v>
      </c>
      <c r="E1359" t="s">
        <v>3015</v>
      </c>
      <c r="G1359" t="s">
        <v>3016</v>
      </c>
      <c r="J1359">
        <v>6.4561903559999996</v>
      </c>
      <c r="K1359">
        <v>0.47291064100000002</v>
      </c>
      <c r="L1359">
        <v>0.34414126499999997</v>
      </c>
      <c r="M1359" s="21">
        <v>-1.167155028</v>
      </c>
      <c r="N1359">
        <v>0.24303248599999999</v>
      </c>
    </row>
    <row r="1360" spans="1:14" x14ac:dyDescent="0.2">
      <c r="A1360" t="s">
        <v>307</v>
      </c>
      <c r="B1360">
        <v>153680</v>
      </c>
      <c r="C1360" t="s">
        <v>34</v>
      </c>
      <c r="D1360" t="s">
        <v>308</v>
      </c>
      <c r="E1360" t="s">
        <v>3017</v>
      </c>
      <c r="G1360" t="s">
        <v>3018</v>
      </c>
      <c r="J1360">
        <v>7.0544859390000001</v>
      </c>
      <c r="K1360">
        <v>0.623000361</v>
      </c>
      <c r="L1360">
        <v>0.42866702800000001</v>
      </c>
      <c r="M1360" s="21">
        <v>-1.1673113100000001</v>
      </c>
      <c r="N1360">
        <v>0.24222960800000001</v>
      </c>
    </row>
    <row r="1361" spans="1:14" x14ac:dyDescent="0.2">
      <c r="A1361" t="s">
        <v>2499</v>
      </c>
      <c r="B1361">
        <v>330880</v>
      </c>
      <c r="C1361" t="s">
        <v>130</v>
      </c>
      <c r="D1361" t="s">
        <v>2500</v>
      </c>
      <c r="E1361" t="s">
        <v>3019</v>
      </c>
      <c r="G1361" t="s">
        <v>3020</v>
      </c>
      <c r="J1361">
        <v>5.1222566499999997</v>
      </c>
      <c r="K1361">
        <v>0.21422175600000001</v>
      </c>
      <c r="L1361">
        <v>0.25354511400000002</v>
      </c>
      <c r="M1361" s="21">
        <v>-1.1674903510000001</v>
      </c>
      <c r="N1361">
        <v>0.24130980899999999</v>
      </c>
    </row>
    <row r="1362" spans="1:14" x14ac:dyDescent="0.2">
      <c r="A1362" t="s">
        <v>637</v>
      </c>
      <c r="B1362">
        <v>355280</v>
      </c>
      <c r="C1362" t="s">
        <v>58</v>
      </c>
      <c r="D1362" t="s">
        <v>637</v>
      </c>
      <c r="E1362" t="s">
        <v>3021</v>
      </c>
      <c r="G1362" t="s">
        <v>3022</v>
      </c>
      <c r="J1362">
        <v>4.5363847230000003</v>
      </c>
      <c r="K1362">
        <v>0.245646371</v>
      </c>
      <c r="L1362">
        <v>7.5242279999999995E-2</v>
      </c>
      <c r="M1362" s="21">
        <v>-1.1675438680000001</v>
      </c>
      <c r="N1362">
        <v>0.24103486900000001</v>
      </c>
    </row>
    <row r="1363" spans="1:14" x14ac:dyDescent="0.2">
      <c r="A1363" t="s">
        <v>1118</v>
      </c>
      <c r="B1363">
        <v>315800</v>
      </c>
      <c r="C1363" t="s">
        <v>84</v>
      </c>
      <c r="D1363" t="s">
        <v>1118</v>
      </c>
      <c r="E1363" t="s">
        <v>3023</v>
      </c>
      <c r="J1363">
        <v>3.600219579</v>
      </c>
      <c r="K1363">
        <v>-0.293098474</v>
      </c>
      <c r="L1363">
        <v>-0.153917466</v>
      </c>
      <c r="M1363" s="21">
        <v>-1.16754797</v>
      </c>
      <c r="N1363">
        <v>0.241013797</v>
      </c>
    </row>
    <row r="1364" spans="1:14" x14ac:dyDescent="0.2">
      <c r="A1364" t="s">
        <v>389</v>
      </c>
      <c r="B1364">
        <v>315600</v>
      </c>
      <c r="C1364" t="s">
        <v>84</v>
      </c>
      <c r="D1364" t="s">
        <v>389</v>
      </c>
      <c r="E1364" t="s">
        <v>3024</v>
      </c>
      <c r="J1364">
        <v>3.600219579</v>
      </c>
      <c r="K1364">
        <v>-0.293098474</v>
      </c>
      <c r="L1364">
        <v>-0.153917466</v>
      </c>
      <c r="M1364" s="21">
        <v>-1.1678097430000001</v>
      </c>
      <c r="N1364">
        <v>0.23966896900000001</v>
      </c>
    </row>
    <row r="1365" spans="1:14" x14ac:dyDescent="0.2">
      <c r="A1365" t="s">
        <v>1349</v>
      </c>
      <c r="B1365">
        <v>200680</v>
      </c>
      <c r="C1365" t="s">
        <v>28</v>
      </c>
      <c r="D1365" t="s">
        <v>1350</v>
      </c>
      <c r="E1365" t="s">
        <v>3025</v>
      </c>
      <c r="G1365" t="s">
        <v>3026</v>
      </c>
      <c r="J1365">
        <v>5.8462906840000004</v>
      </c>
      <c r="K1365">
        <v>0.60615847</v>
      </c>
      <c r="L1365">
        <v>0.28550877299999999</v>
      </c>
      <c r="M1365" s="21">
        <v>-1.167850855</v>
      </c>
      <c r="N1365">
        <v>0.23945776099999999</v>
      </c>
    </row>
    <row r="1366" spans="1:14" x14ac:dyDescent="0.2">
      <c r="A1366" t="s">
        <v>687</v>
      </c>
      <c r="B1366">
        <v>375600</v>
      </c>
      <c r="C1366" t="s">
        <v>149</v>
      </c>
      <c r="D1366" t="s">
        <v>688</v>
      </c>
      <c r="E1366" t="s">
        <v>3027</v>
      </c>
      <c r="G1366" t="s">
        <v>3028</v>
      </c>
      <c r="J1366">
        <v>5.0381074159999999</v>
      </c>
      <c r="K1366">
        <v>0.81312368999999995</v>
      </c>
      <c r="L1366">
        <v>0.16969141800000001</v>
      </c>
      <c r="M1366" s="21">
        <v>-1.1680397220000001</v>
      </c>
      <c r="N1366">
        <v>0.238487485</v>
      </c>
    </row>
    <row r="1367" spans="1:14" x14ac:dyDescent="0.2">
      <c r="A1367" t="s">
        <v>470</v>
      </c>
      <c r="B1367">
        <v>315360</v>
      </c>
      <c r="C1367" t="s">
        <v>84</v>
      </c>
      <c r="D1367" t="s">
        <v>470</v>
      </c>
      <c r="E1367" t="s">
        <v>3029</v>
      </c>
      <c r="J1367">
        <v>3.600219579</v>
      </c>
      <c r="K1367">
        <v>-0.293098474</v>
      </c>
      <c r="L1367">
        <v>-0.153917466</v>
      </c>
      <c r="M1367" s="21">
        <v>-1.1681238709999999</v>
      </c>
      <c r="N1367">
        <v>0.23805517700000001</v>
      </c>
    </row>
    <row r="1368" spans="1:14" x14ac:dyDescent="0.2">
      <c r="A1368" t="s">
        <v>1260</v>
      </c>
      <c r="B1368">
        <v>375480</v>
      </c>
      <c r="C1368" t="s">
        <v>149</v>
      </c>
      <c r="D1368" t="s">
        <v>1260</v>
      </c>
      <c r="E1368" t="s">
        <v>3030</v>
      </c>
      <c r="G1368" t="s">
        <v>3031</v>
      </c>
      <c r="J1368">
        <v>5.0381074159999999</v>
      </c>
      <c r="K1368">
        <v>0.81312368999999995</v>
      </c>
      <c r="L1368">
        <v>0.16969141800000001</v>
      </c>
      <c r="M1368" s="21">
        <v>-1.1681506749999999</v>
      </c>
      <c r="N1368">
        <v>0.23791747299999999</v>
      </c>
    </row>
    <row r="1369" spans="1:14" x14ac:dyDescent="0.2">
      <c r="A1369" t="s">
        <v>342</v>
      </c>
      <c r="B1369">
        <v>152400</v>
      </c>
      <c r="C1369" t="s">
        <v>34</v>
      </c>
      <c r="D1369" t="s">
        <v>342</v>
      </c>
      <c r="E1369" t="s">
        <v>3032</v>
      </c>
      <c r="G1369" t="s">
        <v>3033</v>
      </c>
      <c r="J1369">
        <v>7.0544859390000001</v>
      </c>
      <c r="K1369">
        <v>0.623000361</v>
      </c>
      <c r="L1369">
        <v>0.42866702800000001</v>
      </c>
      <c r="M1369" s="21">
        <v>-1.1684365059999999</v>
      </c>
      <c r="N1369">
        <v>0.23644905699999999</v>
      </c>
    </row>
    <row r="1370" spans="1:14" x14ac:dyDescent="0.2">
      <c r="A1370" t="s">
        <v>2488</v>
      </c>
      <c r="B1370">
        <v>152200</v>
      </c>
      <c r="C1370" t="s">
        <v>34</v>
      </c>
      <c r="D1370" t="s">
        <v>2488</v>
      </c>
      <c r="J1370">
        <v>7.0544859390000001</v>
      </c>
      <c r="K1370">
        <v>0.623000361</v>
      </c>
      <c r="L1370">
        <v>0.42866702800000001</v>
      </c>
      <c r="M1370" s="21">
        <v>-1.168612317</v>
      </c>
      <c r="N1370">
        <v>0.235545846</v>
      </c>
    </row>
    <row r="1371" spans="1:14" x14ac:dyDescent="0.2">
      <c r="A1371" t="s">
        <v>2239</v>
      </c>
      <c r="B1371">
        <v>374280</v>
      </c>
      <c r="C1371" t="s">
        <v>149</v>
      </c>
      <c r="D1371" t="s">
        <v>2240</v>
      </c>
      <c r="E1371" t="s">
        <v>3034</v>
      </c>
      <c r="G1371" t="s">
        <v>3035</v>
      </c>
      <c r="J1371">
        <v>5.0381074159999999</v>
      </c>
      <c r="K1371">
        <v>0.81312368999999995</v>
      </c>
      <c r="L1371">
        <v>0.16969141800000001</v>
      </c>
      <c r="M1371" s="21">
        <v>-1.169260215</v>
      </c>
      <c r="N1371">
        <v>0.23221735399999999</v>
      </c>
    </row>
    <row r="1372" spans="1:14" x14ac:dyDescent="0.2">
      <c r="A1372" t="s">
        <v>645</v>
      </c>
      <c r="B1372">
        <v>352840</v>
      </c>
      <c r="C1372" t="s">
        <v>58</v>
      </c>
      <c r="D1372" t="s">
        <v>645</v>
      </c>
      <c r="E1372" t="s">
        <v>3036</v>
      </c>
      <c r="G1372" t="s">
        <v>3037</v>
      </c>
      <c r="J1372">
        <v>4.5363847230000003</v>
      </c>
      <c r="K1372">
        <v>0.245646371</v>
      </c>
      <c r="L1372">
        <v>7.5242279999999995E-2</v>
      </c>
      <c r="M1372" s="21">
        <v>-1.16990024</v>
      </c>
      <c r="N1372">
        <v>0.228929303</v>
      </c>
    </row>
    <row r="1373" spans="1:14" x14ac:dyDescent="0.2">
      <c r="A1373" t="s">
        <v>730</v>
      </c>
      <c r="B1373">
        <v>313920</v>
      </c>
      <c r="C1373" t="s">
        <v>84</v>
      </c>
      <c r="D1373" t="s">
        <v>731</v>
      </c>
      <c r="E1373" t="s">
        <v>3038</v>
      </c>
      <c r="J1373">
        <v>3.600219579</v>
      </c>
      <c r="K1373">
        <v>-0.293098474</v>
      </c>
      <c r="L1373">
        <v>-0.153917466</v>
      </c>
      <c r="M1373" s="21">
        <v>-1.170008639</v>
      </c>
      <c r="N1373">
        <v>0.22837242099999999</v>
      </c>
    </row>
    <row r="1374" spans="1:14" x14ac:dyDescent="0.2">
      <c r="A1374" t="s">
        <v>1391</v>
      </c>
      <c r="B1374">
        <v>379480</v>
      </c>
      <c r="C1374" t="s">
        <v>14</v>
      </c>
      <c r="D1374" t="s">
        <v>1391</v>
      </c>
      <c r="E1374" t="s">
        <v>3039</v>
      </c>
      <c r="G1374" t="s">
        <v>3040</v>
      </c>
      <c r="J1374">
        <v>6.7484204910000001</v>
      </c>
      <c r="K1374">
        <v>0.48629166299999999</v>
      </c>
      <c r="L1374">
        <v>0.375053939</v>
      </c>
      <c r="M1374" s="21">
        <v>-1.1701766300000001</v>
      </c>
      <c r="N1374">
        <v>0.22750938400000001</v>
      </c>
    </row>
    <row r="1375" spans="1:14" x14ac:dyDescent="0.2">
      <c r="A1375" t="s">
        <v>1108</v>
      </c>
      <c r="B1375">
        <v>197240</v>
      </c>
      <c r="C1375" t="s">
        <v>28</v>
      </c>
      <c r="D1375" t="s">
        <v>1109</v>
      </c>
      <c r="E1375" t="s">
        <v>3041</v>
      </c>
      <c r="G1375" t="s">
        <v>3042</v>
      </c>
      <c r="J1375">
        <v>5.8462906840000004</v>
      </c>
      <c r="K1375">
        <v>0.60615847</v>
      </c>
      <c r="L1375">
        <v>0.28550877299999999</v>
      </c>
      <c r="M1375" s="21">
        <v>-1.17095653</v>
      </c>
      <c r="N1375">
        <v>0.22350275</v>
      </c>
    </row>
    <row r="1376" spans="1:14" x14ac:dyDescent="0.2">
      <c r="A1376" t="s">
        <v>1269</v>
      </c>
      <c r="B1376">
        <v>348680</v>
      </c>
      <c r="C1376" t="s">
        <v>100</v>
      </c>
      <c r="D1376" t="s">
        <v>1269</v>
      </c>
      <c r="E1376" t="s">
        <v>3043</v>
      </c>
      <c r="G1376" t="s">
        <v>3044</v>
      </c>
      <c r="J1376">
        <v>5.9110743220000002</v>
      </c>
      <c r="K1376">
        <v>0.71598987199999997</v>
      </c>
      <c r="L1376">
        <v>0.29077365599999999</v>
      </c>
      <c r="M1376" s="21">
        <v>-1.1714614729999999</v>
      </c>
      <c r="N1376">
        <v>0.220908668</v>
      </c>
    </row>
    <row r="1377" spans="1:14" x14ac:dyDescent="0.2">
      <c r="A1377" t="s">
        <v>775</v>
      </c>
      <c r="B1377">
        <v>325400</v>
      </c>
      <c r="C1377" t="s">
        <v>130</v>
      </c>
      <c r="D1377" t="s">
        <v>776</v>
      </c>
      <c r="E1377" t="s">
        <v>3045</v>
      </c>
      <c r="G1377" t="s">
        <v>3046</v>
      </c>
      <c r="J1377">
        <v>5.1222566499999997</v>
      </c>
      <c r="K1377">
        <v>0.21422175600000001</v>
      </c>
      <c r="L1377">
        <v>0.25354511400000002</v>
      </c>
      <c r="M1377" s="21">
        <v>-1.1718514980000001</v>
      </c>
      <c r="N1377">
        <v>0.21890496100000001</v>
      </c>
    </row>
    <row r="1378" spans="1:14" x14ac:dyDescent="0.2">
      <c r="A1378" t="s">
        <v>1391</v>
      </c>
      <c r="B1378">
        <v>196240</v>
      </c>
      <c r="C1378" t="s">
        <v>28</v>
      </c>
      <c r="D1378" t="s">
        <v>1391</v>
      </c>
      <c r="E1378" t="s">
        <v>3047</v>
      </c>
      <c r="G1378" t="s">
        <v>3048</v>
      </c>
      <c r="J1378">
        <v>5.8462906840000004</v>
      </c>
      <c r="K1378">
        <v>0.60615847</v>
      </c>
      <c r="L1378">
        <v>0.28550877299999999</v>
      </c>
      <c r="M1378" s="21">
        <v>-1.1718593420000001</v>
      </c>
      <c r="N1378">
        <v>0.21886466500000001</v>
      </c>
    </row>
    <row r="1379" spans="1:14" x14ac:dyDescent="0.2">
      <c r="A1379" t="s">
        <v>23</v>
      </c>
      <c r="B1379">
        <v>350800</v>
      </c>
      <c r="C1379" t="s">
        <v>58</v>
      </c>
      <c r="D1379" t="s">
        <v>23</v>
      </c>
      <c r="E1379" t="s">
        <v>3049</v>
      </c>
      <c r="G1379" t="s">
        <v>3050</v>
      </c>
      <c r="J1379">
        <v>4.5363847230000003</v>
      </c>
      <c r="K1379">
        <v>0.245646371</v>
      </c>
      <c r="L1379">
        <v>7.5242279999999995E-2</v>
      </c>
      <c r="M1379" s="21">
        <v>-1.171870322</v>
      </c>
      <c r="N1379">
        <v>0.21880825500000001</v>
      </c>
    </row>
    <row r="1380" spans="1:14" x14ac:dyDescent="0.2">
      <c r="A1380" t="s">
        <v>1082</v>
      </c>
      <c r="B1380">
        <v>377440</v>
      </c>
      <c r="C1380" t="s">
        <v>14</v>
      </c>
      <c r="D1380" t="s">
        <v>1082</v>
      </c>
      <c r="E1380" t="s">
        <v>3051</v>
      </c>
      <c r="G1380" t="s">
        <v>3052</v>
      </c>
      <c r="J1380">
        <v>6.7484204910000001</v>
      </c>
      <c r="K1380">
        <v>0.48629166299999999</v>
      </c>
      <c r="L1380">
        <v>0.375053939</v>
      </c>
      <c r="M1380" s="21">
        <v>-1.1724119040000001</v>
      </c>
      <c r="N1380">
        <v>0.216025947</v>
      </c>
    </row>
    <row r="1381" spans="1:14" x14ac:dyDescent="0.2">
      <c r="A1381" t="s">
        <v>106</v>
      </c>
      <c r="B1381">
        <v>347600</v>
      </c>
      <c r="C1381" t="s">
        <v>100</v>
      </c>
      <c r="D1381" t="s">
        <v>107</v>
      </c>
      <c r="E1381" t="s">
        <v>3053</v>
      </c>
      <c r="G1381" t="s">
        <v>3054</v>
      </c>
      <c r="J1381">
        <v>5.9110743220000002</v>
      </c>
      <c r="K1381">
        <v>0.71598987199999997</v>
      </c>
      <c r="L1381">
        <v>0.29077365599999999</v>
      </c>
      <c r="M1381" s="21">
        <v>-1.172533603</v>
      </c>
      <c r="N1381">
        <v>0.21540073200000001</v>
      </c>
    </row>
    <row r="1382" spans="1:14" x14ac:dyDescent="0.2">
      <c r="A1382" t="s">
        <v>645</v>
      </c>
      <c r="B1382">
        <v>311960</v>
      </c>
      <c r="C1382" t="s">
        <v>84</v>
      </c>
      <c r="D1382" t="s">
        <v>645</v>
      </c>
      <c r="E1382" t="s">
        <v>3055</v>
      </c>
      <c r="J1382">
        <v>3.600219579</v>
      </c>
      <c r="K1382">
        <v>-0.293098474</v>
      </c>
      <c r="L1382">
        <v>-0.153917466</v>
      </c>
      <c r="M1382" s="21">
        <v>-1.172574016</v>
      </c>
      <c r="N1382">
        <v>0.21519311499999999</v>
      </c>
    </row>
    <row r="1383" spans="1:14" x14ac:dyDescent="0.2">
      <c r="A1383" t="s">
        <v>1593</v>
      </c>
      <c r="B1383">
        <v>370640</v>
      </c>
      <c r="C1383" t="s">
        <v>149</v>
      </c>
      <c r="D1383" t="s">
        <v>1593</v>
      </c>
      <c r="E1383" t="s">
        <v>3056</v>
      </c>
      <c r="G1383" t="s">
        <v>3057</v>
      </c>
      <c r="J1383">
        <v>5.0381074159999999</v>
      </c>
      <c r="K1383">
        <v>0.81312368999999995</v>
      </c>
      <c r="L1383">
        <v>0.16969141800000001</v>
      </c>
      <c r="M1383" s="21">
        <v>-1.1726258169999999</v>
      </c>
      <c r="N1383">
        <v>0.21492699500000001</v>
      </c>
    </row>
    <row r="1384" spans="1:14" x14ac:dyDescent="0.2">
      <c r="A1384" t="s">
        <v>1778</v>
      </c>
      <c r="B1384">
        <v>370160</v>
      </c>
      <c r="C1384" t="s">
        <v>149</v>
      </c>
      <c r="D1384" t="s">
        <v>1778</v>
      </c>
      <c r="E1384" t="s">
        <v>3058</v>
      </c>
      <c r="G1384" t="s">
        <v>3059</v>
      </c>
      <c r="J1384">
        <v>5.0381074159999999</v>
      </c>
      <c r="K1384">
        <v>0.81312368999999995</v>
      </c>
      <c r="L1384">
        <v>0.16969141800000001</v>
      </c>
      <c r="M1384" s="21">
        <v>-1.1730696329999999</v>
      </c>
      <c r="N1384">
        <v>0.212646948</v>
      </c>
    </row>
    <row r="1385" spans="1:14" x14ac:dyDescent="0.2">
      <c r="A1385" t="s">
        <v>1108</v>
      </c>
      <c r="B1385">
        <v>311560</v>
      </c>
      <c r="C1385" t="s">
        <v>84</v>
      </c>
      <c r="D1385" t="s">
        <v>1109</v>
      </c>
      <c r="E1385" t="s">
        <v>3060</v>
      </c>
      <c r="G1385" t="s">
        <v>3061</v>
      </c>
      <c r="J1385">
        <v>3.600219579</v>
      </c>
      <c r="K1385">
        <v>-0.293098474</v>
      </c>
      <c r="L1385">
        <v>-0.153917466</v>
      </c>
      <c r="M1385" s="21">
        <v>-1.173097563</v>
      </c>
      <c r="N1385">
        <v>0.21250346000000001</v>
      </c>
    </row>
    <row r="1386" spans="1:14" x14ac:dyDescent="0.2">
      <c r="A1386" t="s">
        <v>47</v>
      </c>
      <c r="B1386">
        <v>147040</v>
      </c>
      <c r="C1386" t="s">
        <v>34</v>
      </c>
      <c r="D1386" t="s">
        <v>48</v>
      </c>
      <c r="E1386" t="s">
        <v>3062</v>
      </c>
      <c r="G1386" t="s">
        <v>3063</v>
      </c>
      <c r="J1386">
        <v>7.0544859390000001</v>
      </c>
      <c r="K1386">
        <v>0.623000361</v>
      </c>
      <c r="L1386">
        <v>0.42866702800000001</v>
      </c>
      <c r="M1386" s="21">
        <v>-1.173148262</v>
      </c>
      <c r="N1386">
        <v>0.21224299999999999</v>
      </c>
    </row>
    <row r="1387" spans="1:14" x14ac:dyDescent="0.2">
      <c r="A1387" t="s">
        <v>1092</v>
      </c>
      <c r="B1387">
        <v>311320</v>
      </c>
      <c r="C1387" t="s">
        <v>84</v>
      </c>
      <c r="D1387" t="s">
        <v>1092</v>
      </c>
      <c r="E1387" t="s">
        <v>3064</v>
      </c>
      <c r="J1387">
        <v>3.600219579</v>
      </c>
      <c r="K1387">
        <v>-0.293098474</v>
      </c>
      <c r="L1387">
        <v>-0.153917466</v>
      </c>
      <c r="M1387" s="21">
        <v>-1.1734116910000001</v>
      </c>
      <c r="N1387">
        <v>0.210889668</v>
      </c>
    </row>
    <row r="1388" spans="1:14" x14ac:dyDescent="0.2">
      <c r="A1388" t="s">
        <v>995</v>
      </c>
      <c r="B1388">
        <v>323400</v>
      </c>
      <c r="C1388" t="s">
        <v>130</v>
      </c>
      <c r="D1388" t="s">
        <v>995</v>
      </c>
      <c r="E1388" t="s">
        <v>3065</v>
      </c>
      <c r="G1388" t="s">
        <v>3066</v>
      </c>
      <c r="J1388">
        <v>5.1222566499999997</v>
      </c>
      <c r="K1388">
        <v>0.21422175600000001</v>
      </c>
      <c r="L1388">
        <v>0.25354511400000002</v>
      </c>
      <c r="M1388" s="21">
        <v>-1.173443158</v>
      </c>
      <c r="N1388">
        <v>0.21072800999999999</v>
      </c>
    </row>
    <row r="1389" spans="1:14" x14ac:dyDescent="0.2">
      <c r="A1389" t="s">
        <v>1269</v>
      </c>
      <c r="B1389">
        <v>311160</v>
      </c>
      <c r="C1389" t="s">
        <v>84</v>
      </c>
      <c r="D1389" t="s">
        <v>1269</v>
      </c>
      <c r="E1389" t="s">
        <v>3067</v>
      </c>
      <c r="J1389">
        <v>3.600219579</v>
      </c>
      <c r="K1389">
        <v>-0.293098474</v>
      </c>
      <c r="L1389">
        <v>-0.153917466</v>
      </c>
      <c r="M1389" s="21">
        <v>-1.1736211089999999</v>
      </c>
      <c r="N1389">
        <v>0.20981380599999999</v>
      </c>
    </row>
    <row r="1390" spans="1:14" x14ac:dyDescent="0.2">
      <c r="A1390" t="s">
        <v>741</v>
      </c>
      <c r="B1390">
        <v>348960</v>
      </c>
      <c r="C1390" t="s">
        <v>58</v>
      </c>
      <c r="D1390" t="s">
        <v>741</v>
      </c>
      <c r="E1390" t="s">
        <v>3068</v>
      </c>
      <c r="G1390" t="s">
        <v>3069</v>
      </c>
      <c r="J1390">
        <v>4.5363847230000003</v>
      </c>
      <c r="K1390">
        <v>0.245646371</v>
      </c>
      <c r="L1390">
        <v>7.5242279999999995E-2</v>
      </c>
      <c r="M1390" s="21">
        <v>-1.173647259</v>
      </c>
      <c r="N1390">
        <v>0.20967946700000001</v>
      </c>
    </row>
    <row r="1391" spans="1:14" x14ac:dyDescent="0.2">
      <c r="A1391" t="s">
        <v>516</v>
      </c>
      <c r="B1391">
        <v>311080</v>
      </c>
      <c r="C1391" t="s">
        <v>84</v>
      </c>
      <c r="D1391" t="s">
        <v>516</v>
      </c>
      <c r="E1391" t="s">
        <v>3070</v>
      </c>
      <c r="J1391">
        <v>3.600219579</v>
      </c>
      <c r="K1391">
        <v>-0.293098474</v>
      </c>
      <c r="L1391">
        <v>-0.153917466</v>
      </c>
      <c r="M1391" s="21">
        <v>-1.1737258189999999</v>
      </c>
      <c r="N1391">
        <v>0.209275875</v>
      </c>
    </row>
    <row r="1392" spans="1:14" x14ac:dyDescent="0.2">
      <c r="A1392" t="s">
        <v>753</v>
      </c>
      <c r="B1392">
        <v>376200</v>
      </c>
      <c r="C1392" t="s">
        <v>14</v>
      </c>
      <c r="D1392" t="s">
        <v>753</v>
      </c>
      <c r="E1392" t="s">
        <v>3071</v>
      </c>
      <c r="G1392" t="s">
        <v>3072</v>
      </c>
      <c r="J1392">
        <v>6.7484204910000001</v>
      </c>
      <c r="K1392">
        <v>0.48629166299999999</v>
      </c>
      <c r="L1392">
        <v>0.375053939</v>
      </c>
      <c r="M1392" s="21">
        <v>-1.1737706000000001</v>
      </c>
      <c r="N1392">
        <v>0.20904581899999999</v>
      </c>
    </row>
    <row r="1393" spans="1:14" x14ac:dyDescent="0.2">
      <c r="A1393" t="s">
        <v>2791</v>
      </c>
      <c r="B1393">
        <v>348520</v>
      </c>
      <c r="C1393" t="s">
        <v>58</v>
      </c>
      <c r="D1393" t="s">
        <v>2792</v>
      </c>
      <c r="E1393" t="s">
        <v>3073</v>
      </c>
      <c r="G1393" t="s">
        <v>3074</v>
      </c>
      <c r="J1393">
        <v>4.5363847230000003</v>
      </c>
      <c r="K1393">
        <v>0.245646371</v>
      </c>
      <c r="L1393">
        <v>7.5242279999999995E-2</v>
      </c>
      <c r="M1393" s="21">
        <v>-1.1740721780000001</v>
      </c>
      <c r="N1393">
        <v>0.207496496</v>
      </c>
    </row>
    <row r="1394" spans="1:14" x14ac:dyDescent="0.2">
      <c r="A1394" t="s">
        <v>522</v>
      </c>
      <c r="B1394">
        <v>310760</v>
      </c>
      <c r="C1394" t="s">
        <v>84</v>
      </c>
      <c r="D1394" t="s">
        <v>522</v>
      </c>
      <c r="E1394" t="s">
        <v>3075</v>
      </c>
      <c r="J1394">
        <v>3.600219579</v>
      </c>
      <c r="K1394">
        <v>-0.293098474</v>
      </c>
      <c r="L1394">
        <v>-0.153917466</v>
      </c>
      <c r="M1394" s="21">
        <v>-1.174144656</v>
      </c>
      <c r="N1394">
        <v>0.20712415200000001</v>
      </c>
    </row>
    <row r="1395" spans="1:14" x14ac:dyDescent="0.2">
      <c r="A1395" t="s">
        <v>592</v>
      </c>
      <c r="B1395">
        <v>310760</v>
      </c>
      <c r="C1395" t="s">
        <v>84</v>
      </c>
      <c r="D1395" t="s">
        <v>593</v>
      </c>
      <c r="E1395" t="s">
        <v>3076</v>
      </c>
      <c r="J1395">
        <v>3.600219579</v>
      </c>
      <c r="K1395">
        <v>-0.293098474</v>
      </c>
      <c r="L1395">
        <v>-0.153917466</v>
      </c>
      <c r="M1395" s="21">
        <v>-1.174144656</v>
      </c>
      <c r="N1395">
        <v>0.20712415200000001</v>
      </c>
    </row>
    <row r="1396" spans="1:14" x14ac:dyDescent="0.2">
      <c r="A1396" t="s">
        <v>1263</v>
      </c>
      <c r="B1396">
        <v>310720</v>
      </c>
      <c r="C1396" t="s">
        <v>84</v>
      </c>
      <c r="D1396" t="s">
        <v>1264</v>
      </c>
      <c r="E1396" t="s">
        <v>3077</v>
      </c>
      <c r="J1396">
        <v>3.600219579</v>
      </c>
      <c r="K1396">
        <v>-0.293098474</v>
      </c>
      <c r="L1396">
        <v>-0.153917466</v>
      </c>
      <c r="M1396" s="21">
        <v>-1.174197011</v>
      </c>
      <c r="N1396">
        <v>0.206855186</v>
      </c>
    </row>
    <row r="1397" spans="1:14" x14ac:dyDescent="0.2">
      <c r="A1397" t="s">
        <v>1295</v>
      </c>
      <c r="B1397">
        <v>310400</v>
      </c>
      <c r="C1397" t="s">
        <v>84</v>
      </c>
      <c r="D1397" t="s">
        <v>1296</v>
      </c>
      <c r="E1397" t="s">
        <v>3078</v>
      </c>
      <c r="J1397">
        <v>3.600219579</v>
      </c>
      <c r="K1397">
        <v>-0.293098474</v>
      </c>
      <c r="L1397">
        <v>-0.153917466</v>
      </c>
      <c r="M1397" s="21">
        <v>-1.174615848</v>
      </c>
      <c r="N1397">
        <v>0.204703463</v>
      </c>
    </row>
    <row r="1398" spans="1:14" x14ac:dyDescent="0.2">
      <c r="A1398" t="s">
        <v>175</v>
      </c>
      <c r="B1398">
        <v>248720</v>
      </c>
      <c r="C1398" t="s">
        <v>68</v>
      </c>
      <c r="D1398" t="s">
        <v>175</v>
      </c>
      <c r="E1398" t="s">
        <v>3079</v>
      </c>
      <c r="G1398" t="s">
        <v>3080</v>
      </c>
      <c r="J1398">
        <v>6.4561903559999996</v>
      </c>
      <c r="K1398">
        <v>0.47291064100000002</v>
      </c>
      <c r="L1398">
        <v>0.34414126499999997</v>
      </c>
      <c r="M1398" s="21">
        <v>-1.174659356</v>
      </c>
      <c r="N1398">
        <v>0.204479946</v>
      </c>
    </row>
    <row r="1399" spans="1:14" x14ac:dyDescent="0.2">
      <c r="A1399" t="s">
        <v>47</v>
      </c>
      <c r="B1399">
        <v>310320</v>
      </c>
      <c r="C1399" t="s">
        <v>84</v>
      </c>
      <c r="D1399" t="s">
        <v>48</v>
      </c>
      <c r="E1399" t="s">
        <v>3081</v>
      </c>
      <c r="J1399">
        <v>3.600219579</v>
      </c>
      <c r="K1399">
        <v>-0.293098474</v>
      </c>
      <c r="L1399">
        <v>-0.153917466</v>
      </c>
      <c r="M1399" s="21">
        <v>-1.1747205570000001</v>
      </c>
      <c r="N1399">
        <v>0.20416553200000001</v>
      </c>
    </row>
    <row r="1400" spans="1:14" x14ac:dyDescent="0.2">
      <c r="A1400" t="s">
        <v>2348</v>
      </c>
      <c r="B1400">
        <v>345240</v>
      </c>
      <c r="C1400" t="s">
        <v>100</v>
      </c>
      <c r="D1400" t="s">
        <v>2348</v>
      </c>
      <c r="E1400" t="s">
        <v>3082</v>
      </c>
      <c r="G1400" t="s">
        <v>3083</v>
      </c>
      <c r="J1400">
        <v>5.9110743220000002</v>
      </c>
      <c r="K1400">
        <v>0.71598987199999997</v>
      </c>
      <c r="L1400">
        <v>0.29077365599999999</v>
      </c>
      <c r="M1400" s="21">
        <v>-1.174876407</v>
      </c>
      <c r="N1400">
        <v>0.203364871</v>
      </c>
    </row>
    <row r="1401" spans="1:14" x14ac:dyDescent="0.2">
      <c r="A1401" t="s">
        <v>736</v>
      </c>
      <c r="B1401">
        <v>248280</v>
      </c>
      <c r="C1401" t="s">
        <v>68</v>
      </c>
      <c r="D1401" t="s">
        <v>736</v>
      </c>
      <c r="E1401" t="s">
        <v>3084</v>
      </c>
      <c r="G1401" t="s">
        <v>3085</v>
      </c>
      <c r="J1401">
        <v>6.4561903559999996</v>
      </c>
      <c r="K1401">
        <v>0.47291064100000002</v>
      </c>
      <c r="L1401">
        <v>0.34414126499999997</v>
      </c>
      <c r="M1401" s="21">
        <v>-1.175084859</v>
      </c>
      <c r="N1401">
        <v>0.20229397700000001</v>
      </c>
    </row>
    <row r="1402" spans="1:14" x14ac:dyDescent="0.2">
      <c r="A1402" t="s">
        <v>883</v>
      </c>
      <c r="B1402">
        <v>321160</v>
      </c>
      <c r="C1402" t="s">
        <v>130</v>
      </c>
      <c r="D1402" t="s">
        <v>883</v>
      </c>
      <c r="E1402" t="s">
        <v>3086</v>
      </c>
      <c r="G1402" t="s">
        <v>3087</v>
      </c>
      <c r="J1402">
        <v>5.1222566499999997</v>
      </c>
      <c r="K1402">
        <v>0.21422175600000001</v>
      </c>
      <c r="L1402">
        <v>0.25354511400000002</v>
      </c>
      <c r="M1402" s="21">
        <v>-1.1752258170000001</v>
      </c>
      <c r="N1402">
        <v>0.20156982400000001</v>
      </c>
    </row>
    <row r="1403" spans="1:14" x14ac:dyDescent="0.2">
      <c r="A1403" t="s">
        <v>1104</v>
      </c>
      <c r="B1403">
        <v>344720</v>
      </c>
      <c r="C1403" t="s">
        <v>100</v>
      </c>
      <c r="D1403" t="s">
        <v>1105</v>
      </c>
      <c r="E1403" t="s">
        <v>3088</v>
      </c>
      <c r="G1403" t="s">
        <v>3089</v>
      </c>
      <c r="J1403">
        <v>5.9110743220000002</v>
      </c>
      <c r="K1403">
        <v>0.71598987199999997</v>
      </c>
      <c r="L1403">
        <v>0.29077365599999999</v>
      </c>
      <c r="M1403" s="21">
        <v>-1.1753926180000001</v>
      </c>
      <c r="N1403">
        <v>0.200712902</v>
      </c>
    </row>
    <row r="1404" spans="1:14" x14ac:dyDescent="0.2">
      <c r="A1404" t="s">
        <v>1208</v>
      </c>
      <c r="B1404">
        <v>344600</v>
      </c>
      <c r="C1404" t="s">
        <v>100</v>
      </c>
      <c r="D1404" t="s">
        <v>1208</v>
      </c>
      <c r="E1404" t="s">
        <v>3090</v>
      </c>
      <c r="G1404" t="s">
        <v>3091</v>
      </c>
      <c r="J1404">
        <v>5.9110743220000002</v>
      </c>
      <c r="K1404">
        <v>0.71598987199999997</v>
      </c>
      <c r="L1404">
        <v>0.29077365599999999</v>
      </c>
      <c r="M1404" s="21">
        <v>-1.175511744</v>
      </c>
      <c r="N1404">
        <v>0.20010090899999999</v>
      </c>
    </row>
    <row r="1405" spans="1:14" x14ac:dyDescent="0.2">
      <c r="A1405" t="s">
        <v>1144</v>
      </c>
      <c r="B1405">
        <v>374360</v>
      </c>
      <c r="C1405" t="s">
        <v>14</v>
      </c>
      <c r="D1405" t="s">
        <v>1145</v>
      </c>
      <c r="E1405" t="s">
        <v>3092</v>
      </c>
      <c r="G1405" t="s">
        <v>3093</v>
      </c>
      <c r="J1405">
        <v>6.7484204910000001</v>
      </c>
      <c r="K1405">
        <v>0.48629166299999999</v>
      </c>
      <c r="L1405">
        <v>0.375053939</v>
      </c>
      <c r="M1405" s="21">
        <v>-1.1757867289999999</v>
      </c>
      <c r="N1405">
        <v>0.198688209</v>
      </c>
    </row>
    <row r="1406" spans="1:14" x14ac:dyDescent="0.2">
      <c r="A1406" t="s">
        <v>2149</v>
      </c>
      <c r="B1406">
        <v>143880</v>
      </c>
      <c r="C1406" t="s">
        <v>34</v>
      </c>
      <c r="D1406" t="s">
        <v>2149</v>
      </c>
      <c r="J1406">
        <v>7.0544859390000001</v>
      </c>
      <c r="K1406">
        <v>0.623000361</v>
      </c>
      <c r="L1406">
        <v>0.42866702800000001</v>
      </c>
      <c r="M1406" s="21">
        <v>-1.1759260890000001</v>
      </c>
      <c r="N1406">
        <v>0.19797226400000001</v>
      </c>
    </row>
    <row r="1407" spans="1:14" x14ac:dyDescent="0.2">
      <c r="A1407" t="s">
        <v>985</v>
      </c>
      <c r="B1407">
        <v>191240</v>
      </c>
      <c r="C1407" t="s">
        <v>28</v>
      </c>
      <c r="D1407" t="s">
        <v>985</v>
      </c>
      <c r="E1407" t="s">
        <v>3094</v>
      </c>
      <c r="G1407" t="s">
        <v>3095</v>
      </c>
      <c r="J1407">
        <v>5.8462906840000004</v>
      </c>
      <c r="K1407">
        <v>0.60615847</v>
      </c>
      <c r="L1407">
        <v>0.28550877299999999</v>
      </c>
      <c r="M1407" s="21">
        <v>-1.1763734029999999</v>
      </c>
      <c r="N1407">
        <v>0.195674243</v>
      </c>
    </row>
    <row r="1408" spans="1:14" x14ac:dyDescent="0.2">
      <c r="A1408" t="s">
        <v>175</v>
      </c>
      <c r="B1408">
        <v>309040</v>
      </c>
      <c r="C1408" t="s">
        <v>84</v>
      </c>
      <c r="D1408" t="s">
        <v>175</v>
      </c>
      <c r="E1408" t="s">
        <v>3096</v>
      </c>
      <c r="J1408">
        <v>3.600219579</v>
      </c>
      <c r="K1408">
        <v>-0.293098474</v>
      </c>
      <c r="L1408">
        <v>-0.153917466</v>
      </c>
      <c r="M1408" s="21">
        <v>-1.176395906</v>
      </c>
      <c r="N1408">
        <v>0.19555863800000001</v>
      </c>
    </row>
    <row r="1409" spans="1:14" x14ac:dyDescent="0.2">
      <c r="A1409" t="s">
        <v>2031</v>
      </c>
      <c r="B1409">
        <v>309040</v>
      </c>
      <c r="C1409" t="s">
        <v>84</v>
      </c>
      <c r="D1409" t="s">
        <v>2032</v>
      </c>
      <c r="E1409" t="s">
        <v>3097</v>
      </c>
      <c r="G1409" t="s">
        <v>3098</v>
      </c>
      <c r="J1409">
        <v>3.600219579</v>
      </c>
      <c r="K1409">
        <v>-0.293098474</v>
      </c>
      <c r="L1409">
        <v>-0.153917466</v>
      </c>
      <c r="M1409" s="21">
        <v>-1.176395906</v>
      </c>
      <c r="N1409">
        <v>0.19555863800000001</v>
      </c>
    </row>
    <row r="1410" spans="1:14" x14ac:dyDescent="0.2">
      <c r="A1410" t="s">
        <v>1703</v>
      </c>
      <c r="B1410">
        <v>309040</v>
      </c>
      <c r="C1410" t="s">
        <v>84</v>
      </c>
      <c r="D1410" t="s">
        <v>1703</v>
      </c>
      <c r="E1410" t="s">
        <v>3099</v>
      </c>
      <c r="J1410">
        <v>3.600219579</v>
      </c>
      <c r="K1410">
        <v>-0.293098474</v>
      </c>
      <c r="L1410">
        <v>-0.153917466</v>
      </c>
      <c r="M1410" s="21">
        <v>-1.176395906</v>
      </c>
      <c r="N1410">
        <v>0.19555863800000001</v>
      </c>
    </row>
    <row r="1411" spans="1:14" x14ac:dyDescent="0.2">
      <c r="A1411" t="s">
        <v>668</v>
      </c>
      <c r="B1411">
        <v>191080</v>
      </c>
      <c r="C1411" t="s">
        <v>28</v>
      </c>
      <c r="D1411" t="s">
        <v>668</v>
      </c>
      <c r="E1411" t="s">
        <v>3100</v>
      </c>
      <c r="G1411" t="s">
        <v>3101</v>
      </c>
      <c r="J1411">
        <v>5.8462906840000004</v>
      </c>
      <c r="K1411">
        <v>0.60615847</v>
      </c>
      <c r="L1411">
        <v>0.28550877299999999</v>
      </c>
      <c r="M1411" s="21">
        <v>-1.176517853</v>
      </c>
      <c r="N1411">
        <v>0.194932149</v>
      </c>
    </row>
    <row r="1412" spans="1:14" x14ac:dyDescent="0.2">
      <c r="A1412" t="s">
        <v>1155</v>
      </c>
      <c r="B1412">
        <v>343440</v>
      </c>
      <c r="C1412" t="s">
        <v>100</v>
      </c>
      <c r="D1412" t="s">
        <v>1156</v>
      </c>
      <c r="E1412" t="s">
        <v>3102</v>
      </c>
      <c r="G1412" t="s">
        <v>3103</v>
      </c>
      <c r="J1412">
        <v>5.9110743220000002</v>
      </c>
      <c r="K1412">
        <v>0.71598987199999997</v>
      </c>
      <c r="L1412">
        <v>0.29077365599999999</v>
      </c>
      <c r="M1412" s="21">
        <v>-1.1766632909999999</v>
      </c>
      <c r="N1412">
        <v>0.19418497800000001</v>
      </c>
    </row>
    <row r="1413" spans="1:14" x14ac:dyDescent="0.2">
      <c r="A1413" t="s">
        <v>295</v>
      </c>
      <c r="B1413">
        <v>343280</v>
      </c>
      <c r="C1413" t="s">
        <v>100</v>
      </c>
      <c r="D1413" t="s">
        <v>295</v>
      </c>
      <c r="E1413" t="s">
        <v>3104</v>
      </c>
      <c r="G1413" t="s">
        <v>3105</v>
      </c>
      <c r="J1413">
        <v>5.9110743220000002</v>
      </c>
      <c r="K1413">
        <v>0.71598987199999997</v>
      </c>
      <c r="L1413">
        <v>0.29077365599999999</v>
      </c>
      <c r="M1413" s="21">
        <v>-1.176822126</v>
      </c>
      <c r="N1413">
        <v>0.19336898799999999</v>
      </c>
    </row>
    <row r="1414" spans="1:14" x14ac:dyDescent="0.2">
      <c r="A1414" t="s">
        <v>547</v>
      </c>
      <c r="B1414">
        <v>373280</v>
      </c>
      <c r="C1414" t="s">
        <v>14</v>
      </c>
      <c r="D1414" t="s">
        <v>548</v>
      </c>
      <c r="E1414" t="s">
        <v>3106</v>
      </c>
      <c r="G1414" t="s">
        <v>3107</v>
      </c>
      <c r="J1414">
        <v>6.7484204910000001</v>
      </c>
      <c r="K1414">
        <v>0.48629166299999999</v>
      </c>
      <c r="L1414">
        <v>0.375053939</v>
      </c>
      <c r="M1414" s="21">
        <v>-1.176970109</v>
      </c>
      <c r="N1414">
        <v>0.192608743</v>
      </c>
    </row>
    <row r="1415" spans="1:14" x14ac:dyDescent="0.2">
      <c r="A1415" t="s">
        <v>303</v>
      </c>
      <c r="B1415">
        <v>365840</v>
      </c>
      <c r="C1415" t="s">
        <v>149</v>
      </c>
      <c r="D1415" t="s">
        <v>304</v>
      </c>
      <c r="E1415" t="s">
        <v>3108</v>
      </c>
      <c r="G1415" t="s">
        <v>3109</v>
      </c>
      <c r="J1415">
        <v>5.0381074159999999</v>
      </c>
      <c r="K1415">
        <v>0.81312368999999995</v>
      </c>
      <c r="L1415">
        <v>0.16969141800000001</v>
      </c>
      <c r="M1415" s="21">
        <v>-1.177063974</v>
      </c>
      <c r="N1415">
        <v>0.19212652099999999</v>
      </c>
    </row>
    <row r="1416" spans="1:14" x14ac:dyDescent="0.2">
      <c r="A1416" t="s">
        <v>222</v>
      </c>
      <c r="B1416">
        <v>308320</v>
      </c>
      <c r="C1416" t="s">
        <v>84</v>
      </c>
      <c r="D1416" t="s">
        <v>222</v>
      </c>
      <c r="E1416" t="s">
        <v>3110</v>
      </c>
      <c r="J1416">
        <v>3.600219579</v>
      </c>
      <c r="K1416">
        <v>-0.293098474</v>
      </c>
      <c r="L1416">
        <v>-0.153917466</v>
      </c>
      <c r="M1416" s="21">
        <v>-1.17733829</v>
      </c>
      <c r="N1416">
        <v>0.19071726</v>
      </c>
    </row>
    <row r="1417" spans="1:14" x14ac:dyDescent="0.2">
      <c r="A1417" t="s">
        <v>172</v>
      </c>
      <c r="B1417">
        <v>308240</v>
      </c>
      <c r="C1417" t="s">
        <v>84</v>
      </c>
      <c r="D1417" t="s">
        <v>172</v>
      </c>
      <c r="E1417" t="s">
        <v>3111</v>
      </c>
      <c r="J1417">
        <v>3.600219579</v>
      </c>
      <c r="K1417">
        <v>-0.293098474</v>
      </c>
      <c r="L1417">
        <v>-0.153917466</v>
      </c>
      <c r="M1417" s="21">
        <v>-1.1774429989999999</v>
      </c>
      <c r="N1417">
        <v>0.19017932900000001</v>
      </c>
    </row>
    <row r="1418" spans="1:14" x14ac:dyDescent="0.2">
      <c r="A1418" t="s">
        <v>583</v>
      </c>
      <c r="B1418">
        <v>342520</v>
      </c>
      <c r="C1418" t="s">
        <v>100</v>
      </c>
      <c r="D1418" t="s">
        <v>583</v>
      </c>
      <c r="E1418" t="s">
        <v>3112</v>
      </c>
      <c r="G1418" t="s">
        <v>3113</v>
      </c>
      <c r="J1418">
        <v>5.9110743220000002</v>
      </c>
      <c r="K1418">
        <v>0.71598987199999997</v>
      </c>
      <c r="L1418">
        <v>0.29077365599999999</v>
      </c>
      <c r="M1418" s="21">
        <v>-1.177576588</v>
      </c>
      <c r="N1418">
        <v>0.18949303300000001</v>
      </c>
    </row>
    <row r="1419" spans="1:14" x14ac:dyDescent="0.2">
      <c r="A1419" t="s">
        <v>1736</v>
      </c>
      <c r="B1419">
        <v>318200</v>
      </c>
      <c r="C1419" t="s">
        <v>130</v>
      </c>
      <c r="D1419" t="s">
        <v>1736</v>
      </c>
      <c r="E1419" t="s">
        <v>3114</v>
      </c>
      <c r="G1419" t="s">
        <v>3115</v>
      </c>
      <c r="J1419">
        <v>5.1222566499999997</v>
      </c>
      <c r="K1419">
        <v>0.21422175600000001</v>
      </c>
      <c r="L1419">
        <v>0.25354511400000002</v>
      </c>
      <c r="M1419" s="21">
        <v>-1.177581473</v>
      </c>
      <c r="N1419">
        <v>0.189467935</v>
      </c>
    </row>
    <row r="1420" spans="1:14" x14ac:dyDescent="0.2">
      <c r="A1420" t="s">
        <v>202</v>
      </c>
      <c r="B1420">
        <v>308080</v>
      </c>
      <c r="C1420" t="s">
        <v>84</v>
      </c>
      <c r="D1420" t="s">
        <v>202</v>
      </c>
      <c r="E1420" t="s">
        <v>3116</v>
      </c>
      <c r="J1420">
        <v>3.600219579</v>
      </c>
      <c r="K1420">
        <v>-0.293098474</v>
      </c>
      <c r="L1420">
        <v>-0.153917466</v>
      </c>
      <c r="M1420" s="21">
        <v>-1.177652417</v>
      </c>
      <c r="N1420">
        <v>0.189103467</v>
      </c>
    </row>
    <row r="1421" spans="1:14" x14ac:dyDescent="0.2">
      <c r="A1421" t="s">
        <v>736</v>
      </c>
      <c r="B1421">
        <v>307960</v>
      </c>
      <c r="C1421" t="s">
        <v>84</v>
      </c>
      <c r="D1421" t="s">
        <v>736</v>
      </c>
      <c r="E1421" t="s">
        <v>3117</v>
      </c>
      <c r="J1421">
        <v>3.600219579</v>
      </c>
      <c r="K1421">
        <v>-0.293098474</v>
      </c>
      <c r="L1421">
        <v>-0.153917466</v>
      </c>
      <c r="M1421" s="21">
        <v>-1.1778094809999999</v>
      </c>
      <c r="N1421">
        <v>0.188296571</v>
      </c>
    </row>
    <row r="1422" spans="1:14" x14ac:dyDescent="0.2">
      <c r="A1422" t="s">
        <v>1089</v>
      </c>
      <c r="B1422">
        <v>342280</v>
      </c>
      <c r="C1422" t="s">
        <v>100</v>
      </c>
      <c r="D1422" t="s">
        <v>1089</v>
      </c>
      <c r="E1422" t="s">
        <v>3118</v>
      </c>
      <c r="G1422" t="s">
        <v>3119</v>
      </c>
      <c r="J1422">
        <v>5.9110743220000002</v>
      </c>
      <c r="K1422">
        <v>0.71598987199999997</v>
      </c>
      <c r="L1422">
        <v>0.29077365599999999</v>
      </c>
      <c r="M1422" s="21">
        <v>-1.1778148390000001</v>
      </c>
      <c r="N1422">
        <v>0.18826904699999999</v>
      </c>
    </row>
    <row r="1423" spans="1:14" x14ac:dyDescent="0.2">
      <c r="A1423" t="s">
        <v>1415</v>
      </c>
      <c r="B1423">
        <v>317880</v>
      </c>
      <c r="C1423" t="s">
        <v>130</v>
      </c>
      <c r="D1423" t="s">
        <v>1415</v>
      </c>
      <c r="E1423" t="s">
        <v>3120</v>
      </c>
      <c r="G1423" t="s">
        <v>3121</v>
      </c>
      <c r="J1423">
        <v>5.1222566499999997</v>
      </c>
      <c r="K1423">
        <v>0.21422175600000001</v>
      </c>
      <c r="L1423">
        <v>0.25354511400000002</v>
      </c>
      <c r="M1423" s="21">
        <v>-1.1778361390000001</v>
      </c>
      <c r="N1423">
        <v>0.188159623</v>
      </c>
    </row>
    <row r="1424" spans="1:14" x14ac:dyDescent="0.2">
      <c r="A1424" t="s">
        <v>541</v>
      </c>
      <c r="B1424">
        <v>141600</v>
      </c>
      <c r="C1424" t="s">
        <v>34</v>
      </c>
      <c r="D1424" t="s">
        <v>542</v>
      </c>
      <c r="E1424" t="s">
        <v>3122</v>
      </c>
      <c r="G1424" t="s">
        <v>3123</v>
      </c>
      <c r="J1424">
        <v>7.0544859390000001</v>
      </c>
      <c r="K1424">
        <v>0.623000361</v>
      </c>
      <c r="L1424">
        <v>0.42866702800000001</v>
      </c>
      <c r="M1424" s="21">
        <v>-1.1779303430000001</v>
      </c>
      <c r="N1424">
        <v>0.187675658</v>
      </c>
    </row>
    <row r="1425" spans="1:14" x14ac:dyDescent="0.2">
      <c r="A1425" t="s">
        <v>277</v>
      </c>
      <c r="B1425">
        <v>372400</v>
      </c>
      <c r="C1425" t="s">
        <v>14</v>
      </c>
      <c r="D1425" t="s">
        <v>277</v>
      </c>
      <c r="E1425" t="s">
        <v>3124</v>
      </c>
      <c r="G1425" t="s">
        <v>3125</v>
      </c>
      <c r="J1425">
        <v>6.7484204910000001</v>
      </c>
      <c r="K1425">
        <v>0.48629166299999999</v>
      </c>
      <c r="L1425">
        <v>0.375053939</v>
      </c>
      <c r="M1425" s="21">
        <v>-1.1779343440000001</v>
      </c>
      <c r="N1425">
        <v>0.18765510399999999</v>
      </c>
    </row>
    <row r="1426" spans="1:14" x14ac:dyDescent="0.2">
      <c r="A1426" t="s">
        <v>2885</v>
      </c>
      <c r="B1426">
        <v>189240</v>
      </c>
      <c r="C1426" t="s">
        <v>28</v>
      </c>
      <c r="D1426" t="s">
        <v>2885</v>
      </c>
      <c r="E1426" t="s">
        <v>3126</v>
      </c>
      <c r="G1426" t="s">
        <v>3127</v>
      </c>
      <c r="J1426">
        <v>5.8462906840000004</v>
      </c>
      <c r="K1426">
        <v>0.60615847</v>
      </c>
      <c r="L1426">
        <v>0.28550877299999999</v>
      </c>
      <c r="M1426" s="21">
        <v>-1.178179028</v>
      </c>
      <c r="N1426">
        <v>0.186398074</v>
      </c>
    </row>
    <row r="1427" spans="1:14" x14ac:dyDescent="0.2">
      <c r="A1427" t="s">
        <v>1321</v>
      </c>
      <c r="B1427">
        <v>317320</v>
      </c>
      <c r="C1427" t="s">
        <v>130</v>
      </c>
      <c r="D1427" t="s">
        <v>1321</v>
      </c>
      <c r="E1427" t="s">
        <v>3128</v>
      </c>
      <c r="G1427" t="s">
        <v>3129</v>
      </c>
      <c r="J1427">
        <v>5.1222566499999997</v>
      </c>
      <c r="K1427">
        <v>0.21422175600000001</v>
      </c>
      <c r="L1427">
        <v>0.25354511400000002</v>
      </c>
      <c r="M1427" s="21">
        <v>-1.178281803</v>
      </c>
      <c r="N1427">
        <v>0.18587007699999999</v>
      </c>
    </row>
    <row r="1428" spans="1:14" x14ac:dyDescent="0.2">
      <c r="A1428" t="s">
        <v>283</v>
      </c>
      <c r="B1428">
        <v>341600</v>
      </c>
      <c r="C1428" t="s">
        <v>100</v>
      </c>
      <c r="D1428" t="s">
        <v>284</v>
      </c>
      <c r="E1428" t="s">
        <v>3130</v>
      </c>
      <c r="G1428" t="s">
        <v>3131</v>
      </c>
      <c r="J1428">
        <v>5.9110743220000002</v>
      </c>
      <c r="K1428">
        <v>0.71598987199999997</v>
      </c>
      <c r="L1428">
        <v>0.29077365599999999</v>
      </c>
      <c r="M1428" s="21">
        <v>-1.178489884</v>
      </c>
      <c r="N1428">
        <v>0.184801087</v>
      </c>
    </row>
    <row r="1429" spans="1:14" x14ac:dyDescent="0.2">
      <c r="A1429" t="s">
        <v>1321</v>
      </c>
      <c r="B1429">
        <v>244640</v>
      </c>
      <c r="C1429" t="s">
        <v>68</v>
      </c>
      <c r="D1429" t="s">
        <v>1321</v>
      </c>
      <c r="E1429" t="s">
        <v>3132</v>
      </c>
      <c r="G1429" t="s">
        <v>3133</v>
      </c>
      <c r="J1429">
        <v>6.4561903559999996</v>
      </c>
      <c r="K1429">
        <v>0.47291064100000002</v>
      </c>
      <c r="L1429">
        <v>0.34414126499999997</v>
      </c>
      <c r="M1429" s="21">
        <v>-1.1786049300000001</v>
      </c>
      <c r="N1429">
        <v>0.18421005400000001</v>
      </c>
    </row>
    <row r="1430" spans="1:14" x14ac:dyDescent="0.2">
      <c r="A1430" t="s">
        <v>1108</v>
      </c>
      <c r="B1430">
        <v>341400</v>
      </c>
      <c r="C1430" t="s">
        <v>100</v>
      </c>
      <c r="D1430" t="s">
        <v>1109</v>
      </c>
      <c r="E1430" t="s">
        <v>3134</v>
      </c>
      <c r="G1430" t="s">
        <v>3135</v>
      </c>
      <c r="J1430">
        <v>5.9110743220000002</v>
      </c>
      <c r="K1430">
        <v>0.71598987199999997</v>
      </c>
      <c r="L1430">
        <v>0.29077365599999999</v>
      </c>
      <c r="M1430" s="21">
        <v>-1.178688427</v>
      </c>
      <c r="N1430">
        <v>0.183781099</v>
      </c>
    </row>
    <row r="1431" spans="1:14" x14ac:dyDescent="0.2">
      <c r="A1431" t="s">
        <v>1222</v>
      </c>
      <c r="B1431">
        <v>140600</v>
      </c>
      <c r="C1431" t="s">
        <v>34</v>
      </c>
      <c r="D1431" t="s">
        <v>1223</v>
      </c>
      <c r="E1431" t="s">
        <v>3136</v>
      </c>
      <c r="G1431" t="s">
        <v>3137</v>
      </c>
      <c r="J1431">
        <v>7.0544859390000001</v>
      </c>
      <c r="K1431">
        <v>0.623000361</v>
      </c>
      <c r="L1431">
        <v>0.42866702800000001</v>
      </c>
      <c r="M1431" s="21">
        <v>-1.178809402</v>
      </c>
      <c r="N1431">
        <v>0.183159603</v>
      </c>
    </row>
    <row r="1432" spans="1:14" x14ac:dyDescent="0.2">
      <c r="A1432" t="s">
        <v>2657</v>
      </c>
      <c r="B1432">
        <v>244080</v>
      </c>
      <c r="C1432" t="s">
        <v>68</v>
      </c>
      <c r="D1432" t="s">
        <v>2658</v>
      </c>
      <c r="E1432" t="s">
        <v>3138</v>
      </c>
      <c r="G1432" t="s">
        <v>3139</v>
      </c>
      <c r="J1432">
        <v>6.4561903559999996</v>
      </c>
      <c r="K1432">
        <v>0.47291064100000002</v>
      </c>
      <c r="L1432">
        <v>0.34414126499999997</v>
      </c>
      <c r="M1432" s="21">
        <v>-1.1791464789999999</v>
      </c>
      <c r="N1432">
        <v>0.181427912</v>
      </c>
    </row>
    <row r="1433" spans="1:14" x14ac:dyDescent="0.2">
      <c r="A1433" t="s">
        <v>1365</v>
      </c>
      <c r="B1433">
        <v>316120</v>
      </c>
      <c r="C1433" t="s">
        <v>130</v>
      </c>
      <c r="D1433" t="s">
        <v>1365</v>
      </c>
      <c r="E1433" t="s">
        <v>3140</v>
      </c>
      <c r="G1433" t="s">
        <v>3141</v>
      </c>
      <c r="J1433">
        <v>5.1222566499999997</v>
      </c>
      <c r="K1433">
        <v>0.21422175600000001</v>
      </c>
      <c r="L1433">
        <v>0.25354511400000002</v>
      </c>
      <c r="M1433" s="21">
        <v>-1.1792367989999999</v>
      </c>
      <c r="N1433">
        <v>0.18096390600000001</v>
      </c>
    </row>
    <row r="1434" spans="1:14" x14ac:dyDescent="0.2">
      <c r="A1434" t="s">
        <v>1736</v>
      </c>
      <c r="B1434">
        <v>187960</v>
      </c>
      <c r="C1434" t="s">
        <v>28</v>
      </c>
      <c r="D1434" t="s">
        <v>1736</v>
      </c>
      <c r="E1434" t="s">
        <v>3142</v>
      </c>
      <c r="G1434" t="s">
        <v>3143</v>
      </c>
      <c r="J1434">
        <v>5.8462906840000004</v>
      </c>
      <c r="K1434">
        <v>0.60615847</v>
      </c>
      <c r="L1434">
        <v>0.28550877299999999</v>
      </c>
      <c r="M1434" s="21">
        <v>-1.179334627</v>
      </c>
      <c r="N1434">
        <v>0.18046132600000001</v>
      </c>
    </row>
    <row r="1435" spans="1:14" x14ac:dyDescent="0.2">
      <c r="A1435" t="s">
        <v>1436</v>
      </c>
      <c r="B1435">
        <v>371040</v>
      </c>
      <c r="C1435" t="s">
        <v>14</v>
      </c>
      <c r="D1435" t="s">
        <v>1437</v>
      </c>
      <c r="E1435" t="s">
        <v>3144</v>
      </c>
      <c r="G1435" t="s">
        <v>3145</v>
      </c>
      <c r="J1435">
        <v>6.7484204910000001</v>
      </c>
      <c r="K1435">
        <v>0.48629166299999999</v>
      </c>
      <c r="L1435">
        <v>0.375053939</v>
      </c>
      <c r="M1435" s="21">
        <v>-1.1794245269999999</v>
      </c>
      <c r="N1435">
        <v>0.17999947899999999</v>
      </c>
    </row>
    <row r="1436" spans="1:14" x14ac:dyDescent="0.2">
      <c r="A1436" t="s">
        <v>2089</v>
      </c>
      <c r="B1436">
        <v>340640</v>
      </c>
      <c r="C1436" t="s">
        <v>100</v>
      </c>
      <c r="D1436" t="s">
        <v>2090</v>
      </c>
      <c r="E1436" t="s">
        <v>3146</v>
      </c>
      <c r="G1436" t="s">
        <v>3147</v>
      </c>
      <c r="J1436">
        <v>5.9110743220000002</v>
      </c>
      <c r="K1436">
        <v>0.71598987199999997</v>
      </c>
      <c r="L1436">
        <v>0.29077365599999999</v>
      </c>
      <c r="M1436" s="21">
        <v>-1.1794428889999999</v>
      </c>
      <c r="N1436">
        <v>0.17990514399999999</v>
      </c>
    </row>
    <row r="1437" spans="1:14" x14ac:dyDescent="0.2">
      <c r="A1437" t="s">
        <v>998</v>
      </c>
      <c r="B1437">
        <v>139840</v>
      </c>
      <c r="C1437" t="s">
        <v>34</v>
      </c>
      <c r="D1437" t="s">
        <v>998</v>
      </c>
      <c r="J1437">
        <v>7.0544859390000001</v>
      </c>
      <c r="K1437">
        <v>0.623000361</v>
      </c>
      <c r="L1437">
        <v>0.42866702800000001</v>
      </c>
      <c r="M1437" s="21">
        <v>-1.179477487</v>
      </c>
      <c r="N1437">
        <v>0.17972740100000001</v>
      </c>
    </row>
    <row r="1438" spans="1:14" x14ac:dyDescent="0.2">
      <c r="A1438" t="s">
        <v>2902</v>
      </c>
      <c r="B1438">
        <v>306640</v>
      </c>
      <c r="C1438" t="s">
        <v>84</v>
      </c>
      <c r="D1438" t="s">
        <v>2903</v>
      </c>
      <c r="E1438" t="s">
        <v>3148</v>
      </c>
      <c r="J1438">
        <v>3.600219579</v>
      </c>
      <c r="K1438">
        <v>-0.293098474</v>
      </c>
      <c r="L1438">
        <v>-0.153917466</v>
      </c>
      <c r="M1438" s="21">
        <v>-1.179537185</v>
      </c>
      <c r="N1438">
        <v>0.17942071200000001</v>
      </c>
    </row>
    <row r="1439" spans="1:14" x14ac:dyDescent="0.2">
      <c r="A1439" t="s">
        <v>689</v>
      </c>
      <c r="B1439">
        <v>315360</v>
      </c>
      <c r="C1439" t="s">
        <v>130</v>
      </c>
      <c r="D1439" t="s">
        <v>690</v>
      </c>
      <c r="E1439" t="s">
        <v>3149</v>
      </c>
      <c r="G1439" t="s">
        <v>3150</v>
      </c>
      <c r="J1439">
        <v>5.1222566499999997</v>
      </c>
      <c r="K1439">
        <v>0.21422175600000001</v>
      </c>
      <c r="L1439">
        <v>0.25354511400000002</v>
      </c>
      <c r="M1439" s="21">
        <v>-1.1798416300000001</v>
      </c>
      <c r="N1439">
        <v>0.177856664</v>
      </c>
    </row>
    <row r="1440" spans="1:14" x14ac:dyDescent="0.2">
      <c r="A1440" t="s">
        <v>1251</v>
      </c>
      <c r="B1440">
        <v>370520</v>
      </c>
      <c r="C1440" t="s">
        <v>14</v>
      </c>
      <c r="D1440" t="s">
        <v>1251</v>
      </c>
      <c r="E1440" t="s">
        <v>3151</v>
      </c>
      <c r="G1440" t="s">
        <v>3152</v>
      </c>
      <c r="J1440">
        <v>6.7484204910000001</v>
      </c>
      <c r="K1440">
        <v>0.48629166299999999</v>
      </c>
      <c r="L1440">
        <v>0.375053939</v>
      </c>
      <c r="M1440" s="21">
        <v>-1.1799943020000001</v>
      </c>
      <c r="N1440">
        <v>0.177072329</v>
      </c>
    </row>
    <row r="1441" spans="1:14" x14ac:dyDescent="0.2">
      <c r="A1441" t="s">
        <v>1368</v>
      </c>
      <c r="B1441">
        <v>305920</v>
      </c>
      <c r="C1441" t="s">
        <v>84</v>
      </c>
      <c r="D1441" t="s">
        <v>1368</v>
      </c>
      <c r="E1441" t="s">
        <v>3153</v>
      </c>
      <c r="J1441">
        <v>3.600219579</v>
      </c>
      <c r="K1441">
        <v>-0.293098474</v>
      </c>
      <c r="L1441">
        <v>-0.153917466</v>
      </c>
      <c r="M1441" s="21">
        <v>-1.1804795690000001</v>
      </c>
      <c r="N1441">
        <v>0.174579334</v>
      </c>
    </row>
    <row r="1442" spans="1:14" x14ac:dyDescent="0.2">
      <c r="A1442" t="s">
        <v>485</v>
      </c>
      <c r="B1442">
        <v>186360</v>
      </c>
      <c r="C1442" t="s">
        <v>28</v>
      </c>
      <c r="D1442" t="s">
        <v>486</v>
      </c>
      <c r="E1442" t="s">
        <v>3154</v>
      </c>
      <c r="G1442" t="s">
        <v>3155</v>
      </c>
      <c r="J1442">
        <v>5.8462906840000004</v>
      </c>
      <c r="K1442">
        <v>0.60615847</v>
      </c>
      <c r="L1442">
        <v>0.28550877299999999</v>
      </c>
      <c r="M1442" s="21">
        <v>-1.1807791270000001</v>
      </c>
      <c r="N1442">
        <v>0.17304038999999999</v>
      </c>
    </row>
    <row r="1443" spans="1:14" x14ac:dyDescent="0.2">
      <c r="A1443" t="s">
        <v>968</v>
      </c>
      <c r="B1443">
        <v>313800</v>
      </c>
      <c r="C1443" t="s">
        <v>130</v>
      </c>
      <c r="D1443" t="s">
        <v>969</v>
      </c>
      <c r="E1443" t="s">
        <v>3156</v>
      </c>
      <c r="G1443" t="s">
        <v>3157</v>
      </c>
      <c r="J1443">
        <v>5.1222566499999997</v>
      </c>
      <c r="K1443">
        <v>0.21422175600000001</v>
      </c>
      <c r="L1443">
        <v>0.25354511400000002</v>
      </c>
      <c r="M1443" s="21">
        <v>-1.1810831239999999</v>
      </c>
      <c r="N1443">
        <v>0.17147864199999999</v>
      </c>
    </row>
    <row r="1444" spans="1:14" x14ac:dyDescent="0.2">
      <c r="A1444" t="s">
        <v>333</v>
      </c>
      <c r="B1444">
        <v>341160</v>
      </c>
      <c r="C1444" t="s">
        <v>58</v>
      </c>
      <c r="D1444" t="s">
        <v>334</v>
      </c>
      <c r="E1444" t="s">
        <v>3158</v>
      </c>
      <c r="G1444" t="s">
        <v>3159</v>
      </c>
      <c r="J1444">
        <v>4.5363847230000003</v>
      </c>
      <c r="K1444">
        <v>0.245646371</v>
      </c>
      <c r="L1444">
        <v>7.5242279999999995E-2</v>
      </c>
      <c r="M1444" s="21">
        <v>-1.181179924</v>
      </c>
      <c r="N1444">
        <v>0.17098134400000001</v>
      </c>
    </row>
    <row r="1445" spans="1:14" x14ac:dyDescent="0.2">
      <c r="A1445" t="s">
        <v>632</v>
      </c>
      <c r="B1445">
        <v>369400</v>
      </c>
      <c r="C1445" t="s">
        <v>14</v>
      </c>
      <c r="D1445" t="s">
        <v>632</v>
      </c>
      <c r="E1445" t="s">
        <v>3160</v>
      </c>
      <c r="G1445" t="s">
        <v>3161</v>
      </c>
      <c r="J1445">
        <v>6.7484204910000001</v>
      </c>
      <c r="K1445">
        <v>0.48629166299999999</v>
      </c>
      <c r="L1445">
        <v>0.375053939</v>
      </c>
      <c r="M1445" s="21">
        <v>-1.1812215109999999</v>
      </c>
      <c r="N1445">
        <v>0.170767697</v>
      </c>
    </row>
    <row r="1446" spans="1:14" x14ac:dyDescent="0.2">
      <c r="A1446" t="s">
        <v>1321</v>
      </c>
      <c r="B1446">
        <v>369320</v>
      </c>
      <c r="C1446" t="s">
        <v>14</v>
      </c>
      <c r="D1446" t="s">
        <v>1321</v>
      </c>
      <c r="E1446" t="s">
        <v>3162</v>
      </c>
      <c r="G1446" t="s">
        <v>3163</v>
      </c>
      <c r="J1446">
        <v>6.7484204910000001</v>
      </c>
      <c r="K1446">
        <v>0.48629166299999999</v>
      </c>
      <c r="L1446">
        <v>0.375053939</v>
      </c>
      <c r="M1446" s="21">
        <v>-1.1813091689999999</v>
      </c>
      <c r="N1446">
        <v>0.170317366</v>
      </c>
    </row>
    <row r="1447" spans="1:14" x14ac:dyDescent="0.2">
      <c r="A1447" t="s">
        <v>3164</v>
      </c>
      <c r="B1447">
        <v>137680</v>
      </c>
      <c r="C1447" t="s">
        <v>34</v>
      </c>
      <c r="D1447" t="s">
        <v>3165</v>
      </c>
      <c r="E1447" t="s">
        <v>3166</v>
      </c>
      <c r="G1447" t="s">
        <v>3167</v>
      </c>
      <c r="J1447">
        <v>7.0544859390000001</v>
      </c>
      <c r="K1447">
        <v>0.623000361</v>
      </c>
      <c r="L1447">
        <v>0.42866702800000001</v>
      </c>
      <c r="M1447" s="21">
        <v>-1.181376255</v>
      </c>
      <c r="N1447">
        <v>0.16997272099999999</v>
      </c>
    </row>
    <row r="1448" spans="1:14" x14ac:dyDescent="0.2">
      <c r="A1448" t="s">
        <v>2885</v>
      </c>
      <c r="B1448">
        <v>137360</v>
      </c>
      <c r="C1448" t="s">
        <v>34</v>
      </c>
      <c r="D1448" t="s">
        <v>2885</v>
      </c>
      <c r="J1448">
        <v>7.0544859390000001</v>
      </c>
      <c r="K1448">
        <v>0.623000361</v>
      </c>
      <c r="L1448">
        <v>0.42866702800000001</v>
      </c>
      <c r="M1448" s="21">
        <v>-1.1816575540000001</v>
      </c>
      <c r="N1448">
        <v>0.16852758300000001</v>
      </c>
    </row>
    <row r="1449" spans="1:14" x14ac:dyDescent="0.2">
      <c r="A1449" t="s">
        <v>111</v>
      </c>
      <c r="B1449">
        <v>241320</v>
      </c>
      <c r="C1449" t="s">
        <v>68</v>
      </c>
      <c r="D1449" t="s">
        <v>112</v>
      </c>
      <c r="E1449" t="s">
        <v>3168</v>
      </c>
      <c r="G1449" t="s">
        <v>3169</v>
      </c>
      <c r="J1449">
        <v>6.4561903559999996</v>
      </c>
      <c r="K1449">
        <v>0.47291064100000002</v>
      </c>
      <c r="L1449">
        <v>0.34414126499999997</v>
      </c>
      <c r="M1449" s="21">
        <v>-1.181815544</v>
      </c>
      <c r="N1449">
        <v>0.16771592599999999</v>
      </c>
    </row>
    <row r="1450" spans="1:14" x14ac:dyDescent="0.2">
      <c r="A1450" t="s">
        <v>788</v>
      </c>
      <c r="B1450">
        <v>241200</v>
      </c>
      <c r="C1450" t="s">
        <v>68</v>
      </c>
      <c r="D1450" t="s">
        <v>788</v>
      </c>
      <c r="E1450" t="s">
        <v>3170</v>
      </c>
      <c r="G1450" t="s">
        <v>3171</v>
      </c>
      <c r="J1450">
        <v>6.4561903559999996</v>
      </c>
      <c r="K1450">
        <v>0.47291064100000002</v>
      </c>
      <c r="L1450">
        <v>0.34414126499999997</v>
      </c>
      <c r="M1450" s="21">
        <v>-1.1819315909999999</v>
      </c>
      <c r="N1450">
        <v>0.16711975300000001</v>
      </c>
    </row>
    <row r="1451" spans="1:14" x14ac:dyDescent="0.2">
      <c r="A1451" t="s">
        <v>1668</v>
      </c>
      <c r="B1451">
        <v>304800</v>
      </c>
      <c r="C1451" t="s">
        <v>84</v>
      </c>
      <c r="D1451" t="s">
        <v>1668</v>
      </c>
      <c r="E1451" t="s">
        <v>3172</v>
      </c>
      <c r="J1451">
        <v>3.600219579</v>
      </c>
      <c r="K1451">
        <v>-0.293098474</v>
      </c>
      <c r="L1451">
        <v>-0.153917466</v>
      </c>
      <c r="M1451" s="21">
        <v>-1.181945499</v>
      </c>
      <c r="N1451">
        <v>0.16704830200000001</v>
      </c>
    </row>
    <row r="1452" spans="1:14" x14ac:dyDescent="0.2">
      <c r="A1452" t="s">
        <v>622</v>
      </c>
      <c r="B1452">
        <v>241160</v>
      </c>
      <c r="C1452" t="s">
        <v>68</v>
      </c>
      <c r="D1452" t="s">
        <v>622</v>
      </c>
      <c r="E1452" t="s">
        <v>3173</v>
      </c>
      <c r="G1452" t="s">
        <v>3174</v>
      </c>
      <c r="J1452">
        <v>6.4561903559999996</v>
      </c>
      <c r="K1452">
        <v>0.47291064100000002</v>
      </c>
      <c r="L1452">
        <v>0.34414126499999997</v>
      </c>
      <c r="M1452" s="21">
        <v>-1.1819702729999999</v>
      </c>
      <c r="N1452">
        <v>0.166921028</v>
      </c>
    </row>
    <row r="1453" spans="1:14" x14ac:dyDescent="0.2">
      <c r="A1453" t="s">
        <v>1703</v>
      </c>
      <c r="B1453">
        <v>338000</v>
      </c>
      <c r="C1453" t="s">
        <v>100</v>
      </c>
      <c r="D1453" t="s">
        <v>1703</v>
      </c>
      <c r="E1453" t="s">
        <v>3175</v>
      </c>
      <c r="G1453" t="s">
        <v>3176</v>
      </c>
      <c r="J1453">
        <v>5.9110743220000002</v>
      </c>
      <c r="K1453">
        <v>0.71598987199999997</v>
      </c>
      <c r="L1453">
        <v>0.29077365599999999</v>
      </c>
      <c r="M1453" s="21">
        <v>-1.1820636529999999</v>
      </c>
      <c r="N1453">
        <v>0.16644129999999999</v>
      </c>
    </row>
    <row r="1454" spans="1:14" x14ac:dyDescent="0.2">
      <c r="A1454" t="s">
        <v>1764</v>
      </c>
      <c r="B1454">
        <v>312560</v>
      </c>
      <c r="C1454" t="s">
        <v>130</v>
      </c>
      <c r="D1454" t="s">
        <v>1764</v>
      </c>
      <c r="E1454" t="s">
        <v>3177</v>
      </c>
      <c r="G1454" t="s">
        <v>3178</v>
      </c>
      <c r="J1454">
        <v>5.1222566499999997</v>
      </c>
      <c r="K1454">
        <v>0.21422175600000001</v>
      </c>
      <c r="L1454">
        <v>0.25354511400000002</v>
      </c>
      <c r="M1454" s="21">
        <v>-1.1820699530000001</v>
      </c>
      <c r="N1454">
        <v>0.16640893200000001</v>
      </c>
    </row>
    <row r="1455" spans="1:14" x14ac:dyDescent="0.2">
      <c r="A1455" t="s">
        <v>1544</v>
      </c>
      <c r="B1455">
        <v>240840</v>
      </c>
      <c r="C1455" t="s">
        <v>68</v>
      </c>
      <c r="D1455" t="s">
        <v>1545</v>
      </c>
      <c r="E1455" t="s">
        <v>3179</v>
      </c>
      <c r="G1455" t="s">
        <v>3180</v>
      </c>
      <c r="J1455">
        <v>6.4561903559999996</v>
      </c>
      <c r="K1455">
        <v>0.47291064100000002</v>
      </c>
      <c r="L1455">
        <v>0.34414126499999997</v>
      </c>
      <c r="M1455" s="21">
        <v>-1.1822797300000001</v>
      </c>
      <c r="N1455">
        <v>0.16533123299999999</v>
      </c>
    </row>
    <row r="1456" spans="1:14" x14ac:dyDescent="0.2">
      <c r="A1456" t="s">
        <v>267</v>
      </c>
      <c r="B1456">
        <v>311000</v>
      </c>
      <c r="C1456" t="s">
        <v>130</v>
      </c>
      <c r="D1456" t="s">
        <v>268</v>
      </c>
      <c r="E1456" t="s">
        <v>3181</v>
      </c>
      <c r="G1456" t="s">
        <v>3182</v>
      </c>
      <c r="J1456">
        <v>5.1222566499999997</v>
      </c>
      <c r="K1456">
        <v>0.21422175600000001</v>
      </c>
      <c r="L1456">
        <v>0.25354511400000002</v>
      </c>
      <c r="M1456" s="21">
        <v>-1.183311448</v>
      </c>
      <c r="N1456">
        <v>0.160030909</v>
      </c>
    </row>
    <row r="1457" spans="1:14" x14ac:dyDescent="0.2">
      <c r="A1457" t="s">
        <v>1544</v>
      </c>
      <c r="B1457">
        <v>367400</v>
      </c>
      <c r="C1457" t="s">
        <v>14</v>
      </c>
      <c r="D1457" t="s">
        <v>1545</v>
      </c>
      <c r="E1457" t="s">
        <v>3183</v>
      </c>
      <c r="G1457" t="s">
        <v>3184</v>
      </c>
      <c r="J1457">
        <v>6.7484204910000001</v>
      </c>
      <c r="K1457">
        <v>0.48629166299999999</v>
      </c>
      <c r="L1457">
        <v>0.375053939</v>
      </c>
      <c r="M1457" s="21">
        <v>-1.183412956</v>
      </c>
      <c r="N1457">
        <v>0.15950942600000001</v>
      </c>
    </row>
    <row r="1458" spans="1:14" x14ac:dyDescent="0.2">
      <c r="A1458" t="s">
        <v>1208</v>
      </c>
      <c r="B1458">
        <v>358760</v>
      </c>
      <c r="C1458" t="s">
        <v>149</v>
      </c>
      <c r="D1458" t="s">
        <v>1208</v>
      </c>
      <c r="E1458" t="s">
        <v>3185</v>
      </c>
      <c r="G1458" t="s">
        <v>3186</v>
      </c>
      <c r="J1458">
        <v>5.0381074159999999</v>
      </c>
      <c r="K1458">
        <v>0.81312368999999995</v>
      </c>
      <c r="L1458">
        <v>0.16969141800000001</v>
      </c>
      <c r="M1458" s="21">
        <v>-1.1836102559999999</v>
      </c>
      <c r="N1458">
        <v>0.15849582200000001</v>
      </c>
    </row>
    <row r="1459" spans="1:14" x14ac:dyDescent="0.2">
      <c r="A1459" t="s">
        <v>792</v>
      </c>
      <c r="B1459">
        <v>336400</v>
      </c>
      <c r="C1459" t="s">
        <v>100</v>
      </c>
      <c r="D1459" t="s">
        <v>793</v>
      </c>
      <c r="E1459" t="s">
        <v>3187</v>
      </c>
      <c r="G1459" t="s">
        <v>3188</v>
      </c>
      <c r="J1459">
        <v>5.9110743220000002</v>
      </c>
      <c r="K1459">
        <v>0.71598987199999997</v>
      </c>
      <c r="L1459">
        <v>0.29077365599999999</v>
      </c>
      <c r="M1459" s="21">
        <v>-1.1836519940000001</v>
      </c>
      <c r="N1459">
        <v>0.15828139499999999</v>
      </c>
    </row>
    <row r="1460" spans="1:14" x14ac:dyDescent="0.2">
      <c r="A1460" t="s">
        <v>1231</v>
      </c>
      <c r="B1460">
        <v>303240</v>
      </c>
      <c r="C1460" t="s">
        <v>84</v>
      </c>
      <c r="D1460" t="s">
        <v>1231</v>
      </c>
      <c r="E1460" t="s">
        <v>3189</v>
      </c>
      <c r="J1460">
        <v>3.600219579</v>
      </c>
      <c r="K1460">
        <v>-0.293098474</v>
      </c>
      <c r="L1460">
        <v>-0.153917466</v>
      </c>
      <c r="M1460" s="21">
        <v>-1.1839873299999999</v>
      </c>
      <c r="N1460">
        <v>0.15655864999999999</v>
      </c>
    </row>
    <row r="1461" spans="1:14" x14ac:dyDescent="0.2">
      <c r="A1461" t="s">
        <v>221</v>
      </c>
      <c r="B1461">
        <v>310080</v>
      </c>
      <c r="C1461" t="s">
        <v>130</v>
      </c>
      <c r="D1461" t="s">
        <v>221</v>
      </c>
      <c r="E1461" t="s">
        <v>3190</v>
      </c>
      <c r="G1461" t="s">
        <v>3191</v>
      </c>
      <c r="J1461">
        <v>5.1222566499999997</v>
      </c>
      <c r="K1461">
        <v>0.21422175600000001</v>
      </c>
      <c r="L1461">
        <v>0.25354511400000002</v>
      </c>
      <c r="M1461" s="21">
        <v>-1.1840436110000001</v>
      </c>
      <c r="N1461">
        <v>0.156269512</v>
      </c>
    </row>
    <row r="1462" spans="1:14" x14ac:dyDescent="0.2">
      <c r="A1462" t="s">
        <v>23</v>
      </c>
      <c r="B1462">
        <v>303120</v>
      </c>
      <c r="C1462" t="s">
        <v>84</v>
      </c>
      <c r="D1462" t="s">
        <v>23</v>
      </c>
      <c r="E1462" t="s">
        <v>3192</v>
      </c>
      <c r="J1462">
        <v>3.600219579</v>
      </c>
      <c r="K1462">
        <v>-0.293098474</v>
      </c>
      <c r="L1462">
        <v>-0.153917466</v>
      </c>
      <c r="M1462" s="21">
        <v>-1.184144394</v>
      </c>
      <c r="N1462">
        <v>0.15575175299999999</v>
      </c>
    </row>
    <row r="1463" spans="1:14" x14ac:dyDescent="0.2">
      <c r="A1463" t="s">
        <v>1309</v>
      </c>
      <c r="B1463">
        <v>338000</v>
      </c>
      <c r="C1463" t="s">
        <v>58</v>
      </c>
      <c r="D1463" t="s">
        <v>1309</v>
      </c>
      <c r="E1463" t="s">
        <v>3193</v>
      </c>
      <c r="G1463" t="s">
        <v>3194</v>
      </c>
      <c r="J1463">
        <v>4.5363847230000003</v>
      </c>
      <c r="K1463">
        <v>0.245646371</v>
      </c>
      <c r="L1463">
        <v>7.5242279999999995E-2</v>
      </c>
      <c r="M1463" s="21">
        <v>-1.18423162</v>
      </c>
      <c r="N1463">
        <v>0.15530364199999999</v>
      </c>
    </row>
    <row r="1464" spans="1:14" x14ac:dyDescent="0.2">
      <c r="A1464" t="s">
        <v>1582</v>
      </c>
      <c r="B1464">
        <v>302960</v>
      </c>
      <c r="C1464" t="s">
        <v>84</v>
      </c>
      <c r="D1464" t="s">
        <v>1583</v>
      </c>
      <c r="E1464" t="s">
        <v>3195</v>
      </c>
      <c r="J1464">
        <v>3.600219579</v>
      </c>
      <c r="K1464">
        <v>-0.293098474</v>
      </c>
      <c r="L1464">
        <v>-0.153917466</v>
      </c>
      <c r="M1464" s="21">
        <v>-1.184353813</v>
      </c>
      <c r="N1464">
        <v>0.15467589200000001</v>
      </c>
    </row>
    <row r="1465" spans="1:14" x14ac:dyDescent="0.2">
      <c r="A1465" t="s">
        <v>697</v>
      </c>
      <c r="B1465">
        <v>366360</v>
      </c>
      <c r="C1465" t="s">
        <v>14</v>
      </c>
      <c r="D1465" t="s">
        <v>698</v>
      </c>
      <c r="E1465" t="s">
        <v>3196</v>
      </c>
      <c r="G1465" t="s">
        <v>3197</v>
      </c>
      <c r="J1465">
        <v>6.7484204910000001</v>
      </c>
      <c r="K1465">
        <v>0.48629166299999999</v>
      </c>
      <c r="L1465">
        <v>0.375053939</v>
      </c>
      <c r="M1465" s="21">
        <v>-1.184552507</v>
      </c>
      <c r="N1465">
        <v>0.153655125</v>
      </c>
    </row>
    <row r="1466" spans="1:14" x14ac:dyDescent="0.2">
      <c r="A1466" t="s">
        <v>243</v>
      </c>
      <c r="B1466">
        <v>302720</v>
      </c>
      <c r="C1466" t="s">
        <v>84</v>
      </c>
      <c r="D1466" t="s">
        <v>243</v>
      </c>
      <c r="E1466" t="s">
        <v>3198</v>
      </c>
      <c r="J1466">
        <v>3.600219579</v>
      </c>
      <c r="K1466">
        <v>-0.293098474</v>
      </c>
      <c r="L1466">
        <v>-0.153917466</v>
      </c>
      <c r="M1466" s="21">
        <v>-1.1846679410000001</v>
      </c>
      <c r="N1466">
        <v>0.15306209900000001</v>
      </c>
    </row>
    <row r="1467" spans="1:14" x14ac:dyDescent="0.2">
      <c r="A1467" t="s">
        <v>625</v>
      </c>
      <c r="B1467">
        <v>335360</v>
      </c>
      <c r="C1467" t="s">
        <v>100</v>
      </c>
      <c r="D1467" t="s">
        <v>625</v>
      </c>
      <c r="E1467" t="s">
        <v>3199</v>
      </c>
      <c r="G1467" t="s">
        <v>3200</v>
      </c>
      <c r="J1467">
        <v>5.9110743220000002</v>
      </c>
      <c r="K1467">
        <v>0.71598987199999997</v>
      </c>
      <c r="L1467">
        <v>0.29077365599999999</v>
      </c>
      <c r="M1467" s="21">
        <v>-1.1846844160000001</v>
      </c>
      <c r="N1467">
        <v>0.15297745700000001</v>
      </c>
    </row>
    <row r="1468" spans="1:14" x14ac:dyDescent="0.2">
      <c r="A1468" t="s">
        <v>689</v>
      </c>
      <c r="B1468">
        <v>337480</v>
      </c>
      <c r="C1468" t="s">
        <v>58</v>
      </c>
      <c r="D1468" t="s">
        <v>690</v>
      </c>
      <c r="E1468" t="s">
        <v>3201</v>
      </c>
      <c r="G1468" t="s">
        <v>3202</v>
      </c>
      <c r="J1468">
        <v>4.5363847230000003</v>
      </c>
      <c r="K1468">
        <v>0.245646371</v>
      </c>
      <c r="L1468">
        <v>7.5242279999999995E-2</v>
      </c>
      <c r="M1468" s="21">
        <v>-1.1847337979999999</v>
      </c>
      <c r="N1468">
        <v>0.15272376700000001</v>
      </c>
    </row>
    <row r="1469" spans="1:14" x14ac:dyDescent="0.2">
      <c r="A1469" t="s">
        <v>1394</v>
      </c>
      <c r="B1469">
        <v>335280</v>
      </c>
      <c r="C1469" t="s">
        <v>100</v>
      </c>
      <c r="D1469" t="s">
        <v>1394</v>
      </c>
      <c r="E1469" t="s">
        <v>3203</v>
      </c>
      <c r="G1469" t="s">
        <v>3204</v>
      </c>
      <c r="J1469">
        <v>5.9110743220000002</v>
      </c>
      <c r="K1469">
        <v>0.71598987199999997</v>
      </c>
      <c r="L1469">
        <v>0.29077365599999999</v>
      </c>
      <c r="M1469" s="21">
        <v>-1.1847638330000001</v>
      </c>
      <c r="N1469">
        <v>0.15256946199999999</v>
      </c>
    </row>
    <row r="1470" spans="1:14" x14ac:dyDescent="0.2">
      <c r="A1470" t="s">
        <v>1747</v>
      </c>
      <c r="B1470">
        <v>335240</v>
      </c>
      <c r="C1470" t="s">
        <v>100</v>
      </c>
      <c r="D1470" t="s">
        <v>1747</v>
      </c>
      <c r="E1470" t="s">
        <v>3205</v>
      </c>
      <c r="G1470" t="s">
        <v>3206</v>
      </c>
      <c r="J1470">
        <v>5.9110743220000002</v>
      </c>
      <c r="K1470">
        <v>0.71598987199999997</v>
      </c>
      <c r="L1470">
        <v>0.29077365599999999</v>
      </c>
      <c r="M1470" s="21">
        <v>-1.184803542</v>
      </c>
      <c r="N1470">
        <v>0.15236546400000001</v>
      </c>
    </row>
    <row r="1471" spans="1:14" x14ac:dyDescent="0.2">
      <c r="A1471" t="s">
        <v>1260</v>
      </c>
      <c r="B1471">
        <v>302480</v>
      </c>
      <c r="C1471" t="s">
        <v>84</v>
      </c>
      <c r="D1471" t="s">
        <v>1260</v>
      </c>
      <c r="E1471" t="s">
        <v>3207</v>
      </c>
      <c r="J1471">
        <v>3.600219579</v>
      </c>
      <c r="K1471">
        <v>-0.293098474</v>
      </c>
      <c r="L1471">
        <v>-0.153917466</v>
      </c>
      <c r="M1471" s="21">
        <v>-1.1849820689999999</v>
      </c>
      <c r="N1471">
        <v>0.151448306</v>
      </c>
    </row>
    <row r="1472" spans="1:14" x14ac:dyDescent="0.2">
      <c r="A1472" t="s">
        <v>529</v>
      </c>
      <c r="B1472">
        <v>334920</v>
      </c>
      <c r="C1472" t="s">
        <v>100</v>
      </c>
      <c r="D1472" t="s">
        <v>529</v>
      </c>
      <c r="E1472" t="s">
        <v>3208</v>
      </c>
      <c r="G1472" t="s">
        <v>3209</v>
      </c>
      <c r="J1472">
        <v>5.9110743220000002</v>
      </c>
      <c r="K1472">
        <v>0.71598987199999997</v>
      </c>
      <c r="L1472">
        <v>0.29077365599999999</v>
      </c>
      <c r="M1472" s="21">
        <v>-1.1851212099999999</v>
      </c>
      <c r="N1472">
        <v>0.150733483</v>
      </c>
    </row>
    <row r="1473" spans="1:14" x14ac:dyDescent="0.2">
      <c r="A1473" t="s">
        <v>435</v>
      </c>
      <c r="B1473">
        <v>302120</v>
      </c>
      <c r="C1473" t="s">
        <v>84</v>
      </c>
      <c r="D1473" t="s">
        <v>435</v>
      </c>
      <c r="E1473" t="s">
        <v>3210</v>
      </c>
      <c r="J1473">
        <v>3.600219579</v>
      </c>
      <c r="K1473">
        <v>-0.293098474</v>
      </c>
      <c r="L1473">
        <v>-0.153917466</v>
      </c>
      <c r="M1473" s="21">
        <v>-1.1854532600000001</v>
      </c>
      <c r="N1473">
        <v>0.149027617</v>
      </c>
    </row>
    <row r="1474" spans="1:14" x14ac:dyDescent="0.2">
      <c r="A1474" t="s">
        <v>560</v>
      </c>
      <c r="B1474">
        <v>336440</v>
      </c>
      <c r="C1474" t="s">
        <v>58</v>
      </c>
      <c r="D1474" t="s">
        <v>560</v>
      </c>
      <c r="E1474" t="s">
        <v>3211</v>
      </c>
      <c r="G1474" t="s">
        <v>3212</v>
      </c>
      <c r="J1474">
        <v>4.5363847230000003</v>
      </c>
      <c r="K1474">
        <v>0.245646371</v>
      </c>
      <c r="L1474">
        <v>7.5242279999999995E-2</v>
      </c>
      <c r="M1474" s="21">
        <v>-1.185738153</v>
      </c>
      <c r="N1474">
        <v>0.14756401799999999</v>
      </c>
    </row>
    <row r="1475" spans="1:14" x14ac:dyDescent="0.2">
      <c r="A1475" t="s">
        <v>392</v>
      </c>
      <c r="B1475">
        <v>356440</v>
      </c>
      <c r="C1475" t="s">
        <v>149</v>
      </c>
      <c r="D1475" t="s">
        <v>392</v>
      </c>
      <c r="E1475" t="s">
        <v>3213</v>
      </c>
      <c r="G1475" t="s">
        <v>3214</v>
      </c>
      <c r="J1475">
        <v>5.0381074159999999</v>
      </c>
      <c r="K1475">
        <v>0.81312368999999995</v>
      </c>
      <c r="L1475">
        <v>0.16969141800000001</v>
      </c>
      <c r="M1475" s="21">
        <v>-1.1857553649999999</v>
      </c>
      <c r="N1475">
        <v>0.14747559299999999</v>
      </c>
    </row>
    <row r="1476" spans="1:14" x14ac:dyDescent="0.2">
      <c r="A1476" t="s">
        <v>1368</v>
      </c>
      <c r="B1476">
        <v>307880</v>
      </c>
      <c r="C1476" t="s">
        <v>130</v>
      </c>
      <c r="D1476" t="s">
        <v>1368</v>
      </c>
      <c r="E1476" t="s">
        <v>3215</v>
      </c>
      <c r="G1476" t="s">
        <v>3216</v>
      </c>
      <c r="J1476">
        <v>5.1222566499999997</v>
      </c>
      <c r="K1476">
        <v>0.21422175600000001</v>
      </c>
      <c r="L1476">
        <v>0.25354511400000002</v>
      </c>
      <c r="M1476" s="21">
        <v>-1.185794437</v>
      </c>
      <c r="N1476">
        <v>0.147274865</v>
      </c>
    </row>
    <row r="1477" spans="1:14" x14ac:dyDescent="0.2">
      <c r="A1477" t="s">
        <v>2139</v>
      </c>
      <c r="B1477">
        <v>180680</v>
      </c>
      <c r="C1477" t="s">
        <v>28</v>
      </c>
      <c r="D1477" t="s">
        <v>2140</v>
      </c>
      <c r="E1477" t="s">
        <v>3217</v>
      </c>
      <c r="G1477" t="s">
        <v>3218</v>
      </c>
      <c r="J1477">
        <v>5.8462906840000004</v>
      </c>
      <c r="K1477">
        <v>0.60615847</v>
      </c>
      <c r="L1477">
        <v>0.28550877299999999</v>
      </c>
      <c r="M1477" s="21">
        <v>-1.185907101</v>
      </c>
      <c r="N1477">
        <v>0.14669607000000001</v>
      </c>
    </row>
    <row r="1478" spans="1:14" x14ac:dyDescent="0.2">
      <c r="A1478" t="s">
        <v>207</v>
      </c>
      <c r="B1478">
        <v>301760</v>
      </c>
      <c r="C1478" t="s">
        <v>84</v>
      </c>
      <c r="D1478" t="s">
        <v>207</v>
      </c>
      <c r="E1478" t="s">
        <v>3219</v>
      </c>
      <c r="J1478">
        <v>3.600219579</v>
      </c>
      <c r="K1478">
        <v>-0.293098474</v>
      </c>
      <c r="L1478">
        <v>-0.153917466</v>
      </c>
      <c r="M1478" s="21">
        <v>-1.1859244520000001</v>
      </c>
      <c r="N1478">
        <v>0.146606928</v>
      </c>
    </row>
    <row r="1479" spans="1:14" x14ac:dyDescent="0.2">
      <c r="A1479" t="s">
        <v>1208</v>
      </c>
      <c r="B1479">
        <v>307120</v>
      </c>
      <c r="C1479" t="s">
        <v>130</v>
      </c>
      <c r="D1479" t="s">
        <v>1208</v>
      </c>
      <c r="E1479" t="s">
        <v>3220</v>
      </c>
      <c r="G1479" t="s">
        <v>3221</v>
      </c>
      <c r="J1479">
        <v>5.1222566499999997</v>
      </c>
      <c r="K1479">
        <v>0.21422175600000001</v>
      </c>
      <c r="L1479">
        <v>0.25354511400000002</v>
      </c>
      <c r="M1479" s="21">
        <v>-1.186399268</v>
      </c>
      <c r="N1479">
        <v>0.14416762299999999</v>
      </c>
    </row>
    <row r="1480" spans="1:14" x14ac:dyDescent="0.2">
      <c r="A1480" t="s">
        <v>1521</v>
      </c>
      <c r="B1480">
        <v>236440</v>
      </c>
      <c r="C1480" t="s">
        <v>68</v>
      </c>
      <c r="D1480" t="s">
        <v>1521</v>
      </c>
      <c r="E1480" t="s">
        <v>3222</v>
      </c>
      <c r="G1480" t="s">
        <v>3223</v>
      </c>
      <c r="J1480">
        <v>6.4561903559999996</v>
      </c>
      <c r="K1480">
        <v>0.47291064100000002</v>
      </c>
      <c r="L1480">
        <v>0.34414126499999997</v>
      </c>
      <c r="M1480" s="21">
        <v>-1.1865347610000001</v>
      </c>
      <c r="N1480">
        <v>0.14347154500000001</v>
      </c>
    </row>
    <row r="1481" spans="1:14" x14ac:dyDescent="0.2">
      <c r="A1481" t="s">
        <v>2118</v>
      </c>
      <c r="B1481">
        <v>301280</v>
      </c>
      <c r="C1481" t="s">
        <v>84</v>
      </c>
      <c r="D1481" t="s">
        <v>2119</v>
      </c>
      <c r="E1481" t="s">
        <v>3224</v>
      </c>
      <c r="J1481">
        <v>3.600219579</v>
      </c>
      <c r="K1481">
        <v>-0.293098474</v>
      </c>
      <c r="L1481">
        <v>-0.153917466</v>
      </c>
      <c r="M1481" s="21">
        <v>-1.186552708</v>
      </c>
      <c r="N1481">
        <v>0.14337934299999999</v>
      </c>
    </row>
    <row r="1482" spans="1:14" x14ac:dyDescent="0.2">
      <c r="A1482" t="s">
        <v>2764</v>
      </c>
      <c r="B1482">
        <v>355280</v>
      </c>
      <c r="C1482" t="s">
        <v>149</v>
      </c>
      <c r="D1482" t="s">
        <v>2764</v>
      </c>
      <c r="E1482" t="s">
        <v>3225</v>
      </c>
      <c r="G1482" t="s">
        <v>3226</v>
      </c>
      <c r="J1482">
        <v>5.0381074159999999</v>
      </c>
      <c r="K1482">
        <v>0.81312368999999995</v>
      </c>
      <c r="L1482">
        <v>0.16969141800000001</v>
      </c>
      <c r="M1482" s="21">
        <v>-1.18682792</v>
      </c>
      <c r="N1482">
        <v>0.14196547800000001</v>
      </c>
    </row>
    <row r="1483" spans="1:14" x14ac:dyDescent="0.2">
      <c r="A1483" t="s">
        <v>804</v>
      </c>
      <c r="B1483">
        <v>301000</v>
      </c>
      <c r="C1483" t="s">
        <v>84</v>
      </c>
      <c r="D1483" t="s">
        <v>804</v>
      </c>
      <c r="E1483" t="s">
        <v>3227</v>
      </c>
      <c r="J1483">
        <v>3.600219579</v>
      </c>
      <c r="K1483">
        <v>-0.293098474</v>
      </c>
      <c r="L1483">
        <v>-0.153917466</v>
      </c>
      <c r="M1483" s="21">
        <v>-1.1869191910000001</v>
      </c>
      <c r="N1483">
        <v>0.14149658500000001</v>
      </c>
    </row>
    <row r="1484" spans="1:14" x14ac:dyDescent="0.2">
      <c r="A1484" t="s">
        <v>2270</v>
      </c>
      <c r="B1484">
        <v>364160</v>
      </c>
      <c r="C1484" t="s">
        <v>14</v>
      </c>
      <c r="D1484" t="s">
        <v>2271</v>
      </c>
      <c r="E1484" t="s">
        <v>3228</v>
      </c>
      <c r="G1484" t="s">
        <v>3229</v>
      </c>
      <c r="J1484">
        <v>6.7484204910000001</v>
      </c>
      <c r="K1484">
        <v>0.48629166299999999</v>
      </c>
      <c r="L1484">
        <v>0.375053939</v>
      </c>
      <c r="M1484" s="21">
        <v>-1.1869630959999999</v>
      </c>
      <c r="N1484">
        <v>0.14127102599999999</v>
      </c>
    </row>
    <row r="1485" spans="1:14" x14ac:dyDescent="0.2">
      <c r="A1485" t="s">
        <v>1811</v>
      </c>
      <c r="B1485">
        <v>300840</v>
      </c>
      <c r="C1485" t="s">
        <v>84</v>
      </c>
      <c r="D1485" t="s">
        <v>1811</v>
      </c>
      <c r="E1485" t="s">
        <v>3230</v>
      </c>
      <c r="J1485">
        <v>3.600219579</v>
      </c>
      <c r="K1485">
        <v>-0.293098474</v>
      </c>
      <c r="L1485">
        <v>-0.153917466</v>
      </c>
      <c r="M1485" s="21">
        <v>-1.1871286089999999</v>
      </c>
      <c r="N1485">
        <v>0.140420723</v>
      </c>
    </row>
    <row r="1486" spans="1:14" x14ac:dyDescent="0.2">
      <c r="A1486" t="s">
        <v>1811</v>
      </c>
      <c r="B1486">
        <v>179200</v>
      </c>
      <c r="C1486" t="s">
        <v>28</v>
      </c>
      <c r="D1486" t="s">
        <v>1811</v>
      </c>
      <c r="E1486" t="s">
        <v>3231</v>
      </c>
      <c r="G1486" t="s">
        <v>3232</v>
      </c>
      <c r="J1486">
        <v>5.8462906840000004</v>
      </c>
      <c r="K1486">
        <v>0.60615847</v>
      </c>
      <c r="L1486">
        <v>0.28550877299999999</v>
      </c>
      <c r="M1486" s="21">
        <v>-1.187243263</v>
      </c>
      <c r="N1486">
        <v>0.139831705</v>
      </c>
    </row>
    <row r="1487" spans="1:14" x14ac:dyDescent="0.2">
      <c r="A1487" t="s">
        <v>1335</v>
      </c>
      <c r="B1487">
        <v>334760</v>
      </c>
      <c r="C1487" t="s">
        <v>58</v>
      </c>
      <c r="D1487" t="s">
        <v>1335</v>
      </c>
      <c r="E1487" t="s">
        <v>3233</v>
      </c>
      <c r="G1487" t="s">
        <v>3234</v>
      </c>
      <c r="J1487">
        <v>4.5363847230000003</v>
      </c>
      <c r="K1487">
        <v>0.245646371</v>
      </c>
      <c r="L1487">
        <v>7.5242279999999995E-2</v>
      </c>
      <c r="M1487" s="21">
        <v>-1.1873605730000001</v>
      </c>
      <c r="N1487">
        <v>0.139229037</v>
      </c>
    </row>
    <row r="1488" spans="1:14" x14ac:dyDescent="0.2">
      <c r="A1488" t="s">
        <v>3235</v>
      </c>
      <c r="B1488">
        <v>305520</v>
      </c>
      <c r="C1488" t="s">
        <v>130</v>
      </c>
      <c r="D1488" t="s">
        <v>3236</v>
      </c>
      <c r="E1488" t="s">
        <v>3237</v>
      </c>
      <c r="G1488" t="s">
        <v>3238</v>
      </c>
      <c r="J1488">
        <v>5.1222566499999997</v>
      </c>
      <c r="K1488">
        <v>0.21422175600000001</v>
      </c>
      <c r="L1488">
        <v>0.25354511400000002</v>
      </c>
      <c r="M1488" s="21">
        <v>-1.1876725960000001</v>
      </c>
      <c r="N1488">
        <v>0.13762606199999999</v>
      </c>
    </row>
    <row r="1489" spans="1:14" x14ac:dyDescent="0.2">
      <c r="A1489" t="s">
        <v>1295</v>
      </c>
      <c r="B1489">
        <v>178640</v>
      </c>
      <c r="C1489" t="s">
        <v>28</v>
      </c>
      <c r="D1489" t="s">
        <v>1296</v>
      </c>
      <c r="E1489" t="s">
        <v>3239</v>
      </c>
      <c r="G1489" t="s">
        <v>3240</v>
      </c>
      <c r="J1489">
        <v>5.8462906840000004</v>
      </c>
      <c r="K1489">
        <v>0.60615847</v>
      </c>
      <c r="L1489">
        <v>0.28550877299999999</v>
      </c>
      <c r="M1489" s="21">
        <v>-1.1877488380000001</v>
      </c>
      <c r="N1489">
        <v>0.13723437799999999</v>
      </c>
    </row>
    <row r="1490" spans="1:14" x14ac:dyDescent="0.2">
      <c r="A1490" t="s">
        <v>985</v>
      </c>
      <c r="B1490">
        <v>331920</v>
      </c>
      <c r="C1490" t="s">
        <v>100</v>
      </c>
      <c r="D1490" t="s">
        <v>985</v>
      </c>
      <c r="E1490" t="s">
        <v>3241</v>
      </c>
      <c r="G1490" t="s">
        <v>3242</v>
      </c>
      <c r="J1490">
        <v>5.9110743220000002</v>
      </c>
      <c r="K1490">
        <v>0.71598987199999997</v>
      </c>
      <c r="L1490">
        <v>0.29077365599999999</v>
      </c>
      <c r="M1490" s="21">
        <v>-1.188099351</v>
      </c>
      <c r="N1490">
        <v>0.13543366100000001</v>
      </c>
    </row>
    <row r="1491" spans="1:14" x14ac:dyDescent="0.2">
      <c r="A1491" t="s">
        <v>1825</v>
      </c>
      <c r="B1491">
        <v>304800</v>
      </c>
      <c r="C1491" t="s">
        <v>130</v>
      </c>
      <c r="D1491" t="s">
        <v>1826</v>
      </c>
      <c r="E1491" t="s">
        <v>3243</v>
      </c>
      <c r="G1491" t="s">
        <v>3244</v>
      </c>
      <c r="J1491">
        <v>5.1222566499999997</v>
      </c>
      <c r="K1491">
        <v>0.21422175600000001</v>
      </c>
      <c r="L1491">
        <v>0.25354511400000002</v>
      </c>
      <c r="M1491" s="21">
        <v>-1.188245593</v>
      </c>
      <c r="N1491">
        <v>0.134682359</v>
      </c>
    </row>
    <row r="1492" spans="1:14" x14ac:dyDescent="0.2">
      <c r="A1492" t="s">
        <v>153</v>
      </c>
      <c r="B1492">
        <v>331520</v>
      </c>
      <c r="C1492" t="s">
        <v>100</v>
      </c>
      <c r="D1492" t="s">
        <v>153</v>
      </c>
      <c r="E1492" t="s">
        <v>3245</v>
      </c>
      <c r="G1492" t="s">
        <v>3246</v>
      </c>
      <c r="J1492">
        <v>5.9110743220000002</v>
      </c>
      <c r="K1492">
        <v>0.71598987199999997</v>
      </c>
      <c r="L1492">
        <v>0.29077365599999999</v>
      </c>
      <c r="M1492" s="21">
        <v>-1.1884964360000001</v>
      </c>
      <c r="N1492">
        <v>0.13339368400000001</v>
      </c>
    </row>
    <row r="1493" spans="1:14" x14ac:dyDescent="0.2">
      <c r="A1493" t="s">
        <v>792</v>
      </c>
      <c r="B1493">
        <v>333520</v>
      </c>
      <c r="C1493" t="s">
        <v>58</v>
      </c>
      <c r="D1493" t="s">
        <v>793</v>
      </c>
      <c r="E1493" t="s">
        <v>3247</v>
      </c>
      <c r="G1493" t="s">
        <v>3248</v>
      </c>
      <c r="J1493">
        <v>4.5363847230000003</v>
      </c>
      <c r="K1493">
        <v>0.245646371</v>
      </c>
      <c r="L1493">
        <v>7.5242279999999995E-2</v>
      </c>
      <c r="M1493" s="21">
        <v>-1.1885580739999999</v>
      </c>
      <c r="N1493">
        <v>0.13307702800000001</v>
      </c>
    </row>
    <row r="1494" spans="1:14" x14ac:dyDescent="0.2">
      <c r="A1494" t="s">
        <v>727</v>
      </c>
      <c r="B1494">
        <v>331280</v>
      </c>
      <c r="C1494" t="s">
        <v>100</v>
      </c>
      <c r="D1494" t="s">
        <v>727</v>
      </c>
      <c r="E1494" t="s">
        <v>3249</v>
      </c>
      <c r="G1494" t="s">
        <v>3250</v>
      </c>
      <c r="J1494">
        <v>5.9110743220000002</v>
      </c>
      <c r="K1494">
        <v>0.71598987199999997</v>
      </c>
      <c r="L1494">
        <v>0.29077365599999999</v>
      </c>
      <c r="M1494" s="21">
        <v>-1.188734687</v>
      </c>
      <c r="N1494">
        <v>0.132169699</v>
      </c>
    </row>
    <row r="1495" spans="1:14" x14ac:dyDescent="0.2">
      <c r="A1495" t="s">
        <v>693</v>
      </c>
      <c r="B1495">
        <v>299600</v>
      </c>
      <c r="C1495" t="s">
        <v>84</v>
      </c>
      <c r="D1495" t="s">
        <v>693</v>
      </c>
      <c r="E1495" t="s">
        <v>3251</v>
      </c>
      <c r="J1495">
        <v>3.600219579</v>
      </c>
      <c r="K1495">
        <v>-0.293098474</v>
      </c>
      <c r="L1495">
        <v>-0.153917466</v>
      </c>
      <c r="M1495" s="21">
        <v>-1.188751603</v>
      </c>
      <c r="N1495">
        <v>0.132082795</v>
      </c>
    </row>
    <row r="1496" spans="1:14" x14ac:dyDescent="0.2">
      <c r="A1496" t="s">
        <v>1065</v>
      </c>
      <c r="B1496">
        <v>299480</v>
      </c>
      <c r="C1496" t="s">
        <v>84</v>
      </c>
      <c r="D1496" t="s">
        <v>1066</v>
      </c>
      <c r="E1496" t="s">
        <v>3252</v>
      </c>
      <c r="J1496">
        <v>3.600219579</v>
      </c>
      <c r="K1496">
        <v>-0.293098474</v>
      </c>
      <c r="L1496">
        <v>-0.153917466</v>
      </c>
      <c r="M1496" s="21">
        <v>-1.188908667</v>
      </c>
      <c r="N1496">
        <v>0.131275899</v>
      </c>
    </row>
    <row r="1497" spans="1:14" x14ac:dyDescent="0.2">
      <c r="A1497" t="s">
        <v>33</v>
      </c>
      <c r="B1497">
        <v>332840</v>
      </c>
      <c r="C1497" t="s">
        <v>58</v>
      </c>
      <c r="D1497" t="s">
        <v>33</v>
      </c>
      <c r="E1497" t="s">
        <v>3253</v>
      </c>
      <c r="G1497" t="s">
        <v>3254</v>
      </c>
      <c r="J1497">
        <v>4.5363847230000003</v>
      </c>
      <c r="K1497">
        <v>0.245646371</v>
      </c>
      <c r="L1497">
        <v>7.5242279999999995E-2</v>
      </c>
      <c r="M1497" s="21">
        <v>-1.189214768</v>
      </c>
      <c r="N1497">
        <v>0.129703345</v>
      </c>
    </row>
    <row r="1498" spans="1:14" x14ac:dyDescent="0.2">
      <c r="A1498" t="s">
        <v>2911</v>
      </c>
      <c r="B1498">
        <v>332680</v>
      </c>
      <c r="C1498" t="s">
        <v>58</v>
      </c>
      <c r="D1498" t="s">
        <v>2912</v>
      </c>
      <c r="E1498" t="s">
        <v>3255</v>
      </c>
      <c r="G1498" t="s">
        <v>3256</v>
      </c>
      <c r="J1498">
        <v>4.5363847230000003</v>
      </c>
      <c r="K1498">
        <v>0.245646371</v>
      </c>
      <c r="L1498">
        <v>7.5242279999999995E-2</v>
      </c>
      <c r="M1498" s="21">
        <v>-1.1893692840000001</v>
      </c>
      <c r="N1498">
        <v>0.12890953799999999</v>
      </c>
    </row>
    <row r="1499" spans="1:14" x14ac:dyDescent="0.2">
      <c r="A1499" t="s">
        <v>1773</v>
      </c>
      <c r="B1499">
        <v>299040</v>
      </c>
      <c r="C1499" t="s">
        <v>84</v>
      </c>
      <c r="D1499" t="s">
        <v>1773</v>
      </c>
      <c r="E1499" t="s">
        <v>3257</v>
      </c>
      <c r="J1499">
        <v>3.600219579</v>
      </c>
      <c r="K1499">
        <v>-0.293098474</v>
      </c>
      <c r="L1499">
        <v>-0.153917466</v>
      </c>
      <c r="M1499" s="21">
        <v>-1.1894845679999999</v>
      </c>
      <c r="N1499">
        <v>0.12831727900000001</v>
      </c>
    </row>
    <row r="1500" spans="1:14" x14ac:dyDescent="0.2">
      <c r="A1500" t="s">
        <v>458</v>
      </c>
      <c r="B1500">
        <v>332560</v>
      </c>
      <c r="C1500" t="s">
        <v>58</v>
      </c>
      <c r="D1500" t="s">
        <v>459</v>
      </c>
      <c r="E1500" t="s">
        <v>3258</v>
      </c>
      <c r="G1500" t="s">
        <v>3259</v>
      </c>
      <c r="J1500">
        <v>4.5363847230000003</v>
      </c>
      <c r="K1500">
        <v>0.245646371</v>
      </c>
      <c r="L1500">
        <v>7.5242279999999995E-2</v>
      </c>
      <c r="M1500" s="21">
        <v>-1.1894851710000001</v>
      </c>
      <c r="N1500">
        <v>0.128314182</v>
      </c>
    </row>
    <row r="1501" spans="1:14" x14ac:dyDescent="0.2">
      <c r="A1501" t="s">
        <v>143</v>
      </c>
      <c r="B1501">
        <v>176600</v>
      </c>
      <c r="C1501" t="s">
        <v>28</v>
      </c>
      <c r="D1501" t="s">
        <v>144</v>
      </c>
      <c r="E1501" t="s">
        <v>3260</v>
      </c>
      <c r="G1501" t="s">
        <v>3261</v>
      </c>
      <c r="J1501">
        <v>5.8462906840000004</v>
      </c>
      <c r="K1501">
        <v>0.60615847</v>
      </c>
      <c r="L1501">
        <v>0.28550877299999999</v>
      </c>
      <c r="M1501" s="21">
        <v>-1.189590575</v>
      </c>
      <c r="N1501">
        <v>0.127772685</v>
      </c>
    </row>
    <row r="1502" spans="1:14" x14ac:dyDescent="0.2">
      <c r="A1502" t="s">
        <v>2341</v>
      </c>
      <c r="B1502">
        <v>128320</v>
      </c>
      <c r="C1502" t="s">
        <v>34</v>
      </c>
      <c r="D1502" t="s">
        <v>2341</v>
      </c>
      <c r="J1502">
        <v>7.0544859390000001</v>
      </c>
      <c r="K1502">
        <v>0.623000361</v>
      </c>
      <c r="L1502">
        <v>0.42866702800000001</v>
      </c>
      <c r="M1502" s="21">
        <v>-1.189604248</v>
      </c>
      <c r="N1502">
        <v>0.127702442</v>
      </c>
    </row>
    <row r="1503" spans="1:14" x14ac:dyDescent="0.2">
      <c r="A1503" t="s">
        <v>422</v>
      </c>
      <c r="B1503">
        <v>233080</v>
      </c>
      <c r="C1503" t="s">
        <v>68</v>
      </c>
      <c r="D1503" t="s">
        <v>423</v>
      </c>
      <c r="E1503" t="s">
        <v>3262</v>
      </c>
      <c r="G1503" t="s">
        <v>3263</v>
      </c>
      <c r="J1503">
        <v>6.4561903559999996</v>
      </c>
      <c r="K1503">
        <v>0.47291064100000002</v>
      </c>
      <c r="L1503">
        <v>0.34414126499999997</v>
      </c>
      <c r="M1503" s="21">
        <v>-1.189784057</v>
      </c>
      <c r="N1503">
        <v>0.126778693</v>
      </c>
    </row>
    <row r="1504" spans="1:14" x14ac:dyDescent="0.2">
      <c r="A1504" t="s">
        <v>1989</v>
      </c>
      <c r="B1504">
        <v>128000</v>
      </c>
      <c r="C1504" t="s">
        <v>34</v>
      </c>
      <c r="D1504" t="s">
        <v>1990</v>
      </c>
      <c r="E1504" t="s">
        <v>3264</v>
      </c>
      <c r="G1504" t="s">
        <v>3265</v>
      </c>
      <c r="J1504">
        <v>7.0544859390000001</v>
      </c>
      <c r="K1504">
        <v>0.623000361</v>
      </c>
      <c r="L1504">
        <v>0.42866702800000001</v>
      </c>
      <c r="M1504" s="21">
        <v>-1.189885547</v>
      </c>
      <c r="N1504">
        <v>0.12625730499999999</v>
      </c>
    </row>
    <row r="1505" spans="1:14" x14ac:dyDescent="0.2">
      <c r="A1505" t="s">
        <v>924</v>
      </c>
      <c r="B1505">
        <v>329960</v>
      </c>
      <c r="C1505" t="s">
        <v>100</v>
      </c>
      <c r="D1505" t="s">
        <v>924</v>
      </c>
      <c r="E1505" t="s">
        <v>3266</v>
      </c>
      <c r="G1505" t="s">
        <v>3267</v>
      </c>
      <c r="J1505">
        <v>5.9110743220000002</v>
      </c>
      <c r="K1505">
        <v>0.71598987199999997</v>
      </c>
      <c r="L1505">
        <v>0.29077365599999999</v>
      </c>
      <c r="M1505" s="21">
        <v>-1.190045069</v>
      </c>
      <c r="N1505">
        <v>0.125437777</v>
      </c>
    </row>
    <row r="1506" spans="1:14" x14ac:dyDescent="0.2">
      <c r="A1506" t="s">
        <v>67</v>
      </c>
      <c r="B1506">
        <v>361200</v>
      </c>
      <c r="C1506" t="s">
        <v>14</v>
      </c>
      <c r="D1506" t="s">
        <v>69</v>
      </c>
      <c r="E1506" t="s">
        <v>3268</v>
      </c>
      <c r="G1506" t="s">
        <v>3269</v>
      </c>
      <c r="J1506">
        <v>6.7484204910000001</v>
      </c>
      <c r="K1506">
        <v>0.48629166299999999</v>
      </c>
      <c r="L1506">
        <v>0.375053939</v>
      </c>
      <c r="M1506" s="21">
        <v>-1.190206434</v>
      </c>
      <c r="N1506">
        <v>0.124608785</v>
      </c>
    </row>
    <row r="1507" spans="1:14" x14ac:dyDescent="0.2">
      <c r="A1507" t="s">
        <v>839</v>
      </c>
      <c r="B1507">
        <v>298480</v>
      </c>
      <c r="C1507" t="s">
        <v>84</v>
      </c>
      <c r="D1507" t="s">
        <v>840</v>
      </c>
      <c r="E1507" t="s">
        <v>3270</v>
      </c>
      <c r="J1507">
        <v>3.600219579</v>
      </c>
      <c r="K1507">
        <v>-0.293098474</v>
      </c>
      <c r="L1507">
        <v>-0.153917466</v>
      </c>
      <c r="M1507" s="21">
        <v>-1.1902175340000001</v>
      </c>
      <c r="N1507">
        <v>0.124551763</v>
      </c>
    </row>
    <row r="1508" spans="1:14" x14ac:dyDescent="0.2">
      <c r="A1508" t="s">
        <v>1422</v>
      </c>
      <c r="B1508">
        <v>232600</v>
      </c>
      <c r="C1508" t="s">
        <v>68</v>
      </c>
      <c r="D1508" t="s">
        <v>1423</v>
      </c>
      <c r="E1508" t="s">
        <v>3271</v>
      </c>
      <c r="G1508" t="s">
        <v>3272</v>
      </c>
      <c r="J1508">
        <v>6.4561903559999996</v>
      </c>
      <c r="K1508">
        <v>0.47291064100000002</v>
      </c>
      <c r="L1508">
        <v>0.34414126499999997</v>
      </c>
      <c r="M1508" s="21">
        <v>-1.190248242</v>
      </c>
      <c r="N1508">
        <v>0.124394</v>
      </c>
    </row>
    <row r="1509" spans="1:14" x14ac:dyDescent="0.2">
      <c r="A1509" t="s">
        <v>880</v>
      </c>
      <c r="B1509">
        <v>232560</v>
      </c>
      <c r="C1509" t="s">
        <v>68</v>
      </c>
      <c r="D1509" t="s">
        <v>880</v>
      </c>
      <c r="E1509" t="s">
        <v>3273</v>
      </c>
      <c r="G1509" t="s">
        <v>3274</v>
      </c>
      <c r="J1509">
        <v>6.4561903559999996</v>
      </c>
      <c r="K1509">
        <v>0.47291064100000002</v>
      </c>
      <c r="L1509">
        <v>0.34414126499999997</v>
      </c>
      <c r="M1509" s="21">
        <v>-1.190286924</v>
      </c>
      <c r="N1509">
        <v>0.12419527599999999</v>
      </c>
    </row>
    <row r="1510" spans="1:14" x14ac:dyDescent="0.2">
      <c r="A1510" t="s">
        <v>477</v>
      </c>
      <c r="B1510">
        <v>331680</v>
      </c>
      <c r="C1510" t="s">
        <v>58</v>
      </c>
      <c r="D1510" t="s">
        <v>477</v>
      </c>
      <c r="E1510" t="s">
        <v>3275</v>
      </c>
      <c r="G1510" t="s">
        <v>3276</v>
      </c>
      <c r="J1510">
        <v>4.5363847230000003</v>
      </c>
      <c r="K1510">
        <v>0.245646371</v>
      </c>
      <c r="L1510">
        <v>7.5242279999999995E-2</v>
      </c>
      <c r="M1510" s="21">
        <v>-1.1903350100000001</v>
      </c>
      <c r="N1510">
        <v>0.12394824</v>
      </c>
    </row>
    <row r="1511" spans="1:14" x14ac:dyDescent="0.2">
      <c r="A1511" t="s">
        <v>563</v>
      </c>
      <c r="B1511">
        <v>298360</v>
      </c>
      <c r="C1511" t="s">
        <v>84</v>
      </c>
      <c r="D1511" t="s">
        <v>564</v>
      </c>
      <c r="E1511" t="s">
        <v>3277</v>
      </c>
      <c r="J1511">
        <v>3.600219579</v>
      </c>
      <c r="K1511">
        <v>-0.293098474</v>
      </c>
      <c r="L1511">
        <v>-0.153917466</v>
      </c>
      <c r="M1511" s="21">
        <v>-1.190374598</v>
      </c>
      <c r="N1511">
        <v>0.123744866</v>
      </c>
    </row>
    <row r="1512" spans="1:14" x14ac:dyDescent="0.2">
      <c r="A1512" t="s">
        <v>99</v>
      </c>
      <c r="B1512">
        <v>232320</v>
      </c>
      <c r="C1512" t="s">
        <v>68</v>
      </c>
      <c r="D1512" t="s">
        <v>101</v>
      </c>
      <c r="E1512" t="s">
        <v>3278</v>
      </c>
      <c r="G1512" t="s">
        <v>3279</v>
      </c>
      <c r="J1512">
        <v>6.4561903559999996</v>
      </c>
      <c r="K1512">
        <v>0.47291064100000002</v>
      </c>
      <c r="L1512">
        <v>0.34414126499999997</v>
      </c>
      <c r="M1512" s="21">
        <v>-1.190519017</v>
      </c>
      <c r="N1512">
        <v>0.123002929</v>
      </c>
    </row>
    <row r="1513" spans="1:14" x14ac:dyDescent="0.2">
      <c r="A1513" t="s">
        <v>1076</v>
      </c>
      <c r="B1513">
        <v>331360</v>
      </c>
      <c r="C1513" t="s">
        <v>58</v>
      </c>
      <c r="D1513" t="s">
        <v>1077</v>
      </c>
      <c r="E1513" t="s">
        <v>3280</v>
      </c>
      <c r="G1513" t="s">
        <v>3281</v>
      </c>
      <c r="J1513">
        <v>4.5363847230000003</v>
      </c>
      <c r="K1513">
        <v>0.245646371</v>
      </c>
      <c r="L1513">
        <v>7.5242279999999995E-2</v>
      </c>
      <c r="M1513" s="21">
        <v>-1.190644043</v>
      </c>
      <c r="N1513">
        <v>0.122360625</v>
      </c>
    </row>
    <row r="1514" spans="1:14" x14ac:dyDescent="0.2">
      <c r="A1514" t="s">
        <v>2657</v>
      </c>
      <c r="B1514">
        <v>351120</v>
      </c>
      <c r="C1514" t="s">
        <v>149</v>
      </c>
      <c r="D1514" t="s">
        <v>2658</v>
      </c>
      <c r="E1514" t="s">
        <v>3282</v>
      </c>
      <c r="G1514" t="s">
        <v>3283</v>
      </c>
      <c r="J1514">
        <v>5.0381074159999999</v>
      </c>
      <c r="K1514">
        <v>0.81312368999999995</v>
      </c>
      <c r="L1514">
        <v>0.16969141800000001</v>
      </c>
      <c r="M1514" s="21">
        <v>-1.190674322</v>
      </c>
      <c r="N1514">
        <v>0.122205067</v>
      </c>
    </row>
    <row r="1515" spans="1:14" x14ac:dyDescent="0.2">
      <c r="A1515" t="s">
        <v>1598</v>
      </c>
      <c r="B1515">
        <v>297920</v>
      </c>
      <c r="C1515" t="s">
        <v>84</v>
      </c>
      <c r="D1515" t="s">
        <v>1598</v>
      </c>
      <c r="E1515" t="s">
        <v>3284</v>
      </c>
      <c r="J1515">
        <v>3.600219579</v>
      </c>
      <c r="K1515">
        <v>-0.293098474</v>
      </c>
      <c r="L1515">
        <v>-0.153917466</v>
      </c>
      <c r="M1515" s="21">
        <v>-1.1909504989999999</v>
      </c>
      <c r="N1515">
        <v>0.120786247</v>
      </c>
    </row>
    <row r="1516" spans="1:14" x14ac:dyDescent="0.2">
      <c r="A1516" t="s">
        <v>202</v>
      </c>
      <c r="B1516">
        <v>350600</v>
      </c>
      <c r="C1516" t="s">
        <v>149</v>
      </c>
      <c r="D1516" t="s">
        <v>202</v>
      </c>
      <c r="E1516" t="s">
        <v>3285</v>
      </c>
      <c r="G1516" t="s">
        <v>3286</v>
      </c>
      <c r="J1516">
        <v>5.0381074159999999</v>
      </c>
      <c r="K1516">
        <v>0.81312368999999995</v>
      </c>
      <c r="L1516">
        <v>0.16969141800000001</v>
      </c>
      <c r="M1516" s="21">
        <v>-1.1911551229999999</v>
      </c>
      <c r="N1516">
        <v>0.119735016</v>
      </c>
    </row>
    <row r="1517" spans="1:14" x14ac:dyDescent="0.2">
      <c r="A1517" t="s">
        <v>2108</v>
      </c>
      <c r="B1517">
        <v>174760</v>
      </c>
      <c r="C1517" t="s">
        <v>28</v>
      </c>
      <c r="D1517" t="s">
        <v>2108</v>
      </c>
      <c r="E1517" t="s">
        <v>3287</v>
      </c>
      <c r="G1517" t="s">
        <v>3288</v>
      </c>
      <c r="J1517">
        <v>5.8462906840000004</v>
      </c>
      <c r="K1517">
        <v>0.60615847</v>
      </c>
      <c r="L1517">
        <v>0.28550877299999999</v>
      </c>
      <c r="M1517" s="21">
        <v>-1.1912517490000001</v>
      </c>
      <c r="N1517">
        <v>0.11923860999999999</v>
      </c>
    </row>
    <row r="1518" spans="1:14" x14ac:dyDescent="0.2">
      <c r="A1518" t="s">
        <v>1349</v>
      </c>
      <c r="B1518">
        <v>328720</v>
      </c>
      <c r="C1518" t="s">
        <v>100</v>
      </c>
      <c r="D1518" t="s">
        <v>1350</v>
      </c>
      <c r="E1518" t="s">
        <v>3289</v>
      </c>
      <c r="G1518" t="s">
        <v>3290</v>
      </c>
      <c r="J1518">
        <v>5.9110743220000002</v>
      </c>
      <c r="K1518">
        <v>0.71598987199999997</v>
      </c>
      <c r="L1518">
        <v>0.29077365599999999</v>
      </c>
      <c r="M1518" s="21">
        <v>-1.1912760339999999</v>
      </c>
      <c r="N1518">
        <v>0.11911384999999999</v>
      </c>
    </row>
    <row r="1519" spans="1:14" x14ac:dyDescent="0.2">
      <c r="A1519" t="s">
        <v>637</v>
      </c>
      <c r="B1519">
        <v>231240</v>
      </c>
      <c r="C1519" t="s">
        <v>68</v>
      </c>
      <c r="D1519" t="s">
        <v>637</v>
      </c>
      <c r="E1519" t="s">
        <v>3291</v>
      </c>
      <c r="G1519" t="s">
        <v>3292</v>
      </c>
      <c r="J1519">
        <v>6.4561903559999996</v>
      </c>
      <c r="K1519">
        <v>0.47291064100000002</v>
      </c>
      <c r="L1519">
        <v>0.34414126499999997</v>
      </c>
      <c r="M1519" s="21">
        <v>-1.1915634340000001</v>
      </c>
      <c r="N1519">
        <v>0.11763736900000001</v>
      </c>
    </row>
    <row r="1520" spans="1:14" x14ac:dyDescent="0.2">
      <c r="A1520" t="s">
        <v>1089</v>
      </c>
      <c r="B1520">
        <v>359400</v>
      </c>
      <c r="C1520" t="s">
        <v>14</v>
      </c>
      <c r="D1520" t="s">
        <v>1089</v>
      </c>
      <c r="E1520" t="s">
        <v>3293</v>
      </c>
      <c r="G1520" t="s">
        <v>3294</v>
      </c>
      <c r="J1520">
        <v>6.7484204910000001</v>
      </c>
      <c r="K1520">
        <v>0.48629166299999999</v>
      </c>
      <c r="L1520">
        <v>0.375053939</v>
      </c>
      <c r="M1520" s="21">
        <v>-1.1921787340000001</v>
      </c>
      <c r="N1520">
        <v>0.114476341</v>
      </c>
    </row>
    <row r="1521" spans="1:14" x14ac:dyDescent="0.2">
      <c r="A1521" t="s">
        <v>693</v>
      </c>
      <c r="B1521">
        <v>329760</v>
      </c>
      <c r="C1521" t="s">
        <v>58</v>
      </c>
      <c r="D1521" t="s">
        <v>693</v>
      </c>
      <c r="E1521" t="s">
        <v>3295</v>
      </c>
      <c r="G1521" t="s">
        <v>3296</v>
      </c>
      <c r="J1521">
        <v>4.5363847230000003</v>
      </c>
      <c r="K1521">
        <v>0.245646371</v>
      </c>
      <c r="L1521">
        <v>7.5242279999999995E-2</v>
      </c>
      <c r="M1521" s="21">
        <v>-1.192189205</v>
      </c>
      <c r="N1521">
        <v>0.114422548</v>
      </c>
    </row>
    <row r="1522" spans="1:14" x14ac:dyDescent="0.2">
      <c r="A1522" t="s">
        <v>129</v>
      </c>
      <c r="B1522">
        <v>173720</v>
      </c>
      <c r="C1522" t="s">
        <v>28</v>
      </c>
      <c r="D1522" t="s">
        <v>129</v>
      </c>
      <c r="E1522" t="s">
        <v>3297</v>
      </c>
      <c r="G1522" t="s">
        <v>3298</v>
      </c>
      <c r="J1522">
        <v>5.8462906840000004</v>
      </c>
      <c r="K1522">
        <v>0.60615847</v>
      </c>
      <c r="L1522">
        <v>0.28550877299999999</v>
      </c>
      <c r="M1522" s="21">
        <v>-1.1921906739999999</v>
      </c>
      <c r="N1522">
        <v>0.114415002</v>
      </c>
    </row>
    <row r="1523" spans="1:14" x14ac:dyDescent="0.2">
      <c r="A1523" t="s">
        <v>253</v>
      </c>
      <c r="B1523">
        <v>329480</v>
      </c>
      <c r="C1523" t="s">
        <v>58</v>
      </c>
      <c r="D1523" t="s">
        <v>254</v>
      </c>
      <c r="E1523" t="s">
        <v>3299</v>
      </c>
      <c r="G1523" t="s">
        <v>3300</v>
      </c>
      <c r="J1523">
        <v>4.5363847230000003</v>
      </c>
      <c r="K1523">
        <v>0.245646371</v>
      </c>
      <c r="L1523">
        <v>7.5242279999999995E-2</v>
      </c>
      <c r="M1523" s="21">
        <v>-1.1924596080000001</v>
      </c>
      <c r="N1523">
        <v>0.113033385</v>
      </c>
    </row>
    <row r="1524" spans="1:14" x14ac:dyDescent="0.2">
      <c r="A1524" t="s">
        <v>415</v>
      </c>
      <c r="B1524">
        <v>349000</v>
      </c>
      <c r="C1524" t="s">
        <v>149</v>
      </c>
      <c r="D1524" t="s">
        <v>415</v>
      </c>
      <c r="E1524" t="s">
        <v>3301</v>
      </c>
      <c r="G1524" t="s">
        <v>3302</v>
      </c>
      <c r="J1524">
        <v>5.0381074159999999</v>
      </c>
      <c r="K1524">
        <v>0.81312368999999995</v>
      </c>
      <c r="L1524">
        <v>0.16969141800000001</v>
      </c>
      <c r="M1524" s="21">
        <v>-1.1926345089999999</v>
      </c>
      <c r="N1524">
        <v>0.112134858</v>
      </c>
    </row>
    <row r="1525" spans="1:14" x14ac:dyDescent="0.2">
      <c r="A1525" t="s">
        <v>2149</v>
      </c>
      <c r="B1525">
        <v>329280</v>
      </c>
      <c r="C1525" t="s">
        <v>58</v>
      </c>
      <c r="D1525" t="s">
        <v>2149</v>
      </c>
      <c r="E1525" t="s">
        <v>3303</v>
      </c>
      <c r="G1525" t="s">
        <v>3304</v>
      </c>
      <c r="J1525">
        <v>4.5363847230000003</v>
      </c>
      <c r="K1525">
        <v>0.245646371</v>
      </c>
      <c r="L1525">
        <v>7.5242279999999995E-2</v>
      </c>
      <c r="M1525" s="21">
        <v>-1.192652754</v>
      </c>
      <c r="N1525">
        <v>0.11204112500000001</v>
      </c>
    </row>
    <row r="1526" spans="1:14" x14ac:dyDescent="0.2">
      <c r="A1526" t="s">
        <v>2035</v>
      </c>
      <c r="B1526">
        <v>230000</v>
      </c>
      <c r="C1526" t="s">
        <v>68</v>
      </c>
      <c r="D1526" t="s">
        <v>2035</v>
      </c>
      <c r="E1526" t="s">
        <v>3305</v>
      </c>
      <c r="G1526" t="s">
        <v>3306</v>
      </c>
      <c r="J1526">
        <v>6.4561903559999996</v>
      </c>
      <c r="K1526">
        <v>0.47291064100000002</v>
      </c>
      <c r="L1526">
        <v>0.34414126499999997</v>
      </c>
      <c r="M1526" s="21">
        <v>-1.192762579</v>
      </c>
      <c r="N1526">
        <v>0.111476912</v>
      </c>
    </row>
    <row r="1527" spans="1:14" x14ac:dyDescent="0.2">
      <c r="A1527" t="s">
        <v>1373</v>
      </c>
      <c r="B1527">
        <v>124480</v>
      </c>
      <c r="C1527" t="s">
        <v>34</v>
      </c>
      <c r="D1527" t="s">
        <v>1373</v>
      </c>
      <c r="J1527">
        <v>7.0544859390000001</v>
      </c>
      <c r="K1527">
        <v>0.623000361</v>
      </c>
      <c r="L1527">
        <v>0.42866702800000001</v>
      </c>
      <c r="M1527" s="21">
        <v>-1.192979834</v>
      </c>
      <c r="N1527">
        <v>0.110360789</v>
      </c>
    </row>
    <row r="1528" spans="1:14" x14ac:dyDescent="0.2">
      <c r="A1528" t="s">
        <v>859</v>
      </c>
      <c r="B1528">
        <v>229680</v>
      </c>
      <c r="C1528" t="s">
        <v>68</v>
      </c>
      <c r="D1528" t="s">
        <v>859</v>
      </c>
      <c r="E1528" t="s">
        <v>3307</v>
      </c>
      <c r="G1528" t="s">
        <v>3308</v>
      </c>
      <c r="J1528">
        <v>6.4561903559999996</v>
      </c>
      <c r="K1528">
        <v>0.47291064100000002</v>
      </c>
      <c r="L1528">
        <v>0.34414126499999997</v>
      </c>
      <c r="M1528" s="21">
        <v>-1.193072036</v>
      </c>
      <c r="N1528">
        <v>0.10988711700000001</v>
      </c>
    </row>
    <row r="1529" spans="1:14" x14ac:dyDescent="0.2">
      <c r="A1529" t="s">
        <v>1140</v>
      </c>
      <c r="B1529">
        <v>298560</v>
      </c>
      <c r="C1529" t="s">
        <v>130</v>
      </c>
      <c r="D1529" t="s">
        <v>1141</v>
      </c>
      <c r="E1529" t="s">
        <v>3309</v>
      </c>
      <c r="G1529" t="s">
        <v>3310</v>
      </c>
      <c r="J1529">
        <v>5.1222566499999997</v>
      </c>
      <c r="K1529">
        <v>0.21422175600000001</v>
      </c>
      <c r="L1529">
        <v>0.25354511400000002</v>
      </c>
      <c r="M1529" s="21">
        <v>-1.193211571</v>
      </c>
      <c r="N1529">
        <v>0.10917027</v>
      </c>
    </row>
    <row r="1530" spans="1:14" x14ac:dyDescent="0.2">
      <c r="A1530" t="s">
        <v>431</v>
      </c>
      <c r="B1530">
        <v>328680</v>
      </c>
      <c r="C1530" t="s">
        <v>58</v>
      </c>
      <c r="D1530" t="s">
        <v>432</v>
      </c>
      <c r="E1530" t="s">
        <v>3311</v>
      </c>
      <c r="G1530" t="s">
        <v>3312</v>
      </c>
      <c r="J1530">
        <v>4.5363847230000003</v>
      </c>
      <c r="K1530">
        <v>0.245646371</v>
      </c>
      <c r="L1530">
        <v>7.5242279999999995E-2</v>
      </c>
      <c r="M1530" s="21">
        <v>-1.19323219</v>
      </c>
      <c r="N1530">
        <v>0.10906434600000001</v>
      </c>
    </row>
    <row r="1531" spans="1:14" x14ac:dyDescent="0.2">
      <c r="A1531" t="s">
        <v>977</v>
      </c>
      <c r="B1531">
        <v>295960</v>
      </c>
      <c r="C1531" t="s">
        <v>84</v>
      </c>
      <c r="D1531" t="s">
        <v>978</v>
      </c>
      <c r="E1531" t="s">
        <v>3313</v>
      </c>
      <c r="J1531">
        <v>3.600219579</v>
      </c>
      <c r="K1531">
        <v>-0.293098474</v>
      </c>
      <c r="L1531">
        <v>-0.153917466</v>
      </c>
      <c r="M1531" s="21">
        <v>-1.1935158770000001</v>
      </c>
      <c r="N1531">
        <v>0.10760694</v>
      </c>
    </row>
    <row r="1532" spans="1:14" x14ac:dyDescent="0.2">
      <c r="A1532" t="s">
        <v>293</v>
      </c>
      <c r="B1532">
        <v>347960</v>
      </c>
      <c r="C1532" t="s">
        <v>149</v>
      </c>
      <c r="D1532" t="s">
        <v>293</v>
      </c>
      <c r="E1532" t="s">
        <v>3314</v>
      </c>
      <c r="G1532" t="s">
        <v>3315</v>
      </c>
      <c r="J1532">
        <v>5.0381074159999999</v>
      </c>
      <c r="K1532">
        <v>0.81312368999999995</v>
      </c>
      <c r="L1532">
        <v>0.16969141800000001</v>
      </c>
      <c r="M1532" s="21">
        <v>-1.193596109</v>
      </c>
      <c r="N1532">
        <v>0.107194755</v>
      </c>
    </row>
    <row r="1533" spans="1:14" x14ac:dyDescent="0.2">
      <c r="A1533" t="s">
        <v>1055</v>
      </c>
      <c r="B1533">
        <v>326360</v>
      </c>
      <c r="C1533" t="s">
        <v>100</v>
      </c>
      <c r="D1533" t="s">
        <v>1055</v>
      </c>
      <c r="E1533" t="s">
        <v>3316</v>
      </c>
      <c r="G1533" t="s">
        <v>3317</v>
      </c>
      <c r="J1533">
        <v>5.9110743220000002</v>
      </c>
      <c r="K1533">
        <v>0.71598987199999997</v>
      </c>
      <c r="L1533">
        <v>0.29077365599999999</v>
      </c>
      <c r="M1533" s="21">
        <v>-1.1936188379999999</v>
      </c>
      <c r="N1533">
        <v>0.10707799</v>
      </c>
    </row>
    <row r="1534" spans="1:14" x14ac:dyDescent="0.2">
      <c r="A1534" t="s">
        <v>2230</v>
      </c>
      <c r="B1534">
        <v>347840</v>
      </c>
      <c r="C1534" t="s">
        <v>149</v>
      </c>
      <c r="D1534" t="s">
        <v>2231</v>
      </c>
      <c r="E1534" t="s">
        <v>3318</v>
      </c>
      <c r="G1534" t="s">
        <v>3319</v>
      </c>
      <c r="J1534">
        <v>5.0381074159999999</v>
      </c>
      <c r="K1534">
        <v>0.81312368999999995</v>
      </c>
      <c r="L1534">
        <v>0.16969141800000001</v>
      </c>
      <c r="M1534" s="21">
        <v>-1.193707063</v>
      </c>
      <c r="N1534">
        <v>0.10662474299999999</v>
      </c>
    </row>
    <row r="1535" spans="1:14" x14ac:dyDescent="0.2">
      <c r="A1535" t="s">
        <v>507</v>
      </c>
      <c r="B1535">
        <v>347640</v>
      </c>
      <c r="C1535" t="s">
        <v>149</v>
      </c>
      <c r="D1535" t="s">
        <v>508</v>
      </c>
      <c r="E1535" t="s">
        <v>3320</v>
      </c>
      <c r="G1535" t="s">
        <v>3321</v>
      </c>
      <c r="J1535">
        <v>5.0381074159999999</v>
      </c>
      <c r="K1535">
        <v>0.81312368999999995</v>
      </c>
      <c r="L1535">
        <v>0.16969141800000001</v>
      </c>
      <c r="M1535" s="21">
        <v>-1.1938919859999999</v>
      </c>
      <c r="N1535">
        <v>0.105674723</v>
      </c>
    </row>
    <row r="1536" spans="1:14" x14ac:dyDescent="0.2">
      <c r="A1536" t="s">
        <v>2885</v>
      </c>
      <c r="B1536">
        <v>295640</v>
      </c>
      <c r="C1536" t="s">
        <v>84</v>
      </c>
      <c r="D1536" t="s">
        <v>2885</v>
      </c>
      <c r="E1536" t="s">
        <v>3322</v>
      </c>
      <c r="J1536">
        <v>3.600219579</v>
      </c>
      <c r="K1536">
        <v>-0.293098474</v>
      </c>
      <c r="L1536">
        <v>-0.153917466</v>
      </c>
      <c r="M1536" s="21">
        <v>-1.1939347140000001</v>
      </c>
      <c r="N1536">
        <v>0.105455217</v>
      </c>
    </row>
    <row r="1537" spans="1:14" x14ac:dyDescent="0.2">
      <c r="A1537" t="s">
        <v>405</v>
      </c>
      <c r="B1537">
        <v>171280</v>
      </c>
      <c r="C1537" t="s">
        <v>28</v>
      </c>
      <c r="D1537" t="s">
        <v>405</v>
      </c>
      <c r="E1537" t="s">
        <v>3323</v>
      </c>
      <c r="G1537" t="s">
        <v>3324</v>
      </c>
      <c r="J1537">
        <v>5.8462906840000004</v>
      </c>
      <c r="K1537">
        <v>0.60615847</v>
      </c>
      <c r="L1537">
        <v>0.28550877299999999</v>
      </c>
      <c r="M1537" s="21">
        <v>-1.194393536</v>
      </c>
      <c r="N1537">
        <v>0.103098076</v>
      </c>
    </row>
    <row r="1538" spans="1:14" x14ac:dyDescent="0.2">
      <c r="A1538" t="s">
        <v>1436</v>
      </c>
      <c r="B1538">
        <v>170800</v>
      </c>
      <c r="C1538" t="s">
        <v>28</v>
      </c>
      <c r="D1538" t="s">
        <v>1437</v>
      </c>
      <c r="E1538" t="s">
        <v>3325</v>
      </c>
      <c r="G1538" t="s">
        <v>3326</v>
      </c>
      <c r="J1538">
        <v>5.8462906840000004</v>
      </c>
      <c r="K1538">
        <v>0.60615847</v>
      </c>
      <c r="L1538">
        <v>0.28550877299999999</v>
      </c>
      <c r="M1538" s="21">
        <v>-1.194826886</v>
      </c>
      <c r="N1538">
        <v>0.100871795</v>
      </c>
    </row>
    <row r="1539" spans="1:14" x14ac:dyDescent="0.2">
      <c r="A1539" t="s">
        <v>883</v>
      </c>
      <c r="B1539">
        <v>294880</v>
      </c>
      <c r="C1539" t="s">
        <v>84</v>
      </c>
      <c r="D1539" t="s">
        <v>883</v>
      </c>
      <c r="E1539" t="s">
        <v>3327</v>
      </c>
      <c r="J1539">
        <v>3.600219579</v>
      </c>
      <c r="K1539">
        <v>-0.293098474</v>
      </c>
      <c r="L1539">
        <v>-0.153917466</v>
      </c>
      <c r="M1539" s="21">
        <v>-1.194929452</v>
      </c>
      <c r="N1539">
        <v>0.100344873</v>
      </c>
    </row>
    <row r="1540" spans="1:14" x14ac:dyDescent="0.2">
      <c r="A1540" t="s">
        <v>329</v>
      </c>
      <c r="B1540">
        <v>294720</v>
      </c>
      <c r="C1540" t="s">
        <v>84</v>
      </c>
      <c r="D1540" t="s">
        <v>329</v>
      </c>
      <c r="E1540" t="s">
        <v>3328</v>
      </c>
      <c r="J1540">
        <v>3.600219579</v>
      </c>
      <c r="K1540">
        <v>-0.293098474</v>
      </c>
      <c r="L1540">
        <v>-0.153917466</v>
      </c>
      <c r="M1540" s="21">
        <v>-1.1951388709999999</v>
      </c>
      <c r="N1540">
        <v>9.9269012000000004E-2</v>
      </c>
    </row>
    <row r="1541" spans="1:14" x14ac:dyDescent="0.2">
      <c r="A1541" t="s">
        <v>1167</v>
      </c>
      <c r="B1541">
        <v>326240</v>
      </c>
      <c r="C1541" t="s">
        <v>58</v>
      </c>
      <c r="D1541" t="s">
        <v>1168</v>
      </c>
      <c r="E1541" t="s">
        <v>3329</v>
      </c>
      <c r="G1541" t="s">
        <v>3330</v>
      </c>
      <c r="J1541">
        <v>4.5363847230000003</v>
      </c>
      <c r="K1541">
        <v>0.245646371</v>
      </c>
      <c r="L1541">
        <v>7.5242279999999995E-2</v>
      </c>
      <c r="M1541" s="21">
        <v>-1.195588562</v>
      </c>
      <c r="N1541">
        <v>9.6958779999999994E-2</v>
      </c>
    </row>
    <row r="1542" spans="1:14" x14ac:dyDescent="0.2">
      <c r="A1542" t="s">
        <v>1598</v>
      </c>
      <c r="B1542">
        <v>326200</v>
      </c>
      <c r="C1542" t="s">
        <v>58</v>
      </c>
      <c r="D1542" t="s">
        <v>1598</v>
      </c>
      <c r="E1542" t="s">
        <v>3331</v>
      </c>
      <c r="G1542" t="s">
        <v>3332</v>
      </c>
      <c r="J1542">
        <v>4.5363847230000003</v>
      </c>
      <c r="K1542">
        <v>0.245646371</v>
      </c>
      <c r="L1542">
        <v>7.5242279999999995E-2</v>
      </c>
      <c r="M1542" s="21">
        <v>-1.195627191</v>
      </c>
      <c r="N1542">
        <v>9.6760328000000007E-2</v>
      </c>
    </row>
    <row r="1543" spans="1:14" x14ac:dyDescent="0.2">
      <c r="A1543" t="s">
        <v>749</v>
      </c>
      <c r="B1543">
        <v>345520</v>
      </c>
      <c r="C1543" t="s">
        <v>149</v>
      </c>
      <c r="D1543" t="s">
        <v>749</v>
      </c>
      <c r="E1543" t="s">
        <v>3333</v>
      </c>
      <c r="G1543" t="s">
        <v>3334</v>
      </c>
      <c r="J1543">
        <v>5.0381074159999999</v>
      </c>
      <c r="K1543">
        <v>0.81312368999999995</v>
      </c>
      <c r="L1543">
        <v>0.16969141800000001</v>
      </c>
      <c r="M1543" s="21">
        <v>-1.1958521719999999</v>
      </c>
      <c r="N1543">
        <v>9.5604514000000002E-2</v>
      </c>
    </row>
    <row r="1544" spans="1:14" x14ac:dyDescent="0.2">
      <c r="A1544" t="s">
        <v>1426</v>
      </c>
      <c r="B1544">
        <v>293920</v>
      </c>
      <c r="C1544" t="s">
        <v>84</v>
      </c>
      <c r="D1544" t="s">
        <v>1426</v>
      </c>
      <c r="E1544" t="s">
        <v>3335</v>
      </c>
      <c r="J1544">
        <v>3.600219579</v>
      </c>
      <c r="K1544">
        <v>-0.293098474</v>
      </c>
      <c r="L1544">
        <v>-0.153917466</v>
      </c>
      <c r="M1544" s="21">
        <v>-1.1961859640000001</v>
      </c>
      <c r="N1544">
        <v>9.3889703000000005E-2</v>
      </c>
    </row>
    <row r="1545" spans="1:14" x14ac:dyDescent="0.2">
      <c r="A1545" t="s">
        <v>2206</v>
      </c>
      <c r="B1545">
        <v>120240</v>
      </c>
      <c r="C1545" t="s">
        <v>34</v>
      </c>
      <c r="D1545" t="s">
        <v>2207</v>
      </c>
      <c r="E1545" t="s">
        <v>3336</v>
      </c>
      <c r="G1545" t="s">
        <v>3337</v>
      </c>
      <c r="J1545">
        <v>7.0544859390000001</v>
      </c>
      <c r="K1545">
        <v>0.623000361</v>
      </c>
      <c r="L1545">
        <v>0.42866702800000001</v>
      </c>
      <c r="M1545" s="21">
        <v>-1.1967070449999999</v>
      </c>
      <c r="N1545">
        <v>9.1212715E-2</v>
      </c>
    </row>
    <row r="1546" spans="1:14" x14ac:dyDescent="0.2">
      <c r="A1546" t="s">
        <v>1330</v>
      </c>
      <c r="B1546">
        <v>324920</v>
      </c>
      <c r="C1546" t="s">
        <v>58</v>
      </c>
      <c r="D1546" t="s">
        <v>1330</v>
      </c>
      <c r="E1546" t="s">
        <v>3338</v>
      </c>
      <c r="G1546" t="s">
        <v>3339</v>
      </c>
      <c r="J1546">
        <v>4.5363847230000003</v>
      </c>
      <c r="K1546">
        <v>0.245646371</v>
      </c>
      <c r="L1546">
        <v>7.5242279999999995E-2</v>
      </c>
      <c r="M1546" s="21">
        <v>-1.1968633209999999</v>
      </c>
      <c r="N1546">
        <v>9.0409866000000005E-2</v>
      </c>
    </row>
    <row r="1547" spans="1:14" x14ac:dyDescent="0.2">
      <c r="A1547" t="s">
        <v>444</v>
      </c>
      <c r="B1547">
        <v>120040</v>
      </c>
      <c r="C1547" t="s">
        <v>34</v>
      </c>
      <c r="D1547" t="s">
        <v>445</v>
      </c>
      <c r="E1547" t="s">
        <v>3340</v>
      </c>
      <c r="G1547" t="s">
        <v>3341</v>
      </c>
      <c r="J1547">
        <v>7.0544859390000001</v>
      </c>
      <c r="K1547">
        <v>0.623000361</v>
      </c>
      <c r="L1547">
        <v>0.42866702800000001</v>
      </c>
      <c r="M1547" s="21">
        <v>-1.1968828570000001</v>
      </c>
      <c r="N1547">
        <v>9.0309502999999999E-2</v>
      </c>
    </row>
    <row r="1548" spans="1:14" x14ac:dyDescent="0.2">
      <c r="A1548" t="s">
        <v>693</v>
      </c>
      <c r="B1548">
        <v>323040</v>
      </c>
      <c r="C1548" t="s">
        <v>100</v>
      </c>
      <c r="D1548" t="s">
        <v>693</v>
      </c>
      <c r="E1548" t="s">
        <v>3342</v>
      </c>
      <c r="G1548" t="s">
        <v>3343</v>
      </c>
      <c r="J1548">
        <v>5.9110743220000002</v>
      </c>
      <c r="K1548">
        <v>0.71598987199999997</v>
      </c>
      <c r="L1548">
        <v>0.29077365599999999</v>
      </c>
      <c r="M1548" s="21">
        <v>-1.196914646</v>
      </c>
      <c r="N1548">
        <v>9.0146187000000003E-2</v>
      </c>
    </row>
    <row r="1549" spans="1:14" x14ac:dyDescent="0.2">
      <c r="A1549" t="s">
        <v>1309</v>
      </c>
      <c r="B1549">
        <v>354920</v>
      </c>
      <c r="C1549" t="s">
        <v>14</v>
      </c>
      <c r="D1549" t="s">
        <v>1309</v>
      </c>
      <c r="E1549" t="s">
        <v>3344</v>
      </c>
      <c r="G1549" t="s">
        <v>3345</v>
      </c>
      <c r="J1549">
        <v>6.7484204910000001</v>
      </c>
      <c r="K1549">
        <v>0.48629166299999999</v>
      </c>
      <c r="L1549">
        <v>0.375053939</v>
      </c>
      <c r="M1549" s="21">
        <v>-1.1970875700000001</v>
      </c>
      <c r="N1549">
        <v>8.9257813000000005E-2</v>
      </c>
    </row>
    <row r="1550" spans="1:14" x14ac:dyDescent="0.2">
      <c r="A1550" t="s">
        <v>907</v>
      </c>
      <c r="B1550">
        <v>293560</v>
      </c>
      <c r="C1550" t="s">
        <v>130</v>
      </c>
      <c r="D1550" t="s">
        <v>907</v>
      </c>
      <c r="E1550" t="s">
        <v>3346</v>
      </c>
      <c r="G1550" t="s">
        <v>3347</v>
      </c>
      <c r="J1550">
        <v>5.1222566499999997</v>
      </c>
      <c r="K1550">
        <v>0.21422175600000001</v>
      </c>
      <c r="L1550">
        <v>0.25354511400000002</v>
      </c>
      <c r="M1550" s="21">
        <v>-1.1971907209999999</v>
      </c>
      <c r="N1550">
        <v>8.8727891000000003E-2</v>
      </c>
    </row>
    <row r="1551" spans="1:14" x14ac:dyDescent="0.2">
      <c r="A1551" t="s">
        <v>929</v>
      </c>
      <c r="B1551">
        <v>293120</v>
      </c>
      <c r="C1551" t="s">
        <v>84</v>
      </c>
      <c r="D1551" t="s">
        <v>929</v>
      </c>
      <c r="E1551" t="s">
        <v>3348</v>
      </c>
      <c r="J1551">
        <v>3.600219579</v>
      </c>
      <c r="K1551">
        <v>-0.293098474</v>
      </c>
      <c r="L1551">
        <v>-0.153917466</v>
      </c>
      <c r="M1551" s="21">
        <v>-1.197233057</v>
      </c>
      <c r="N1551">
        <v>8.8510394000000006E-2</v>
      </c>
    </row>
    <row r="1552" spans="1:14" x14ac:dyDescent="0.2">
      <c r="A1552" t="s">
        <v>753</v>
      </c>
      <c r="B1552">
        <v>293120</v>
      </c>
      <c r="C1552" t="s">
        <v>84</v>
      </c>
      <c r="D1552" t="s">
        <v>753</v>
      </c>
      <c r="E1552" t="s">
        <v>3349</v>
      </c>
      <c r="J1552">
        <v>3.600219579</v>
      </c>
      <c r="K1552">
        <v>-0.293098474</v>
      </c>
      <c r="L1552">
        <v>-0.153917466</v>
      </c>
      <c r="M1552" s="21">
        <v>-1.197233057</v>
      </c>
      <c r="N1552">
        <v>8.8510394000000006E-2</v>
      </c>
    </row>
    <row r="1553" spans="1:14" x14ac:dyDescent="0.2">
      <c r="A1553" t="s">
        <v>57</v>
      </c>
      <c r="B1553">
        <v>168080</v>
      </c>
      <c r="C1553" t="s">
        <v>28</v>
      </c>
      <c r="D1553" t="s">
        <v>59</v>
      </c>
      <c r="E1553" t="s">
        <v>3350</v>
      </c>
      <c r="G1553" t="s">
        <v>3351</v>
      </c>
      <c r="J1553">
        <v>5.8462906840000004</v>
      </c>
      <c r="K1553">
        <v>0.60615847</v>
      </c>
      <c r="L1553">
        <v>0.28550877299999999</v>
      </c>
      <c r="M1553" s="21">
        <v>-1.197282535</v>
      </c>
      <c r="N1553">
        <v>8.8256205000000004E-2</v>
      </c>
    </row>
    <row r="1554" spans="1:14" x14ac:dyDescent="0.2">
      <c r="A1554" t="s">
        <v>303</v>
      </c>
      <c r="B1554">
        <v>324280</v>
      </c>
      <c r="C1554" t="s">
        <v>58</v>
      </c>
      <c r="D1554" t="s">
        <v>304</v>
      </c>
      <c r="E1554" t="s">
        <v>3352</v>
      </c>
      <c r="G1554" t="s">
        <v>3353</v>
      </c>
      <c r="J1554">
        <v>4.5363847230000003</v>
      </c>
      <c r="K1554">
        <v>0.245646371</v>
      </c>
      <c r="L1554">
        <v>7.5242279999999995E-2</v>
      </c>
      <c r="M1554" s="21">
        <v>-1.197481386</v>
      </c>
      <c r="N1554">
        <v>8.7234636000000004E-2</v>
      </c>
    </row>
    <row r="1555" spans="1:14" x14ac:dyDescent="0.2">
      <c r="A1555" t="s">
        <v>2167</v>
      </c>
      <c r="B1555">
        <v>324200</v>
      </c>
      <c r="C1555" t="s">
        <v>58</v>
      </c>
      <c r="D1555" t="s">
        <v>2168</v>
      </c>
      <c r="E1555" t="s">
        <v>3354</v>
      </c>
      <c r="G1555" t="s">
        <v>3355</v>
      </c>
      <c r="J1555">
        <v>4.5363847230000003</v>
      </c>
      <c r="K1555">
        <v>0.245646371</v>
      </c>
      <c r="L1555">
        <v>7.5242279999999995E-2</v>
      </c>
      <c r="M1555" s="21">
        <v>-1.1975586439999999</v>
      </c>
      <c r="N1555">
        <v>8.6837732000000001E-2</v>
      </c>
    </row>
    <row r="1556" spans="1:14" x14ac:dyDescent="0.2">
      <c r="A1556" t="s">
        <v>2488</v>
      </c>
      <c r="B1556">
        <v>293040</v>
      </c>
      <c r="C1556" t="s">
        <v>130</v>
      </c>
      <c r="D1556" t="s">
        <v>2488</v>
      </c>
      <c r="E1556" t="s">
        <v>3356</v>
      </c>
      <c r="G1556" t="s">
        <v>3357</v>
      </c>
      <c r="J1556">
        <v>5.1222566499999997</v>
      </c>
      <c r="K1556">
        <v>0.21422175600000001</v>
      </c>
      <c r="L1556">
        <v>0.25354511400000002</v>
      </c>
      <c r="M1556" s="21">
        <v>-1.197604552</v>
      </c>
      <c r="N1556">
        <v>8.6601883000000004E-2</v>
      </c>
    </row>
    <row r="1557" spans="1:14" x14ac:dyDescent="0.2">
      <c r="A1557" t="s">
        <v>1683</v>
      </c>
      <c r="B1557">
        <v>292960</v>
      </c>
      <c r="C1557" t="s">
        <v>130</v>
      </c>
      <c r="D1557" t="s">
        <v>1683</v>
      </c>
      <c r="E1557" t="s">
        <v>3358</v>
      </c>
      <c r="G1557" t="s">
        <v>3359</v>
      </c>
      <c r="J1557">
        <v>5.1222566499999997</v>
      </c>
      <c r="K1557">
        <v>0.21422175600000001</v>
      </c>
      <c r="L1557">
        <v>0.25354511400000002</v>
      </c>
      <c r="M1557" s="21">
        <v>-1.1976682190000001</v>
      </c>
      <c r="N1557">
        <v>8.6274804999999996E-2</v>
      </c>
    </row>
    <row r="1558" spans="1:14" x14ac:dyDescent="0.2">
      <c r="A1558" t="s">
        <v>2167</v>
      </c>
      <c r="B1558">
        <v>322080</v>
      </c>
      <c r="C1558" t="s">
        <v>100</v>
      </c>
      <c r="D1558" t="s">
        <v>2168</v>
      </c>
      <c r="E1558" t="s">
        <v>3360</v>
      </c>
      <c r="G1558" t="s">
        <v>3361</v>
      </c>
      <c r="J1558">
        <v>5.9110743220000002</v>
      </c>
      <c r="K1558">
        <v>0.71598987199999997</v>
      </c>
      <c r="L1558">
        <v>0.29077365599999999</v>
      </c>
      <c r="M1558" s="21">
        <v>-1.1978676509999999</v>
      </c>
      <c r="N1558">
        <v>8.5250244000000003E-2</v>
      </c>
    </row>
    <row r="1559" spans="1:14" x14ac:dyDescent="0.2">
      <c r="A1559" t="s">
        <v>2348</v>
      </c>
      <c r="B1559">
        <v>167000</v>
      </c>
      <c r="C1559" t="s">
        <v>28</v>
      </c>
      <c r="D1559" t="s">
        <v>2348</v>
      </c>
      <c r="E1559" t="s">
        <v>3362</v>
      </c>
      <c r="G1559" t="s">
        <v>3363</v>
      </c>
      <c r="J1559">
        <v>5.8462906840000004</v>
      </c>
      <c r="K1559">
        <v>0.60615847</v>
      </c>
      <c r="L1559">
        <v>0.28550877299999999</v>
      </c>
      <c r="M1559" s="21">
        <v>-1.1982575719999999</v>
      </c>
      <c r="N1559">
        <v>8.3247074000000004E-2</v>
      </c>
    </row>
    <row r="1560" spans="1:14" x14ac:dyDescent="0.2">
      <c r="A1560" t="s">
        <v>397</v>
      </c>
      <c r="B1560">
        <v>292280</v>
      </c>
      <c r="C1560" t="s">
        <v>84</v>
      </c>
      <c r="D1560" t="s">
        <v>397</v>
      </c>
      <c r="E1560" t="s">
        <v>3364</v>
      </c>
      <c r="J1560">
        <v>3.600219579</v>
      </c>
      <c r="K1560">
        <v>-0.293098474</v>
      </c>
      <c r="L1560">
        <v>-0.153917466</v>
      </c>
      <c r="M1560" s="21">
        <v>-1.1983325039999999</v>
      </c>
      <c r="N1560">
        <v>8.2862119999999997E-2</v>
      </c>
    </row>
    <row r="1561" spans="1:14" x14ac:dyDescent="0.2">
      <c r="A1561" t="s">
        <v>1174</v>
      </c>
      <c r="B1561">
        <v>292040</v>
      </c>
      <c r="C1561" t="s">
        <v>84</v>
      </c>
      <c r="D1561" t="s">
        <v>1174</v>
      </c>
      <c r="E1561" t="s">
        <v>3365</v>
      </c>
      <c r="J1561">
        <v>3.600219579</v>
      </c>
      <c r="K1561">
        <v>-0.293098474</v>
      </c>
      <c r="L1561">
        <v>-0.153917466</v>
      </c>
      <c r="M1561" s="21">
        <v>-1.198646632</v>
      </c>
      <c r="N1561">
        <v>8.1248326999999995E-2</v>
      </c>
    </row>
    <row r="1562" spans="1:14" x14ac:dyDescent="0.2">
      <c r="A1562" t="s">
        <v>400</v>
      </c>
      <c r="B1562">
        <v>118000</v>
      </c>
      <c r="C1562" t="s">
        <v>34</v>
      </c>
      <c r="D1562" t="s">
        <v>400</v>
      </c>
      <c r="J1562">
        <v>7.0544859390000001</v>
      </c>
      <c r="K1562">
        <v>0.623000361</v>
      </c>
      <c r="L1562">
        <v>0.42866702800000001</v>
      </c>
      <c r="M1562" s="21">
        <v>-1.1986761370000001</v>
      </c>
      <c r="N1562">
        <v>8.1096749999999995E-2</v>
      </c>
    </row>
    <row r="1563" spans="1:14" x14ac:dyDescent="0.2">
      <c r="A1563" t="s">
        <v>1484</v>
      </c>
      <c r="B1563">
        <v>223680</v>
      </c>
      <c r="C1563" t="s">
        <v>68</v>
      </c>
      <c r="D1563" t="s">
        <v>1484</v>
      </c>
      <c r="E1563" t="s">
        <v>3366</v>
      </c>
      <c r="G1563" t="s">
        <v>3367</v>
      </c>
      <c r="J1563">
        <v>6.4561903559999996</v>
      </c>
      <c r="K1563">
        <v>0.47291064100000002</v>
      </c>
      <c r="L1563">
        <v>0.34414126499999997</v>
      </c>
      <c r="M1563" s="21">
        <v>-1.1988743509999999</v>
      </c>
      <c r="N1563">
        <v>8.0078451999999994E-2</v>
      </c>
    </row>
    <row r="1564" spans="1:14" x14ac:dyDescent="0.2">
      <c r="A1564" t="s">
        <v>236</v>
      </c>
      <c r="B1564">
        <v>342240</v>
      </c>
      <c r="C1564" t="s">
        <v>149</v>
      </c>
      <c r="D1564" t="s">
        <v>236</v>
      </c>
      <c r="E1564" t="s">
        <v>3368</v>
      </c>
      <c r="G1564" t="s">
        <v>3369</v>
      </c>
      <c r="J1564">
        <v>5.0381074159999999</v>
      </c>
      <c r="K1564">
        <v>0.81312368999999995</v>
      </c>
      <c r="L1564">
        <v>0.16969141800000001</v>
      </c>
      <c r="M1564" s="21">
        <v>-1.1988849130000001</v>
      </c>
      <c r="N1564">
        <v>8.0024189999999995E-2</v>
      </c>
    </row>
    <row r="1565" spans="1:14" x14ac:dyDescent="0.2">
      <c r="A1565" t="s">
        <v>1373</v>
      </c>
      <c r="B1565">
        <v>353160</v>
      </c>
      <c r="C1565" t="s">
        <v>14</v>
      </c>
      <c r="D1565" t="s">
        <v>1373</v>
      </c>
      <c r="E1565" t="s">
        <v>3370</v>
      </c>
      <c r="G1565" t="s">
        <v>3371</v>
      </c>
      <c r="J1565">
        <v>6.7484204910000001</v>
      </c>
      <c r="K1565">
        <v>0.48629166299999999</v>
      </c>
      <c r="L1565">
        <v>0.375053939</v>
      </c>
      <c r="M1565" s="21">
        <v>-1.1990160409999999</v>
      </c>
      <c r="N1565">
        <v>7.9350535E-2</v>
      </c>
    </row>
    <row r="1566" spans="1:14" x14ac:dyDescent="0.2">
      <c r="A1566" t="s">
        <v>1729</v>
      </c>
      <c r="B1566">
        <v>322680</v>
      </c>
      <c r="C1566" t="s">
        <v>58</v>
      </c>
      <c r="D1566" t="s">
        <v>1729</v>
      </c>
      <c r="E1566" t="s">
        <v>3372</v>
      </c>
      <c r="G1566" t="s">
        <v>3373</v>
      </c>
      <c r="J1566">
        <v>4.5363847230000003</v>
      </c>
      <c r="K1566">
        <v>0.245646371</v>
      </c>
      <c r="L1566">
        <v>7.5242279999999995E-2</v>
      </c>
      <c r="M1566" s="21">
        <v>-1.199026548</v>
      </c>
      <c r="N1566">
        <v>7.9296559000000003E-2</v>
      </c>
    </row>
    <row r="1567" spans="1:14" x14ac:dyDescent="0.2">
      <c r="A1567" t="s">
        <v>759</v>
      </c>
      <c r="B1567">
        <v>291200</v>
      </c>
      <c r="C1567" t="s">
        <v>130</v>
      </c>
      <c r="D1567" t="s">
        <v>760</v>
      </c>
      <c r="E1567" t="s">
        <v>3374</v>
      </c>
      <c r="G1567" t="s">
        <v>3375</v>
      </c>
      <c r="J1567">
        <v>5.1222566499999997</v>
      </c>
      <c r="K1567">
        <v>0.21422175600000001</v>
      </c>
      <c r="L1567">
        <v>0.25354511400000002</v>
      </c>
      <c r="M1567" s="21">
        <v>-1.1990688789999999</v>
      </c>
      <c r="N1567">
        <v>7.9079088000000006E-2</v>
      </c>
    </row>
    <row r="1568" spans="1:14" x14ac:dyDescent="0.2">
      <c r="A1568" t="s">
        <v>1336</v>
      </c>
      <c r="B1568">
        <v>291640</v>
      </c>
      <c r="C1568" t="s">
        <v>84</v>
      </c>
      <c r="D1568" t="s">
        <v>1336</v>
      </c>
      <c r="E1568" t="s">
        <v>3376</v>
      </c>
      <c r="J1568">
        <v>3.600219579</v>
      </c>
      <c r="K1568">
        <v>-0.293098474</v>
      </c>
      <c r="L1568">
        <v>-0.153917466</v>
      </c>
      <c r="M1568" s="21">
        <v>-1.199170179</v>
      </c>
      <c r="N1568">
        <v>7.8558672999999996E-2</v>
      </c>
    </row>
    <row r="1569" spans="1:14" x14ac:dyDescent="0.2">
      <c r="A1569" t="s">
        <v>1123</v>
      </c>
      <c r="B1569">
        <v>291040</v>
      </c>
      <c r="C1569" t="s">
        <v>130</v>
      </c>
      <c r="D1569" t="s">
        <v>1123</v>
      </c>
      <c r="E1569" t="s">
        <v>3377</v>
      </c>
      <c r="G1569" t="s">
        <v>3378</v>
      </c>
      <c r="J1569">
        <v>5.1222566499999997</v>
      </c>
      <c r="K1569">
        <v>0.21422175600000001</v>
      </c>
      <c r="L1569">
        <v>0.25354511400000002</v>
      </c>
      <c r="M1569" s="21">
        <v>-1.1991962119999999</v>
      </c>
      <c r="N1569">
        <v>7.8424932000000003E-2</v>
      </c>
    </row>
    <row r="1570" spans="1:14" x14ac:dyDescent="0.2">
      <c r="A1570" t="s">
        <v>788</v>
      </c>
      <c r="B1570">
        <v>290880</v>
      </c>
      <c r="C1570" t="s">
        <v>130</v>
      </c>
      <c r="D1570" t="s">
        <v>788</v>
      </c>
      <c r="E1570" t="s">
        <v>3379</v>
      </c>
      <c r="G1570" t="s">
        <v>3380</v>
      </c>
      <c r="J1570">
        <v>5.1222566499999997</v>
      </c>
      <c r="K1570">
        <v>0.21422175600000001</v>
      </c>
      <c r="L1570">
        <v>0.25354511400000002</v>
      </c>
      <c r="M1570" s="21">
        <v>-1.1993235449999999</v>
      </c>
      <c r="N1570">
        <v>7.7770775E-2</v>
      </c>
    </row>
    <row r="1571" spans="1:14" x14ac:dyDescent="0.2">
      <c r="A1571" t="s">
        <v>1593</v>
      </c>
      <c r="B1571">
        <v>291280</v>
      </c>
      <c r="C1571" t="s">
        <v>84</v>
      </c>
      <c r="D1571" t="s">
        <v>1593</v>
      </c>
      <c r="E1571" t="s">
        <v>3381</v>
      </c>
      <c r="J1571">
        <v>3.600219579</v>
      </c>
      <c r="K1571">
        <v>-0.293098474</v>
      </c>
      <c r="L1571">
        <v>-0.153917466</v>
      </c>
      <c r="M1571" s="21">
        <v>-1.199641371</v>
      </c>
      <c r="N1571">
        <v>7.6137984000000006E-2</v>
      </c>
    </row>
    <row r="1572" spans="1:14" x14ac:dyDescent="0.2">
      <c r="A1572" t="s">
        <v>1882</v>
      </c>
      <c r="B1572">
        <v>291200</v>
      </c>
      <c r="C1572" t="s">
        <v>84</v>
      </c>
      <c r="D1572" t="s">
        <v>1882</v>
      </c>
      <c r="E1572" t="s">
        <v>3382</v>
      </c>
      <c r="J1572">
        <v>3.600219579</v>
      </c>
      <c r="K1572">
        <v>-0.293098474</v>
      </c>
      <c r="L1572">
        <v>-0.153917466</v>
      </c>
      <c r="M1572" s="21">
        <v>-1.1997460799999999</v>
      </c>
      <c r="N1572">
        <v>7.5600053E-2</v>
      </c>
    </row>
    <row r="1573" spans="1:14" x14ac:dyDescent="0.2">
      <c r="A1573" t="s">
        <v>333</v>
      </c>
      <c r="B1573">
        <v>290320</v>
      </c>
      <c r="C1573" t="s">
        <v>130</v>
      </c>
      <c r="D1573" t="s">
        <v>334</v>
      </c>
      <c r="E1573" t="s">
        <v>3383</v>
      </c>
      <c r="G1573" t="s">
        <v>3384</v>
      </c>
      <c r="J1573">
        <v>5.1222566499999997</v>
      </c>
      <c r="K1573">
        <v>0.21422175600000001</v>
      </c>
      <c r="L1573">
        <v>0.25354511400000002</v>
      </c>
      <c r="M1573" s="21">
        <v>-1.1997692090000001</v>
      </c>
      <c r="N1573">
        <v>7.5481228999999997E-2</v>
      </c>
    </row>
    <row r="1574" spans="1:14" x14ac:dyDescent="0.2">
      <c r="A1574" t="s">
        <v>222</v>
      </c>
      <c r="B1574">
        <v>222680</v>
      </c>
      <c r="C1574" t="s">
        <v>68</v>
      </c>
      <c r="D1574" t="s">
        <v>222</v>
      </c>
      <c r="E1574" t="s">
        <v>3385</v>
      </c>
      <c r="G1574" t="s">
        <v>3386</v>
      </c>
      <c r="J1574">
        <v>6.4561903559999996</v>
      </c>
      <c r="K1574">
        <v>0.47291064100000002</v>
      </c>
      <c r="L1574">
        <v>0.34414126499999997</v>
      </c>
      <c r="M1574" s="21">
        <v>-1.199841403</v>
      </c>
      <c r="N1574">
        <v>7.5110340999999997E-2</v>
      </c>
    </row>
    <row r="1575" spans="1:14" x14ac:dyDescent="0.2">
      <c r="A1575" t="s">
        <v>637</v>
      </c>
      <c r="B1575">
        <v>291120</v>
      </c>
      <c r="C1575" t="s">
        <v>84</v>
      </c>
      <c r="D1575" t="s">
        <v>637</v>
      </c>
      <c r="E1575" t="s">
        <v>3387</v>
      </c>
      <c r="J1575">
        <v>3.600219579</v>
      </c>
      <c r="K1575">
        <v>-0.293098474</v>
      </c>
      <c r="L1575">
        <v>-0.153917466</v>
      </c>
      <c r="M1575" s="21">
        <v>-1.1998507890000001</v>
      </c>
      <c r="N1575">
        <v>7.5062121999999995E-2</v>
      </c>
    </row>
    <row r="1576" spans="1:14" x14ac:dyDescent="0.2">
      <c r="A1576" t="s">
        <v>1954</v>
      </c>
      <c r="B1576">
        <v>116480</v>
      </c>
      <c r="C1576" t="s">
        <v>34</v>
      </c>
      <c r="D1576" t="s">
        <v>1955</v>
      </c>
      <c r="E1576" t="s">
        <v>3388</v>
      </c>
      <c r="G1576" t="s">
        <v>3389</v>
      </c>
      <c r="J1576">
        <v>7.0544859390000001</v>
      </c>
      <c r="K1576">
        <v>0.623000361</v>
      </c>
      <c r="L1576">
        <v>0.42866702800000001</v>
      </c>
      <c r="M1576" s="21">
        <v>-1.2000123069999999</v>
      </c>
      <c r="N1576">
        <v>7.4232346000000005E-2</v>
      </c>
    </row>
    <row r="1577" spans="1:14" x14ac:dyDescent="0.2">
      <c r="A1577" t="s">
        <v>736</v>
      </c>
      <c r="B1577">
        <v>321560</v>
      </c>
      <c r="C1577" t="s">
        <v>58</v>
      </c>
      <c r="D1577" t="s">
        <v>736</v>
      </c>
      <c r="E1577" t="s">
        <v>3390</v>
      </c>
      <c r="G1577" t="s">
        <v>3391</v>
      </c>
      <c r="J1577">
        <v>4.5363847230000003</v>
      </c>
      <c r="K1577">
        <v>0.245646371</v>
      </c>
      <c r="L1577">
        <v>7.5242279999999995E-2</v>
      </c>
      <c r="M1577" s="21">
        <v>-1.200108161</v>
      </c>
      <c r="N1577">
        <v>7.3739905999999994E-2</v>
      </c>
    </row>
    <row r="1578" spans="1:14" x14ac:dyDescent="0.2">
      <c r="A1578" t="s">
        <v>547</v>
      </c>
      <c r="B1578">
        <v>340640</v>
      </c>
      <c r="C1578" t="s">
        <v>149</v>
      </c>
      <c r="D1578" t="s">
        <v>548</v>
      </c>
      <c r="E1578" t="s">
        <v>3392</v>
      </c>
      <c r="G1578" t="s">
        <v>3393</v>
      </c>
      <c r="J1578">
        <v>5.0381074159999999</v>
      </c>
      <c r="K1578">
        <v>0.81312368999999995</v>
      </c>
      <c r="L1578">
        <v>0.16969141800000001</v>
      </c>
      <c r="M1578" s="21">
        <v>-1.2003642990000001</v>
      </c>
      <c r="N1578">
        <v>7.2424031999999999E-2</v>
      </c>
    </row>
    <row r="1579" spans="1:14" x14ac:dyDescent="0.2">
      <c r="A1579" t="s">
        <v>1939</v>
      </c>
      <c r="B1579">
        <v>221920</v>
      </c>
      <c r="C1579" t="s">
        <v>68</v>
      </c>
      <c r="D1579" t="s">
        <v>1939</v>
      </c>
      <c r="E1579" t="s">
        <v>3394</v>
      </c>
      <c r="G1579" t="s">
        <v>3395</v>
      </c>
      <c r="J1579">
        <v>6.4561903559999996</v>
      </c>
      <c r="K1579">
        <v>0.47291064100000002</v>
      </c>
      <c r="L1579">
        <v>0.34414126499999997</v>
      </c>
      <c r="M1579" s="21">
        <v>-1.2005763629999999</v>
      </c>
      <c r="N1579">
        <v>7.1334576999999996E-2</v>
      </c>
    </row>
    <row r="1580" spans="1:14" x14ac:dyDescent="0.2">
      <c r="A1580" t="s">
        <v>494</v>
      </c>
      <c r="B1580">
        <v>351560</v>
      </c>
      <c r="C1580" t="s">
        <v>14</v>
      </c>
      <c r="D1580" t="s">
        <v>495</v>
      </c>
      <c r="E1580" t="s">
        <v>3396</v>
      </c>
      <c r="G1580" t="s">
        <v>3397</v>
      </c>
      <c r="J1580">
        <v>6.7484204910000001</v>
      </c>
      <c r="K1580">
        <v>0.48629166299999999</v>
      </c>
      <c r="L1580">
        <v>0.375053939</v>
      </c>
      <c r="M1580" s="21">
        <v>-1.2007691970000001</v>
      </c>
      <c r="N1580">
        <v>7.0343918000000005E-2</v>
      </c>
    </row>
    <row r="1581" spans="1:14" x14ac:dyDescent="0.2">
      <c r="A1581" t="s">
        <v>375</v>
      </c>
      <c r="B1581">
        <v>115320</v>
      </c>
      <c r="C1581" t="s">
        <v>34</v>
      </c>
      <c r="D1581" t="s">
        <v>375</v>
      </c>
      <c r="J1581">
        <v>7.0544859390000001</v>
      </c>
      <c r="K1581">
        <v>0.623000361</v>
      </c>
      <c r="L1581">
        <v>0.42866702800000001</v>
      </c>
      <c r="M1581" s="21">
        <v>-1.201032015</v>
      </c>
      <c r="N1581">
        <v>6.8993721999999993E-2</v>
      </c>
    </row>
    <row r="1582" spans="1:14" x14ac:dyDescent="0.2">
      <c r="A1582" t="s">
        <v>775</v>
      </c>
      <c r="B1582">
        <v>339760</v>
      </c>
      <c r="C1582" t="s">
        <v>149</v>
      </c>
      <c r="D1582" t="s">
        <v>776</v>
      </c>
      <c r="E1582" t="s">
        <v>3398</v>
      </c>
      <c r="G1582" t="s">
        <v>3399</v>
      </c>
      <c r="J1582">
        <v>5.0381074159999999</v>
      </c>
      <c r="K1582">
        <v>0.81312368999999995</v>
      </c>
      <c r="L1582">
        <v>0.16969141800000001</v>
      </c>
      <c r="M1582" s="21">
        <v>-1.201177961</v>
      </c>
      <c r="N1582">
        <v>6.8243945E-2</v>
      </c>
    </row>
    <row r="1583" spans="1:14" x14ac:dyDescent="0.2">
      <c r="A1583" t="s">
        <v>730</v>
      </c>
      <c r="B1583">
        <v>351160</v>
      </c>
      <c r="C1583" t="s">
        <v>14</v>
      </c>
      <c r="D1583" t="s">
        <v>731</v>
      </c>
      <c r="E1583" t="s">
        <v>3400</v>
      </c>
      <c r="G1583" t="s">
        <v>3401</v>
      </c>
      <c r="J1583">
        <v>6.7484204910000001</v>
      </c>
      <c r="K1583">
        <v>0.48629166299999999</v>
      </c>
      <c r="L1583">
        <v>0.375053939</v>
      </c>
      <c r="M1583" s="21">
        <v>-1.2012074859999999</v>
      </c>
      <c r="N1583">
        <v>6.8092264E-2</v>
      </c>
    </row>
    <row r="1584" spans="1:14" x14ac:dyDescent="0.2">
      <c r="A1584" t="s">
        <v>1698</v>
      </c>
      <c r="B1584">
        <v>351000</v>
      </c>
      <c r="C1584" t="s">
        <v>14</v>
      </c>
      <c r="D1584" t="s">
        <v>1698</v>
      </c>
      <c r="E1584" t="s">
        <v>3402</v>
      </c>
      <c r="G1584" t="s">
        <v>3403</v>
      </c>
      <c r="J1584">
        <v>6.7484204910000001</v>
      </c>
      <c r="K1584">
        <v>0.48629166299999999</v>
      </c>
      <c r="L1584">
        <v>0.375053939</v>
      </c>
      <c r="M1584" s="21">
        <v>-1.2013828019999999</v>
      </c>
      <c r="N1584">
        <v>6.7191602000000003E-2</v>
      </c>
    </row>
    <row r="1585" spans="1:14" x14ac:dyDescent="0.2">
      <c r="A1585" t="s">
        <v>221</v>
      </c>
      <c r="B1585">
        <v>221080</v>
      </c>
      <c r="C1585" t="s">
        <v>68</v>
      </c>
      <c r="D1585" t="s">
        <v>221</v>
      </c>
      <c r="E1585" t="s">
        <v>3404</v>
      </c>
      <c r="G1585" t="s">
        <v>3405</v>
      </c>
      <c r="J1585">
        <v>6.4561903559999996</v>
      </c>
      <c r="K1585">
        <v>0.47291064100000002</v>
      </c>
      <c r="L1585">
        <v>0.34414126499999997</v>
      </c>
      <c r="M1585" s="21">
        <v>-1.2013886869999999</v>
      </c>
      <c r="N1585">
        <v>6.7161364000000001E-2</v>
      </c>
    </row>
    <row r="1586" spans="1:14" x14ac:dyDescent="0.2">
      <c r="A1586" t="s">
        <v>1222</v>
      </c>
      <c r="B1586">
        <v>350840</v>
      </c>
      <c r="C1586" t="s">
        <v>14</v>
      </c>
      <c r="D1586" t="s">
        <v>1223</v>
      </c>
      <c r="E1586" t="s">
        <v>3406</v>
      </c>
      <c r="G1586" t="s">
        <v>3407</v>
      </c>
      <c r="J1586">
        <v>6.7484204910000001</v>
      </c>
      <c r="K1586">
        <v>0.48629166299999999</v>
      </c>
      <c r="L1586">
        <v>0.375053939</v>
      </c>
      <c r="M1586" s="21">
        <v>-1.201558117</v>
      </c>
      <c r="N1586">
        <v>6.6290940000000007E-2</v>
      </c>
    </row>
    <row r="1587" spans="1:14" x14ac:dyDescent="0.2">
      <c r="A1587" t="s">
        <v>650</v>
      </c>
      <c r="B1587">
        <v>289600</v>
      </c>
      <c r="C1587" t="s">
        <v>84</v>
      </c>
      <c r="D1587" t="s">
        <v>651</v>
      </c>
      <c r="E1587" t="s">
        <v>3408</v>
      </c>
      <c r="J1587">
        <v>3.600219579</v>
      </c>
      <c r="K1587">
        <v>-0.293098474</v>
      </c>
      <c r="L1587">
        <v>-0.153917466</v>
      </c>
      <c r="M1587" s="21">
        <v>-1.201840266</v>
      </c>
      <c r="N1587">
        <v>6.4841436000000002E-2</v>
      </c>
    </row>
    <row r="1588" spans="1:14" x14ac:dyDescent="0.2">
      <c r="A1588" t="s">
        <v>397</v>
      </c>
      <c r="B1588">
        <v>319720</v>
      </c>
      <c r="C1588" t="s">
        <v>58</v>
      </c>
      <c r="D1588" t="s">
        <v>397</v>
      </c>
      <c r="E1588" t="s">
        <v>3409</v>
      </c>
      <c r="G1588" t="s">
        <v>3410</v>
      </c>
      <c r="J1588">
        <v>4.5363847230000003</v>
      </c>
      <c r="K1588">
        <v>0.245646371</v>
      </c>
      <c r="L1588">
        <v>7.5242279999999995E-2</v>
      </c>
      <c r="M1588" s="21">
        <v>-1.201885098</v>
      </c>
      <c r="N1588">
        <v>6.4611117999999995E-2</v>
      </c>
    </row>
    <row r="1589" spans="1:14" x14ac:dyDescent="0.2">
      <c r="A1589" t="s">
        <v>1082</v>
      </c>
      <c r="B1589">
        <v>338760</v>
      </c>
      <c r="C1589" t="s">
        <v>149</v>
      </c>
      <c r="D1589" t="s">
        <v>1082</v>
      </c>
      <c r="E1589" t="s">
        <v>3411</v>
      </c>
      <c r="G1589" t="s">
        <v>3412</v>
      </c>
      <c r="J1589">
        <v>5.0381074159999999</v>
      </c>
      <c r="K1589">
        <v>0.81312368999999995</v>
      </c>
      <c r="L1589">
        <v>0.16969141800000001</v>
      </c>
      <c r="M1589" s="21">
        <v>-1.202102577</v>
      </c>
      <c r="N1589">
        <v>6.3493846000000007E-2</v>
      </c>
    </row>
    <row r="1590" spans="1:14" x14ac:dyDescent="0.2">
      <c r="A1590" t="s">
        <v>2206</v>
      </c>
      <c r="B1590">
        <v>287360</v>
      </c>
      <c r="C1590" t="s">
        <v>130</v>
      </c>
      <c r="D1590" t="s">
        <v>2207</v>
      </c>
      <c r="E1590" t="s">
        <v>3413</v>
      </c>
      <c r="G1590" t="s">
        <v>3414</v>
      </c>
      <c r="J1590">
        <v>5.1222566499999997</v>
      </c>
      <c r="K1590">
        <v>0.21422175600000001</v>
      </c>
      <c r="L1590">
        <v>0.25354511400000002</v>
      </c>
      <c r="M1590" s="21">
        <v>-1.2021248659999999</v>
      </c>
      <c r="N1590">
        <v>6.3379340000000006E-2</v>
      </c>
    </row>
    <row r="1591" spans="1:14" x14ac:dyDescent="0.2">
      <c r="A1591" t="s">
        <v>2657</v>
      </c>
      <c r="B1591">
        <v>287280</v>
      </c>
      <c r="C1591" t="s">
        <v>130</v>
      </c>
      <c r="D1591" t="s">
        <v>2658</v>
      </c>
      <c r="E1591" t="s">
        <v>3415</v>
      </c>
      <c r="G1591" t="s">
        <v>3416</v>
      </c>
      <c r="J1591">
        <v>5.1222566499999997</v>
      </c>
      <c r="K1591">
        <v>0.21422175600000001</v>
      </c>
      <c r="L1591">
        <v>0.25354511400000002</v>
      </c>
      <c r="M1591" s="21">
        <v>-1.2021885320000001</v>
      </c>
      <c r="N1591">
        <v>6.3052261999999998E-2</v>
      </c>
    </row>
    <row r="1592" spans="1:14" x14ac:dyDescent="0.2">
      <c r="A1592" t="s">
        <v>607</v>
      </c>
      <c r="B1592">
        <v>287280</v>
      </c>
      <c r="C1592" t="s">
        <v>130</v>
      </c>
      <c r="D1592" t="s">
        <v>607</v>
      </c>
      <c r="E1592" t="s">
        <v>3417</v>
      </c>
      <c r="G1592" t="s">
        <v>3418</v>
      </c>
      <c r="J1592">
        <v>5.1222566499999997</v>
      </c>
      <c r="K1592">
        <v>0.21422175600000001</v>
      </c>
      <c r="L1592">
        <v>0.25354511400000002</v>
      </c>
      <c r="M1592" s="21">
        <v>-1.2021885320000001</v>
      </c>
      <c r="N1592">
        <v>6.3052261999999998E-2</v>
      </c>
    </row>
    <row r="1593" spans="1:14" x14ac:dyDescent="0.2">
      <c r="A1593" t="s">
        <v>812</v>
      </c>
      <c r="B1593">
        <v>317400</v>
      </c>
      <c r="C1593" t="s">
        <v>100</v>
      </c>
      <c r="D1593" t="s">
        <v>813</v>
      </c>
      <c r="E1593" t="s">
        <v>3419</v>
      </c>
      <c r="G1593" t="s">
        <v>3420</v>
      </c>
      <c r="J1593">
        <v>5.9110743220000002</v>
      </c>
      <c r="K1593">
        <v>0.71598987199999997</v>
      </c>
      <c r="L1593">
        <v>0.29077365599999999</v>
      </c>
      <c r="M1593" s="21">
        <v>-1.202513551</v>
      </c>
      <c r="N1593">
        <v>6.1382521000000002E-2</v>
      </c>
    </row>
    <row r="1594" spans="1:14" x14ac:dyDescent="0.2">
      <c r="A1594" t="s">
        <v>2230</v>
      </c>
      <c r="B1594">
        <v>349840</v>
      </c>
      <c r="C1594" t="s">
        <v>14</v>
      </c>
      <c r="D1594" t="s">
        <v>2231</v>
      </c>
      <c r="E1594" t="s">
        <v>3421</v>
      </c>
      <c r="G1594" t="s">
        <v>3422</v>
      </c>
      <c r="J1594">
        <v>6.7484204910000001</v>
      </c>
      <c r="K1594">
        <v>0.48629166299999999</v>
      </c>
      <c r="L1594">
        <v>0.375053939</v>
      </c>
      <c r="M1594" s="21">
        <v>-1.2026538389999999</v>
      </c>
      <c r="N1594">
        <v>6.0661804999999999E-2</v>
      </c>
    </row>
    <row r="1595" spans="1:14" x14ac:dyDescent="0.2">
      <c r="A1595" t="s">
        <v>364</v>
      </c>
      <c r="B1595">
        <v>349680</v>
      </c>
      <c r="C1595" t="s">
        <v>14</v>
      </c>
      <c r="D1595" t="s">
        <v>364</v>
      </c>
      <c r="E1595" t="s">
        <v>3423</v>
      </c>
      <c r="G1595" t="s">
        <v>3424</v>
      </c>
      <c r="J1595">
        <v>6.7484204910000001</v>
      </c>
      <c r="K1595">
        <v>0.48629166299999999</v>
      </c>
      <c r="L1595">
        <v>0.375053939</v>
      </c>
      <c r="M1595" s="21">
        <v>-1.2028291550000001</v>
      </c>
      <c r="N1595">
        <v>5.9761143000000003E-2</v>
      </c>
    </row>
    <row r="1596" spans="1:14" x14ac:dyDescent="0.2">
      <c r="A1596" t="s">
        <v>2488</v>
      </c>
      <c r="B1596">
        <v>318680</v>
      </c>
      <c r="C1596" t="s">
        <v>58</v>
      </c>
      <c r="D1596" t="s">
        <v>2488</v>
      </c>
      <c r="E1596" t="s">
        <v>3425</v>
      </c>
      <c r="G1596" t="s">
        <v>3426</v>
      </c>
      <c r="J1596">
        <v>4.5363847230000003</v>
      </c>
      <c r="K1596">
        <v>0.245646371</v>
      </c>
      <c r="L1596">
        <v>7.5242279999999995E-2</v>
      </c>
      <c r="M1596" s="21">
        <v>-1.2028894530000001</v>
      </c>
      <c r="N1596">
        <v>5.9451367999999997E-2</v>
      </c>
    </row>
    <row r="1597" spans="1:14" x14ac:dyDescent="0.2">
      <c r="A1597" t="s">
        <v>2315</v>
      </c>
      <c r="B1597">
        <v>288720</v>
      </c>
      <c r="C1597" t="s">
        <v>84</v>
      </c>
      <c r="D1597" t="s">
        <v>2316</v>
      </c>
      <c r="E1597" t="s">
        <v>3427</v>
      </c>
      <c r="J1597">
        <v>3.600219579</v>
      </c>
      <c r="K1597">
        <v>-0.293098474</v>
      </c>
      <c r="L1597">
        <v>-0.153917466</v>
      </c>
      <c r="M1597" s="21">
        <v>-1.2029920679999999</v>
      </c>
      <c r="N1597">
        <v>5.8924195999999998E-2</v>
      </c>
    </row>
    <row r="1598" spans="1:14" x14ac:dyDescent="0.2">
      <c r="A1598" t="s">
        <v>625</v>
      </c>
      <c r="B1598">
        <v>337680</v>
      </c>
      <c r="C1598" t="s">
        <v>149</v>
      </c>
      <c r="D1598" t="s">
        <v>625</v>
      </c>
      <c r="E1598" t="s">
        <v>3428</v>
      </c>
      <c r="G1598" t="s">
        <v>3429</v>
      </c>
      <c r="J1598">
        <v>5.0381074159999999</v>
      </c>
      <c r="K1598">
        <v>0.81312368999999995</v>
      </c>
      <c r="L1598">
        <v>0.16969141800000001</v>
      </c>
      <c r="M1598" s="21">
        <v>-1.2031011620000001</v>
      </c>
      <c r="N1598">
        <v>5.8363739999999997E-2</v>
      </c>
    </row>
    <row r="1599" spans="1:14" x14ac:dyDescent="0.2">
      <c r="A1599" t="s">
        <v>1595</v>
      </c>
      <c r="B1599">
        <v>288520</v>
      </c>
      <c r="C1599" t="s">
        <v>84</v>
      </c>
      <c r="D1599" t="s">
        <v>1595</v>
      </c>
      <c r="E1599" t="s">
        <v>3430</v>
      </c>
      <c r="J1599">
        <v>3.600219579</v>
      </c>
      <c r="K1599">
        <v>-0.293098474</v>
      </c>
      <c r="L1599">
        <v>-0.153917466</v>
      </c>
      <c r="M1599" s="21">
        <v>-1.2032538420000001</v>
      </c>
      <c r="N1599">
        <v>5.7579368999999998E-2</v>
      </c>
    </row>
    <row r="1600" spans="1:14" x14ac:dyDescent="0.2">
      <c r="A1600" t="s">
        <v>1058</v>
      </c>
      <c r="B1600">
        <v>318160</v>
      </c>
      <c r="C1600" t="s">
        <v>58</v>
      </c>
      <c r="D1600" t="s">
        <v>1059</v>
      </c>
      <c r="E1600" t="s">
        <v>3431</v>
      </c>
      <c r="G1600" t="s">
        <v>3432</v>
      </c>
      <c r="J1600">
        <v>4.5363847230000003</v>
      </c>
      <c r="K1600">
        <v>0.245646371</v>
      </c>
      <c r="L1600">
        <v>7.5242279999999995E-2</v>
      </c>
      <c r="M1600" s="21">
        <v>-1.2033916309999999</v>
      </c>
      <c r="N1600">
        <v>5.6871493000000002E-2</v>
      </c>
    </row>
    <row r="1601" spans="1:14" x14ac:dyDescent="0.2">
      <c r="A1601" t="s">
        <v>812</v>
      </c>
      <c r="B1601">
        <v>337320</v>
      </c>
      <c r="C1601" t="s">
        <v>149</v>
      </c>
      <c r="D1601" t="s">
        <v>813</v>
      </c>
      <c r="E1601" t="s">
        <v>3433</v>
      </c>
      <c r="G1601" t="s">
        <v>3434</v>
      </c>
      <c r="J1601">
        <v>5.0381074159999999</v>
      </c>
      <c r="K1601">
        <v>0.81312368999999995</v>
      </c>
      <c r="L1601">
        <v>0.16969141800000001</v>
      </c>
      <c r="M1601" s="21">
        <v>-1.2034340240000001</v>
      </c>
      <c r="N1601">
        <v>5.6653703999999999E-2</v>
      </c>
    </row>
    <row r="1602" spans="1:14" x14ac:dyDescent="0.2">
      <c r="A1602" t="s">
        <v>355</v>
      </c>
      <c r="B1602">
        <v>317720</v>
      </c>
      <c r="C1602" t="s">
        <v>58</v>
      </c>
      <c r="D1602" t="s">
        <v>356</v>
      </c>
      <c r="E1602" t="s">
        <v>3435</v>
      </c>
      <c r="G1602" t="s">
        <v>3436</v>
      </c>
      <c r="J1602">
        <v>4.5363847230000003</v>
      </c>
      <c r="K1602">
        <v>0.245646371</v>
      </c>
      <c r="L1602">
        <v>7.5242279999999995E-2</v>
      </c>
      <c r="M1602" s="21">
        <v>-1.2038165510000001</v>
      </c>
      <c r="N1602">
        <v>5.4688522000000003E-2</v>
      </c>
    </row>
    <row r="1603" spans="1:14" x14ac:dyDescent="0.2">
      <c r="A1603" t="s">
        <v>504</v>
      </c>
      <c r="B1603">
        <v>348760</v>
      </c>
      <c r="C1603" t="s">
        <v>14</v>
      </c>
      <c r="D1603" t="s">
        <v>504</v>
      </c>
      <c r="E1603" t="s">
        <v>3437</v>
      </c>
      <c r="G1603" t="s">
        <v>3438</v>
      </c>
      <c r="J1603">
        <v>6.7484204910000001</v>
      </c>
      <c r="K1603">
        <v>0.48629166299999999</v>
      </c>
      <c r="L1603">
        <v>0.375053939</v>
      </c>
      <c r="M1603" s="21">
        <v>-1.203837219</v>
      </c>
      <c r="N1603">
        <v>5.4582338000000001E-2</v>
      </c>
    </row>
    <row r="1604" spans="1:14" x14ac:dyDescent="0.2">
      <c r="A1604" t="s">
        <v>820</v>
      </c>
      <c r="B1604">
        <v>348640</v>
      </c>
      <c r="C1604" t="s">
        <v>14</v>
      </c>
      <c r="D1604" t="s">
        <v>820</v>
      </c>
      <c r="E1604" t="s">
        <v>3439</v>
      </c>
      <c r="G1604" t="s">
        <v>3440</v>
      </c>
      <c r="J1604">
        <v>6.7484204910000001</v>
      </c>
      <c r="K1604">
        <v>0.48629166299999999</v>
      </c>
      <c r="L1604">
        <v>0.375053939</v>
      </c>
      <c r="M1604" s="21">
        <v>-1.2039687059999999</v>
      </c>
      <c r="N1604">
        <v>5.3906842000000003E-2</v>
      </c>
    </row>
    <row r="1605" spans="1:14" x14ac:dyDescent="0.2">
      <c r="A1605" t="s">
        <v>619</v>
      </c>
      <c r="B1605">
        <v>285040</v>
      </c>
      <c r="C1605" t="s">
        <v>130</v>
      </c>
      <c r="D1605" t="s">
        <v>619</v>
      </c>
      <c r="E1605" t="s">
        <v>3441</v>
      </c>
      <c r="G1605" t="s">
        <v>3442</v>
      </c>
      <c r="J1605">
        <v>5.1222566499999997</v>
      </c>
      <c r="K1605">
        <v>0.21422175600000001</v>
      </c>
      <c r="L1605">
        <v>0.25354511400000002</v>
      </c>
      <c r="M1605" s="21">
        <v>-1.2039711909999999</v>
      </c>
      <c r="N1605">
        <v>5.3894075999999999E-2</v>
      </c>
    </row>
    <row r="1606" spans="1:14" x14ac:dyDescent="0.2">
      <c r="A1606" t="s">
        <v>293</v>
      </c>
      <c r="B1606">
        <v>285040</v>
      </c>
      <c r="C1606" t="s">
        <v>130</v>
      </c>
      <c r="D1606" t="s">
        <v>293</v>
      </c>
      <c r="E1606" t="s">
        <v>3443</v>
      </c>
      <c r="G1606" t="s">
        <v>3444</v>
      </c>
      <c r="J1606">
        <v>5.1222566499999997</v>
      </c>
      <c r="K1606">
        <v>0.21422175600000001</v>
      </c>
      <c r="L1606">
        <v>0.25354511400000002</v>
      </c>
      <c r="M1606" s="21">
        <v>-1.2039711909999999</v>
      </c>
      <c r="N1606">
        <v>5.3894075999999999E-2</v>
      </c>
    </row>
    <row r="1607" spans="1:14" x14ac:dyDescent="0.2">
      <c r="A1607" t="s">
        <v>1309</v>
      </c>
      <c r="B1607">
        <v>284680</v>
      </c>
      <c r="C1607" t="s">
        <v>130</v>
      </c>
      <c r="D1607" t="s">
        <v>1309</v>
      </c>
      <c r="E1607" t="s">
        <v>3445</v>
      </c>
      <c r="G1607" t="s">
        <v>3446</v>
      </c>
      <c r="J1607">
        <v>5.1222566499999997</v>
      </c>
      <c r="K1607">
        <v>0.21422175600000001</v>
      </c>
      <c r="L1607">
        <v>0.25354511400000002</v>
      </c>
      <c r="M1607" s="21">
        <v>-1.2042576899999999</v>
      </c>
      <c r="N1607">
        <v>5.2422225000000003E-2</v>
      </c>
    </row>
    <row r="1608" spans="1:14" x14ac:dyDescent="0.2">
      <c r="A1608" t="s">
        <v>1498</v>
      </c>
      <c r="B1608">
        <v>217640</v>
      </c>
      <c r="C1608" t="s">
        <v>68</v>
      </c>
      <c r="D1608" t="s">
        <v>1498</v>
      </c>
      <c r="E1608" t="s">
        <v>3447</v>
      </c>
      <c r="G1608" t="s">
        <v>3448</v>
      </c>
      <c r="J1608">
        <v>6.4561903559999996</v>
      </c>
      <c r="K1608">
        <v>0.47291064100000002</v>
      </c>
      <c r="L1608">
        <v>0.34414126499999997</v>
      </c>
      <c r="M1608" s="21">
        <v>-1.2047153479999999</v>
      </c>
      <c r="N1608">
        <v>5.0071062999999999E-2</v>
      </c>
    </row>
    <row r="1609" spans="1:14" x14ac:dyDescent="0.2">
      <c r="A1609" t="s">
        <v>1971</v>
      </c>
      <c r="B1609">
        <v>287400</v>
      </c>
      <c r="C1609" t="s">
        <v>84</v>
      </c>
      <c r="D1609" t="s">
        <v>1971</v>
      </c>
      <c r="E1609" t="s">
        <v>3449</v>
      </c>
      <c r="J1609">
        <v>3.600219579</v>
      </c>
      <c r="K1609">
        <v>-0.293098474</v>
      </c>
      <c r="L1609">
        <v>-0.153917466</v>
      </c>
      <c r="M1609" s="21">
        <v>-1.204719772</v>
      </c>
      <c r="N1609">
        <v>5.0048336999999998E-2</v>
      </c>
    </row>
    <row r="1610" spans="1:14" x14ac:dyDescent="0.2">
      <c r="A1610" t="s">
        <v>1215</v>
      </c>
      <c r="B1610">
        <v>159280</v>
      </c>
      <c r="C1610" t="s">
        <v>28</v>
      </c>
      <c r="D1610" t="s">
        <v>1215</v>
      </c>
      <c r="E1610" t="s">
        <v>3450</v>
      </c>
      <c r="G1610" t="s">
        <v>3451</v>
      </c>
      <c r="J1610">
        <v>5.8462906840000004</v>
      </c>
      <c r="K1610">
        <v>0.60615847</v>
      </c>
      <c r="L1610">
        <v>0.28550877299999999</v>
      </c>
      <c r="M1610" s="21">
        <v>-1.2052272829999999</v>
      </c>
      <c r="N1610">
        <v>4.7441061999999999E-2</v>
      </c>
    </row>
    <row r="1611" spans="1:14" x14ac:dyDescent="0.2">
      <c r="A1611" t="s">
        <v>1150</v>
      </c>
      <c r="B1611">
        <v>110440</v>
      </c>
      <c r="C1611" t="s">
        <v>34</v>
      </c>
      <c r="D1611" t="s">
        <v>1150</v>
      </c>
      <c r="E1611" t="s">
        <v>3452</v>
      </c>
      <c r="G1611" t="s">
        <v>3453</v>
      </c>
      <c r="J1611">
        <v>7.0544859390000001</v>
      </c>
      <c r="K1611">
        <v>0.623000361</v>
      </c>
      <c r="L1611">
        <v>0.42866702800000001</v>
      </c>
      <c r="M1611" s="21">
        <v>-1.2053218240000001</v>
      </c>
      <c r="N1611">
        <v>4.6955371000000003E-2</v>
      </c>
    </row>
    <row r="1612" spans="1:14" x14ac:dyDescent="0.2">
      <c r="A1612" t="s">
        <v>1031</v>
      </c>
      <c r="B1612">
        <v>283280</v>
      </c>
      <c r="C1612" t="s">
        <v>130</v>
      </c>
      <c r="D1612" t="s">
        <v>1031</v>
      </c>
      <c r="E1612" t="s">
        <v>3454</v>
      </c>
      <c r="G1612" t="s">
        <v>3455</v>
      </c>
      <c r="J1612">
        <v>5.1222566499999997</v>
      </c>
      <c r="K1612">
        <v>0.21422175600000001</v>
      </c>
      <c r="L1612">
        <v>0.25354511400000002</v>
      </c>
      <c r="M1612" s="21">
        <v>-1.205371851</v>
      </c>
      <c r="N1612">
        <v>4.6698359000000002E-2</v>
      </c>
    </row>
    <row r="1613" spans="1:14" x14ac:dyDescent="0.2">
      <c r="A1613" t="s">
        <v>345</v>
      </c>
      <c r="B1613">
        <v>315920</v>
      </c>
      <c r="C1613" t="s">
        <v>58</v>
      </c>
      <c r="D1613" t="s">
        <v>345</v>
      </c>
      <c r="E1613" t="s">
        <v>3456</v>
      </c>
      <c r="G1613" t="s">
        <v>3457</v>
      </c>
      <c r="J1613">
        <v>4.5363847230000003</v>
      </c>
      <c r="K1613">
        <v>0.245646371</v>
      </c>
      <c r="L1613">
        <v>7.5242279999999995E-2</v>
      </c>
      <c r="M1613" s="21">
        <v>-1.205554858</v>
      </c>
      <c r="N1613">
        <v>4.5758185999999999E-2</v>
      </c>
    </row>
    <row r="1614" spans="1:14" x14ac:dyDescent="0.2">
      <c r="A1614" t="s">
        <v>2077</v>
      </c>
      <c r="B1614">
        <v>286720</v>
      </c>
      <c r="C1614" t="s">
        <v>84</v>
      </c>
      <c r="D1614" t="s">
        <v>2077</v>
      </c>
      <c r="E1614" t="s">
        <v>3458</v>
      </c>
      <c r="J1614">
        <v>3.600219579</v>
      </c>
      <c r="K1614">
        <v>-0.293098474</v>
      </c>
      <c r="L1614">
        <v>-0.153917466</v>
      </c>
      <c r="M1614" s="21">
        <v>-1.205609801</v>
      </c>
      <c r="N1614">
        <v>4.5475924000000001E-2</v>
      </c>
    </row>
    <row r="1615" spans="1:14" x14ac:dyDescent="0.2">
      <c r="A1615" t="s">
        <v>1593</v>
      </c>
      <c r="B1615">
        <v>314160</v>
      </c>
      <c r="C1615" t="s">
        <v>100</v>
      </c>
      <c r="D1615" t="s">
        <v>1593</v>
      </c>
      <c r="E1615" t="s">
        <v>3459</v>
      </c>
      <c r="G1615" t="s">
        <v>3460</v>
      </c>
      <c r="J1615">
        <v>5.9110743220000002</v>
      </c>
      <c r="K1615">
        <v>0.71598987199999997</v>
      </c>
      <c r="L1615">
        <v>0.29077365599999999</v>
      </c>
      <c r="M1615" s="21">
        <v>-1.2057299420000001</v>
      </c>
      <c r="N1615">
        <v>4.4858713000000001E-2</v>
      </c>
    </row>
    <row r="1616" spans="1:14" x14ac:dyDescent="0.2">
      <c r="A1616" t="s">
        <v>2885</v>
      </c>
      <c r="B1616">
        <v>346520</v>
      </c>
      <c r="C1616" t="s">
        <v>14</v>
      </c>
      <c r="D1616" t="s">
        <v>2885</v>
      </c>
      <c r="E1616" t="s">
        <v>3461</v>
      </c>
      <c r="G1616" t="s">
        <v>3462</v>
      </c>
      <c r="J1616">
        <v>6.7484204910000001</v>
      </c>
      <c r="K1616">
        <v>0.48629166299999999</v>
      </c>
      <c r="L1616">
        <v>0.375053939</v>
      </c>
      <c r="M1616" s="21">
        <v>-1.2062916370000001</v>
      </c>
      <c r="N1616">
        <v>4.1973073999999999E-2</v>
      </c>
    </row>
    <row r="1617" spans="1:14" x14ac:dyDescent="0.2">
      <c r="A1617" t="s">
        <v>2035</v>
      </c>
      <c r="B1617">
        <v>313560</v>
      </c>
      <c r="C1617" t="s">
        <v>100</v>
      </c>
      <c r="D1617" t="s">
        <v>2035</v>
      </c>
      <c r="E1617" t="s">
        <v>3463</v>
      </c>
      <c r="G1617" t="s">
        <v>3464</v>
      </c>
      <c r="J1617">
        <v>5.9110743220000002</v>
      </c>
      <c r="K1617">
        <v>0.71598987199999997</v>
      </c>
      <c r="L1617">
        <v>0.29077365599999999</v>
      </c>
      <c r="M1617" s="21">
        <v>-1.20632557</v>
      </c>
      <c r="N1617">
        <v>4.1798747999999997E-2</v>
      </c>
    </row>
    <row r="1618" spans="1:14" x14ac:dyDescent="0.2">
      <c r="A1618" t="s">
        <v>1150</v>
      </c>
      <c r="B1618">
        <v>281920</v>
      </c>
      <c r="C1618" t="s">
        <v>130</v>
      </c>
      <c r="D1618" t="s">
        <v>1150</v>
      </c>
      <c r="E1618" t="s">
        <v>3465</v>
      </c>
      <c r="G1618" t="s">
        <v>3466</v>
      </c>
      <c r="J1618">
        <v>5.1222566499999997</v>
      </c>
      <c r="K1618">
        <v>0.21422175600000001</v>
      </c>
      <c r="L1618">
        <v>0.25354511400000002</v>
      </c>
      <c r="M1618" s="21">
        <v>-1.2064541799999999</v>
      </c>
      <c r="N1618">
        <v>4.1138031999999998E-2</v>
      </c>
    </row>
    <row r="1619" spans="1:14" x14ac:dyDescent="0.2">
      <c r="A1619" t="s">
        <v>320</v>
      </c>
      <c r="B1619">
        <v>313160</v>
      </c>
      <c r="C1619" t="s">
        <v>100</v>
      </c>
      <c r="D1619" t="s">
        <v>320</v>
      </c>
      <c r="E1619" t="s">
        <v>3467</v>
      </c>
      <c r="G1619" t="s">
        <v>3468</v>
      </c>
      <c r="J1619">
        <v>5.9110743220000002</v>
      </c>
      <c r="K1619">
        <v>0.71598987199999997</v>
      </c>
      <c r="L1619">
        <v>0.29077365599999999</v>
      </c>
      <c r="M1619" s="21">
        <v>-1.2067226559999999</v>
      </c>
      <c r="N1619">
        <v>3.9758771999999998E-2</v>
      </c>
    </row>
    <row r="1620" spans="1:14" x14ac:dyDescent="0.2">
      <c r="A1620" t="s">
        <v>314</v>
      </c>
      <c r="B1620">
        <v>215360</v>
      </c>
      <c r="C1620" t="s">
        <v>68</v>
      </c>
      <c r="D1620" t="s">
        <v>315</v>
      </c>
      <c r="E1620" t="s">
        <v>3469</v>
      </c>
      <c r="G1620" t="s">
        <v>3470</v>
      </c>
      <c r="J1620">
        <v>6.4561903559999996</v>
      </c>
      <c r="K1620">
        <v>0.47291064100000002</v>
      </c>
      <c r="L1620">
        <v>0.34414126499999997</v>
      </c>
      <c r="M1620" s="21">
        <v>-1.206920228</v>
      </c>
      <c r="N1620">
        <v>3.8743769999999997E-2</v>
      </c>
    </row>
    <row r="1621" spans="1:14" x14ac:dyDescent="0.2">
      <c r="A1621" t="s">
        <v>892</v>
      </c>
      <c r="B1621">
        <v>280880</v>
      </c>
      <c r="C1621" t="s">
        <v>130</v>
      </c>
      <c r="D1621" t="s">
        <v>892</v>
      </c>
      <c r="E1621" t="s">
        <v>3471</v>
      </c>
      <c r="G1621" t="s">
        <v>3472</v>
      </c>
      <c r="J1621">
        <v>5.1222566499999997</v>
      </c>
      <c r="K1621">
        <v>0.21422175600000001</v>
      </c>
      <c r="L1621">
        <v>0.25354511400000002</v>
      </c>
      <c r="M1621" s="21">
        <v>-1.2072818430000001</v>
      </c>
      <c r="N1621">
        <v>3.6886017E-2</v>
      </c>
    </row>
    <row r="1622" spans="1:14" x14ac:dyDescent="0.2">
      <c r="A1622" t="s">
        <v>907</v>
      </c>
      <c r="B1622">
        <v>313920</v>
      </c>
      <c r="C1622" t="s">
        <v>58</v>
      </c>
      <c r="D1622" t="s">
        <v>907</v>
      </c>
      <c r="E1622" t="s">
        <v>3473</v>
      </c>
      <c r="G1622" t="s">
        <v>3474</v>
      </c>
      <c r="J1622">
        <v>4.5363847230000003</v>
      </c>
      <c r="K1622">
        <v>0.245646371</v>
      </c>
      <c r="L1622">
        <v>7.5242279999999995E-2</v>
      </c>
      <c r="M1622" s="21">
        <v>-1.207486311</v>
      </c>
      <c r="N1622">
        <v>3.583559E-2</v>
      </c>
    </row>
    <row r="1623" spans="1:14" x14ac:dyDescent="0.2">
      <c r="A1623" t="s">
        <v>1582</v>
      </c>
      <c r="B1623">
        <v>280040</v>
      </c>
      <c r="C1623" t="s">
        <v>130</v>
      </c>
      <c r="D1623" t="s">
        <v>1583</v>
      </c>
      <c r="E1623" t="s">
        <v>3475</v>
      </c>
      <c r="G1623" t="s">
        <v>3476</v>
      </c>
      <c r="J1623">
        <v>5.1222566499999997</v>
      </c>
      <c r="K1623">
        <v>0.21422175600000001</v>
      </c>
      <c r="L1623">
        <v>0.25354511400000002</v>
      </c>
      <c r="M1623" s="21">
        <v>-1.20795034</v>
      </c>
      <c r="N1623">
        <v>3.3451697000000002E-2</v>
      </c>
    </row>
    <row r="1624" spans="1:14" x14ac:dyDescent="0.2">
      <c r="A1624" t="s">
        <v>2252</v>
      </c>
      <c r="B1624">
        <v>284840</v>
      </c>
      <c r="C1624" t="s">
        <v>84</v>
      </c>
      <c r="D1624" t="s">
        <v>2253</v>
      </c>
      <c r="E1624" t="s">
        <v>3477</v>
      </c>
      <c r="J1624">
        <v>3.600219579</v>
      </c>
      <c r="K1624">
        <v>-0.293098474</v>
      </c>
      <c r="L1624">
        <v>-0.153917466</v>
      </c>
      <c r="M1624" s="21">
        <v>-1.2080704689999999</v>
      </c>
      <c r="N1624">
        <v>3.2834548999999998E-2</v>
      </c>
    </row>
    <row r="1625" spans="1:14" x14ac:dyDescent="0.2">
      <c r="A1625" t="s">
        <v>1092</v>
      </c>
      <c r="B1625">
        <v>213800</v>
      </c>
      <c r="C1625" t="s">
        <v>68</v>
      </c>
      <c r="D1625" t="s">
        <v>1092</v>
      </c>
      <c r="E1625" t="s">
        <v>3478</v>
      </c>
      <c r="G1625" t="s">
        <v>3479</v>
      </c>
      <c r="J1625">
        <v>6.4561903559999996</v>
      </c>
      <c r="K1625">
        <v>0.47291064100000002</v>
      </c>
      <c r="L1625">
        <v>0.34414126499999997</v>
      </c>
      <c r="M1625" s="21">
        <v>-1.2084288299999999</v>
      </c>
      <c r="N1625">
        <v>3.0993517000000002E-2</v>
      </c>
    </row>
    <row r="1626" spans="1:14" x14ac:dyDescent="0.2">
      <c r="A1626" t="s">
        <v>1356</v>
      </c>
      <c r="B1626">
        <v>344520</v>
      </c>
      <c r="C1626" t="s">
        <v>14</v>
      </c>
      <c r="D1626" t="s">
        <v>1356</v>
      </c>
      <c r="E1626" t="s">
        <v>3480</v>
      </c>
      <c r="G1626" t="s">
        <v>3481</v>
      </c>
      <c r="J1626">
        <v>6.7484204910000001</v>
      </c>
      <c r="K1626">
        <v>0.48629166299999999</v>
      </c>
      <c r="L1626">
        <v>0.375053939</v>
      </c>
      <c r="M1626" s="21">
        <v>-1.2084830820000001</v>
      </c>
      <c r="N1626">
        <v>3.0714802999999999E-2</v>
      </c>
    </row>
    <row r="1627" spans="1:14" x14ac:dyDescent="0.2">
      <c r="A1627" t="s">
        <v>1659</v>
      </c>
      <c r="B1627">
        <v>279360</v>
      </c>
      <c r="C1627" t="s">
        <v>130</v>
      </c>
      <c r="D1627" t="s">
        <v>1660</v>
      </c>
      <c r="E1627" t="s">
        <v>3482</v>
      </c>
      <c r="G1627" t="s">
        <v>3483</v>
      </c>
      <c r="J1627">
        <v>5.1222566499999997</v>
      </c>
      <c r="K1627">
        <v>0.21422175600000001</v>
      </c>
      <c r="L1627">
        <v>0.25354511400000002</v>
      </c>
      <c r="M1627" s="21">
        <v>-1.208491505</v>
      </c>
      <c r="N1627">
        <v>3.0671534E-2</v>
      </c>
    </row>
    <row r="1628" spans="1:14" x14ac:dyDescent="0.2">
      <c r="A1628" t="s">
        <v>295</v>
      </c>
      <c r="B1628">
        <v>331800</v>
      </c>
      <c r="C1628" t="s">
        <v>149</v>
      </c>
      <c r="D1628" t="s">
        <v>295</v>
      </c>
      <c r="E1628" t="s">
        <v>3484</v>
      </c>
      <c r="G1628" t="s">
        <v>3485</v>
      </c>
      <c r="J1628">
        <v>5.0381074159999999</v>
      </c>
      <c r="K1628">
        <v>0.81312368999999995</v>
      </c>
      <c r="L1628">
        <v>0.16969141800000001</v>
      </c>
      <c r="M1628" s="21">
        <v>-1.208537905</v>
      </c>
      <c r="N1628">
        <v>3.0433159000000001E-2</v>
      </c>
    </row>
    <row r="1629" spans="1:14" x14ac:dyDescent="0.2">
      <c r="A1629" t="s">
        <v>1365</v>
      </c>
      <c r="B1629">
        <v>284360</v>
      </c>
      <c r="C1629" t="s">
        <v>84</v>
      </c>
      <c r="D1629" t="s">
        <v>1365</v>
      </c>
      <c r="E1629" t="s">
        <v>3486</v>
      </c>
      <c r="J1629">
        <v>3.600219579</v>
      </c>
      <c r="K1629">
        <v>-0.293098474</v>
      </c>
      <c r="L1629">
        <v>-0.153917466</v>
      </c>
      <c r="M1629" s="21">
        <v>-1.2086987250000001</v>
      </c>
      <c r="N1629">
        <v>2.9606964E-2</v>
      </c>
    </row>
    <row r="1630" spans="1:14" x14ac:dyDescent="0.2">
      <c r="A1630" t="s">
        <v>859</v>
      </c>
      <c r="B1630">
        <v>310640</v>
      </c>
      <c r="C1630" t="s">
        <v>100</v>
      </c>
      <c r="D1630" t="s">
        <v>859</v>
      </c>
      <c r="E1630" t="s">
        <v>3487</v>
      </c>
      <c r="G1630" t="s">
        <v>3488</v>
      </c>
      <c r="J1630">
        <v>5.9110743220000002</v>
      </c>
      <c r="K1630">
        <v>0.71598987199999997</v>
      </c>
      <c r="L1630">
        <v>0.29077365599999999</v>
      </c>
      <c r="M1630" s="21">
        <v>-1.209224294</v>
      </c>
      <c r="N1630">
        <v>2.6906921E-2</v>
      </c>
    </row>
    <row r="1631" spans="1:14" x14ac:dyDescent="0.2">
      <c r="A1631" t="s">
        <v>846</v>
      </c>
      <c r="B1631">
        <v>311880</v>
      </c>
      <c r="C1631" t="s">
        <v>58</v>
      </c>
      <c r="D1631" t="s">
        <v>847</v>
      </c>
      <c r="E1631" t="s">
        <v>3489</v>
      </c>
      <c r="G1631" t="s">
        <v>3490</v>
      </c>
      <c r="J1631">
        <v>4.5363847230000003</v>
      </c>
      <c r="K1631">
        <v>0.245646371</v>
      </c>
      <c r="L1631">
        <v>7.5242279999999995E-2</v>
      </c>
      <c r="M1631" s="21">
        <v>-1.209456393</v>
      </c>
      <c r="N1631">
        <v>2.5714542E-2</v>
      </c>
    </row>
    <row r="1632" spans="1:14" x14ac:dyDescent="0.2">
      <c r="A1632" t="s">
        <v>2206</v>
      </c>
      <c r="B1632">
        <v>283400</v>
      </c>
      <c r="C1632" t="s">
        <v>84</v>
      </c>
      <c r="D1632" t="s">
        <v>2207</v>
      </c>
      <c r="E1632" t="s">
        <v>3491</v>
      </c>
      <c r="G1632" t="s">
        <v>3492</v>
      </c>
      <c r="J1632">
        <v>3.600219579</v>
      </c>
      <c r="K1632">
        <v>-0.293098474</v>
      </c>
      <c r="L1632">
        <v>-0.153917466</v>
      </c>
      <c r="M1632" s="21">
        <v>-1.209955237</v>
      </c>
      <c r="N1632">
        <v>2.3151793E-2</v>
      </c>
    </row>
    <row r="1633" spans="1:14" x14ac:dyDescent="0.2">
      <c r="A1633" t="s">
        <v>1494</v>
      </c>
      <c r="B1633">
        <v>329760</v>
      </c>
      <c r="C1633" t="s">
        <v>149</v>
      </c>
      <c r="D1633" t="s">
        <v>1494</v>
      </c>
      <c r="E1633" t="s">
        <v>3493</v>
      </c>
      <c r="G1633" t="s">
        <v>3494</v>
      </c>
      <c r="J1633">
        <v>5.0381074159999999</v>
      </c>
      <c r="K1633">
        <v>0.81312368999999995</v>
      </c>
      <c r="L1633">
        <v>0.16969141800000001</v>
      </c>
      <c r="M1633" s="21">
        <v>-1.210424121</v>
      </c>
      <c r="N1633">
        <v>2.0742956999999999E-2</v>
      </c>
    </row>
    <row r="1634" spans="1:14" x14ac:dyDescent="0.2">
      <c r="A1634" t="s">
        <v>1617</v>
      </c>
      <c r="B1634">
        <v>283040</v>
      </c>
      <c r="C1634" t="s">
        <v>84</v>
      </c>
      <c r="D1634" t="s">
        <v>1617</v>
      </c>
      <c r="E1634" t="s">
        <v>3495</v>
      </c>
      <c r="J1634">
        <v>3.600219579</v>
      </c>
      <c r="K1634">
        <v>-0.293098474</v>
      </c>
      <c r="L1634">
        <v>-0.153917466</v>
      </c>
      <c r="M1634" s="21">
        <v>-1.210426429</v>
      </c>
      <c r="N1634">
        <v>2.0731104E-2</v>
      </c>
    </row>
    <row r="1635" spans="1:14" x14ac:dyDescent="0.2">
      <c r="A1635" t="s">
        <v>718</v>
      </c>
      <c r="B1635">
        <v>309320</v>
      </c>
      <c r="C1635" t="s">
        <v>100</v>
      </c>
      <c r="D1635" t="s">
        <v>718</v>
      </c>
      <c r="E1635" t="s">
        <v>3496</v>
      </c>
      <c r="G1635" t="s">
        <v>3497</v>
      </c>
      <c r="J1635">
        <v>5.9110743220000002</v>
      </c>
      <c r="K1635">
        <v>0.71598987199999997</v>
      </c>
      <c r="L1635">
        <v>0.29077365599999999</v>
      </c>
      <c r="M1635" s="21">
        <v>-1.2105346749999999</v>
      </c>
      <c r="N1635">
        <v>2.0174999999999998E-2</v>
      </c>
    </row>
    <row r="1636" spans="1:14" x14ac:dyDescent="0.2">
      <c r="A1636" t="s">
        <v>385</v>
      </c>
      <c r="B1636">
        <v>342520</v>
      </c>
      <c r="C1636" t="s">
        <v>14</v>
      </c>
      <c r="D1636" t="s">
        <v>386</v>
      </c>
      <c r="E1636" t="s">
        <v>3498</v>
      </c>
      <c r="G1636" t="s">
        <v>3499</v>
      </c>
      <c r="J1636">
        <v>6.7484204910000001</v>
      </c>
      <c r="K1636">
        <v>0.48629166299999999</v>
      </c>
      <c r="L1636">
        <v>0.375053939</v>
      </c>
      <c r="M1636" s="21">
        <v>-1.2106745269999999</v>
      </c>
      <c r="N1636">
        <v>1.9456531999999999E-2</v>
      </c>
    </row>
    <row r="1637" spans="1:14" x14ac:dyDescent="0.2">
      <c r="A1637" t="s">
        <v>448</v>
      </c>
      <c r="B1637">
        <v>276480</v>
      </c>
      <c r="C1637" t="s">
        <v>130</v>
      </c>
      <c r="D1637" t="s">
        <v>448</v>
      </c>
      <c r="E1637" t="s">
        <v>3500</v>
      </c>
      <c r="G1637" t="s">
        <v>3501</v>
      </c>
      <c r="J1637">
        <v>5.1222566499999997</v>
      </c>
      <c r="K1637">
        <v>0.21422175600000001</v>
      </c>
      <c r="L1637">
        <v>0.25354511400000002</v>
      </c>
      <c r="M1637" s="21">
        <v>-1.210783494</v>
      </c>
      <c r="N1637">
        <v>1.8896723000000001E-2</v>
      </c>
    </row>
    <row r="1638" spans="1:14" x14ac:dyDescent="0.2">
      <c r="A1638" t="s">
        <v>426</v>
      </c>
      <c r="B1638">
        <v>282640</v>
      </c>
      <c r="C1638" t="s">
        <v>84</v>
      </c>
      <c r="D1638" t="s">
        <v>426</v>
      </c>
      <c r="E1638" t="s">
        <v>3502</v>
      </c>
      <c r="J1638">
        <v>3.600219579</v>
      </c>
      <c r="K1638">
        <v>-0.293098474</v>
      </c>
      <c r="L1638">
        <v>-0.153917466</v>
      </c>
      <c r="M1638" s="21">
        <v>-1.2109499749999999</v>
      </c>
      <c r="N1638">
        <v>1.8041450000000001E-2</v>
      </c>
    </row>
    <row r="1639" spans="1:14" x14ac:dyDescent="0.2">
      <c r="A1639" t="s">
        <v>668</v>
      </c>
      <c r="B1639">
        <v>310320</v>
      </c>
      <c r="C1639" t="s">
        <v>58</v>
      </c>
      <c r="D1639" t="s">
        <v>668</v>
      </c>
      <c r="E1639" t="s">
        <v>3503</v>
      </c>
      <c r="G1639" t="s">
        <v>3504</v>
      </c>
      <c r="J1639">
        <v>4.5363847230000003</v>
      </c>
      <c r="K1639">
        <v>0.245646371</v>
      </c>
      <c r="L1639">
        <v>7.5242279999999995E-2</v>
      </c>
      <c r="M1639" s="21">
        <v>-1.2109629260000001</v>
      </c>
      <c r="N1639">
        <v>1.7974917999999999E-2</v>
      </c>
    </row>
    <row r="1640" spans="1:14" x14ac:dyDescent="0.2">
      <c r="A1640" t="s">
        <v>1620</v>
      </c>
      <c r="B1640">
        <v>341960</v>
      </c>
      <c r="C1640" t="s">
        <v>14</v>
      </c>
      <c r="D1640" t="s">
        <v>1620</v>
      </c>
      <c r="E1640" t="s">
        <v>3505</v>
      </c>
      <c r="G1640" t="s">
        <v>3506</v>
      </c>
      <c r="J1640">
        <v>6.7484204910000001</v>
      </c>
      <c r="K1640">
        <v>0.48629166299999999</v>
      </c>
      <c r="L1640">
        <v>0.375053939</v>
      </c>
      <c r="M1640" s="21">
        <v>-1.2112881310000001</v>
      </c>
      <c r="N1640">
        <v>1.6304216E-2</v>
      </c>
    </row>
    <row r="1641" spans="1:14" x14ac:dyDescent="0.2">
      <c r="A1641" t="s">
        <v>1362</v>
      </c>
      <c r="B1641">
        <v>309920</v>
      </c>
      <c r="C1641" t="s">
        <v>58</v>
      </c>
      <c r="D1641" t="s">
        <v>1362</v>
      </c>
      <c r="E1641" t="s">
        <v>3507</v>
      </c>
      <c r="G1641" t="s">
        <v>3508</v>
      </c>
      <c r="J1641">
        <v>4.5363847230000003</v>
      </c>
      <c r="K1641">
        <v>0.245646371</v>
      </c>
      <c r="L1641">
        <v>7.5242279999999995E-2</v>
      </c>
      <c r="M1641" s="21">
        <v>-1.2113492159999999</v>
      </c>
      <c r="N1641">
        <v>1.5990398999999999E-2</v>
      </c>
    </row>
    <row r="1642" spans="1:14" x14ac:dyDescent="0.2">
      <c r="A1642" t="s">
        <v>494</v>
      </c>
      <c r="B1642">
        <v>152160</v>
      </c>
      <c r="C1642" t="s">
        <v>28</v>
      </c>
      <c r="D1642" t="s">
        <v>495</v>
      </c>
      <c r="E1642" t="s">
        <v>3509</v>
      </c>
      <c r="G1642" t="s">
        <v>3510</v>
      </c>
      <c r="J1642">
        <v>5.8462906840000004</v>
      </c>
      <c r="K1642">
        <v>0.60615847</v>
      </c>
      <c r="L1642">
        <v>0.28550877299999999</v>
      </c>
      <c r="M1642" s="21">
        <v>-1.2116553059999999</v>
      </c>
      <c r="N1642">
        <v>1.4417900000000001E-2</v>
      </c>
    </row>
    <row r="1643" spans="1:14" x14ac:dyDescent="0.2">
      <c r="A1643" t="s">
        <v>650</v>
      </c>
      <c r="B1643">
        <v>308160</v>
      </c>
      <c r="C1643" t="s">
        <v>100</v>
      </c>
      <c r="D1643" t="s">
        <v>651</v>
      </c>
      <c r="E1643" t="s">
        <v>3511</v>
      </c>
      <c r="G1643" t="s">
        <v>3512</v>
      </c>
      <c r="J1643">
        <v>5.9110743220000002</v>
      </c>
      <c r="K1643">
        <v>0.71598987199999997</v>
      </c>
      <c r="L1643">
        <v>0.29077365599999999</v>
      </c>
      <c r="M1643" s="21">
        <v>-1.2116862230000001</v>
      </c>
      <c r="N1643">
        <v>1.4259068E-2</v>
      </c>
    </row>
    <row r="1644" spans="1:14" x14ac:dyDescent="0.2">
      <c r="A1644" t="s">
        <v>1794</v>
      </c>
      <c r="B1644">
        <v>282040</v>
      </c>
      <c r="C1644" t="s">
        <v>84</v>
      </c>
      <c r="D1644" t="s">
        <v>1794</v>
      </c>
      <c r="E1644" t="s">
        <v>3513</v>
      </c>
      <c r="J1644">
        <v>3.600219579</v>
      </c>
      <c r="K1644">
        <v>-0.293098474</v>
      </c>
      <c r="L1644">
        <v>-0.153917466</v>
      </c>
      <c r="M1644" s="21">
        <v>-1.211735295</v>
      </c>
      <c r="N1644">
        <v>1.4006968E-2</v>
      </c>
    </row>
    <row r="1645" spans="1:14" x14ac:dyDescent="0.2">
      <c r="A1645" t="s">
        <v>2902</v>
      </c>
      <c r="B1645">
        <v>275160</v>
      </c>
      <c r="C1645" t="s">
        <v>130</v>
      </c>
      <c r="D1645" t="s">
        <v>2903</v>
      </c>
      <c r="E1645" t="s">
        <v>3514</v>
      </c>
      <c r="G1645" t="s">
        <v>3515</v>
      </c>
      <c r="J1645">
        <v>5.1222566499999997</v>
      </c>
      <c r="K1645">
        <v>0.21422175600000001</v>
      </c>
      <c r="L1645">
        <v>0.25354511400000002</v>
      </c>
      <c r="M1645" s="21">
        <v>-1.2118339899999999</v>
      </c>
      <c r="N1645">
        <v>1.3499934999999999E-2</v>
      </c>
    </row>
    <row r="1646" spans="1:14" x14ac:dyDescent="0.2">
      <c r="A1646" t="s">
        <v>2108</v>
      </c>
      <c r="B1646">
        <v>281880</v>
      </c>
      <c r="C1646" t="s">
        <v>84</v>
      </c>
      <c r="D1646" t="s">
        <v>2108</v>
      </c>
      <c r="E1646" t="s">
        <v>3516</v>
      </c>
      <c r="J1646">
        <v>3.600219579</v>
      </c>
      <c r="K1646">
        <v>-0.293098474</v>
      </c>
      <c r="L1646">
        <v>-0.153917466</v>
      </c>
      <c r="M1646" s="21">
        <v>-1.2119447130000001</v>
      </c>
      <c r="N1646">
        <v>1.2931107000000001E-2</v>
      </c>
    </row>
    <row r="1647" spans="1:14" x14ac:dyDescent="0.2">
      <c r="A1647" t="s">
        <v>1069</v>
      </c>
      <c r="B1647">
        <v>274640</v>
      </c>
      <c r="C1647" t="s">
        <v>130</v>
      </c>
      <c r="D1647" t="s">
        <v>1070</v>
      </c>
      <c r="E1647" t="s">
        <v>3517</v>
      </c>
      <c r="G1647" t="s">
        <v>3518</v>
      </c>
      <c r="J1647">
        <v>5.1222566499999997</v>
      </c>
      <c r="K1647">
        <v>0.21422175600000001</v>
      </c>
      <c r="L1647">
        <v>0.25354511400000002</v>
      </c>
      <c r="M1647" s="21">
        <v>-1.2122478210000001</v>
      </c>
      <c r="N1647">
        <v>1.1373928E-2</v>
      </c>
    </row>
    <row r="1648" spans="1:14" x14ac:dyDescent="0.2">
      <c r="A1648" t="s">
        <v>361</v>
      </c>
      <c r="B1648">
        <v>281600</v>
      </c>
      <c r="C1648" t="s">
        <v>84</v>
      </c>
      <c r="D1648" t="s">
        <v>361</v>
      </c>
      <c r="E1648" t="s">
        <v>3519</v>
      </c>
      <c r="J1648">
        <v>3.600219579</v>
      </c>
      <c r="K1648">
        <v>-0.293098474</v>
      </c>
      <c r="L1648">
        <v>-0.153917466</v>
      </c>
      <c r="M1648" s="21">
        <v>-1.2123111959999999</v>
      </c>
      <c r="N1648">
        <v>1.1048349000000001E-2</v>
      </c>
    </row>
    <row r="1649" spans="1:14" x14ac:dyDescent="0.2">
      <c r="A1649" t="s">
        <v>846</v>
      </c>
      <c r="B1649">
        <v>274480</v>
      </c>
      <c r="C1649" t="s">
        <v>130</v>
      </c>
      <c r="D1649" t="s">
        <v>847</v>
      </c>
      <c r="E1649" t="s">
        <v>3520</v>
      </c>
      <c r="G1649" t="s">
        <v>3521</v>
      </c>
      <c r="J1649">
        <v>5.1222566499999997</v>
      </c>
      <c r="K1649">
        <v>0.21422175600000001</v>
      </c>
      <c r="L1649">
        <v>0.25354511400000002</v>
      </c>
      <c r="M1649" s="21">
        <v>-1.2123751540000001</v>
      </c>
      <c r="N1649">
        <v>1.0719772000000001E-2</v>
      </c>
    </row>
    <row r="1650" spans="1:14" x14ac:dyDescent="0.2">
      <c r="A1650" t="s">
        <v>1010</v>
      </c>
      <c r="B1650">
        <v>307400</v>
      </c>
      <c r="C1650" t="s">
        <v>100</v>
      </c>
      <c r="D1650" t="s">
        <v>1010</v>
      </c>
      <c r="E1650" t="s">
        <v>3522</v>
      </c>
      <c r="G1650" t="s">
        <v>3523</v>
      </c>
      <c r="J1650">
        <v>5.9110743220000002</v>
      </c>
      <c r="K1650">
        <v>0.71598987199999997</v>
      </c>
      <c r="L1650">
        <v>0.29077365599999999</v>
      </c>
      <c r="M1650" s="21">
        <v>-1.212440685</v>
      </c>
      <c r="N1650">
        <v>1.0383112999999999E-2</v>
      </c>
    </row>
    <row r="1651" spans="1:14" x14ac:dyDescent="0.2">
      <c r="A1651" t="s">
        <v>765</v>
      </c>
      <c r="B1651">
        <v>326880</v>
      </c>
      <c r="C1651" t="s">
        <v>149</v>
      </c>
      <c r="D1651" t="s">
        <v>766</v>
      </c>
      <c r="E1651" t="s">
        <v>3524</v>
      </c>
      <c r="G1651" t="s">
        <v>3525</v>
      </c>
      <c r="J1651">
        <v>5.0381074159999999</v>
      </c>
      <c r="K1651">
        <v>0.81312368999999995</v>
      </c>
      <c r="L1651">
        <v>0.16969141800000001</v>
      </c>
      <c r="M1651" s="21">
        <v>-1.213087016</v>
      </c>
      <c r="N1651">
        <v>7.0626730000000002E-3</v>
      </c>
    </row>
    <row r="1652" spans="1:14" x14ac:dyDescent="0.2">
      <c r="A1652" t="s">
        <v>832</v>
      </c>
      <c r="B1652">
        <v>280520</v>
      </c>
      <c r="C1652" t="s">
        <v>84</v>
      </c>
      <c r="D1652" t="s">
        <v>832</v>
      </c>
      <c r="E1652" t="s">
        <v>3526</v>
      </c>
      <c r="J1652">
        <v>3.600219579</v>
      </c>
      <c r="K1652">
        <v>-0.293098474</v>
      </c>
      <c r="L1652">
        <v>-0.153917466</v>
      </c>
      <c r="M1652" s="21">
        <v>-1.213724772</v>
      </c>
      <c r="N1652">
        <v>3.7862820000000002E-3</v>
      </c>
    </row>
    <row r="1653" spans="1:14" x14ac:dyDescent="0.2">
      <c r="A1653" t="s">
        <v>534</v>
      </c>
      <c r="B1653">
        <v>280520</v>
      </c>
      <c r="C1653" t="s">
        <v>84</v>
      </c>
      <c r="D1653" t="s">
        <v>534</v>
      </c>
      <c r="E1653" t="s">
        <v>3527</v>
      </c>
      <c r="J1653">
        <v>3.600219579</v>
      </c>
      <c r="K1653">
        <v>-0.293098474</v>
      </c>
      <c r="L1653">
        <v>-0.153917466</v>
      </c>
      <c r="M1653" s="21">
        <v>-1.213724772</v>
      </c>
      <c r="N1653">
        <v>3.7862820000000002E-3</v>
      </c>
    </row>
    <row r="1654" spans="1:14" x14ac:dyDescent="0.2">
      <c r="A1654" t="s">
        <v>907</v>
      </c>
      <c r="B1654">
        <v>325960</v>
      </c>
      <c r="C1654" t="s">
        <v>149</v>
      </c>
      <c r="D1654" t="s">
        <v>907</v>
      </c>
      <c r="E1654" t="s">
        <v>3528</v>
      </c>
      <c r="G1654" t="s">
        <v>3529</v>
      </c>
      <c r="J1654">
        <v>5.0381074159999999</v>
      </c>
      <c r="K1654">
        <v>0.81312368999999995</v>
      </c>
      <c r="L1654">
        <v>0.16969141800000001</v>
      </c>
      <c r="M1654" s="21">
        <v>-1.213937662</v>
      </c>
      <c r="N1654">
        <v>2.6925819999999998E-3</v>
      </c>
    </row>
    <row r="1655" spans="1:14" x14ac:dyDescent="0.2">
      <c r="A1655" t="s">
        <v>494</v>
      </c>
      <c r="B1655">
        <v>280080</v>
      </c>
      <c r="C1655" t="s">
        <v>84</v>
      </c>
      <c r="D1655" t="s">
        <v>495</v>
      </c>
      <c r="E1655" t="s">
        <v>3530</v>
      </c>
      <c r="J1655">
        <v>3.600219579</v>
      </c>
      <c r="K1655">
        <v>-0.293098474</v>
      </c>
      <c r="L1655">
        <v>-0.153917466</v>
      </c>
      <c r="M1655" s="21">
        <v>-1.2143006730000001</v>
      </c>
      <c r="N1655">
        <v>8.2766199999999995E-4</v>
      </c>
    </row>
    <row r="1656" spans="1:14" x14ac:dyDescent="0.2">
      <c r="A1656" t="s">
        <v>157</v>
      </c>
      <c r="B1656">
        <v>339080</v>
      </c>
      <c r="C1656" t="s">
        <v>14</v>
      </c>
      <c r="D1656" t="s">
        <v>157</v>
      </c>
      <c r="E1656" t="s">
        <v>3531</v>
      </c>
      <c r="G1656" t="s">
        <v>3532</v>
      </c>
      <c r="J1656">
        <v>6.7484204910000001</v>
      </c>
      <c r="K1656">
        <v>0.48629166299999999</v>
      </c>
      <c r="L1656">
        <v>0.375053939</v>
      </c>
      <c r="M1656" s="21">
        <v>-1.214443811</v>
      </c>
      <c r="N1656" s="1">
        <v>9.2305400000000006E-5</v>
      </c>
    </row>
    <row r="1657" spans="1:14" x14ac:dyDescent="0.2">
      <c r="A1657" t="s">
        <v>537</v>
      </c>
      <c r="B1657">
        <v>279960</v>
      </c>
      <c r="C1657" t="s">
        <v>84</v>
      </c>
      <c r="D1657" t="s">
        <v>538</v>
      </c>
      <c r="E1657" t="s">
        <v>3533</v>
      </c>
      <c r="J1657">
        <v>3.600219579</v>
      </c>
      <c r="K1657">
        <v>-0.293098474</v>
      </c>
      <c r="L1657">
        <v>-0.153917466</v>
      </c>
      <c r="M1657" s="21">
        <v>-1.214457737</v>
      </c>
      <c r="N1657" s="1">
        <v>2.07657E-5</v>
      </c>
    </row>
    <row r="1658" spans="1:14" x14ac:dyDescent="0.2">
      <c r="A1658" t="s">
        <v>1118</v>
      </c>
      <c r="B1658">
        <v>305360</v>
      </c>
      <c r="C1658" t="s">
        <v>100</v>
      </c>
      <c r="D1658" t="s">
        <v>1118</v>
      </c>
      <c r="E1658" t="s">
        <v>3534</v>
      </c>
      <c r="G1658" t="s">
        <v>3535</v>
      </c>
      <c r="J1658">
        <v>5.9110743220000002</v>
      </c>
      <c r="K1658">
        <v>0.71598987199999997</v>
      </c>
      <c r="L1658">
        <v>0.29077365599999999</v>
      </c>
      <c r="M1658" s="21">
        <v>-1.2144658209999999</v>
      </c>
      <c r="N1658" s="1">
        <v>-2.07657E-5</v>
      </c>
    </row>
    <row r="1659" spans="1:14" x14ac:dyDescent="0.2">
      <c r="A1659" t="s">
        <v>1484</v>
      </c>
      <c r="B1659">
        <v>305320</v>
      </c>
      <c r="C1659" t="s">
        <v>100</v>
      </c>
      <c r="D1659" t="s">
        <v>1484</v>
      </c>
      <c r="E1659" t="s">
        <v>3536</v>
      </c>
      <c r="G1659" t="s">
        <v>3537</v>
      </c>
      <c r="J1659">
        <v>5.9110743220000002</v>
      </c>
      <c r="K1659">
        <v>0.71598987199999997</v>
      </c>
      <c r="L1659">
        <v>0.29077365599999999</v>
      </c>
      <c r="M1659" s="21">
        <v>-1.214505529</v>
      </c>
      <c r="N1659">
        <v>-2.24763E-4</v>
      </c>
    </row>
    <row r="1660" spans="1:14" x14ac:dyDescent="0.2">
      <c r="A1660" t="s">
        <v>1857</v>
      </c>
      <c r="B1660">
        <v>306640</v>
      </c>
      <c r="C1660" t="s">
        <v>58</v>
      </c>
      <c r="D1660" t="s">
        <v>1858</v>
      </c>
      <c r="E1660" t="s">
        <v>3538</v>
      </c>
      <c r="G1660" t="s">
        <v>3539</v>
      </c>
      <c r="J1660">
        <v>4.5363847230000003</v>
      </c>
      <c r="K1660">
        <v>0.245646371</v>
      </c>
      <c r="L1660">
        <v>7.5242279999999995E-2</v>
      </c>
      <c r="M1660" s="21">
        <v>-1.2145167990000001</v>
      </c>
      <c r="N1660">
        <v>-2.8265799999999998E-4</v>
      </c>
    </row>
    <row r="1661" spans="1:14" x14ac:dyDescent="0.2">
      <c r="A1661" t="s">
        <v>2341</v>
      </c>
      <c r="B1661">
        <v>305200</v>
      </c>
      <c r="C1661" t="s">
        <v>100</v>
      </c>
      <c r="D1661" t="s">
        <v>2341</v>
      </c>
      <c r="E1661" t="s">
        <v>3540</v>
      </c>
      <c r="G1661" t="s">
        <v>3541</v>
      </c>
      <c r="J1661">
        <v>5.9110743220000002</v>
      </c>
      <c r="K1661">
        <v>0.71598987199999997</v>
      </c>
      <c r="L1661">
        <v>0.29077365599999999</v>
      </c>
      <c r="M1661" s="21">
        <v>-1.2146246549999999</v>
      </c>
      <c r="N1661">
        <v>-8.3675600000000002E-4</v>
      </c>
    </row>
    <row r="1662" spans="1:14" x14ac:dyDescent="0.2">
      <c r="A1662" t="s">
        <v>422</v>
      </c>
      <c r="B1662">
        <v>338760</v>
      </c>
      <c r="C1662" t="s">
        <v>14</v>
      </c>
      <c r="D1662" t="s">
        <v>423</v>
      </c>
      <c r="E1662" t="s">
        <v>3542</v>
      </c>
      <c r="G1662" t="s">
        <v>3543</v>
      </c>
      <c r="J1662">
        <v>6.7484204910000001</v>
      </c>
      <c r="K1662">
        <v>0.48629166299999999</v>
      </c>
      <c r="L1662">
        <v>0.375053939</v>
      </c>
      <c r="M1662" s="21">
        <v>-1.2147944420000001</v>
      </c>
      <c r="N1662">
        <v>-1.7090180000000001E-3</v>
      </c>
    </row>
    <row r="1663" spans="1:14" x14ac:dyDescent="0.2">
      <c r="A1663" t="s">
        <v>2960</v>
      </c>
      <c r="B1663">
        <v>325000</v>
      </c>
      <c r="C1663" t="s">
        <v>149</v>
      </c>
      <c r="D1663" t="s">
        <v>2961</v>
      </c>
      <c r="E1663" t="s">
        <v>3544</v>
      </c>
      <c r="G1663" t="s">
        <v>3545</v>
      </c>
      <c r="J1663">
        <v>5.0381074159999999</v>
      </c>
      <c r="K1663">
        <v>0.81312368999999995</v>
      </c>
      <c r="L1663">
        <v>0.16969141800000001</v>
      </c>
      <c r="M1663" s="21">
        <v>-1.2148252939999999</v>
      </c>
      <c r="N1663">
        <v>-1.8675129999999999E-3</v>
      </c>
    </row>
    <row r="1664" spans="1:14" x14ac:dyDescent="0.2">
      <c r="A1664" t="s">
        <v>504</v>
      </c>
      <c r="B1664">
        <v>279560</v>
      </c>
      <c r="C1664" t="s">
        <v>84</v>
      </c>
      <c r="D1664" t="s">
        <v>504</v>
      </c>
      <c r="E1664" t="s">
        <v>3546</v>
      </c>
      <c r="J1664">
        <v>3.600219579</v>
      </c>
      <c r="K1664">
        <v>-0.293098474</v>
      </c>
      <c r="L1664">
        <v>-0.153917466</v>
      </c>
      <c r="M1664" s="21">
        <v>-1.214981283</v>
      </c>
      <c r="N1664">
        <v>-2.6688889999999998E-3</v>
      </c>
    </row>
    <row r="1665" spans="1:14" x14ac:dyDescent="0.2">
      <c r="A1665" t="s">
        <v>2421</v>
      </c>
      <c r="B1665">
        <v>324800</v>
      </c>
      <c r="C1665" t="s">
        <v>149</v>
      </c>
      <c r="D1665" t="s">
        <v>2422</v>
      </c>
      <c r="E1665" t="s">
        <v>3547</v>
      </c>
      <c r="G1665" t="s">
        <v>3548</v>
      </c>
      <c r="J1665">
        <v>5.0381074159999999</v>
      </c>
      <c r="K1665">
        <v>0.81312368999999995</v>
      </c>
      <c r="L1665">
        <v>0.16969141800000001</v>
      </c>
      <c r="M1665" s="21">
        <v>-1.2150102169999999</v>
      </c>
      <c r="N1665">
        <v>-2.8175320000000002E-3</v>
      </c>
    </row>
    <row r="1666" spans="1:14" x14ac:dyDescent="0.2">
      <c r="A1666" t="s">
        <v>753</v>
      </c>
      <c r="B1666">
        <v>148240</v>
      </c>
      <c r="C1666" t="s">
        <v>28</v>
      </c>
      <c r="D1666" t="s">
        <v>753</v>
      </c>
      <c r="E1666" t="s">
        <v>3549</v>
      </c>
      <c r="G1666" t="s">
        <v>3550</v>
      </c>
      <c r="J1666">
        <v>5.8462906840000004</v>
      </c>
      <c r="K1666">
        <v>0.60615847</v>
      </c>
      <c r="L1666">
        <v>0.28550877299999999</v>
      </c>
      <c r="M1666" s="21">
        <v>-1.2151943300000001</v>
      </c>
      <c r="N1666">
        <v>-3.763392E-3</v>
      </c>
    </row>
    <row r="1667" spans="1:14" x14ac:dyDescent="0.2">
      <c r="A1667" t="s">
        <v>2294</v>
      </c>
      <c r="B1667">
        <v>305920</v>
      </c>
      <c r="C1667" t="s">
        <v>58</v>
      </c>
      <c r="D1667" t="s">
        <v>2294</v>
      </c>
      <c r="E1667" t="s">
        <v>3551</v>
      </c>
      <c r="G1667" t="s">
        <v>3552</v>
      </c>
      <c r="J1667">
        <v>4.5363847230000003</v>
      </c>
      <c r="K1667">
        <v>0.245646371</v>
      </c>
      <c r="L1667">
        <v>7.5242279999999995E-2</v>
      </c>
      <c r="M1667" s="21">
        <v>-1.2152121220000001</v>
      </c>
      <c r="N1667">
        <v>-3.854793E-3</v>
      </c>
    </row>
    <row r="1668" spans="1:14" x14ac:dyDescent="0.2">
      <c r="A1668" t="s">
        <v>1498</v>
      </c>
      <c r="B1668">
        <v>305920</v>
      </c>
      <c r="C1668" t="s">
        <v>58</v>
      </c>
      <c r="D1668" t="s">
        <v>1498</v>
      </c>
      <c r="E1668" t="s">
        <v>3553</v>
      </c>
      <c r="G1668" t="s">
        <v>3554</v>
      </c>
      <c r="J1668">
        <v>4.5363847230000003</v>
      </c>
      <c r="K1668">
        <v>0.245646371</v>
      </c>
      <c r="L1668">
        <v>7.5242279999999995E-2</v>
      </c>
      <c r="M1668" s="21">
        <v>-1.2152121220000001</v>
      </c>
      <c r="N1668">
        <v>-3.854793E-3</v>
      </c>
    </row>
    <row r="1669" spans="1:14" x14ac:dyDescent="0.2">
      <c r="A1669" t="s">
        <v>491</v>
      </c>
      <c r="B1669">
        <v>99000</v>
      </c>
      <c r="C1669" t="s">
        <v>34</v>
      </c>
      <c r="D1669" t="s">
        <v>491</v>
      </c>
      <c r="E1669" t="s">
        <v>3555</v>
      </c>
      <c r="G1669" t="s">
        <v>3556</v>
      </c>
      <c r="J1669">
        <v>7.0544859390000001</v>
      </c>
      <c r="K1669">
        <v>0.623000361</v>
      </c>
      <c r="L1669">
        <v>0.42866702800000001</v>
      </c>
      <c r="M1669" s="21">
        <v>-1.215378259</v>
      </c>
      <c r="N1669">
        <v>-4.7083020000000001E-3</v>
      </c>
    </row>
    <row r="1670" spans="1:14" x14ac:dyDescent="0.2">
      <c r="A1670" t="s">
        <v>753</v>
      </c>
      <c r="B1670">
        <v>305400</v>
      </c>
      <c r="C1670" t="s">
        <v>58</v>
      </c>
      <c r="D1670" t="s">
        <v>753</v>
      </c>
      <c r="E1670" t="s">
        <v>3557</v>
      </c>
      <c r="G1670" t="s">
        <v>3558</v>
      </c>
      <c r="J1670">
        <v>4.5363847230000003</v>
      </c>
      <c r="K1670">
        <v>0.245646371</v>
      </c>
      <c r="L1670">
        <v>7.5242279999999995E-2</v>
      </c>
      <c r="M1670" s="21">
        <v>-1.2157142999999999</v>
      </c>
      <c r="N1670">
        <v>-6.4346680000000002E-3</v>
      </c>
    </row>
    <row r="1671" spans="1:14" x14ac:dyDescent="0.2">
      <c r="A1671" t="s">
        <v>2453</v>
      </c>
      <c r="B1671">
        <v>278920</v>
      </c>
      <c r="C1671" t="s">
        <v>84</v>
      </c>
      <c r="D1671" t="s">
        <v>2454</v>
      </c>
      <c r="E1671" t="s">
        <v>3559</v>
      </c>
      <c r="G1671" t="s">
        <v>3560</v>
      </c>
      <c r="J1671">
        <v>3.600219579</v>
      </c>
      <c r="K1671">
        <v>-0.293098474</v>
      </c>
      <c r="L1671">
        <v>-0.153917466</v>
      </c>
      <c r="M1671" s="21">
        <v>-1.2158189580000001</v>
      </c>
      <c r="N1671">
        <v>-6.972336E-3</v>
      </c>
    </row>
    <row r="1672" spans="1:14" x14ac:dyDescent="0.2">
      <c r="A1672" t="s">
        <v>3164</v>
      </c>
      <c r="B1672">
        <v>278680</v>
      </c>
      <c r="C1672" t="s">
        <v>84</v>
      </c>
      <c r="D1672" t="s">
        <v>3165</v>
      </c>
      <c r="E1672" t="s">
        <v>3561</v>
      </c>
      <c r="J1672">
        <v>3.600219579</v>
      </c>
      <c r="K1672">
        <v>-0.293098474</v>
      </c>
      <c r="L1672">
        <v>-0.153917466</v>
      </c>
      <c r="M1672" s="21">
        <v>-1.2161330859999999</v>
      </c>
      <c r="N1672">
        <v>-8.5861280000000002E-3</v>
      </c>
    </row>
    <row r="1673" spans="1:14" x14ac:dyDescent="0.2">
      <c r="A1673" t="s">
        <v>329</v>
      </c>
      <c r="B1673">
        <v>323560</v>
      </c>
      <c r="C1673" t="s">
        <v>149</v>
      </c>
      <c r="D1673" t="s">
        <v>329</v>
      </c>
      <c r="E1673" t="s">
        <v>3562</v>
      </c>
      <c r="G1673" t="s">
        <v>3563</v>
      </c>
      <c r="J1673">
        <v>5.0381074159999999</v>
      </c>
      <c r="K1673">
        <v>0.81312368999999995</v>
      </c>
      <c r="L1673">
        <v>0.16969141800000001</v>
      </c>
      <c r="M1673" s="21">
        <v>-1.216156741</v>
      </c>
      <c r="N1673">
        <v>-8.7076549999999999E-3</v>
      </c>
    </row>
    <row r="1674" spans="1:14" x14ac:dyDescent="0.2">
      <c r="A1674" t="s">
        <v>1595</v>
      </c>
      <c r="B1674">
        <v>146920</v>
      </c>
      <c r="C1674" t="s">
        <v>28</v>
      </c>
      <c r="D1674" t="s">
        <v>1595</v>
      </c>
      <c r="E1674" t="s">
        <v>3564</v>
      </c>
      <c r="G1674" t="s">
        <v>3565</v>
      </c>
      <c r="J1674">
        <v>5.8462906840000004</v>
      </c>
      <c r="K1674">
        <v>0.60615847</v>
      </c>
      <c r="L1674">
        <v>0.28550877299999999</v>
      </c>
      <c r="M1674" s="21">
        <v>-1.216386043</v>
      </c>
      <c r="N1674">
        <v>-9.8856629999999994E-3</v>
      </c>
    </row>
    <row r="1675" spans="1:14" x14ac:dyDescent="0.2">
      <c r="A1675" t="s">
        <v>924</v>
      </c>
      <c r="B1675">
        <v>269440</v>
      </c>
      <c r="C1675" t="s">
        <v>130</v>
      </c>
      <c r="D1675" t="s">
        <v>924</v>
      </c>
      <c r="E1675" t="s">
        <v>3566</v>
      </c>
      <c r="G1675" t="s">
        <v>3567</v>
      </c>
      <c r="J1675">
        <v>5.1222566499999997</v>
      </c>
      <c r="K1675">
        <v>0.21422175600000001</v>
      </c>
      <c r="L1675">
        <v>0.25354511400000002</v>
      </c>
      <c r="M1675" s="21">
        <v>-1.216386137</v>
      </c>
      <c r="N1675">
        <v>-9.8861469999999996E-3</v>
      </c>
    </row>
    <row r="1676" spans="1:14" x14ac:dyDescent="0.2">
      <c r="A1676" t="s">
        <v>451</v>
      </c>
      <c r="B1676">
        <v>278360</v>
      </c>
      <c r="C1676" t="s">
        <v>84</v>
      </c>
      <c r="D1676" t="s">
        <v>452</v>
      </c>
      <c r="E1676" t="s">
        <v>3568</v>
      </c>
      <c r="J1676">
        <v>3.600219579</v>
      </c>
      <c r="K1676">
        <v>-0.293098474</v>
      </c>
      <c r="L1676">
        <v>-0.153917466</v>
      </c>
      <c r="M1676" s="21">
        <v>-1.2165519229999999</v>
      </c>
      <c r="N1676">
        <v>-1.0737852000000001E-2</v>
      </c>
    </row>
    <row r="1677" spans="1:14" x14ac:dyDescent="0.2">
      <c r="A1677" t="s">
        <v>372</v>
      </c>
      <c r="B1677">
        <v>268600</v>
      </c>
      <c r="C1677" t="s">
        <v>130</v>
      </c>
      <c r="D1677" t="s">
        <v>372</v>
      </c>
      <c r="E1677" t="s">
        <v>3569</v>
      </c>
      <c r="G1677" t="s">
        <v>3570</v>
      </c>
      <c r="J1677">
        <v>5.1222566499999997</v>
      </c>
      <c r="K1677">
        <v>0.21422175600000001</v>
      </c>
      <c r="L1677">
        <v>0.25354511400000002</v>
      </c>
      <c r="M1677" s="21">
        <v>-1.2170546339999999</v>
      </c>
      <c r="N1677">
        <v>-1.3320466E-2</v>
      </c>
    </row>
    <row r="1678" spans="1:14" x14ac:dyDescent="0.2">
      <c r="A1678" t="s">
        <v>465</v>
      </c>
      <c r="B1678">
        <v>268400</v>
      </c>
      <c r="C1678" t="s">
        <v>130</v>
      </c>
      <c r="D1678" t="s">
        <v>466</v>
      </c>
      <c r="E1678" t="s">
        <v>3571</v>
      </c>
      <c r="G1678" t="s">
        <v>3572</v>
      </c>
      <c r="J1678">
        <v>5.1222566499999997</v>
      </c>
      <c r="K1678">
        <v>0.21422175600000001</v>
      </c>
      <c r="L1678">
        <v>0.25354511400000002</v>
      </c>
      <c r="M1678" s="21">
        <v>-1.2172137999999999</v>
      </c>
      <c r="N1678">
        <v>-1.4138161E-2</v>
      </c>
    </row>
    <row r="1679" spans="1:14" x14ac:dyDescent="0.2">
      <c r="A1679" t="s">
        <v>598</v>
      </c>
      <c r="B1679">
        <v>96880</v>
      </c>
      <c r="C1679" t="s">
        <v>34</v>
      </c>
      <c r="D1679" t="s">
        <v>598</v>
      </c>
      <c r="E1679" t="s">
        <v>3573</v>
      </c>
      <c r="G1679" t="s">
        <v>3574</v>
      </c>
      <c r="J1679">
        <v>7.0544859390000001</v>
      </c>
      <c r="K1679">
        <v>0.623000361</v>
      </c>
      <c r="L1679">
        <v>0.42866702800000001</v>
      </c>
      <c r="M1679" s="21">
        <v>-1.217241864</v>
      </c>
      <c r="N1679">
        <v>-1.4282339999999999E-2</v>
      </c>
    </row>
    <row r="1680" spans="1:14" x14ac:dyDescent="0.2">
      <c r="A1680" t="s">
        <v>687</v>
      </c>
      <c r="B1680">
        <v>277800</v>
      </c>
      <c r="C1680" t="s">
        <v>84</v>
      </c>
      <c r="D1680" t="s">
        <v>688</v>
      </c>
      <c r="E1680" t="s">
        <v>3575</v>
      </c>
      <c r="J1680">
        <v>3.600219579</v>
      </c>
      <c r="K1680">
        <v>-0.293098474</v>
      </c>
      <c r="L1680">
        <v>-0.153917466</v>
      </c>
      <c r="M1680" s="21">
        <v>-1.217284888</v>
      </c>
      <c r="N1680">
        <v>-1.4503368000000001E-2</v>
      </c>
    </row>
    <row r="1681" spans="1:14" x14ac:dyDescent="0.2">
      <c r="A1681" t="s">
        <v>2457</v>
      </c>
      <c r="B1681">
        <v>268280</v>
      </c>
      <c r="C1681" t="s">
        <v>130</v>
      </c>
      <c r="D1681" t="s">
        <v>2458</v>
      </c>
      <c r="E1681" t="s">
        <v>3576</v>
      </c>
      <c r="G1681" t="s">
        <v>3577</v>
      </c>
      <c r="J1681">
        <v>5.1222566499999997</v>
      </c>
      <c r="K1681">
        <v>0.21422175600000001</v>
      </c>
      <c r="L1681">
        <v>0.25354511400000002</v>
      </c>
      <c r="M1681" s="21">
        <v>-1.2173092990000001</v>
      </c>
      <c r="N1681">
        <v>-1.4628779E-2</v>
      </c>
    </row>
    <row r="1682" spans="1:14" x14ac:dyDescent="0.2">
      <c r="A1682" t="s">
        <v>892</v>
      </c>
      <c r="B1682">
        <v>145320</v>
      </c>
      <c r="C1682" t="s">
        <v>28</v>
      </c>
      <c r="D1682" t="s">
        <v>892</v>
      </c>
      <c r="E1682" t="s">
        <v>3578</v>
      </c>
      <c r="G1682" t="s">
        <v>3579</v>
      </c>
      <c r="J1682">
        <v>5.8462906840000004</v>
      </c>
      <c r="K1682">
        <v>0.60615847</v>
      </c>
      <c r="L1682">
        <v>0.28550877299999999</v>
      </c>
      <c r="M1682" s="21">
        <v>-1.217830542</v>
      </c>
      <c r="N1682">
        <v>-1.7306597999999999E-2</v>
      </c>
    </row>
    <row r="1683" spans="1:14" x14ac:dyDescent="0.2">
      <c r="A1683" t="s">
        <v>1461</v>
      </c>
      <c r="B1683">
        <v>335600</v>
      </c>
      <c r="C1683" t="s">
        <v>14</v>
      </c>
      <c r="D1683" t="s">
        <v>1461</v>
      </c>
      <c r="E1683" t="s">
        <v>3580</v>
      </c>
      <c r="G1683" t="s">
        <v>3581</v>
      </c>
      <c r="J1683">
        <v>6.7484204910000001</v>
      </c>
      <c r="K1683">
        <v>0.48629166299999999</v>
      </c>
      <c r="L1683">
        <v>0.375053939</v>
      </c>
      <c r="M1683" s="21">
        <v>-1.2182569249999999</v>
      </c>
      <c r="N1683">
        <v>-1.9497086E-2</v>
      </c>
    </row>
    <row r="1684" spans="1:14" x14ac:dyDescent="0.2">
      <c r="A1684" t="s">
        <v>52</v>
      </c>
      <c r="B1684">
        <v>301360</v>
      </c>
      <c r="C1684" t="s">
        <v>100</v>
      </c>
      <c r="D1684" t="s">
        <v>53</v>
      </c>
      <c r="E1684" t="s">
        <v>3582</v>
      </c>
      <c r="G1684" t="s">
        <v>3583</v>
      </c>
      <c r="J1684">
        <v>5.9110743220000002</v>
      </c>
      <c r="K1684">
        <v>0.71598987199999997</v>
      </c>
      <c r="L1684">
        <v>0.29077365599999999</v>
      </c>
      <c r="M1684" s="21">
        <v>-1.218436675</v>
      </c>
      <c r="N1684">
        <v>-2.0420529E-2</v>
      </c>
    </row>
    <row r="1685" spans="1:14" x14ac:dyDescent="0.2">
      <c r="A1685" t="s">
        <v>295</v>
      </c>
      <c r="B1685">
        <v>335080</v>
      </c>
      <c r="C1685" t="s">
        <v>14</v>
      </c>
      <c r="D1685" t="s">
        <v>295</v>
      </c>
      <c r="E1685" t="s">
        <v>3584</v>
      </c>
      <c r="G1685" t="s">
        <v>3585</v>
      </c>
      <c r="J1685">
        <v>6.7484204910000001</v>
      </c>
      <c r="K1685">
        <v>0.48629166299999999</v>
      </c>
      <c r="L1685">
        <v>0.375053939</v>
      </c>
      <c r="M1685" s="21">
        <v>-1.218826701</v>
      </c>
      <c r="N1685">
        <v>-2.2424237E-2</v>
      </c>
    </row>
    <row r="1686" spans="1:14" x14ac:dyDescent="0.2">
      <c r="A1686" t="s">
        <v>1391</v>
      </c>
      <c r="B1686">
        <v>202480</v>
      </c>
      <c r="C1686" t="s">
        <v>68</v>
      </c>
      <c r="D1686" t="s">
        <v>1391</v>
      </c>
      <c r="E1686" t="s">
        <v>3586</v>
      </c>
      <c r="G1686" t="s">
        <v>3587</v>
      </c>
      <c r="J1686">
        <v>6.4561903559999996</v>
      </c>
      <c r="K1686">
        <v>0.47291064100000002</v>
      </c>
      <c r="L1686">
        <v>0.34414126499999997</v>
      </c>
      <c r="M1686" s="21">
        <v>-1.2193758640000001</v>
      </c>
      <c r="N1686">
        <v>-2.5245496999999999E-2</v>
      </c>
    </row>
    <row r="1687" spans="1:14" x14ac:dyDescent="0.2">
      <c r="A1687" t="s">
        <v>2348</v>
      </c>
      <c r="B1687">
        <v>265680</v>
      </c>
      <c r="C1687" t="s">
        <v>130</v>
      </c>
      <c r="D1687" t="s">
        <v>2348</v>
      </c>
      <c r="E1687" t="s">
        <v>3588</v>
      </c>
      <c r="G1687" t="s">
        <v>3589</v>
      </c>
      <c r="J1687">
        <v>5.1222566499999997</v>
      </c>
      <c r="K1687">
        <v>0.21422175600000001</v>
      </c>
      <c r="L1687">
        <v>0.25354511400000002</v>
      </c>
      <c r="M1687" s="21">
        <v>-1.2193784569999999</v>
      </c>
      <c r="N1687">
        <v>-2.5258816E-2</v>
      </c>
    </row>
    <row r="1688" spans="1:14" x14ac:dyDescent="0.2">
      <c r="A1688" t="s">
        <v>320</v>
      </c>
      <c r="B1688">
        <v>301280</v>
      </c>
      <c r="C1688" t="s">
        <v>58</v>
      </c>
      <c r="D1688" t="s">
        <v>320</v>
      </c>
      <c r="E1688" t="s">
        <v>3590</v>
      </c>
      <c r="G1688" t="s">
        <v>3591</v>
      </c>
      <c r="J1688">
        <v>4.5363847230000003</v>
      </c>
      <c r="K1688">
        <v>0.245646371</v>
      </c>
      <c r="L1688">
        <v>7.5242279999999995E-2</v>
      </c>
      <c r="M1688" s="21">
        <v>-1.219693092</v>
      </c>
      <c r="N1688">
        <v>-2.6875215000000001E-2</v>
      </c>
    </row>
    <row r="1689" spans="1:14" x14ac:dyDescent="0.2">
      <c r="A1689" t="s">
        <v>919</v>
      </c>
      <c r="B1689">
        <v>275640</v>
      </c>
      <c r="C1689" t="s">
        <v>84</v>
      </c>
      <c r="D1689" t="s">
        <v>919</v>
      </c>
      <c r="E1689" t="s">
        <v>3592</v>
      </c>
      <c r="J1689">
        <v>3.600219579</v>
      </c>
      <c r="K1689">
        <v>-0.293098474</v>
      </c>
      <c r="L1689">
        <v>-0.153917466</v>
      </c>
      <c r="M1689" s="21">
        <v>-1.220112039</v>
      </c>
      <c r="N1689">
        <v>-2.9027501000000001E-2</v>
      </c>
    </row>
    <row r="1690" spans="1:14" x14ac:dyDescent="0.2">
      <c r="A1690" t="s">
        <v>1330</v>
      </c>
      <c r="B1690">
        <v>299520</v>
      </c>
      <c r="C1690" t="s">
        <v>100</v>
      </c>
      <c r="D1690" t="s">
        <v>1330</v>
      </c>
      <c r="E1690" t="s">
        <v>3593</v>
      </c>
      <c r="G1690" t="s">
        <v>3594</v>
      </c>
      <c r="J1690">
        <v>5.9110743220000002</v>
      </c>
      <c r="K1690">
        <v>0.71598987199999997</v>
      </c>
      <c r="L1690">
        <v>0.29077365599999999</v>
      </c>
      <c r="M1690" s="21">
        <v>-1.2202632680000001</v>
      </c>
      <c r="N1690">
        <v>-2.9804420000000002E-2</v>
      </c>
    </row>
    <row r="1691" spans="1:14" x14ac:dyDescent="0.2">
      <c r="A1691" t="s">
        <v>2257</v>
      </c>
      <c r="B1691">
        <v>319080</v>
      </c>
      <c r="C1691" t="s">
        <v>149</v>
      </c>
      <c r="D1691" t="s">
        <v>2257</v>
      </c>
      <c r="E1691" t="s">
        <v>3595</v>
      </c>
      <c r="G1691" t="s">
        <v>3596</v>
      </c>
      <c r="J1691">
        <v>5.0381074159999999</v>
      </c>
      <c r="K1691">
        <v>0.81312368999999995</v>
      </c>
      <c r="L1691">
        <v>0.16969141800000001</v>
      </c>
      <c r="M1691" s="21">
        <v>-1.220299021</v>
      </c>
      <c r="N1691">
        <v>-2.9988096999999998E-2</v>
      </c>
    </row>
    <row r="1692" spans="1:14" x14ac:dyDescent="0.2">
      <c r="A1692" t="s">
        <v>361</v>
      </c>
      <c r="B1692">
        <v>318880</v>
      </c>
      <c r="C1692" t="s">
        <v>149</v>
      </c>
      <c r="D1692" t="s">
        <v>361</v>
      </c>
      <c r="E1692" t="s">
        <v>3597</v>
      </c>
      <c r="G1692" t="s">
        <v>3598</v>
      </c>
      <c r="J1692">
        <v>5.0381074159999999</v>
      </c>
      <c r="K1692">
        <v>0.81312368999999995</v>
      </c>
      <c r="L1692">
        <v>0.16969141800000001</v>
      </c>
      <c r="M1692" s="21">
        <v>-1.2204839439999999</v>
      </c>
      <c r="N1692">
        <v>-3.0938117000000001E-2</v>
      </c>
    </row>
    <row r="1693" spans="1:14" x14ac:dyDescent="0.2">
      <c r="A1693" t="s">
        <v>1783</v>
      </c>
      <c r="B1693">
        <v>142360</v>
      </c>
      <c r="C1693" t="s">
        <v>28</v>
      </c>
      <c r="D1693" t="s">
        <v>1783</v>
      </c>
      <c r="E1693" t="s">
        <v>3599</v>
      </c>
      <c r="G1693" t="s">
        <v>3600</v>
      </c>
      <c r="J1693">
        <v>5.8462906840000004</v>
      </c>
      <c r="K1693">
        <v>0.60615847</v>
      </c>
      <c r="L1693">
        <v>0.28550877299999999</v>
      </c>
      <c r="M1693" s="21">
        <v>-1.2205028659999999</v>
      </c>
      <c r="N1693">
        <v>-3.1035328000000001E-2</v>
      </c>
    </row>
    <row r="1694" spans="1:14" x14ac:dyDescent="0.2">
      <c r="A1694" t="s">
        <v>998</v>
      </c>
      <c r="B1694">
        <v>201040</v>
      </c>
      <c r="C1694" t="s">
        <v>68</v>
      </c>
      <c r="D1694" t="s">
        <v>998</v>
      </c>
      <c r="E1694" t="s">
        <v>3601</v>
      </c>
      <c r="G1694" t="s">
        <v>3602</v>
      </c>
      <c r="J1694">
        <v>6.4561903559999996</v>
      </c>
      <c r="K1694">
        <v>0.47291064100000002</v>
      </c>
      <c r="L1694">
        <v>0.34414126499999997</v>
      </c>
      <c r="M1694" s="21">
        <v>-1.22076842</v>
      </c>
      <c r="N1694">
        <v>-3.2399575999999999E-2</v>
      </c>
    </row>
    <row r="1695" spans="1:14" x14ac:dyDescent="0.2">
      <c r="A1695" t="s">
        <v>1422</v>
      </c>
      <c r="B1695">
        <v>318520</v>
      </c>
      <c r="C1695" t="s">
        <v>149</v>
      </c>
      <c r="D1695" t="s">
        <v>1423</v>
      </c>
      <c r="E1695" t="s">
        <v>3603</v>
      </c>
      <c r="G1695" t="s">
        <v>3604</v>
      </c>
      <c r="J1695">
        <v>5.0381074159999999</v>
      </c>
      <c r="K1695">
        <v>0.81312368999999995</v>
      </c>
      <c r="L1695">
        <v>0.16969141800000001</v>
      </c>
      <c r="M1695" s="21">
        <v>-1.220816806</v>
      </c>
      <c r="N1695">
        <v>-3.2648152999999999E-2</v>
      </c>
    </row>
    <row r="1696" spans="1:14" x14ac:dyDescent="0.2">
      <c r="A1696" t="s">
        <v>1144</v>
      </c>
      <c r="B1696">
        <v>263760</v>
      </c>
      <c r="C1696" t="s">
        <v>130</v>
      </c>
      <c r="D1696" t="s">
        <v>1145</v>
      </c>
      <c r="E1696" t="s">
        <v>3605</v>
      </c>
      <c r="G1696" t="s">
        <v>3606</v>
      </c>
      <c r="J1696">
        <v>5.1222566499999997</v>
      </c>
      <c r="K1696">
        <v>0.21422175600000001</v>
      </c>
      <c r="L1696">
        <v>0.25354511400000002</v>
      </c>
      <c r="M1696" s="21">
        <v>-1.22090645</v>
      </c>
      <c r="N1696">
        <v>-3.3108688999999997E-2</v>
      </c>
    </row>
    <row r="1697" spans="1:14" x14ac:dyDescent="0.2">
      <c r="A1697" t="s">
        <v>465</v>
      </c>
      <c r="B1697">
        <v>275000</v>
      </c>
      <c r="C1697" t="s">
        <v>84</v>
      </c>
      <c r="D1697" t="s">
        <v>466</v>
      </c>
      <c r="E1697" t="s">
        <v>3607</v>
      </c>
      <c r="J1697">
        <v>3.600219579</v>
      </c>
      <c r="K1697">
        <v>-0.293098474</v>
      </c>
      <c r="L1697">
        <v>-0.153917466</v>
      </c>
      <c r="M1697" s="21">
        <v>-1.220949713</v>
      </c>
      <c r="N1697">
        <v>-3.3330947999999999E-2</v>
      </c>
    </row>
    <row r="1698" spans="1:14" x14ac:dyDescent="0.2">
      <c r="A1698" t="s">
        <v>1052</v>
      </c>
      <c r="B1698">
        <v>299840</v>
      </c>
      <c r="C1698" t="s">
        <v>58</v>
      </c>
      <c r="D1698" t="s">
        <v>1052</v>
      </c>
      <c r="E1698" t="s">
        <v>3608</v>
      </c>
      <c r="G1698" t="s">
        <v>3609</v>
      </c>
      <c r="J1698">
        <v>4.5363847230000003</v>
      </c>
      <c r="K1698">
        <v>0.245646371</v>
      </c>
      <c r="L1698">
        <v>7.5242279999999995E-2</v>
      </c>
      <c r="M1698" s="21">
        <v>-1.2210837379999999</v>
      </c>
      <c r="N1698">
        <v>-3.4019484000000003E-2</v>
      </c>
    </row>
    <row r="1699" spans="1:14" x14ac:dyDescent="0.2">
      <c r="A1699" t="s">
        <v>1764</v>
      </c>
      <c r="B1699">
        <v>274880</v>
      </c>
      <c r="C1699" t="s">
        <v>84</v>
      </c>
      <c r="D1699" t="s">
        <v>1764</v>
      </c>
      <c r="E1699" t="s">
        <v>3610</v>
      </c>
      <c r="J1699">
        <v>3.600219579</v>
      </c>
      <c r="K1699">
        <v>-0.293098474</v>
      </c>
      <c r="L1699">
        <v>-0.153917466</v>
      </c>
      <c r="M1699" s="21">
        <v>-1.2211067769999999</v>
      </c>
      <c r="N1699">
        <v>-3.4137845E-2</v>
      </c>
    </row>
    <row r="1700" spans="1:14" x14ac:dyDescent="0.2">
      <c r="A1700" t="s">
        <v>1521</v>
      </c>
      <c r="B1700">
        <v>263480</v>
      </c>
      <c r="C1700" t="s">
        <v>130</v>
      </c>
      <c r="D1700" t="s">
        <v>1521</v>
      </c>
      <c r="E1700" t="s">
        <v>3611</v>
      </c>
      <c r="G1700" t="s">
        <v>3612</v>
      </c>
      <c r="J1700">
        <v>5.1222566499999997</v>
      </c>
      <c r="K1700">
        <v>0.21422175600000001</v>
      </c>
      <c r="L1700">
        <v>0.25354511400000002</v>
      </c>
      <c r="M1700" s="21">
        <v>-1.221129283</v>
      </c>
      <c r="N1700">
        <v>-3.4253462999999998E-2</v>
      </c>
    </row>
    <row r="1701" spans="1:14" x14ac:dyDescent="0.2">
      <c r="A1701" t="s">
        <v>2108</v>
      </c>
      <c r="B1701">
        <v>332960</v>
      </c>
      <c r="C1701" t="s">
        <v>14</v>
      </c>
      <c r="D1701" t="s">
        <v>2108</v>
      </c>
      <c r="E1701" t="s">
        <v>3613</v>
      </c>
      <c r="G1701" t="s">
        <v>3614</v>
      </c>
      <c r="J1701">
        <v>6.7484204910000001</v>
      </c>
      <c r="K1701">
        <v>0.48629166299999999</v>
      </c>
      <c r="L1701">
        <v>0.375053939</v>
      </c>
      <c r="M1701" s="21">
        <v>-1.2211496319999999</v>
      </c>
      <c r="N1701">
        <v>-3.4358003999999998E-2</v>
      </c>
    </row>
    <row r="1702" spans="1:14" x14ac:dyDescent="0.2">
      <c r="A1702" t="s">
        <v>1521</v>
      </c>
      <c r="B1702">
        <v>299280</v>
      </c>
      <c r="C1702" t="s">
        <v>58</v>
      </c>
      <c r="D1702" t="s">
        <v>1521</v>
      </c>
      <c r="E1702" t="s">
        <v>3615</v>
      </c>
      <c r="G1702" t="s">
        <v>3616</v>
      </c>
      <c r="J1702">
        <v>4.5363847230000003</v>
      </c>
      <c r="K1702">
        <v>0.245646371</v>
      </c>
      <c r="L1702">
        <v>7.5242279999999995E-2</v>
      </c>
      <c r="M1702" s="21">
        <v>-1.2216245450000001</v>
      </c>
      <c r="N1702">
        <v>-3.6797811E-2</v>
      </c>
    </row>
    <row r="1703" spans="1:14" x14ac:dyDescent="0.2">
      <c r="A1703" t="s">
        <v>1897</v>
      </c>
      <c r="B1703">
        <v>274280</v>
      </c>
      <c r="C1703" t="s">
        <v>84</v>
      </c>
      <c r="D1703" t="s">
        <v>1897</v>
      </c>
      <c r="E1703" t="s">
        <v>3617</v>
      </c>
      <c r="J1703">
        <v>3.600219579</v>
      </c>
      <c r="K1703">
        <v>-0.293098474</v>
      </c>
      <c r="L1703">
        <v>-0.153917466</v>
      </c>
      <c r="M1703" s="21">
        <v>-1.221892097</v>
      </c>
      <c r="N1703">
        <v>-3.8172325999999999E-2</v>
      </c>
    </row>
    <row r="1704" spans="1:14" x14ac:dyDescent="0.2">
      <c r="A1704" t="s">
        <v>1163</v>
      </c>
      <c r="B1704">
        <v>317320</v>
      </c>
      <c r="C1704" t="s">
        <v>149</v>
      </c>
      <c r="D1704" t="s">
        <v>1164</v>
      </c>
      <c r="E1704" t="s">
        <v>3618</v>
      </c>
      <c r="G1704" t="s">
        <v>3619</v>
      </c>
      <c r="J1704">
        <v>5.0381074159999999</v>
      </c>
      <c r="K1704">
        <v>0.81312368999999995</v>
      </c>
      <c r="L1704">
        <v>0.16969141800000001</v>
      </c>
      <c r="M1704" s="21">
        <v>-1.221926345</v>
      </c>
      <c r="N1704">
        <v>-3.8348271000000003E-2</v>
      </c>
    </row>
    <row r="1705" spans="1:14" x14ac:dyDescent="0.2">
      <c r="A1705" t="s">
        <v>289</v>
      </c>
      <c r="B1705">
        <v>262280</v>
      </c>
      <c r="C1705" t="s">
        <v>130</v>
      </c>
      <c r="D1705" t="s">
        <v>290</v>
      </c>
      <c r="E1705" t="s">
        <v>3620</v>
      </c>
      <c r="G1705" t="s">
        <v>3621</v>
      </c>
      <c r="J1705">
        <v>5.1222566499999997</v>
      </c>
      <c r="K1705">
        <v>0.21422175600000001</v>
      </c>
      <c r="L1705">
        <v>0.25354511400000002</v>
      </c>
      <c r="M1705" s="21">
        <v>-1.2220842780000001</v>
      </c>
      <c r="N1705">
        <v>-3.9159633999999999E-2</v>
      </c>
    </row>
    <row r="1706" spans="1:14" x14ac:dyDescent="0.2">
      <c r="A1706" t="s">
        <v>1155</v>
      </c>
      <c r="B1706">
        <v>298760</v>
      </c>
      <c r="C1706" t="s">
        <v>58</v>
      </c>
      <c r="D1706" t="s">
        <v>1156</v>
      </c>
      <c r="E1706" t="s">
        <v>3622</v>
      </c>
      <c r="G1706" t="s">
        <v>3623</v>
      </c>
      <c r="J1706">
        <v>4.5363847230000003</v>
      </c>
      <c r="K1706">
        <v>0.245646371</v>
      </c>
      <c r="L1706">
        <v>7.5242279999999995E-2</v>
      </c>
      <c r="M1706" s="21">
        <v>-1.2221267229999999</v>
      </c>
      <c r="N1706">
        <v>-3.9377686000000002E-2</v>
      </c>
    </row>
    <row r="1707" spans="1:14" x14ac:dyDescent="0.2">
      <c r="A1707" t="s">
        <v>289</v>
      </c>
      <c r="B1707">
        <v>140560</v>
      </c>
      <c r="C1707" t="s">
        <v>28</v>
      </c>
      <c r="D1707" t="s">
        <v>290</v>
      </c>
      <c r="E1707" t="s">
        <v>3624</v>
      </c>
      <c r="G1707" t="s">
        <v>3625</v>
      </c>
      <c r="J1707">
        <v>5.8462906840000004</v>
      </c>
      <c r="K1707">
        <v>0.60615847</v>
      </c>
      <c r="L1707">
        <v>0.28550877299999999</v>
      </c>
      <c r="M1707" s="21">
        <v>-1.2221279279999999</v>
      </c>
      <c r="N1707">
        <v>-3.9383881000000003E-2</v>
      </c>
    </row>
    <row r="1708" spans="1:14" x14ac:dyDescent="0.2">
      <c r="A1708" t="s">
        <v>516</v>
      </c>
      <c r="B1708">
        <v>262120</v>
      </c>
      <c r="C1708" t="s">
        <v>130</v>
      </c>
      <c r="D1708" t="s">
        <v>516</v>
      </c>
      <c r="E1708" t="s">
        <v>3626</v>
      </c>
      <c r="G1708" t="s">
        <v>3627</v>
      </c>
      <c r="J1708">
        <v>5.1222566499999997</v>
      </c>
      <c r="K1708">
        <v>0.21422175600000001</v>
      </c>
      <c r="L1708">
        <v>0.25354511400000002</v>
      </c>
      <c r="M1708" s="21">
        <v>-1.2222116110000001</v>
      </c>
      <c r="N1708">
        <v>-3.9813790000000002E-2</v>
      </c>
    </row>
    <row r="1709" spans="1:14" x14ac:dyDescent="0.2">
      <c r="A1709" t="s">
        <v>1747</v>
      </c>
      <c r="B1709">
        <v>331720</v>
      </c>
      <c r="C1709" t="s">
        <v>14</v>
      </c>
      <c r="D1709" t="s">
        <v>1747</v>
      </c>
      <c r="E1709" t="s">
        <v>3628</v>
      </c>
      <c r="G1709" t="s">
        <v>3629</v>
      </c>
      <c r="J1709">
        <v>6.7484204910000001</v>
      </c>
      <c r="K1709">
        <v>0.48629166299999999</v>
      </c>
      <c r="L1709">
        <v>0.375053939</v>
      </c>
      <c r="M1709" s="21">
        <v>-1.2225083269999999</v>
      </c>
      <c r="N1709">
        <v>-4.1338132999999999E-2</v>
      </c>
    </row>
    <row r="1710" spans="1:14" x14ac:dyDescent="0.2">
      <c r="A1710" t="s">
        <v>1356</v>
      </c>
      <c r="B1710">
        <v>140000</v>
      </c>
      <c r="C1710" t="s">
        <v>28</v>
      </c>
      <c r="D1710" t="s">
        <v>1356</v>
      </c>
      <c r="E1710" t="s">
        <v>3630</v>
      </c>
      <c r="G1710" t="s">
        <v>3631</v>
      </c>
      <c r="J1710">
        <v>5.8462906840000004</v>
      </c>
      <c r="K1710">
        <v>0.60615847</v>
      </c>
      <c r="L1710">
        <v>0.28550877299999999</v>
      </c>
      <c r="M1710" s="21">
        <v>-1.222633503</v>
      </c>
      <c r="N1710">
        <v>-4.1981207999999999E-2</v>
      </c>
    </row>
    <row r="1711" spans="1:14" x14ac:dyDescent="0.2">
      <c r="A1711" t="s">
        <v>441</v>
      </c>
      <c r="B1711">
        <v>261560</v>
      </c>
      <c r="C1711" t="s">
        <v>130</v>
      </c>
      <c r="D1711" t="s">
        <v>442</v>
      </c>
      <c r="E1711" t="s">
        <v>3632</v>
      </c>
      <c r="G1711" t="s">
        <v>3633</v>
      </c>
      <c r="J1711">
        <v>5.1222566499999997</v>
      </c>
      <c r="K1711">
        <v>0.21422175600000001</v>
      </c>
      <c r="L1711">
        <v>0.25354511400000002</v>
      </c>
      <c r="M1711" s="21">
        <v>-1.2226572760000001</v>
      </c>
      <c r="N1711">
        <v>-4.2103335999999998E-2</v>
      </c>
    </row>
    <row r="1712" spans="1:14" x14ac:dyDescent="0.2">
      <c r="A1712" t="s">
        <v>603</v>
      </c>
      <c r="B1712">
        <v>261520</v>
      </c>
      <c r="C1712" t="s">
        <v>130</v>
      </c>
      <c r="D1712" t="s">
        <v>604</v>
      </c>
      <c r="E1712" t="s">
        <v>3634</v>
      </c>
      <c r="G1712" t="s">
        <v>3635</v>
      </c>
      <c r="J1712">
        <v>5.1222566499999997</v>
      </c>
      <c r="K1712">
        <v>0.21422175600000001</v>
      </c>
      <c r="L1712">
        <v>0.25354511400000002</v>
      </c>
      <c r="M1712" s="21">
        <v>-1.2226891090000001</v>
      </c>
      <c r="N1712">
        <v>-4.2266875000000002E-2</v>
      </c>
    </row>
    <row r="1713" spans="1:14" x14ac:dyDescent="0.2">
      <c r="A1713" t="s">
        <v>537</v>
      </c>
      <c r="B1713">
        <v>331520</v>
      </c>
      <c r="C1713" t="s">
        <v>14</v>
      </c>
      <c r="D1713" t="s">
        <v>538</v>
      </c>
      <c r="E1713" t="s">
        <v>3636</v>
      </c>
      <c r="G1713" t="s">
        <v>3637</v>
      </c>
      <c r="J1713">
        <v>6.7484204910000001</v>
      </c>
      <c r="K1713">
        <v>0.48629166299999999</v>
      </c>
      <c r="L1713">
        <v>0.375053939</v>
      </c>
      <c r="M1713" s="21">
        <v>-1.2227274720000001</v>
      </c>
      <c r="N1713">
        <v>-4.2463960000000002E-2</v>
      </c>
    </row>
    <row r="1714" spans="1:14" x14ac:dyDescent="0.2">
      <c r="A1714" t="s">
        <v>2108</v>
      </c>
      <c r="B1714">
        <v>297440</v>
      </c>
      <c r="C1714" t="s">
        <v>58</v>
      </c>
      <c r="D1714" t="s">
        <v>2108</v>
      </c>
      <c r="E1714" t="s">
        <v>3638</v>
      </c>
      <c r="G1714" t="s">
        <v>3639</v>
      </c>
      <c r="J1714">
        <v>4.5363847230000003</v>
      </c>
      <c r="K1714">
        <v>0.245646371</v>
      </c>
      <c r="L1714">
        <v>7.5242279999999995E-2</v>
      </c>
      <c r="M1714" s="21">
        <v>-1.223401481</v>
      </c>
      <c r="N1714">
        <v>-4.5926598999999999E-2</v>
      </c>
    </row>
    <row r="1715" spans="1:14" x14ac:dyDescent="0.2">
      <c r="A1715" t="s">
        <v>507</v>
      </c>
      <c r="B1715">
        <v>330640</v>
      </c>
      <c r="C1715" t="s">
        <v>14</v>
      </c>
      <c r="D1715" t="s">
        <v>508</v>
      </c>
      <c r="E1715" t="s">
        <v>3640</v>
      </c>
      <c r="G1715" t="s">
        <v>3641</v>
      </c>
      <c r="J1715">
        <v>6.7484204910000001</v>
      </c>
      <c r="K1715">
        <v>0.48629166299999999</v>
      </c>
      <c r="L1715">
        <v>0.375053939</v>
      </c>
      <c r="M1715" s="21">
        <v>-1.223691708</v>
      </c>
      <c r="N1715">
        <v>-4.7417598999999998E-2</v>
      </c>
    </row>
    <row r="1716" spans="1:14" x14ac:dyDescent="0.2">
      <c r="A1716" t="s">
        <v>2188</v>
      </c>
      <c r="B1716">
        <v>89360</v>
      </c>
      <c r="C1716" t="s">
        <v>34</v>
      </c>
      <c r="D1716" t="s">
        <v>2188</v>
      </c>
      <c r="J1716">
        <v>7.0544859390000001</v>
      </c>
      <c r="K1716">
        <v>0.623000361</v>
      </c>
      <c r="L1716">
        <v>0.42866702800000001</v>
      </c>
      <c r="M1716" s="21">
        <v>-1.2238523880000001</v>
      </c>
      <c r="N1716">
        <v>-4.8243077000000002E-2</v>
      </c>
    </row>
    <row r="1717" spans="1:14" x14ac:dyDescent="0.2">
      <c r="A1717" t="s">
        <v>1119</v>
      </c>
      <c r="B1717">
        <v>259960</v>
      </c>
      <c r="C1717" t="s">
        <v>130</v>
      </c>
      <c r="D1717" t="s">
        <v>1120</v>
      </c>
      <c r="E1717" t="s">
        <v>3642</v>
      </c>
      <c r="G1717" t="s">
        <v>3643</v>
      </c>
      <c r="J1717">
        <v>5.1222566499999997</v>
      </c>
      <c r="K1717">
        <v>0.21422175600000001</v>
      </c>
      <c r="L1717">
        <v>0.25354511400000002</v>
      </c>
      <c r="M1717" s="21">
        <v>-1.223930604</v>
      </c>
      <c r="N1717">
        <v>-4.8644897999999999E-2</v>
      </c>
    </row>
    <row r="1718" spans="1:14" x14ac:dyDescent="0.2">
      <c r="A1718" t="s">
        <v>1309</v>
      </c>
      <c r="B1718">
        <v>314400</v>
      </c>
      <c r="C1718" t="s">
        <v>149</v>
      </c>
      <c r="D1718" t="s">
        <v>1309</v>
      </c>
      <c r="E1718" t="s">
        <v>3644</v>
      </c>
      <c r="G1718" t="s">
        <v>3645</v>
      </c>
      <c r="J1718">
        <v>5.0381074159999999</v>
      </c>
      <c r="K1718">
        <v>0.81312368999999995</v>
      </c>
      <c r="L1718">
        <v>0.16969141800000001</v>
      </c>
      <c r="M1718" s="21">
        <v>-1.2246262240000001</v>
      </c>
      <c r="N1718">
        <v>-5.2218559999999997E-2</v>
      </c>
    </row>
    <row r="1719" spans="1:14" x14ac:dyDescent="0.2">
      <c r="A1719" t="s">
        <v>868</v>
      </c>
      <c r="B1719">
        <v>314360</v>
      </c>
      <c r="C1719" t="s">
        <v>149</v>
      </c>
      <c r="D1719" t="s">
        <v>869</v>
      </c>
      <c r="E1719" t="s">
        <v>3646</v>
      </c>
      <c r="G1719" t="s">
        <v>3647</v>
      </c>
      <c r="J1719">
        <v>5.0381074159999999</v>
      </c>
      <c r="K1719">
        <v>0.81312368999999995</v>
      </c>
      <c r="L1719">
        <v>0.16969141800000001</v>
      </c>
      <c r="M1719" s="21">
        <v>-1.224663209</v>
      </c>
      <c r="N1719">
        <v>-5.2408563999999998E-2</v>
      </c>
    </row>
    <row r="1720" spans="1:14" x14ac:dyDescent="0.2">
      <c r="A1720" t="s">
        <v>2499</v>
      </c>
      <c r="B1720">
        <v>271920</v>
      </c>
      <c r="C1720" t="s">
        <v>84</v>
      </c>
      <c r="D1720" t="s">
        <v>2500</v>
      </c>
      <c r="E1720" t="s">
        <v>3648</v>
      </c>
      <c r="J1720">
        <v>3.600219579</v>
      </c>
      <c r="K1720">
        <v>-0.293098474</v>
      </c>
      <c r="L1720">
        <v>-0.153917466</v>
      </c>
      <c r="M1720" s="21">
        <v>-1.2249810210000001</v>
      </c>
      <c r="N1720">
        <v>-5.4041287E-2</v>
      </c>
    </row>
    <row r="1721" spans="1:14" x14ac:dyDescent="0.2">
      <c r="A1721" t="s">
        <v>746</v>
      </c>
      <c r="B1721">
        <v>294760</v>
      </c>
      <c r="C1721" t="s">
        <v>100</v>
      </c>
      <c r="D1721" t="s">
        <v>746</v>
      </c>
      <c r="E1721" t="s">
        <v>3649</v>
      </c>
      <c r="G1721" t="s">
        <v>3650</v>
      </c>
      <c r="J1721">
        <v>5.9110743220000002</v>
      </c>
      <c r="K1721">
        <v>0.71598987199999997</v>
      </c>
      <c r="L1721">
        <v>0.29077365599999999</v>
      </c>
      <c r="M1721" s="21">
        <v>-1.2249885840000001</v>
      </c>
      <c r="N1721">
        <v>-5.4080138E-2</v>
      </c>
    </row>
    <row r="1722" spans="1:14" x14ac:dyDescent="0.2">
      <c r="A1722" t="s">
        <v>603</v>
      </c>
      <c r="B1722">
        <v>271840</v>
      </c>
      <c r="C1722" t="s">
        <v>84</v>
      </c>
      <c r="D1722" t="s">
        <v>604</v>
      </c>
      <c r="E1722" t="s">
        <v>3651</v>
      </c>
      <c r="J1722">
        <v>3.600219579</v>
      </c>
      <c r="K1722">
        <v>-0.293098474</v>
      </c>
      <c r="L1722">
        <v>-0.153917466</v>
      </c>
      <c r="M1722" s="21">
        <v>-1.2250857310000001</v>
      </c>
      <c r="N1722">
        <v>-5.4579217999999999E-2</v>
      </c>
    </row>
    <row r="1723" spans="1:14" x14ac:dyDescent="0.2">
      <c r="A1723" t="s">
        <v>1318</v>
      </c>
      <c r="B1723">
        <v>258480</v>
      </c>
      <c r="C1723" t="s">
        <v>130</v>
      </c>
      <c r="D1723" t="s">
        <v>1318</v>
      </c>
      <c r="E1723" t="s">
        <v>3652</v>
      </c>
      <c r="G1723" t="s">
        <v>3653</v>
      </c>
      <c r="J1723">
        <v>5.1222566499999997</v>
      </c>
      <c r="K1723">
        <v>0.21422175600000001</v>
      </c>
      <c r="L1723">
        <v>0.25354511400000002</v>
      </c>
      <c r="M1723" s="21">
        <v>-1.2251084320000001</v>
      </c>
      <c r="N1723">
        <v>-5.4695842000000001E-2</v>
      </c>
    </row>
    <row r="1724" spans="1:14" x14ac:dyDescent="0.2">
      <c r="A1724" t="s">
        <v>1521</v>
      </c>
      <c r="B1724">
        <v>329320</v>
      </c>
      <c r="C1724" t="s">
        <v>14</v>
      </c>
      <c r="D1724" t="s">
        <v>1521</v>
      </c>
      <c r="E1724" t="s">
        <v>3654</v>
      </c>
      <c r="G1724" t="s">
        <v>3655</v>
      </c>
      <c r="J1724">
        <v>6.7484204910000001</v>
      </c>
      <c r="K1724">
        <v>0.48629166299999999</v>
      </c>
      <c r="L1724">
        <v>0.375053939</v>
      </c>
      <c r="M1724" s="21">
        <v>-1.225138061</v>
      </c>
      <c r="N1724">
        <v>-5.4848057999999998E-2</v>
      </c>
    </row>
    <row r="1725" spans="1:14" x14ac:dyDescent="0.2">
      <c r="A1725" t="s">
        <v>405</v>
      </c>
      <c r="B1725">
        <v>87800</v>
      </c>
      <c r="C1725" t="s">
        <v>34</v>
      </c>
      <c r="D1725" t="s">
        <v>405</v>
      </c>
      <c r="E1725" t="s">
        <v>3656</v>
      </c>
      <c r="G1725" t="s">
        <v>3657</v>
      </c>
      <c r="J1725">
        <v>7.0544859390000001</v>
      </c>
      <c r="K1725">
        <v>0.623000361</v>
      </c>
      <c r="L1725">
        <v>0.42866702800000001</v>
      </c>
      <c r="M1725" s="21">
        <v>-1.2252237210000001</v>
      </c>
      <c r="N1725">
        <v>-5.5288123000000002E-2</v>
      </c>
    </row>
    <row r="1726" spans="1:14" x14ac:dyDescent="0.2">
      <c r="A1726" t="s">
        <v>889</v>
      </c>
      <c r="B1726">
        <v>271640</v>
      </c>
      <c r="C1726" t="s">
        <v>84</v>
      </c>
      <c r="D1726" t="s">
        <v>889</v>
      </c>
      <c r="E1726" t="s">
        <v>3658</v>
      </c>
      <c r="J1726">
        <v>3.600219579</v>
      </c>
      <c r="K1726">
        <v>-0.293098474</v>
      </c>
      <c r="L1726">
        <v>-0.153917466</v>
      </c>
      <c r="M1726" s="21">
        <v>-1.2253475039999999</v>
      </c>
      <c r="N1726">
        <v>-5.5924044999999999E-2</v>
      </c>
    </row>
    <row r="1727" spans="1:14" x14ac:dyDescent="0.2">
      <c r="A1727" t="s">
        <v>1362</v>
      </c>
      <c r="B1727">
        <v>271640</v>
      </c>
      <c r="C1727" t="s">
        <v>84</v>
      </c>
      <c r="D1727" t="s">
        <v>1362</v>
      </c>
      <c r="E1727" t="s">
        <v>3659</v>
      </c>
      <c r="J1727">
        <v>3.600219579</v>
      </c>
      <c r="K1727">
        <v>-0.293098474</v>
      </c>
      <c r="L1727">
        <v>-0.153917466</v>
      </c>
      <c r="M1727" s="21">
        <v>-1.2253475039999999</v>
      </c>
      <c r="N1727">
        <v>-5.5924044999999999E-2</v>
      </c>
    </row>
    <row r="1728" spans="1:14" x14ac:dyDescent="0.2">
      <c r="A1728" t="s">
        <v>2089</v>
      </c>
      <c r="B1728">
        <v>196280</v>
      </c>
      <c r="C1728" t="s">
        <v>68</v>
      </c>
      <c r="D1728" t="s">
        <v>2090</v>
      </c>
      <c r="E1728" t="s">
        <v>3660</v>
      </c>
      <c r="G1728" t="s">
        <v>3661</v>
      </c>
      <c r="J1728">
        <v>6.4561903559999996</v>
      </c>
      <c r="K1728">
        <v>0.47291064100000002</v>
      </c>
      <c r="L1728">
        <v>0.34414126499999997</v>
      </c>
      <c r="M1728" s="21">
        <v>-1.22537159</v>
      </c>
      <c r="N1728">
        <v>-5.6047784000000003E-2</v>
      </c>
    </row>
    <row r="1729" spans="1:14" x14ac:dyDescent="0.2">
      <c r="A1729" t="s">
        <v>477</v>
      </c>
      <c r="B1729">
        <v>257760</v>
      </c>
      <c r="C1729" t="s">
        <v>130</v>
      </c>
      <c r="D1729" t="s">
        <v>477</v>
      </c>
      <c r="E1729" t="s">
        <v>3662</v>
      </c>
      <c r="G1729" t="s">
        <v>3663</v>
      </c>
      <c r="J1729">
        <v>5.1222566499999997</v>
      </c>
      <c r="K1729">
        <v>0.21422175600000001</v>
      </c>
      <c r="L1729">
        <v>0.25354511400000002</v>
      </c>
      <c r="M1729" s="21">
        <v>-1.225681429</v>
      </c>
      <c r="N1729">
        <v>-5.7639544000000001E-2</v>
      </c>
    </row>
    <row r="1730" spans="1:14" x14ac:dyDescent="0.2">
      <c r="A1730" t="s">
        <v>2348</v>
      </c>
      <c r="B1730">
        <v>328720</v>
      </c>
      <c r="C1730" t="s">
        <v>14</v>
      </c>
      <c r="D1730" t="s">
        <v>2348</v>
      </c>
      <c r="E1730" t="s">
        <v>3664</v>
      </c>
      <c r="G1730" t="s">
        <v>3665</v>
      </c>
      <c r="J1730">
        <v>6.7484204910000001</v>
      </c>
      <c r="K1730">
        <v>0.48629166299999999</v>
      </c>
      <c r="L1730">
        <v>0.375053939</v>
      </c>
      <c r="M1730" s="21">
        <v>-1.225795494</v>
      </c>
      <c r="N1730">
        <v>-5.8225539E-2</v>
      </c>
    </row>
    <row r="1731" spans="1:14" x14ac:dyDescent="0.2">
      <c r="A1731" t="s">
        <v>1747</v>
      </c>
      <c r="B1731">
        <v>294880</v>
      </c>
      <c r="C1731" t="s">
        <v>58</v>
      </c>
      <c r="D1731" t="s">
        <v>1747</v>
      </c>
      <c r="E1731" t="s">
        <v>3666</v>
      </c>
      <c r="G1731" t="s">
        <v>3667</v>
      </c>
      <c r="J1731">
        <v>4.5363847230000003</v>
      </c>
      <c r="K1731">
        <v>0.245646371</v>
      </c>
      <c r="L1731">
        <v>7.5242279999999995E-2</v>
      </c>
      <c r="M1731" s="21">
        <v>-1.225873741</v>
      </c>
      <c r="N1731">
        <v>-5.8627521000000002E-2</v>
      </c>
    </row>
    <row r="1732" spans="1:14" x14ac:dyDescent="0.2">
      <c r="A1732" t="s">
        <v>998</v>
      </c>
      <c r="B1732">
        <v>294840</v>
      </c>
      <c r="C1732" t="s">
        <v>58</v>
      </c>
      <c r="D1732" t="s">
        <v>998</v>
      </c>
      <c r="E1732" t="s">
        <v>3668</v>
      </c>
      <c r="G1732" t="s">
        <v>3669</v>
      </c>
      <c r="J1732">
        <v>4.5363847230000003</v>
      </c>
      <c r="K1732">
        <v>0.245646371</v>
      </c>
      <c r="L1732">
        <v>7.5242279999999995E-2</v>
      </c>
      <c r="M1732" s="21">
        <v>-1.2259123700000001</v>
      </c>
      <c r="N1732">
        <v>-5.8825972999999997E-2</v>
      </c>
    </row>
    <row r="1733" spans="1:14" x14ac:dyDescent="0.2">
      <c r="A1733" t="s">
        <v>1001</v>
      </c>
      <c r="B1733">
        <v>136360</v>
      </c>
      <c r="C1733" t="s">
        <v>28</v>
      </c>
      <c r="D1733" t="s">
        <v>1001</v>
      </c>
      <c r="E1733" t="s">
        <v>3670</v>
      </c>
      <c r="G1733" t="s">
        <v>3671</v>
      </c>
      <c r="J1733">
        <v>5.8462906840000004</v>
      </c>
      <c r="K1733">
        <v>0.60615847</v>
      </c>
      <c r="L1733">
        <v>0.28550877299999999</v>
      </c>
      <c r="M1733" s="21">
        <v>-1.2259197399999999</v>
      </c>
      <c r="N1733">
        <v>-5.8863836000000003E-2</v>
      </c>
    </row>
    <row r="1734" spans="1:14" x14ac:dyDescent="0.2">
      <c r="A1734" t="s">
        <v>1343</v>
      </c>
      <c r="B1734">
        <v>294680</v>
      </c>
      <c r="C1734" t="s">
        <v>58</v>
      </c>
      <c r="D1734" t="s">
        <v>1344</v>
      </c>
      <c r="E1734" t="s">
        <v>3672</v>
      </c>
      <c r="G1734" t="s">
        <v>3673</v>
      </c>
      <c r="J1734">
        <v>4.5363847230000003</v>
      </c>
      <c r="K1734">
        <v>0.245646371</v>
      </c>
      <c r="L1734">
        <v>7.5242279999999995E-2</v>
      </c>
      <c r="M1734" s="21">
        <v>-1.2260668859999999</v>
      </c>
      <c r="N1734">
        <v>-5.9619780999999997E-2</v>
      </c>
    </row>
    <row r="1735" spans="1:14" x14ac:dyDescent="0.2">
      <c r="A1735" t="s">
        <v>932</v>
      </c>
      <c r="B1735">
        <v>294600</v>
      </c>
      <c r="C1735" t="s">
        <v>58</v>
      </c>
      <c r="D1735" t="s">
        <v>932</v>
      </c>
      <c r="E1735" t="s">
        <v>3674</v>
      </c>
      <c r="G1735" t="s">
        <v>3675</v>
      </c>
      <c r="J1735">
        <v>4.5363847230000003</v>
      </c>
      <c r="K1735">
        <v>0.245646371</v>
      </c>
      <c r="L1735">
        <v>7.5242279999999995E-2</v>
      </c>
      <c r="M1735" s="21">
        <v>-1.226144144</v>
      </c>
      <c r="N1735">
        <v>-6.0016685E-2</v>
      </c>
    </row>
    <row r="1736" spans="1:14" x14ac:dyDescent="0.2">
      <c r="A1736" t="s">
        <v>592</v>
      </c>
      <c r="B1736">
        <v>294560</v>
      </c>
      <c r="C1736" t="s">
        <v>58</v>
      </c>
      <c r="D1736" t="s">
        <v>593</v>
      </c>
      <c r="E1736" t="s">
        <v>3676</v>
      </c>
      <c r="G1736" t="s">
        <v>3677</v>
      </c>
      <c r="J1736">
        <v>4.5363847230000003</v>
      </c>
      <c r="K1736">
        <v>0.245646371</v>
      </c>
      <c r="L1736">
        <v>7.5242279999999995E-2</v>
      </c>
      <c r="M1736" s="21">
        <v>-1.2261827729999999</v>
      </c>
      <c r="N1736">
        <v>-6.0215137000000002E-2</v>
      </c>
    </row>
    <row r="1737" spans="1:14" x14ac:dyDescent="0.2">
      <c r="A1737" t="s">
        <v>807</v>
      </c>
      <c r="B1737">
        <v>257120</v>
      </c>
      <c r="C1737" t="s">
        <v>130</v>
      </c>
      <c r="D1737" t="s">
        <v>807</v>
      </c>
      <c r="E1737" t="s">
        <v>3678</v>
      </c>
      <c r="G1737" t="s">
        <v>3679</v>
      </c>
      <c r="J1737">
        <v>5.1222566499999997</v>
      </c>
      <c r="K1737">
        <v>0.21422175600000001</v>
      </c>
      <c r="L1737">
        <v>0.25354511400000002</v>
      </c>
      <c r="M1737" s="21">
        <v>-1.2261907599999999</v>
      </c>
      <c r="N1737">
        <v>-6.0256168999999998E-2</v>
      </c>
    </row>
    <row r="1738" spans="1:14" x14ac:dyDescent="0.2">
      <c r="A1738" t="s">
        <v>1683</v>
      </c>
      <c r="B1738">
        <v>293280</v>
      </c>
      <c r="C1738" t="s">
        <v>100</v>
      </c>
      <c r="D1738" t="s">
        <v>1683</v>
      </c>
      <c r="E1738" t="s">
        <v>3680</v>
      </c>
      <c r="G1738" t="s">
        <v>3681</v>
      </c>
      <c r="J1738">
        <v>5.9110743220000002</v>
      </c>
      <c r="K1738">
        <v>0.71598987199999997</v>
      </c>
      <c r="L1738">
        <v>0.29077365599999999</v>
      </c>
      <c r="M1738" s="21">
        <v>-1.2264577999999999</v>
      </c>
      <c r="N1738">
        <v>-6.1628049999999997E-2</v>
      </c>
    </row>
    <row r="1739" spans="1:14" x14ac:dyDescent="0.2">
      <c r="A1739" t="s">
        <v>320</v>
      </c>
      <c r="B1739">
        <v>312240</v>
      </c>
      <c r="C1739" t="s">
        <v>149</v>
      </c>
      <c r="D1739" t="s">
        <v>320</v>
      </c>
      <c r="E1739" t="s">
        <v>3682</v>
      </c>
      <c r="G1739" t="s">
        <v>3683</v>
      </c>
      <c r="J1739">
        <v>5.0381074159999999</v>
      </c>
      <c r="K1739">
        <v>0.81312368999999995</v>
      </c>
      <c r="L1739">
        <v>0.16969141800000001</v>
      </c>
      <c r="M1739" s="21">
        <v>-1.2266233950000001</v>
      </c>
      <c r="N1739">
        <v>-6.2478773000000001E-2</v>
      </c>
    </row>
    <row r="1740" spans="1:14" x14ac:dyDescent="0.2">
      <c r="A1740" t="s">
        <v>1215</v>
      </c>
      <c r="B1740">
        <v>270600</v>
      </c>
      <c r="C1740" t="s">
        <v>84</v>
      </c>
      <c r="D1740" t="s">
        <v>1215</v>
      </c>
      <c r="E1740" t="s">
        <v>3684</v>
      </c>
      <c r="J1740">
        <v>3.600219579</v>
      </c>
      <c r="K1740">
        <v>-0.293098474</v>
      </c>
      <c r="L1740">
        <v>-0.153917466</v>
      </c>
      <c r="M1740" s="21">
        <v>-1.2267087249999999</v>
      </c>
      <c r="N1740">
        <v>-6.2917145999999993E-2</v>
      </c>
    </row>
    <row r="1741" spans="1:14" x14ac:dyDescent="0.2">
      <c r="A1741" t="s">
        <v>462</v>
      </c>
      <c r="B1741">
        <v>292840</v>
      </c>
      <c r="C1741" t="s">
        <v>100</v>
      </c>
      <c r="D1741" t="s">
        <v>462</v>
      </c>
      <c r="E1741" t="s">
        <v>3685</v>
      </c>
      <c r="G1741" t="s">
        <v>3686</v>
      </c>
      <c r="J1741">
        <v>5.9110743220000002</v>
      </c>
      <c r="K1741">
        <v>0.71598987199999997</v>
      </c>
      <c r="L1741">
        <v>0.29077365599999999</v>
      </c>
      <c r="M1741" s="21">
        <v>-1.226894594</v>
      </c>
      <c r="N1741">
        <v>-6.3872023999999999E-2</v>
      </c>
    </row>
    <row r="1742" spans="1:14" x14ac:dyDescent="0.2">
      <c r="A1742" t="s">
        <v>1155</v>
      </c>
      <c r="B1742">
        <v>270440</v>
      </c>
      <c r="C1742" t="s">
        <v>84</v>
      </c>
      <c r="D1742" t="s">
        <v>1156</v>
      </c>
      <c r="E1742" t="s">
        <v>3687</v>
      </c>
      <c r="J1742">
        <v>3.600219579</v>
      </c>
      <c r="K1742">
        <v>-0.293098474</v>
      </c>
      <c r="L1742">
        <v>-0.153917466</v>
      </c>
      <c r="M1742" s="21">
        <v>-1.2269181440000001</v>
      </c>
      <c r="N1742">
        <v>-6.3993008000000004E-2</v>
      </c>
    </row>
    <row r="1743" spans="1:14" x14ac:dyDescent="0.2">
      <c r="A1743" t="s">
        <v>1010</v>
      </c>
      <c r="B1743">
        <v>270440</v>
      </c>
      <c r="C1743" t="s">
        <v>84</v>
      </c>
      <c r="D1743" t="s">
        <v>1010</v>
      </c>
      <c r="E1743" t="s">
        <v>3688</v>
      </c>
      <c r="J1743">
        <v>3.600219579</v>
      </c>
      <c r="K1743">
        <v>-0.293098474</v>
      </c>
      <c r="L1743">
        <v>-0.153917466</v>
      </c>
      <c r="M1743" s="21">
        <v>-1.2269181440000001</v>
      </c>
      <c r="N1743">
        <v>-6.3993008000000004E-2</v>
      </c>
    </row>
    <row r="1744" spans="1:14" x14ac:dyDescent="0.2">
      <c r="A1744" t="s">
        <v>2167</v>
      </c>
      <c r="B1744">
        <v>270240</v>
      </c>
      <c r="C1744" t="s">
        <v>84</v>
      </c>
      <c r="D1744" t="s">
        <v>2168</v>
      </c>
      <c r="E1744" t="s">
        <v>3689</v>
      </c>
      <c r="J1744">
        <v>3.600219579</v>
      </c>
      <c r="K1744">
        <v>-0.293098474</v>
      </c>
      <c r="L1744">
        <v>-0.153917466</v>
      </c>
      <c r="M1744" s="21">
        <v>-1.227179917</v>
      </c>
      <c r="N1744">
        <v>-6.5337834999999997E-2</v>
      </c>
    </row>
    <row r="1745" spans="1:14" x14ac:dyDescent="0.2">
      <c r="A1745" t="s">
        <v>516</v>
      </c>
      <c r="B1745">
        <v>293440</v>
      </c>
      <c r="C1745" t="s">
        <v>58</v>
      </c>
      <c r="D1745" t="s">
        <v>516</v>
      </c>
      <c r="E1745" t="s">
        <v>3690</v>
      </c>
      <c r="G1745" t="s">
        <v>3691</v>
      </c>
      <c r="J1745">
        <v>4.5363847230000003</v>
      </c>
      <c r="K1745">
        <v>0.245646371</v>
      </c>
      <c r="L1745">
        <v>7.5242279999999995E-2</v>
      </c>
      <c r="M1745" s="21">
        <v>-1.227264387</v>
      </c>
      <c r="N1745">
        <v>-6.5771789999999997E-2</v>
      </c>
    </row>
    <row r="1746" spans="1:14" x14ac:dyDescent="0.2">
      <c r="A1746" t="s">
        <v>1095</v>
      </c>
      <c r="B1746">
        <v>292440</v>
      </c>
      <c r="C1746" t="s">
        <v>100</v>
      </c>
      <c r="D1746" t="s">
        <v>1096</v>
      </c>
      <c r="E1746" t="s">
        <v>3692</v>
      </c>
      <c r="G1746" t="s">
        <v>3693</v>
      </c>
      <c r="J1746">
        <v>5.9110743220000002</v>
      </c>
      <c r="K1746">
        <v>0.71598987199999997</v>
      </c>
      <c r="L1746">
        <v>0.29077365599999999</v>
      </c>
      <c r="M1746" s="21">
        <v>-1.2272916789999999</v>
      </c>
      <c r="N1746">
        <v>-6.5911999999999998E-2</v>
      </c>
    </row>
    <row r="1747" spans="1:14" x14ac:dyDescent="0.2">
      <c r="A1747" t="s">
        <v>1373</v>
      </c>
      <c r="B1747">
        <v>255720</v>
      </c>
      <c r="C1747" t="s">
        <v>130</v>
      </c>
      <c r="D1747" t="s">
        <v>1373</v>
      </c>
      <c r="E1747" t="s">
        <v>3694</v>
      </c>
      <c r="G1747" t="s">
        <v>3695</v>
      </c>
      <c r="J1747">
        <v>5.1222566499999997</v>
      </c>
      <c r="K1747">
        <v>0.21422175600000001</v>
      </c>
      <c r="L1747">
        <v>0.25354511400000002</v>
      </c>
      <c r="M1747" s="21">
        <v>-1.2273049220000001</v>
      </c>
      <c r="N1747">
        <v>-6.5980035000000006E-2</v>
      </c>
    </row>
    <row r="1748" spans="1:14" x14ac:dyDescent="0.2">
      <c r="A1748" t="s">
        <v>687</v>
      </c>
      <c r="B1748">
        <v>293360</v>
      </c>
      <c r="C1748" t="s">
        <v>58</v>
      </c>
      <c r="D1748" t="s">
        <v>688</v>
      </c>
      <c r="E1748" t="s">
        <v>3696</v>
      </c>
      <c r="G1748" t="s">
        <v>3697</v>
      </c>
      <c r="J1748">
        <v>4.5363847230000003</v>
      </c>
      <c r="K1748">
        <v>0.245646371</v>
      </c>
      <c r="L1748">
        <v>7.5242279999999995E-2</v>
      </c>
      <c r="M1748" s="21">
        <v>-1.2273416450000001</v>
      </c>
      <c r="N1748">
        <v>-6.6168694E-2</v>
      </c>
    </row>
    <row r="1749" spans="1:14" x14ac:dyDescent="0.2">
      <c r="A1749" t="s">
        <v>554</v>
      </c>
      <c r="B1749">
        <v>293280</v>
      </c>
      <c r="C1749" t="s">
        <v>58</v>
      </c>
      <c r="D1749" t="s">
        <v>555</v>
      </c>
      <c r="E1749" t="s">
        <v>3698</v>
      </c>
      <c r="G1749" t="s">
        <v>3699</v>
      </c>
      <c r="J1749">
        <v>4.5363847230000003</v>
      </c>
      <c r="K1749">
        <v>0.245646371</v>
      </c>
      <c r="L1749">
        <v>7.5242279999999995E-2</v>
      </c>
      <c r="M1749" s="21">
        <v>-1.227418903</v>
      </c>
      <c r="N1749">
        <v>-6.6565598000000004E-2</v>
      </c>
    </row>
    <row r="1750" spans="1:14" x14ac:dyDescent="0.2">
      <c r="A1750" t="s">
        <v>977</v>
      </c>
      <c r="B1750">
        <v>292280</v>
      </c>
      <c r="C1750" t="s">
        <v>100</v>
      </c>
      <c r="D1750" t="s">
        <v>978</v>
      </c>
      <c r="E1750" t="s">
        <v>3700</v>
      </c>
      <c r="G1750" t="s">
        <v>3701</v>
      </c>
      <c r="J1750">
        <v>5.9110743220000002</v>
      </c>
      <c r="K1750">
        <v>0.71598987199999997</v>
      </c>
      <c r="L1750">
        <v>0.29077365599999999</v>
      </c>
      <c r="M1750" s="21">
        <v>-1.227450513</v>
      </c>
      <c r="N1750">
        <v>-6.6727991E-2</v>
      </c>
    </row>
    <row r="1751" spans="1:14" x14ac:dyDescent="0.2">
      <c r="A1751" t="s">
        <v>2412</v>
      </c>
      <c r="B1751">
        <v>194000</v>
      </c>
      <c r="C1751" t="s">
        <v>68</v>
      </c>
      <c r="D1751" t="s">
        <v>2412</v>
      </c>
      <c r="E1751" t="s">
        <v>3702</v>
      </c>
      <c r="G1751" t="s">
        <v>3703</v>
      </c>
      <c r="J1751">
        <v>6.4561903559999996</v>
      </c>
      <c r="K1751">
        <v>0.47291064100000002</v>
      </c>
      <c r="L1751">
        <v>0.34414126499999997</v>
      </c>
      <c r="M1751" s="21">
        <v>-1.22757647</v>
      </c>
      <c r="N1751">
        <v>-6.7375076000000006E-2</v>
      </c>
    </row>
    <row r="1752" spans="1:14" x14ac:dyDescent="0.2">
      <c r="A1752" t="s">
        <v>1783</v>
      </c>
      <c r="B1752">
        <v>255360</v>
      </c>
      <c r="C1752" t="s">
        <v>130</v>
      </c>
      <c r="D1752" t="s">
        <v>1783</v>
      </c>
      <c r="E1752" t="s">
        <v>3704</v>
      </c>
      <c r="G1752" t="s">
        <v>3705</v>
      </c>
      <c r="J1752">
        <v>5.1222566499999997</v>
      </c>
      <c r="K1752">
        <v>0.21422175600000001</v>
      </c>
      <c r="L1752">
        <v>0.25354511400000002</v>
      </c>
      <c r="M1752" s="21">
        <v>-1.2275914210000001</v>
      </c>
      <c r="N1752">
        <v>-6.7451886000000003E-2</v>
      </c>
    </row>
    <row r="1753" spans="1:14" x14ac:dyDescent="0.2">
      <c r="A1753" t="s">
        <v>1160</v>
      </c>
      <c r="B1753">
        <v>84960</v>
      </c>
      <c r="C1753" t="s">
        <v>34</v>
      </c>
      <c r="D1753" t="s">
        <v>1160</v>
      </c>
      <c r="E1753" t="s">
        <v>3706</v>
      </c>
      <c r="G1753" t="s">
        <v>3707</v>
      </c>
      <c r="J1753">
        <v>7.0544859390000001</v>
      </c>
      <c r="K1753">
        <v>0.623000361</v>
      </c>
      <c r="L1753">
        <v>0.42866702800000001</v>
      </c>
      <c r="M1753" s="21">
        <v>-1.227720248</v>
      </c>
      <c r="N1753">
        <v>-6.8113720000000003E-2</v>
      </c>
    </row>
    <row r="1754" spans="1:14" x14ac:dyDescent="0.2">
      <c r="A1754" t="s">
        <v>924</v>
      </c>
      <c r="B1754">
        <v>269600</v>
      </c>
      <c r="C1754" t="s">
        <v>84</v>
      </c>
      <c r="D1754" t="s">
        <v>924</v>
      </c>
      <c r="E1754" t="s">
        <v>3708</v>
      </c>
      <c r="J1754">
        <v>3.600219579</v>
      </c>
      <c r="K1754">
        <v>-0.293098474</v>
      </c>
      <c r="L1754">
        <v>-0.153917466</v>
      </c>
      <c r="M1754" s="21">
        <v>-1.228017591</v>
      </c>
      <c r="N1754">
        <v>-6.9641281999999999E-2</v>
      </c>
    </row>
    <row r="1755" spans="1:14" x14ac:dyDescent="0.2">
      <c r="A1755" t="s">
        <v>1794</v>
      </c>
      <c r="B1755">
        <v>133920</v>
      </c>
      <c r="C1755" t="s">
        <v>28</v>
      </c>
      <c r="D1755" t="s">
        <v>1794</v>
      </c>
      <c r="E1755" t="s">
        <v>3709</v>
      </c>
      <c r="G1755" t="s">
        <v>3710</v>
      </c>
      <c r="J1755">
        <v>5.8462906840000004</v>
      </c>
      <c r="K1755">
        <v>0.60615847</v>
      </c>
      <c r="L1755">
        <v>0.28550877299999999</v>
      </c>
      <c r="M1755" s="21">
        <v>-1.228122602</v>
      </c>
      <c r="N1755">
        <v>-7.0180761999999994E-2</v>
      </c>
    </row>
    <row r="1756" spans="1:14" x14ac:dyDescent="0.2">
      <c r="A1756" t="s">
        <v>372</v>
      </c>
      <c r="B1756">
        <v>291520</v>
      </c>
      <c r="C1756" t="s">
        <v>100</v>
      </c>
      <c r="D1756" t="s">
        <v>372</v>
      </c>
      <c r="E1756" t="s">
        <v>3711</v>
      </c>
      <c r="G1756" t="s">
        <v>3712</v>
      </c>
      <c r="J1756">
        <v>5.9110743220000002</v>
      </c>
      <c r="K1756">
        <v>0.71598987199999997</v>
      </c>
      <c r="L1756">
        <v>0.29077365599999999</v>
      </c>
      <c r="M1756" s="21">
        <v>-1.2282049749999999</v>
      </c>
      <c r="N1756">
        <v>-7.0603946000000001E-2</v>
      </c>
    </row>
    <row r="1757" spans="1:14" x14ac:dyDescent="0.2">
      <c r="A1757" t="s">
        <v>1133</v>
      </c>
      <c r="B1757">
        <v>291480</v>
      </c>
      <c r="C1757" t="s">
        <v>100</v>
      </c>
      <c r="D1757" t="s">
        <v>1134</v>
      </c>
      <c r="E1757" t="s">
        <v>3713</v>
      </c>
      <c r="G1757" t="s">
        <v>3714</v>
      </c>
      <c r="J1757">
        <v>5.9110743220000002</v>
      </c>
      <c r="K1757">
        <v>0.71598987199999997</v>
      </c>
      <c r="L1757">
        <v>0.29077365599999999</v>
      </c>
      <c r="M1757" s="21">
        <v>-1.2282446840000001</v>
      </c>
      <c r="N1757">
        <v>-7.0807942999999998E-2</v>
      </c>
    </row>
    <row r="1758" spans="1:14" x14ac:dyDescent="0.2">
      <c r="A1758" t="s">
        <v>300</v>
      </c>
      <c r="B1758">
        <v>310400</v>
      </c>
      <c r="C1758" t="s">
        <v>149</v>
      </c>
      <c r="D1758" t="s">
        <v>300</v>
      </c>
      <c r="E1758" t="s">
        <v>3715</v>
      </c>
      <c r="G1758" t="s">
        <v>3716</v>
      </c>
      <c r="J1758">
        <v>5.0381074159999999</v>
      </c>
      <c r="K1758">
        <v>0.81312368999999995</v>
      </c>
      <c r="L1758">
        <v>0.16969141800000001</v>
      </c>
      <c r="M1758" s="21">
        <v>-1.2283246880000001</v>
      </c>
      <c r="N1758">
        <v>-7.1218955E-2</v>
      </c>
    </row>
    <row r="1759" spans="1:14" x14ac:dyDescent="0.2">
      <c r="A1759" t="s">
        <v>2764</v>
      </c>
      <c r="B1759">
        <v>326280</v>
      </c>
      <c r="C1759" t="s">
        <v>14</v>
      </c>
      <c r="D1759" t="s">
        <v>2764</v>
      </c>
      <c r="E1759" t="s">
        <v>3717</v>
      </c>
      <c r="G1759" t="s">
        <v>3718</v>
      </c>
      <c r="J1759">
        <v>6.7484204910000001</v>
      </c>
      <c r="K1759">
        <v>0.48629166299999999</v>
      </c>
      <c r="L1759">
        <v>0.375053939</v>
      </c>
      <c r="M1759" s="21">
        <v>-1.2284690570000001</v>
      </c>
      <c r="N1759">
        <v>-7.1960629999999998E-2</v>
      </c>
    </row>
    <row r="1760" spans="1:14" x14ac:dyDescent="0.2">
      <c r="A1760" t="s">
        <v>203</v>
      </c>
      <c r="B1760">
        <v>326240</v>
      </c>
      <c r="C1760" t="s">
        <v>14</v>
      </c>
      <c r="D1760" t="s">
        <v>204</v>
      </c>
      <c r="E1760" t="s">
        <v>3719</v>
      </c>
      <c r="G1760" t="s">
        <v>3720</v>
      </c>
      <c r="J1760">
        <v>6.7484204910000001</v>
      </c>
      <c r="K1760">
        <v>0.48629166299999999</v>
      </c>
      <c r="L1760">
        <v>0.375053939</v>
      </c>
      <c r="M1760" s="21">
        <v>-1.2285128860000001</v>
      </c>
      <c r="N1760">
        <v>-7.2185795999999997E-2</v>
      </c>
    </row>
    <row r="1761" spans="1:14" x14ac:dyDescent="0.2">
      <c r="A1761" t="s">
        <v>2108</v>
      </c>
      <c r="B1761">
        <v>291200</v>
      </c>
      <c r="C1761" t="s">
        <v>100</v>
      </c>
      <c r="D1761" t="s">
        <v>2108</v>
      </c>
      <c r="E1761" t="s">
        <v>3721</v>
      </c>
      <c r="G1761" t="s">
        <v>3722</v>
      </c>
      <c r="J1761">
        <v>5.9110743220000002</v>
      </c>
      <c r="K1761">
        <v>0.71598987199999997</v>
      </c>
      <c r="L1761">
        <v>0.29077365599999999</v>
      </c>
      <c r="M1761" s="21">
        <v>-1.2285226440000001</v>
      </c>
      <c r="N1761">
        <v>-7.2235927000000005E-2</v>
      </c>
    </row>
    <row r="1762" spans="1:14" x14ac:dyDescent="0.2">
      <c r="A1762" t="s">
        <v>714</v>
      </c>
      <c r="B1762">
        <v>291120</v>
      </c>
      <c r="C1762" t="s">
        <v>100</v>
      </c>
      <c r="D1762" t="s">
        <v>715</v>
      </c>
      <c r="E1762" t="s">
        <v>3723</v>
      </c>
      <c r="G1762" t="s">
        <v>3724</v>
      </c>
      <c r="J1762">
        <v>5.9110743220000002</v>
      </c>
      <c r="K1762">
        <v>0.71598987199999997</v>
      </c>
      <c r="L1762">
        <v>0.29077365599999999</v>
      </c>
      <c r="M1762" s="21">
        <v>-1.2286020609999999</v>
      </c>
      <c r="N1762">
        <v>-7.2643922E-2</v>
      </c>
    </row>
    <row r="1763" spans="1:14" x14ac:dyDescent="0.2">
      <c r="A1763" t="s">
        <v>491</v>
      </c>
      <c r="B1763">
        <v>310080</v>
      </c>
      <c r="C1763" t="s">
        <v>149</v>
      </c>
      <c r="D1763" t="s">
        <v>491</v>
      </c>
      <c r="E1763" t="s">
        <v>3725</v>
      </c>
      <c r="G1763" t="s">
        <v>3726</v>
      </c>
      <c r="J1763">
        <v>5.0381074159999999</v>
      </c>
      <c r="K1763">
        <v>0.81312368999999995</v>
      </c>
      <c r="L1763">
        <v>0.16969141800000001</v>
      </c>
      <c r="M1763" s="21">
        <v>-1.2286205649999999</v>
      </c>
      <c r="N1763">
        <v>-7.2738986000000005E-2</v>
      </c>
    </row>
    <row r="1764" spans="1:14" x14ac:dyDescent="0.2">
      <c r="A1764" t="s">
        <v>23</v>
      </c>
      <c r="B1764">
        <v>291040</v>
      </c>
      <c r="C1764" t="s">
        <v>100</v>
      </c>
      <c r="D1764" t="s">
        <v>23</v>
      </c>
      <c r="E1764" t="s">
        <v>3727</v>
      </c>
      <c r="G1764" t="s">
        <v>3728</v>
      </c>
      <c r="J1764">
        <v>5.9110743220000002</v>
      </c>
      <c r="K1764">
        <v>0.71598987199999997</v>
      </c>
      <c r="L1764">
        <v>0.29077365599999999</v>
      </c>
      <c r="M1764" s="21">
        <v>-1.2286814779999999</v>
      </c>
      <c r="N1764">
        <v>-7.3051916999999994E-2</v>
      </c>
    </row>
    <row r="1765" spans="1:14" x14ac:dyDescent="0.2">
      <c r="A1765" t="s">
        <v>2252</v>
      </c>
      <c r="B1765">
        <v>133240</v>
      </c>
      <c r="C1765" t="s">
        <v>28</v>
      </c>
      <c r="D1765" t="s">
        <v>2253</v>
      </c>
      <c r="E1765" t="s">
        <v>3729</v>
      </c>
      <c r="G1765" t="s">
        <v>3730</v>
      </c>
      <c r="J1765">
        <v>5.8462906840000004</v>
      </c>
      <c r="K1765">
        <v>0.60615847</v>
      </c>
      <c r="L1765">
        <v>0.28550877299999999</v>
      </c>
      <c r="M1765" s="21">
        <v>-1.2287365139999999</v>
      </c>
      <c r="N1765">
        <v>-7.3334658999999996E-2</v>
      </c>
    </row>
    <row r="1766" spans="1:14" x14ac:dyDescent="0.2">
      <c r="A1766" t="s">
        <v>2257</v>
      </c>
      <c r="B1766">
        <v>268960</v>
      </c>
      <c r="C1766" t="s">
        <v>84</v>
      </c>
      <c r="D1766" t="s">
        <v>2257</v>
      </c>
      <c r="E1766" t="s">
        <v>3731</v>
      </c>
      <c r="J1766">
        <v>3.600219579</v>
      </c>
      <c r="K1766">
        <v>-0.293098474</v>
      </c>
      <c r="L1766">
        <v>-0.153917466</v>
      </c>
      <c r="M1766" s="21">
        <v>-1.2288552660000001</v>
      </c>
      <c r="N1766">
        <v>-7.3944729000000001E-2</v>
      </c>
    </row>
    <row r="1767" spans="1:14" x14ac:dyDescent="0.2">
      <c r="A1767" t="s">
        <v>880</v>
      </c>
      <c r="B1767">
        <v>309600</v>
      </c>
      <c r="C1767" t="s">
        <v>149</v>
      </c>
      <c r="D1767" t="s">
        <v>880</v>
      </c>
      <c r="E1767" t="s">
        <v>3732</v>
      </c>
      <c r="G1767" t="s">
        <v>3733</v>
      </c>
      <c r="J1767">
        <v>5.0381074159999999</v>
      </c>
      <c r="K1767">
        <v>0.81312368999999995</v>
      </c>
      <c r="L1767">
        <v>0.16969141800000001</v>
      </c>
      <c r="M1767" s="21">
        <v>-1.2290643809999999</v>
      </c>
      <c r="N1767">
        <v>-7.5019033999999998E-2</v>
      </c>
    </row>
    <row r="1768" spans="1:14" x14ac:dyDescent="0.2">
      <c r="A1768" t="s">
        <v>2252</v>
      </c>
      <c r="B1768">
        <v>291320</v>
      </c>
      <c r="C1768" t="s">
        <v>58</v>
      </c>
      <c r="D1768" t="s">
        <v>2253</v>
      </c>
      <c r="E1768" t="s">
        <v>3734</v>
      </c>
      <c r="G1768" t="s">
        <v>3735</v>
      </c>
      <c r="J1768">
        <v>4.5363847230000003</v>
      </c>
      <c r="K1768">
        <v>0.245646371</v>
      </c>
      <c r="L1768">
        <v>7.5242279999999995E-2</v>
      </c>
      <c r="M1768" s="21">
        <v>-1.229311727</v>
      </c>
      <c r="N1768">
        <v>-7.6289741999999994E-2</v>
      </c>
    </row>
    <row r="1769" spans="1:14" x14ac:dyDescent="0.2">
      <c r="A1769" t="s">
        <v>2412</v>
      </c>
      <c r="B1769">
        <v>309280</v>
      </c>
      <c r="C1769" t="s">
        <v>149</v>
      </c>
      <c r="D1769" t="s">
        <v>2412</v>
      </c>
      <c r="E1769" t="s">
        <v>3736</v>
      </c>
      <c r="G1769" t="s">
        <v>3737</v>
      </c>
      <c r="J1769">
        <v>5.0381074159999999</v>
      </c>
      <c r="K1769">
        <v>0.81312368999999995</v>
      </c>
      <c r="L1769">
        <v>0.16969141800000001</v>
      </c>
      <c r="M1769" s="21">
        <v>-1.229360258</v>
      </c>
      <c r="N1769">
        <v>-7.6539065000000003E-2</v>
      </c>
    </row>
    <row r="1770" spans="1:14" x14ac:dyDescent="0.2">
      <c r="A1770" t="s">
        <v>27</v>
      </c>
      <c r="B1770">
        <v>309160</v>
      </c>
      <c r="C1770" t="s">
        <v>149</v>
      </c>
      <c r="D1770" t="s">
        <v>29</v>
      </c>
      <c r="E1770" t="s">
        <v>3738</v>
      </c>
      <c r="G1770" t="s">
        <v>3739</v>
      </c>
      <c r="J1770">
        <v>5.0381074159999999</v>
      </c>
      <c r="K1770">
        <v>0.81312368999999995</v>
      </c>
      <c r="L1770">
        <v>0.16969141800000001</v>
      </c>
      <c r="M1770" s="21">
        <v>-1.229471212</v>
      </c>
      <c r="N1770">
        <v>-7.7109076999999998E-2</v>
      </c>
    </row>
    <row r="1771" spans="1:14" x14ac:dyDescent="0.2">
      <c r="A1771" t="s">
        <v>2443</v>
      </c>
      <c r="B1771">
        <v>192040</v>
      </c>
      <c r="C1771" t="s">
        <v>68</v>
      </c>
      <c r="D1771" t="s">
        <v>2444</v>
      </c>
      <c r="E1771" t="s">
        <v>3740</v>
      </c>
      <c r="G1771" t="s">
        <v>3741</v>
      </c>
      <c r="J1771">
        <v>6.4561903559999996</v>
      </c>
      <c r="K1771">
        <v>0.47291064100000002</v>
      </c>
      <c r="L1771">
        <v>0.34414126499999997</v>
      </c>
      <c r="M1771" s="21">
        <v>-1.2294718929999999</v>
      </c>
      <c r="N1771">
        <v>-7.7112573000000004E-2</v>
      </c>
    </row>
    <row r="1772" spans="1:14" x14ac:dyDescent="0.2">
      <c r="A1772" t="s">
        <v>567</v>
      </c>
      <c r="B1772">
        <v>132040</v>
      </c>
      <c r="C1772" t="s">
        <v>28</v>
      </c>
      <c r="D1772" t="s">
        <v>567</v>
      </c>
      <c r="E1772" t="s">
        <v>3742</v>
      </c>
      <c r="G1772" t="s">
        <v>3743</v>
      </c>
      <c r="J1772">
        <v>5.8462906840000004</v>
      </c>
      <c r="K1772">
        <v>0.60615847</v>
      </c>
      <c r="L1772">
        <v>0.28550877299999999</v>
      </c>
      <c r="M1772" s="21">
        <v>-1.2298198890000001</v>
      </c>
      <c r="N1772">
        <v>-7.8900361000000002E-2</v>
      </c>
    </row>
    <row r="1773" spans="1:14" x14ac:dyDescent="0.2">
      <c r="A1773" t="s">
        <v>972</v>
      </c>
      <c r="B1773">
        <v>325000</v>
      </c>
      <c r="C1773" t="s">
        <v>14</v>
      </c>
      <c r="D1773" t="s">
        <v>972</v>
      </c>
      <c r="E1773" t="s">
        <v>3744</v>
      </c>
      <c r="G1773" t="s">
        <v>3745</v>
      </c>
      <c r="J1773">
        <v>6.7484204910000001</v>
      </c>
      <c r="K1773">
        <v>0.48629166299999999</v>
      </c>
      <c r="L1773">
        <v>0.375053939</v>
      </c>
      <c r="M1773" s="21">
        <v>-1.229871581</v>
      </c>
      <c r="N1773">
        <v>-7.9165923999999999E-2</v>
      </c>
    </row>
    <row r="1774" spans="1:14" x14ac:dyDescent="0.2">
      <c r="A1774" t="s">
        <v>2960</v>
      </c>
      <c r="B1774">
        <v>268160</v>
      </c>
      <c r="C1774" t="s">
        <v>84</v>
      </c>
      <c r="D1774" t="s">
        <v>2961</v>
      </c>
      <c r="E1774" t="s">
        <v>3746</v>
      </c>
      <c r="J1774">
        <v>3.600219579</v>
      </c>
      <c r="K1774">
        <v>-0.293098474</v>
      </c>
      <c r="L1774">
        <v>-0.153917466</v>
      </c>
      <c r="M1774" s="21">
        <v>-1.229902359</v>
      </c>
      <c r="N1774">
        <v>-7.9324037999999999E-2</v>
      </c>
    </row>
    <row r="1775" spans="1:14" x14ac:dyDescent="0.2">
      <c r="A1775" t="s">
        <v>426</v>
      </c>
      <c r="B1775">
        <v>324920</v>
      </c>
      <c r="C1775" t="s">
        <v>14</v>
      </c>
      <c r="D1775" t="s">
        <v>426</v>
      </c>
      <c r="E1775" t="s">
        <v>3747</v>
      </c>
      <c r="G1775" t="s">
        <v>3748</v>
      </c>
      <c r="J1775">
        <v>6.7484204910000001</v>
      </c>
      <c r="K1775">
        <v>0.48629166299999999</v>
      </c>
      <c r="L1775">
        <v>0.375053939</v>
      </c>
      <c r="M1775" s="21">
        <v>-1.229959239</v>
      </c>
      <c r="N1775">
        <v>-7.9616254999999997E-2</v>
      </c>
    </row>
    <row r="1776" spans="1:14" x14ac:dyDescent="0.2">
      <c r="A1776" t="s">
        <v>143</v>
      </c>
      <c r="B1776">
        <v>290640</v>
      </c>
      <c r="C1776" t="s">
        <v>58</v>
      </c>
      <c r="D1776" t="s">
        <v>144</v>
      </c>
      <c r="E1776" t="s">
        <v>3749</v>
      </c>
      <c r="G1776" t="s">
        <v>3750</v>
      </c>
      <c r="J1776">
        <v>4.5363847230000003</v>
      </c>
      <c r="K1776">
        <v>0.245646371</v>
      </c>
      <c r="L1776">
        <v>7.5242279999999995E-2</v>
      </c>
      <c r="M1776" s="21">
        <v>-1.2299684209999999</v>
      </c>
      <c r="N1776">
        <v>-7.9663423999999997E-2</v>
      </c>
    </row>
    <row r="1777" spans="1:14" x14ac:dyDescent="0.2">
      <c r="A1777" t="s">
        <v>203</v>
      </c>
      <c r="B1777">
        <v>131800</v>
      </c>
      <c r="C1777" t="s">
        <v>28</v>
      </c>
      <c r="D1777" t="s">
        <v>204</v>
      </c>
      <c r="E1777" t="s">
        <v>3751</v>
      </c>
      <c r="G1777" t="s">
        <v>3752</v>
      </c>
      <c r="J1777">
        <v>5.8462906840000004</v>
      </c>
      <c r="K1777">
        <v>0.60615847</v>
      </c>
      <c r="L1777">
        <v>0.28550877299999999</v>
      </c>
      <c r="M1777" s="21">
        <v>-1.2300365639999999</v>
      </c>
      <c r="N1777">
        <v>-8.0013501000000001E-2</v>
      </c>
    </row>
    <row r="1778" spans="1:14" x14ac:dyDescent="0.2">
      <c r="A1778" t="s">
        <v>1394</v>
      </c>
      <c r="B1778">
        <v>131760</v>
      </c>
      <c r="C1778" t="s">
        <v>28</v>
      </c>
      <c r="D1778" t="s">
        <v>1394</v>
      </c>
      <c r="E1778" t="s">
        <v>3753</v>
      </c>
      <c r="G1778" t="s">
        <v>3754</v>
      </c>
      <c r="J1778">
        <v>5.8462906840000004</v>
      </c>
      <c r="K1778">
        <v>0.60615847</v>
      </c>
      <c r="L1778">
        <v>0.28550877299999999</v>
      </c>
      <c r="M1778" s="21">
        <v>-1.230072676</v>
      </c>
      <c r="N1778">
        <v>-8.0199023999999994E-2</v>
      </c>
    </row>
    <row r="1779" spans="1:14" x14ac:dyDescent="0.2">
      <c r="A1779" t="s">
        <v>202</v>
      </c>
      <c r="B1779">
        <v>290360</v>
      </c>
      <c r="C1779" t="s">
        <v>58</v>
      </c>
      <c r="D1779" t="s">
        <v>202</v>
      </c>
      <c r="E1779" t="s">
        <v>3755</v>
      </c>
      <c r="G1779" t="s">
        <v>3756</v>
      </c>
      <c r="J1779">
        <v>4.5363847230000003</v>
      </c>
      <c r="K1779">
        <v>0.245646371</v>
      </c>
      <c r="L1779">
        <v>7.5242279999999995E-2</v>
      </c>
      <c r="M1779" s="21">
        <v>-1.230238824</v>
      </c>
      <c r="N1779">
        <v>-8.1052587999999995E-2</v>
      </c>
    </row>
    <row r="1780" spans="1:14" x14ac:dyDescent="0.2">
      <c r="A1780" t="s">
        <v>1729</v>
      </c>
      <c r="B1780">
        <v>251960</v>
      </c>
      <c r="C1780" t="s">
        <v>130</v>
      </c>
      <c r="D1780" t="s">
        <v>1729</v>
      </c>
      <c r="E1780" t="s">
        <v>3757</v>
      </c>
      <c r="G1780" t="s">
        <v>3758</v>
      </c>
      <c r="J1780">
        <v>5.1222566499999997</v>
      </c>
      <c r="K1780">
        <v>0.21422175600000001</v>
      </c>
      <c r="L1780">
        <v>0.25354511400000002</v>
      </c>
      <c r="M1780" s="21">
        <v>-1.230297242</v>
      </c>
      <c r="N1780">
        <v>-8.1352703999999998E-2</v>
      </c>
    </row>
    <row r="1781" spans="1:14" x14ac:dyDescent="0.2">
      <c r="A1781" t="s">
        <v>1052</v>
      </c>
      <c r="B1781">
        <v>267480</v>
      </c>
      <c r="C1781" t="s">
        <v>84</v>
      </c>
      <c r="D1781" t="s">
        <v>1052</v>
      </c>
      <c r="E1781" t="s">
        <v>3759</v>
      </c>
      <c r="J1781">
        <v>3.600219579</v>
      </c>
      <c r="K1781">
        <v>-0.293098474</v>
      </c>
      <c r="L1781">
        <v>-0.153917466</v>
      </c>
      <c r="M1781" s="21">
        <v>-1.230792388</v>
      </c>
      <c r="N1781">
        <v>-8.3896449999999997E-2</v>
      </c>
    </row>
    <row r="1782" spans="1:14" x14ac:dyDescent="0.2">
      <c r="A1782" t="s">
        <v>977</v>
      </c>
      <c r="B1782">
        <v>289640</v>
      </c>
      <c r="C1782" t="s">
        <v>58</v>
      </c>
      <c r="D1782" t="s">
        <v>978</v>
      </c>
      <c r="E1782" t="s">
        <v>3760</v>
      </c>
      <c r="G1782" t="s">
        <v>3761</v>
      </c>
      <c r="J1782">
        <v>4.5363847230000003</v>
      </c>
      <c r="K1782">
        <v>0.245646371</v>
      </c>
      <c r="L1782">
        <v>7.5242279999999995E-2</v>
      </c>
      <c r="M1782" s="21">
        <v>-1.2309341469999999</v>
      </c>
      <c r="N1782">
        <v>-8.4624721999999999E-2</v>
      </c>
    </row>
    <row r="1783" spans="1:14" x14ac:dyDescent="0.2">
      <c r="A1783" t="s">
        <v>689</v>
      </c>
      <c r="B1783">
        <v>81040</v>
      </c>
      <c r="C1783" t="s">
        <v>34</v>
      </c>
      <c r="D1783" t="s">
        <v>690</v>
      </c>
      <c r="E1783" t="s">
        <v>3762</v>
      </c>
      <c r="G1783" t="s">
        <v>3763</v>
      </c>
      <c r="J1783">
        <v>7.0544859390000001</v>
      </c>
      <c r="K1783">
        <v>0.623000361</v>
      </c>
      <c r="L1783">
        <v>0.42866702800000001</v>
      </c>
      <c r="M1783" s="21">
        <v>-1.2311661599999999</v>
      </c>
      <c r="N1783">
        <v>-8.5816658000000004E-2</v>
      </c>
    </row>
    <row r="1784" spans="1:14" x14ac:dyDescent="0.2">
      <c r="A1784" t="s">
        <v>951</v>
      </c>
      <c r="B1784">
        <v>307240</v>
      </c>
      <c r="C1784" t="s">
        <v>149</v>
      </c>
      <c r="D1784" t="s">
        <v>951</v>
      </c>
      <c r="E1784" t="s">
        <v>3764</v>
      </c>
      <c r="G1784" t="s">
        <v>3765</v>
      </c>
      <c r="J1784">
        <v>5.0381074159999999</v>
      </c>
      <c r="K1784">
        <v>0.81312368999999995</v>
      </c>
      <c r="L1784">
        <v>0.16969141800000001</v>
      </c>
      <c r="M1784" s="21">
        <v>-1.2312464750000001</v>
      </c>
      <c r="N1784">
        <v>-8.6229266999999998E-2</v>
      </c>
    </row>
    <row r="1785" spans="1:14" x14ac:dyDescent="0.2">
      <c r="A1785" t="s">
        <v>397</v>
      </c>
      <c r="B1785">
        <v>250760</v>
      </c>
      <c r="C1785" t="s">
        <v>130</v>
      </c>
      <c r="D1785" t="s">
        <v>397</v>
      </c>
      <c r="E1785" t="s">
        <v>3766</v>
      </c>
      <c r="G1785" t="s">
        <v>3767</v>
      </c>
      <c r="J1785">
        <v>5.1222566499999997</v>
      </c>
      <c r="K1785">
        <v>0.21422175600000001</v>
      </c>
      <c r="L1785">
        <v>0.25354511400000002</v>
      </c>
      <c r="M1785" s="21">
        <v>-1.2312522379999999</v>
      </c>
      <c r="N1785">
        <v>-8.6258874999999999E-2</v>
      </c>
    </row>
    <row r="1786" spans="1:14" x14ac:dyDescent="0.2">
      <c r="A1786" t="s">
        <v>2457</v>
      </c>
      <c r="B1786">
        <v>323640</v>
      </c>
      <c r="C1786" t="s">
        <v>14</v>
      </c>
      <c r="D1786" t="s">
        <v>2458</v>
      </c>
      <c r="E1786" t="s">
        <v>3768</v>
      </c>
      <c r="G1786" t="s">
        <v>3769</v>
      </c>
      <c r="J1786">
        <v>6.7484204910000001</v>
      </c>
      <c r="K1786">
        <v>0.48629166299999999</v>
      </c>
      <c r="L1786">
        <v>0.375053939</v>
      </c>
      <c r="M1786" s="21">
        <v>-1.2313617640000001</v>
      </c>
      <c r="N1786">
        <v>-8.6821547999999998E-2</v>
      </c>
    </row>
    <row r="1787" spans="1:14" x14ac:dyDescent="0.2">
      <c r="A1787" t="s">
        <v>853</v>
      </c>
      <c r="B1787">
        <v>267040</v>
      </c>
      <c r="C1787" t="s">
        <v>84</v>
      </c>
      <c r="D1787" t="s">
        <v>854</v>
      </c>
      <c r="E1787" t="s">
        <v>3770</v>
      </c>
      <c r="J1787">
        <v>3.600219579</v>
      </c>
      <c r="K1787">
        <v>-0.293098474</v>
      </c>
      <c r="L1787">
        <v>-0.153917466</v>
      </c>
      <c r="M1787" s="21">
        <v>-1.2313682889999999</v>
      </c>
      <c r="N1787">
        <v>-8.6855070000000006E-2</v>
      </c>
    </row>
    <row r="1788" spans="1:14" x14ac:dyDescent="0.2">
      <c r="A1788" t="s">
        <v>1065</v>
      </c>
      <c r="B1788">
        <v>250120</v>
      </c>
      <c r="C1788" t="s">
        <v>130</v>
      </c>
      <c r="D1788" t="s">
        <v>1066</v>
      </c>
      <c r="E1788" t="s">
        <v>3771</v>
      </c>
      <c r="G1788" t="s">
        <v>3772</v>
      </c>
      <c r="J1788">
        <v>5.1222566499999997</v>
      </c>
      <c r="K1788">
        <v>0.21422175600000001</v>
      </c>
      <c r="L1788">
        <v>0.25354511400000002</v>
      </c>
      <c r="M1788" s="21">
        <v>-1.2317615689999999</v>
      </c>
      <c r="N1788">
        <v>-8.8875499999999996E-2</v>
      </c>
    </row>
    <row r="1789" spans="1:14" x14ac:dyDescent="0.2">
      <c r="A1789" t="s">
        <v>2149</v>
      </c>
      <c r="B1789">
        <v>287880</v>
      </c>
      <c r="C1789" t="s">
        <v>100</v>
      </c>
      <c r="D1789" t="s">
        <v>2149</v>
      </c>
      <c r="E1789" t="s">
        <v>3773</v>
      </c>
      <c r="G1789" t="s">
        <v>3774</v>
      </c>
      <c r="J1789">
        <v>5.9110743220000002</v>
      </c>
      <c r="K1789">
        <v>0.71598987199999997</v>
      </c>
      <c r="L1789">
        <v>0.29077365599999999</v>
      </c>
      <c r="M1789" s="21">
        <v>-1.231818453</v>
      </c>
      <c r="N1789">
        <v>-8.9167730000000001E-2</v>
      </c>
    </row>
    <row r="1790" spans="1:14" x14ac:dyDescent="0.2">
      <c r="A1790" t="s">
        <v>1783</v>
      </c>
      <c r="B1790">
        <v>266680</v>
      </c>
      <c r="C1790" t="s">
        <v>84</v>
      </c>
      <c r="D1790" t="s">
        <v>1783</v>
      </c>
      <c r="E1790" t="s">
        <v>3775</v>
      </c>
      <c r="J1790">
        <v>3.600219579</v>
      </c>
      <c r="K1790">
        <v>-0.293098474</v>
      </c>
      <c r="L1790">
        <v>-0.153917466</v>
      </c>
      <c r="M1790" s="21">
        <v>-1.231839481</v>
      </c>
      <c r="N1790">
        <v>-8.9275758999999996E-2</v>
      </c>
    </row>
    <row r="1791" spans="1:14" x14ac:dyDescent="0.2">
      <c r="A1791" t="s">
        <v>779</v>
      </c>
      <c r="B1791">
        <v>287800</v>
      </c>
      <c r="C1791" t="s">
        <v>100</v>
      </c>
      <c r="D1791" t="s">
        <v>780</v>
      </c>
      <c r="E1791" t="s">
        <v>3776</v>
      </c>
      <c r="G1791" t="s">
        <v>3777</v>
      </c>
      <c r="J1791">
        <v>5.9110743220000002</v>
      </c>
      <c r="K1791">
        <v>0.71598987199999997</v>
      </c>
      <c r="L1791">
        <v>0.29077365599999999</v>
      </c>
      <c r="M1791" s="21">
        <v>-1.2318978700000001</v>
      </c>
      <c r="N1791">
        <v>-8.9575724999999995E-2</v>
      </c>
    </row>
    <row r="1792" spans="1:14" x14ac:dyDescent="0.2">
      <c r="A1792" t="s">
        <v>1076</v>
      </c>
      <c r="B1792">
        <v>129640</v>
      </c>
      <c r="C1792" t="s">
        <v>28</v>
      </c>
      <c r="D1792" t="s">
        <v>1077</v>
      </c>
      <c r="E1792" t="s">
        <v>3778</v>
      </c>
      <c r="G1792" t="s">
        <v>3779</v>
      </c>
      <c r="J1792">
        <v>5.8462906840000004</v>
      </c>
      <c r="K1792">
        <v>0.60615847</v>
      </c>
      <c r="L1792">
        <v>0.28550877299999999</v>
      </c>
      <c r="M1792" s="21">
        <v>-1.231986638</v>
      </c>
      <c r="N1792">
        <v>-9.0031764E-2</v>
      </c>
    </row>
    <row r="1793" spans="1:14" x14ac:dyDescent="0.2">
      <c r="A1793" t="s">
        <v>746</v>
      </c>
      <c r="B1793">
        <v>288440</v>
      </c>
      <c r="C1793" t="s">
        <v>58</v>
      </c>
      <c r="D1793" t="s">
        <v>746</v>
      </c>
      <c r="E1793" t="s">
        <v>3780</v>
      </c>
      <c r="G1793" t="s">
        <v>3781</v>
      </c>
      <c r="J1793">
        <v>4.5363847230000003</v>
      </c>
      <c r="K1793">
        <v>0.245646371</v>
      </c>
      <c r="L1793">
        <v>7.5242279999999995E-2</v>
      </c>
      <c r="M1793" s="21">
        <v>-1.2320930189999999</v>
      </c>
      <c r="N1793">
        <v>-9.0578278999999998E-2</v>
      </c>
    </row>
    <row r="1794" spans="1:14" x14ac:dyDescent="0.2">
      <c r="A1794" t="s">
        <v>2385</v>
      </c>
      <c r="B1794">
        <v>322760</v>
      </c>
      <c r="C1794" t="s">
        <v>14</v>
      </c>
      <c r="D1794" t="s">
        <v>2385</v>
      </c>
      <c r="E1794" t="s">
        <v>3782</v>
      </c>
      <c r="G1794" t="s">
        <v>3783</v>
      </c>
      <c r="J1794">
        <v>6.7484204910000001</v>
      </c>
      <c r="K1794">
        <v>0.48629166299999999</v>
      </c>
      <c r="L1794">
        <v>0.375053939</v>
      </c>
      <c r="M1794" s="21">
        <v>-1.2323259989999999</v>
      </c>
      <c r="N1794">
        <v>-9.1775187999999994E-2</v>
      </c>
    </row>
    <row r="1795" spans="1:14" x14ac:dyDescent="0.2">
      <c r="A1795" t="s">
        <v>139</v>
      </c>
      <c r="B1795">
        <v>79560</v>
      </c>
      <c r="C1795" t="s">
        <v>34</v>
      </c>
      <c r="D1795" t="s">
        <v>139</v>
      </c>
      <c r="E1795" t="s">
        <v>3784</v>
      </c>
      <c r="G1795" t="s">
        <v>3785</v>
      </c>
      <c r="J1795">
        <v>7.0544859390000001</v>
      </c>
      <c r="K1795">
        <v>0.623000361</v>
      </c>
      <c r="L1795">
        <v>0.42866702800000001</v>
      </c>
      <c r="M1795" s="21">
        <v>-1.232467167</v>
      </c>
      <c r="N1795">
        <v>-9.250042E-2</v>
      </c>
    </row>
    <row r="1796" spans="1:14" x14ac:dyDescent="0.2">
      <c r="A1796" t="s">
        <v>1431</v>
      </c>
      <c r="B1796">
        <v>249200</v>
      </c>
      <c r="C1796" t="s">
        <v>130</v>
      </c>
      <c r="D1796" t="s">
        <v>1431</v>
      </c>
      <c r="E1796" t="s">
        <v>3786</v>
      </c>
      <c r="G1796" t="s">
        <v>3787</v>
      </c>
      <c r="J1796">
        <v>5.1222566499999997</v>
      </c>
      <c r="K1796">
        <v>0.21422175600000001</v>
      </c>
      <c r="L1796">
        <v>0.25354511400000002</v>
      </c>
      <c r="M1796" s="21">
        <v>-1.2324937330000001</v>
      </c>
      <c r="N1796">
        <v>-9.2636897999999995E-2</v>
      </c>
    </row>
    <row r="1797" spans="1:14" x14ac:dyDescent="0.2">
      <c r="A1797" t="s">
        <v>718</v>
      </c>
      <c r="B1797">
        <v>265960</v>
      </c>
      <c r="C1797" t="s">
        <v>84</v>
      </c>
      <c r="D1797" t="s">
        <v>718</v>
      </c>
      <c r="E1797" t="s">
        <v>3788</v>
      </c>
      <c r="J1797">
        <v>3.600219579</v>
      </c>
      <c r="K1797">
        <v>-0.293098474</v>
      </c>
      <c r="L1797">
        <v>-0.153917466</v>
      </c>
      <c r="M1797" s="21">
        <v>-1.2327818639999999</v>
      </c>
      <c r="N1797">
        <v>-9.4117137000000003E-2</v>
      </c>
    </row>
    <row r="1798" spans="1:14" x14ac:dyDescent="0.2">
      <c r="A1798" t="s">
        <v>519</v>
      </c>
      <c r="B1798">
        <v>286760</v>
      </c>
      <c r="C1798" t="s">
        <v>100</v>
      </c>
      <c r="D1798" t="s">
        <v>519</v>
      </c>
      <c r="E1798" t="s">
        <v>3789</v>
      </c>
      <c r="G1798" t="s">
        <v>3790</v>
      </c>
      <c r="J1798">
        <v>5.9110743220000002</v>
      </c>
      <c r="K1798">
        <v>0.71598987199999997</v>
      </c>
      <c r="L1798">
        <v>0.29077365599999999</v>
      </c>
      <c r="M1798" s="21">
        <v>-1.232930292</v>
      </c>
      <c r="N1798">
        <v>-9.4879664000000002E-2</v>
      </c>
    </row>
    <row r="1799" spans="1:14" x14ac:dyDescent="0.2">
      <c r="A1799" t="s">
        <v>431</v>
      </c>
      <c r="B1799">
        <v>265800</v>
      </c>
      <c r="C1799" t="s">
        <v>84</v>
      </c>
      <c r="D1799" t="s">
        <v>432</v>
      </c>
      <c r="E1799" t="s">
        <v>3791</v>
      </c>
      <c r="G1799" t="s">
        <v>3792</v>
      </c>
      <c r="J1799">
        <v>3.600219579</v>
      </c>
      <c r="K1799">
        <v>-0.293098474</v>
      </c>
      <c r="L1799">
        <v>-0.153917466</v>
      </c>
      <c r="M1799" s="21">
        <v>-1.232991283</v>
      </c>
      <c r="N1799">
        <v>-9.5192999E-2</v>
      </c>
    </row>
    <row r="1800" spans="1:14" x14ac:dyDescent="0.2">
      <c r="A1800" t="s">
        <v>2764</v>
      </c>
      <c r="B1800">
        <v>78880</v>
      </c>
      <c r="C1800" t="s">
        <v>34</v>
      </c>
      <c r="D1800" t="s">
        <v>2764</v>
      </c>
      <c r="J1800">
        <v>7.0544859390000001</v>
      </c>
      <c r="K1800">
        <v>0.623000361</v>
      </c>
      <c r="L1800">
        <v>0.42866702800000001</v>
      </c>
      <c r="M1800" s="21">
        <v>-1.233064927</v>
      </c>
      <c r="N1800">
        <v>-9.5571337000000006E-2</v>
      </c>
    </row>
    <row r="1801" spans="1:14" x14ac:dyDescent="0.2">
      <c r="A1801" t="s">
        <v>74</v>
      </c>
      <c r="B1801">
        <v>248320</v>
      </c>
      <c r="C1801" t="s">
        <v>130</v>
      </c>
      <c r="D1801" t="s">
        <v>75</v>
      </c>
      <c r="E1801" t="s">
        <v>3793</v>
      </c>
      <c r="G1801" t="s">
        <v>3794</v>
      </c>
      <c r="J1801">
        <v>5.1222566499999997</v>
      </c>
      <c r="K1801">
        <v>0.21422175600000001</v>
      </c>
      <c r="L1801">
        <v>0.25354511400000002</v>
      </c>
      <c r="M1801" s="21">
        <v>-1.233194063</v>
      </c>
      <c r="N1801">
        <v>-9.6234756000000005E-2</v>
      </c>
    </row>
    <row r="1802" spans="1:14" x14ac:dyDescent="0.2">
      <c r="A1802" t="s">
        <v>880</v>
      </c>
      <c r="B1802">
        <v>286280</v>
      </c>
      <c r="C1802" t="s">
        <v>100</v>
      </c>
      <c r="D1802" t="s">
        <v>880</v>
      </c>
      <c r="E1802" t="s">
        <v>3795</v>
      </c>
      <c r="G1802" t="s">
        <v>3796</v>
      </c>
      <c r="J1802">
        <v>5.9110743220000002</v>
      </c>
      <c r="K1802">
        <v>0.71598987199999997</v>
      </c>
      <c r="L1802">
        <v>0.29077365599999999</v>
      </c>
      <c r="M1802" s="21">
        <v>-1.233406794</v>
      </c>
      <c r="N1802">
        <v>-9.7327634999999996E-2</v>
      </c>
    </row>
    <row r="1803" spans="1:14" x14ac:dyDescent="0.2">
      <c r="A1803" t="s">
        <v>792</v>
      </c>
      <c r="B1803">
        <v>265400</v>
      </c>
      <c r="C1803" t="s">
        <v>84</v>
      </c>
      <c r="D1803" t="s">
        <v>793</v>
      </c>
      <c r="E1803" t="s">
        <v>3797</v>
      </c>
      <c r="J1803">
        <v>3.600219579</v>
      </c>
      <c r="K1803">
        <v>-0.293098474</v>
      </c>
      <c r="L1803">
        <v>-0.153917466</v>
      </c>
      <c r="M1803" s="21">
        <v>-1.233514829</v>
      </c>
      <c r="N1803">
        <v>-9.7882653E-2</v>
      </c>
    </row>
    <row r="1804" spans="1:14" x14ac:dyDescent="0.2">
      <c r="A1804" t="s">
        <v>1058</v>
      </c>
      <c r="B1804">
        <v>247880</v>
      </c>
      <c r="C1804" t="s">
        <v>130</v>
      </c>
      <c r="D1804" t="s">
        <v>1059</v>
      </c>
      <c r="E1804" t="s">
        <v>3798</v>
      </c>
      <c r="G1804" t="s">
        <v>3799</v>
      </c>
      <c r="J1804">
        <v>5.1222566499999997</v>
      </c>
      <c r="K1804">
        <v>0.21422175600000001</v>
      </c>
      <c r="L1804">
        <v>0.25354511400000002</v>
      </c>
      <c r="M1804" s="21">
        <v>-1.233544228</v>
      </c>
      <c r="N1804">
        <v>-9.8033685999999995E-2</v>
      </c>
    </row>
    <row r="1805" spans="1:14" x14ac:dyDescent="0.2">
      <c r="A1805" t="s">
        <v>1544</v>
      </c>
      <c r="B1805">
        <v>286920</v>
      </c>
      <c r="C1805" t="s">
        <v>58</v>
      </c>
      <c r="D1805" t="s">
        <v>1545</v>
      </c>
      <c r="E1805" t="s">
        <v>3800</v>
      </c>
      <c r="G1805" t="s">
        <v>3801</v>
      </c>
      <c r="J1805">
        <v>4.5363847230000003</v>
      </c>
      <c r="K1805">
        <v>0.245646371</v>
      </c>
      <c r="L1805">
        <v>7.5242279999999995E-2</v>
      </c>
      <c r="M1805" s="21">
        <v>-1.233560923</v>
      </c>
      <c r="N1805">
        <v>-9.8119451999999996E-2</v>
      </c>
    </row>
    <row r="1806" spans="1:14" x14ac:dyDescent="0.2">
      <c r="A1806" t="s">
        <v>27</v>
      </c>
      <c r="B1806">
        <v>286920</v>
      </c>
      <c r="C1806" t="s">
        <v>58</v>
      </c>
      <c r="D1806" t="s">
        <v>29</v>
      </c>
      <c r="E1806" t="s">
        <v>3802</v>
      </c>
      <c r="G1806" t="s">
        <v>3803</v>
      </c>
      <c r="J1806">
        <v>4.5363847230000003</v>
      </c>
      <c r="K1806">
        <v>0.245646371</v>
      </c>
      <c r="L1806">
        <v>7.5242279999999995E-2</v>
      </c>
      <c r="M1806" s="21">
        <v>-1.233560923</v>
      </c>
      <c r="N1806">
        <v>-9.8119451999999996E-2</v>
      </c>
    </row>
    <row r="1807" spans="1:14" x14ac:dyDescent="0.2">
      <c r="A1807" t="s">
        <v>1617</v>
      </c>
      <c r="B1807">
        <v>247840</v>
      </c>
      <c r="C1807" t="s">
        <v>130</v>
      </c>
      <c r="D1807" t="s">
        <v>1617</v>
      </c>
      <c r="E1807" t="s">
        <v>3804</v>
      </c>
      <c r="G1807" t="s">
        <v>3805</v>
      </c>
      <c r="J1807">
        <v>5.1222566499999997</v>
      </c>
      <c r="K1807">
        <v>0.21422175600000001</v>
      </c>
      <c r="L1807">
        <v>0.25354511400000002</v>
      </c>
      <c r="M1807" s="21">
        <v>-1.2335760609999999</v>
      </c>
      <c r="N1807">
        <v>-9.8197224999999999E-2</v>
      </c>
    </row>
    <row r="1808" spans="1:14" x14ac:dyDescent="0.2">
      <c r="A1808" t="s">
        <v>139</v>
      </c>
      <c r="B1808">
        <v>265240</v>
      </c>
      <c r="C1808" t="s">
        <v>84</v>
      </c>
      <c r="D1808" t="s">
        <v>139</v>
      </c>
      <c r="E1808" t="s">
        <v>3806</v>
      </c>
      <c r="J1808">
        <v>3.600219579</v>
      </c>
      <c r="K1808">
        <v>-0.293098474</v>
      </c>
      <c r="L1808">
        <v>-0.153917466</v>
      </c>
      <c r="M1808" s="21">
        <v>-1.2337242479999999</v>
      </c>
      <c r="N1808">
        <v>-9.8958514999999997E-2</v>
      </c>
    </row>
    <row r="1809" spans="1:14" x14ac:dyDescent="0.2">
      <c r="A1809" t="s">
        <v>807</v>
      </c>
      <c r="B1809">
        <v>265240</v>
      </c>
      <c r="C1809" t="s">
        <v>84</v>
      </c>
      <c r="D1809" t="s">
        <v>807</v>
      </c>
      <c r="E1809" t="s">
        <v>3807</v>
      </c>
      <c r="J1809">
        <v>3.600219579</v>
      </c>
      <c r="K1809">
        <v>-0.293098474</v>
      </c>
      <c r="L1809">
        <v>-0.153917466</v>
      </c>
      <c r="M1809" s="21">
        <v>-1.2337242479999999</v>
      </c>
      <c r="N1809">
        <v>-9.8958514999999997E-2</v>
      </c>
    </row>
    <row r="1810" spans="1:14" x14ac:dyDescent="0.2">
      <c r="A1810" t="s">
        <v>788</v>
      </c>
      <c r="B1810">
        <v>321240</v>
      </c>
      <c r="C1810" t="s">
        <v>14</v>
      </c>
      <c r="D1810" t="s">
        <v>788</v>
      </c>
      <c r="E1810" t="s">
        <v>3808</v>
      </c>
      <c r="G1810" t="s">
        <v>3809</v>
      </c>
      <c r="J1810">
        <v>6.7484204910000001</v>
      </c>
      <c r="K1810">
        <v>0.48629166299999999</v>
      </c>
      <c r="L1810">
        <v>0.375053939</v>
      </c>
      <c r="M1810" s="21">
        <v>-1.2339914970000001</v>
      </c>
      <c r="N1810">
        <v>-0.100331474</v>
      </c>
    </row>
    <row r="1811" spans="1:14" x14ac:dyDescent="0.2">
      <c r="A1811" t="s">
        <v>94</v>
      </c>
      <c r="B1811">
        <v>304200</v>
      </c>
      <c r="C1811" t="s">
        <v>149</v>
      </c>
      <c r="D1811" t="s">
        <v>95</v>
      </c>
      <c r="E1811" t="s">
        <v>3810</v>
      </c>
      <c r="G1811" t="s">
        <v>3811</v>
      </c>
      <c r="J1811">
        <v>5.0381074159999999</v>
      </c>
      <c r="K1811">
        <v>0.81312368999999995</v>
      </c>
      <c r="L1811">
        <v>0.16969141800000001</v>
      </c>
      <c r="M1811" s="21">
        <v>-1.2340573079999999</v>
      </c>
      <c r="N1811">
        <v>-0.100669567</v>
      </c>
    </row>
    <row r="1812" spans="1:14" x14ac:dyDescent="0.2">
      <c r="A1812" t="s">
        <v>57</v>
      </c>
      <c r="B1812">
        <v>304080</v>
      </c>
      <c r="C1812" t="s">
        <v>149</v>
      </c>
      <c r="D1812" t="s">
        <v>59</v>
      </c>
      <c r="E1812" t="s">
        <v>3812</v>
      </c>
      <c r="G1812" t="s">
        <v>3813</v>
      </c>
      <c r="J1812">
        <v>5.0381074159999999</v>
      </c>
      <c r="K1812">
        <v>0.81312368999999995</v>
      </c>
      <c r="L1812">
        <v>0.16969141800000001</v>
      </c>
      <c r="M1812" s="21">
        <v>-1.2341682620000001</v>
      </c>
      <c r="N1812">
        <v>-0.101239579</v>
      </c>
    </row>
    <row r="1813" spans="1:14" x14ac:dyDescent="0.2">
      <c r="A1813" t="s">
        <v>574</v>
      </c>
      <c r="B1813">
        <v>77280</v>
      </c>
      <c r="C1813" t="s">
        <v>34</v>
      </c>
      <c r="D1813" t="s">
        <v>574</v>
      </c>
      <c r="E1813" t="s">
        <v>3814</v>
      </c>
      <c r="G1813" t="s">
        <v>3815</v>
      </c>
      <c r="J1813">
        <v>7.0544859390000001</v>
      </c>
      <c r="K1813">
        <v>0.623000361</v>
      </c>
      <c r="L1813">
        <v>0.42866702800000001</v>
      </c>
      <c r="M1813" s="21">
        <v>-1.2344714219999999</v>
      </c>
      <c r="N1813">
        <v>-0.102797026</v>
      </c>
    </row>
    <row r="1814" spans="1:14" x14ac:dyDescent="0.2">
      <c r="A1814" t="s">
        <v>718</v>
      </c>
      <c r="B1814">
        <v>186800</v>
      </c>
      <c r="C1814" t="s">
        <v>68</v>
      </c>
      <c r="D1814" t="s">
        <v>718</v>
      </c>
      <c r="E1814" t="s">
        <v>3816</v>
      </c>
      <c r="G1814" t="s">
        <v>3817</v>
      </c>
      <c r="J1814">
        <v>6.4561903559999996</v>
      </c>
      <c r="K1814">
        <v>0.47291064100000002</v>
      </c>
      <c r="L1814">
        <v>0.34414126499999997</v>
      </c>
      <c r="M1814" s="21">
        <v>-1.2345392479999999</v>
      </c>
      <c r="N1814">
        <v>-0.103145474</v>
      </c>
    </row>
    <row r="1815" spans="1:14" x14ac:dyDescent="0.2">
      <c r="A1815" t="s">
        <v>1736</v>
      </c>
      <c r="B1815">
        <v>285680</v>
      </c>
      <c r="C1815" t="s">
        <v>58</v>
      </c>
      <c r="D1815" t="s">
        <v>1736</v>
      </c>
      <c r="E1815" t="s">
        <v>3818</v>
      </c>
      <c r="G1815" t="s">
        <v>3819</v>
      </c>
      <c r="J1815">
        <v>4.5363847230000003</v>
      </c>
      <c r="K1815">
        <v>0.245646371</v>
      </c>
      <c r="L1815">
        <v>7.5242279999999995E-2</v>
      </c>
      <c r="M1815" s="21">
        <v>-1.234758424</v>
      </c>
      <c r="N1815">
        <v>-0.104271461</v>
      </c>
    </row>
    <row r="1816" spans="1:14" x14ac:dyDescent="0.2">
      <c r="A1816" t="s">
        <v>1335</v>
      </c>
      <c r="B1816">
        <v>186480</v>
      </c>
      <c r="C1816" t="s">
        <v>68</v>
      </c>
      <c r="D1816" t="s">
        <v>1335</v>
      </c>
      <c r="E1816" t="s">
        <v>3820</v>
      </c>
      <c r="G1816" t="s">
        <v>3821</v>
      </c>
      <c r="J1816">
        <v>6.4561903559999996</v>
      </c>
      <c r="K1816">
        <v>0.47291064100000002</v>
      </c>
      <c r="L1816">
        <v>0.34414126499999997</v>
      </c>
      <c r="M1816" s="21">
        <v>-1.2348487050000001</v>
      </c>
      <c r="N1816">
        <v>-0.10473526900000001</v>
      </c>
    </row>
    <row r="1817" spans="1:14" x14ac:dyDescent="0.2">
      <c r="A1817" t="s">
        <v>1550</v>
      </c>
      <c r="B1817">
        <v>303280</v>
      </c>
      <c r="C1817" t="s">
        <v>149</v>
      </c>
      <c r="D1817" t="s">
        <v>1550</v>
      </c>
      <c r="E1817" t="s">
        <v>3822</v>
      </c>
      <c r="G1817" t="s">
        <v>3823</v>
      </c>
      <c r="J1817">
        <v>5.0381074159999999</v>
      </c>
      <c r="K1817">
        <v>0.81312368999999995</v>
      </c>
      <c r="L1817">
        <v>0.16969141800000001</v>
      </c>
      <c r="M1817" s="21">
        <v>-1.2349079540000001</v>
      </c>
      <c r="N1817">
        <v>-0.10503965799999999</v>
      </c>
    </row>
    <row r="1818" spans="1:14" x14ac:dyDescent="0.2">
      <c r="A1818" t="s">
        <v>2499</v>
      </c>
      <c r="B1818">
        <v>76560</v>
      </c>
      <c r="C1818" t="s">
        <v>34</v>
      </c>
      <c r="D1818" t="s">
        <v>2500</v>
      </c>
      <c r="E1818" t="s">
        <v>3824</v>
      </c>
      <c r="G1818" t="s">
        <v>3825</v>
      </c>
      <c r="J1818">
        <v>7.0544859390000001</v>
      </c>
      <c r="K1818">
        <v>0.623000361</v>
      </c>
      <c r="L1818">
        <v>0.42866702800000001</v>
      </c>
      <c r="M1818" s="21">
        <v>-1.235104344</v>
      </c>
      <c r="N1818">
        <v>-0.106048586</v>
      </c>
    </row>
    <row r="1819" spans="1:14" x14ac:dyDescent="0.2">
      <c r="A1819" t="s">
        <v>2488</v>
      </c>
      <c r="B1819">
        <v>126120</v>
      </c>
      <c r="C1819" t="s">
        <v>28</v>
      </c>
      <c r="D1819" t="s">
        <v>2488</v>
      </c>
      <c r="E1819" t="s">
        <v>3826</v>
      </c>
      <c r="G1819" t="s">
        <v>3827</v>
      </c>
      <c r="J1819">
        <v>5.8462906840000004</v>
      </c>
      <c r="K1819">
        <v>0.60615847</v>
      </c>
      <c r="L1819">
        <v>0.28550877299999999</v>
      </c>
      <c r="M1819" s="21">
        <v>-1.235164538</v>
      </c>
      <c r="N1819">
        <v>-0.10635782100000001</v>
      </c>
    </row>
    <row r="1820" spans="1:14" x14ac:dyDescent="0.2">
      <c r="A1820" t="s">
        <v>1167</v>
      </c>
      <c r="B1820">
        <v>284400</v>
      </c>
      <c r="C1820" t="s">
        <v>100</v>
      </c>
      <c r="D1820" t="s">
        <v>1168</v>
      </c>
      <c r="E1820" t="s">
        <v>3828</v>
      </c>
      <c r="G1820" t="s">
        <v>3829</v>
      </c>
      <c r="J1820">
        <v>5.9110743220000002</v>
      </c>
      <c r="K1820">
        <v>0.71598987199999997</v>
      </c>
      <c r="L1820">
        <v>0.29077365599999999</v>
      </c>
      <c r="M1820" s="21">
        <v>-1.2352730949999999</v>
      </c>
      <c r="N1820">
        <v>-0.106915524</v>
      </c>
    </row>
    <row r="1821" spans="1:14" x14ac:dyDescent="0.2">
      <c r="A1821" t="s">
        <v>622</v>
      </c>
      <c r="B1821">
        <v>285040</v>
      </c>
      <c r="C1821" t="s">
        <v>58</v>
      </c>
      <c r="D1821" t="s">
        <v>622</v>
      </c>
      <c r="E1821" t="s">
        <v>3830</v>
      </c>
      <c r="G1821" t="s">
        <v>3831</v>
      </c>
      <c r="J1821">
        <v>4.5363847230000003</v>
      </c>
      <c r="K1821">
        <v>0.245646371</v>
      </c>
      <c r="L1821">
        <v>7.5242279999999995E-2</v>
      </c>
      <c r="M1821" s="21">
        <v>-1.235376488</v>
      </c>
      <c r="N1821">
        <v>-0.107446692</v>
      </c>
    </row>
    <row r="1822" spans="1:14" x14ac:dyDescent="0.2">
      <c r="A1822" t="s">
        <v>554</v>
      </c>
      <c r="B1822">
        <v>76080</v>
      </c>
      <c r="C1822" t="s">
        <v>34</v>
      </c>
      <c r="D1822" t="s">
        <v>555</v>
      </c>
      <c r="E1822" t="s">
        <v>3832</v>
      </c>
      <c r="G1822" t="s">
        <v>3833</v>
      </c>
      <c r="J1822">
        <v>7.0544859390000001</v>
      </c>
      <c r="K1822">
        <v>0.623000361</v>
      </c>
      <c r="L1822">
        <v>0.42866702800000001</v>
      </c>
      <c r="M1822" s="21">
        <v>-1.2355262929999999</v>
      </c>
      <c r="N1822">
        <v>-0.10821629300000001</v>
      </c>
    </row>
    <row r="1823" spans="1:14" x14ac:dyDescent="0.2">
      <c r="A1823" t="s">
        <v>1356</v>
      </c>
      <c r="B1823">
        <v>284000</v>
      </c>
      <c r="C1823" t="s">
        <v>100</v>
      </c>
      <c r="D1823" t="s">
        <v>1356</v>
      </c>
      <c r="E1823" t="s">
        <v>3834</v>
      </c>
      <c r="G1823" t="s">
        <v>3835</v>
      </c>
      <c r="J1823">
        <v>5.9110743220000002</v>
      </c>
      <c r="K1823">
        <v>0.71598987199999997</v>
      </c>
      <c r="L1823">
        <v>0.29077365599999999</v>
      </c>
      <c r="M1823" s="21">
        <v>-1.2356701809999999</v>
      </c>
      <c r="N1823">
        <v>-0.1089555</v>
      </c>
    </row>
    <row r="1824" spans="1:14" x14ac:dyDescent="0.2">
      <c r="A1824" t="s">
        <v>2421</v>
      </c>
      <c r="B1824">
        <v>75880</v>
      </c>
      <c r="C1824" t="s">
        <v>34</v>
      </c>
      <c r="D1824" t="s">
        <v>2422</v>
      </c>
      <c r="E1824" t="s">
        <v>3836</v>
      </c>
      <c r="G1824" t="s">
        <v>3837</v>
      </c>
      <c r="J1824">
        <v>7.0544859390000001</v>
      </c>
      <c r="K1824">
        <v>0.623000361</v>
      </c>
      <c r="L1824">
        <v>0.42866702800000001</v>
      </c>
      <c r="M1824" s="21">
        <v>-1.235702104</v>
      </c>
      <c r="N1824">
        <v>-0.10911950400000001</v>
      </c>
    </row>
    <row r="1825" spans="1:14" x14ac:dyDescent="0.2">
      <c r="A1825" t="s">
        <v>1498</v>
      </c>
      <c r="B1825">
        <v>125520</v>
      </c>
      <c r="C1825" t="s">
        <v>28</v>
      </c>
      <c r="D1825" t="s">
        <v>1498</v>
      </c>
      <c r="E1825" t="s">
        <v>3838</v>
      </c>
      <c r="G1825" t="s">
        <v>3839</v>
      </c>
      <c r="J1825">
        <v>5.8462906840000004</v>
      </c>
      <c r="K1825">
        <v>0.60615847</v>
      </c>
      <c r="L1825">
        <v>0.28550877299999999</v>
      </c>
      <c r="M1825" s="21">
        <v>-1.2357062249999999</v>
      </c>
      <c r="N1825">
        <v>-0.10914067199999999</v>
      </c>
    </row>
    <row r="1826" spans="1:14" x14ac:dyDescent="0.2">
      <c r="A1826" t="s">
        <v>2457</v>
      </c>
      <c r="B1826">
        <v>284600</v>
      </c>
      <c r="C1826" t="s">
        <v>58</v>
      </c>
      <c r="D1826" t="s">
        <v>2458</v>
      </c>
      <c r="E1826" t="s">
        <v>3840</v>
      </c>
      <c r="G1826" t="s">
        <v>3841</v>
      </c>
      <c r="J1826">
        <v>4.5363847230000003</v>
      </c>
      <c r="K1826">
        <v>0.245646371</v>
      </c>
      <c r="L1826">
        <v>7.5242279999999995E-2</v>
      </c>
      <c r="M1826" s="21">
        <v>-1.2358014079999999</v>
      </c>
      <c r="N1826">
        <v>-0.109629663</v>
      </c>
    </row>
    <row r="1827" spans="1:14" x14ac:dyDescent="0.2">
      <c r="A1827" t="s">
        <v>202</v>
      </c>
      <c r="B1827">
        <v>244960</v>
      </c>
      <c r="C1827" t="s">
        <v>130</v>
      </c>
      <c r="D1827" t="s">
        <v>202</v>
      </c>
      <c r="E1827" t="s">
        <v>3842</v>
      </c>
      <c r="G1827" t="s">
        <v>3843</v>
      </c>
      <c r="J1827">
        <v>5.1222566499999997</v>
      </c>
      <c r="K1827">
        <v>0.21422175600000001</v>
      </c>
      <c r="L1827">
        <v>0.25354511400000002</v>
      </c>
      <c r="M1827" s="21">
        <v>-1.235868051</v>
      </c>
      <c r="N1827">
        <v>-0.109972035</v>
      </c>
    </row>
    <row r="1828" spans="1:14" x14ac:dyDescent="0.2">
      <c r="A1828" t="s">
        <v>1415</v>
      </c>
      <c r="B1828">
        <v>263560</v>
      </c>
      <c r="C1828" t="s">
        <v>84</v>
      </c>
      <c r="D1828" t="s">
        <v>1415</v>
      </c>
      <c r="E1828" t="s">
        <v>3844</v>
      </c>
      <c r="J1828">
        <v>3.600219579</v>
      </c>
      <c r="K1828">
        <v>-0.293098474</v>
      </c>
      <c r="L1828">
        <v>-0.153917466</v>
      </c>
      <c r="M1828" s="21">
        <v>-1.2359231429999999</v>
      </c>
      <c r="N1828">
        <v>-0.110255063</v>
      </c>
    </row>
    <row r="1829" spans="1:14" x14ac:dyDescent="0.2">
      <c r="A1829" t="s">
        <v>444</v>
      </c>
      <c r="B1829">
        <v>284440</v>
      </c>
      <c r="C1829" t="s">
        <v>58</v>
      </c>
      <c r="D1829" t="s">
        <v>445</v>
      </c>
      <c r="E1829" t="s">
        <v>3845</v>
      </c>
      <c r="G1829" t="s">
        <v>3846</v>
      </c>
      <c r="J1829">
        <v>4.5363847230000003</v>
      </c>
      <c r="K1829">
        <v>0.245646371</v>
      </c>
      <c r="L1829">
        <v>7.5242279999999995E-2</v>
      </c>
      <c r="M1829" s="21">
        <v>-1.235955924</v>
      </c>
      <c r="N1829">
        <v>-0.110423471</v>
      </c>
    </row>
    <row r="1830" spans="1:14" x14ac:dyDescent="0.2">
      <c r="A1830" t="s">
        <v>42</v>
      </c>
      <c r="B1830">
        <v>263440</v>
      </c>
      <c r="C1830" t="s">
        <v>84</v>
      </c>
      <c r="D1830" t="s">
        <v>42</v>
      </c>
      <c r="E1830" t="s">
        <v>3847</v>
      </c>
      <c r="J1830">
        <v>3.600219579</v>
      </c>
      <c r="K1830">
        <v>-0.293098474</v>
      </c>
      <c r="L1830">
        <v>-0.153917466</v>
      </c>
      <c r="M1830" s="21">
        <v>-1.2360802070000001</v>
      </c>
      <c r="N1830">
        <v>-0.11106196</v>
      </c>
    </row>
    <row r="1831" spans="1:14" x14ac:dyDescent="0.2">
      <c r="A1831" t="s">
        <v>2035</v>
      </c>
      <c r="B1831">
        <v>75400</v>
      </c>
      <c r="C1831" t="s">
        <v>34</v>
      </c>
      <c r="D1831" t="s">
        <v>2035</v>
      </c>
      <c r="J1831">
        <v>7.0544859390000001</v>
      </c>
      <c r="K1831">
        <v>0.623000361</v>
      </c>
      <c r="L1831">
        <v>0.42866702800000001</v>
      </c>
      <c r="M1831" s="21">
        <v>-1.2361240529999999</v>
      </c>
      <c r="N1831">
        <v>-0.11128721</v>
      </c>
    </row>
    <row r="1832" spans="1:14" x14ac:dyDescent="0.2">
      <c r="A1832" t="s">
        <v>1013</v>
      </c>
      <c r="B1832">
        <v>185040</v>
      </c>
      <c r="C1832" t="s">
        <v>68</v>
      </c>
      <c r="D1832" t="s">
        <v>1014</v>
      </c>
      <c r="E1832" t="s">
        <v>3848</v>
      </c>
      <c r="G1832" t="s">
        <v>3849</v>
      </c>
      <c r="J1832">
        <v>6.4561903559999996</v>
      </c>
      <c r="K1832">
        <v>0.47291064100000002</v>
      </c>
      <c r="L1832">
        <v>0.34414126499999997</v>
      </c>
      <c r="M1832" s="21">
        <v>-1.2362412599999999</v>
      </c>
      <c r="N1832">
        <v>-0.111889349</v>
      </c>
    </row>
    <row r="1833" spans="1:14" x14ac:dyDescent="0.2">
      <c r="A1833" t="s">
        <v>2911</v>
      </c>
      <c r="B1833">
        <v>244240</v>
      </c>
      <c r="C1833" t="s">
        <v>130</v>
      </c>
      <c r="D1833" t="s">
        <v>2912</v>
      </c>
      <c r="E1833" t="s">
        <v>3850</v>
      </c>
      <c r="G1833" t="s">
        <v>3851</v>
      </c>
      <c r="J1833">
        <v>5.1222566499999997</v>
      </c>
      <c r="K1833">
        <v>0.21422175600000001</v>
      </c>
      <c r="L1833">
        <v>0.25354511400000002</v>
      </c>
      <c r="M1833" s="21">
        <v>-1.236441049</v>
      </c>
      <c r="N1833">
        <v>-0.112915738</v>
      </c>
    </row>
    <row r="1834" spans="1:14" x14ac:dyDescent="0.2">
      <c r="A1834" t="s">
        <v>1055</v>
      </c>
      <c r="B1834">
        <v>184680</v>
      </c>
      <c r="C1834" t="s">
        <v>68</v>
      </c>
      <c r="D1834" t="s">
        <v>1055</v>
      </c>
      <c r="E1834" t="s">
        <v>3852</v>
      </c>
      <c r="G1834" t="s">
        <v>3853</v>
      </c>
      <c r="J1834">
        <v>6.4561903559999996</v>
      </c>
      <c r="K1834">
        <v>0.47291064100000002</v>
      </c>
      <c r="L1834">
        <v>0.34414126499999997</v>
      </c>
      <c r="M1834" s="21">
        <v>-1.2365893990000001</v>
      </c>
      <c r="N1834">
        <v>-0.113677869</v>
      </c>
    </row>
    <row r="1835" spans="1:14" x14ac:dyDescent="0.2">
      <c r="A1835" t="s">
        <v>619</v>
      </c>
      <c r="B1835">
        <v>318720</v>
      </c>
      <c r="C1835" t="s">
        <v>14</v>
      </c>
      <c r="D1835" t="s">
        <v>619</v>
      </c>
      <c r="E1835" t="s">
        <v>3854</v>
      </c>
      <c r="G1835" t="s">
        <v>3855</v>
      </c>
      <c r="J1835">
        <v>6.7484204910000001</v>
      </c>
      <c r="K1835">
        <v>0.48629166299999999</v>
      </c>
      <c r="L1835">
        <v>0.375053939</v>
      </c>
      <c r="M1835" s="21">
        <v>-1.2367527169999999</v>
      </c>
      <c r="N1835">
        <v>-0.11451689499999999</v>
      </c>
    </row>
    <row r="1836" spans="1:14" x14ac:dyDescent="0.2">
      <c r="A1836" t="s">
        <v>697</v>
      </c>
      <c r="B1836">
        <v>243720</v>
      </c>
      <c r="C1836" t="s">
        <v>130</v>
      </c>
      <c r="D1836" t="s">
        <v>698</v>
      </c>
      <c r="E1836" t="s">
        <v>3856</v>
      </c>
      <c r="G1836" t="s">
        <v>3857</v>
      </c>
      <c r="J1836">
        <v>5.1222566499999997</v>
      </c>
      <c r="K1836">
        <v>0.21422175600000001</v>
      </c>
      <c r="L1836">
        <v>0.25354511400000002</v>
      </c>
      <c r="M1836" s="21">
        <v>-1.2368548800000001</v>
      </c>
      <c r="N1836">
        <v>-0.115041745</v>
      </c>
    </row>
    <row r="1837" spans="1:14" x14ac:dyDescent="0.2">
      <c r="A1837" t="s">
        <v>2871</v>
      </c>
      <c r="B1837">
        <v>243600</v>
      </c>
      <c r="C1837" t="s">
        <v>130</v>
      </c>
      <c r="D1837" t="s">
        <v>2871</v>
      </c>
      <c r="E1837" t="s">
        <v>3858</v>
      </c>
      <c r="G1837" t="s">
        <v>3859</v>
      </c>
      <c r="J1837">
        <v>5.1222566499999997</v>
      </c>
      <c r="K1837">
        <v>0.21422175600000001</v>
      </c>
      <c r="L1837">
        <v>0.25354511400000002</v>
      </c>
      <c r="M1837" s="21">
        <v>-1.2369503799999999</v>
      </c>
      <c r="N1837">
        <v>-0.115532362</v>
      </c>
    </row>
    <row r="1838" spans="1:14" x14ac:dyDescent="0.2">
      <c r="A1838" t="s">
        <v>27</v>
      </c>
      <c r="B1838">
        <v>243120</v>
      </c>
      <c r="C1838" t="s">
        <v>130</v>
      </c>
      <c r="D1838" t="s">
        <v>29</v>
      </c>
      <c r="E1838" t="s">
        <v>3860</v>
      </c>
      <c r="G1838" t="s">
        <v>3861</v>
      </c>
      <c r="J1838">
        <v>5.1222566499999997</v>
      </c>
      <c r="K1838">
        <v>0.21422175600000001</v>
      </c>
      <c r="L1838">
        <v>0.25354511400000002</v>
      </c>
      <c r="M1838" s="21">
        <v>-1.2373323780000001</v>
      </c>
      <c r="N1838">
        <v>-0.11749483099999999</v>
      </c>
    </row>
    <row r="1839" spans="1:14" x14ac:dyDescent="0.2">
      <c r="A1839" t="s">
        <v>534</v>
      </c>
      <c r="B1839">
        <v>243000</v>
      </c>
      <c r="C1839" t="s">
        <v>130</v>
      </c>
      <c r="D1839" t="s">
        <v>534</v>
      </c>
      <c r="E1839" t="s">
        <v>3862</v>
      </c>
      <c r="G1839" t="s">
        <v>3863</v>
      </c>
      <c r="J1839">
        <v>5.1222566499999997</v>
      </c>
      <c r="K1839">
        <v>0.21422175600000001</v>
      </c>
      <c r="L1839">
        <v>0.25354511400000002</v>
      </c>
      <c r="M1839" s="21">
        <v>-1.2374278780000001</v>
      </c>
      <c r="N1839">
        <v>-0.11798544800000001</v>
      </c>
    </row>
    <row r="1840" spans="1:14" x14ac:dyDescent="0.2">
      <c r="A1840" t="s">
        <v>143</v>
      </c>
      <c r="B1840">
        <v>282080</v>
      </c>
      <c r="C1840" t="s">
        <v>100</v>
      </c>
      <c r="D1840" t="s">
        <v>144</v>
      </c>
      <c r="E1840" t="s">
        <v>3864</v>
      </c>
      <c r="G1840" t="s">
        <v>3865</v>
      </c>
      <c r="J1840">
        <v>5.9110743220000002</v>
      </c>
      <c r="K1840">
        <v>0.71598987199999997</v>
      </c>
      <c r="L1840">
        <v>0.29077365599999999</v>
      </c>
      <c r="M1840" s="21">
        <v>-1.237576191</v>
      </c>
      <c r="N1840">
        <v>-0.118747386</v>
      </c>
    </row>
    <row r="1841" spans="1:14" x14ac:dyDescent="0.2">
      <c r="A1841" t="s">
        <v>681</v>
      </c>
      <c r="B1841">
        <v>300360</v>
      </c>
      <c r="C1841" t="s">
        <v>149</v>
      </c>
      <c r="D1841" t="s">
        <v>682</v>
      </c>
      <c r="E1841" t="s">
        <v>3866</v>
      </c>
      <c r="G1841" t="s">
        <v>3867</v>
      </c>
      <c r="J1841">
        <v>5.0381074159999999</v>
      </c>
      <c r="K1841">
        <v>0.81312368999999995</v>
      </c>
      <c r="L1841">
        <v>0.16969141800000001</v>
      </c>
      <c r="M1841" s="21">
        <v>-1.237607833</v>
      </c>
      <c r="N1841">
        <v>-0.118909946</v>
      </c>
    </row>
    <row r="1842" spans="1:14" x14ac:dyDescent="0.2">
      <c r="A1842" t="s">
        <v>1104</v>
      </c>
      <c r="B1842">
        <v>73520</v>
      </c>
      <c r="C1842" t="s">
        <v>34</v>
      </c>
      <c r="D1842" t="s">
        <v>1105</v>
      </c>
      <c r="E1842" t="s">
        <v>3868</v>
      </c>
      <c r="G1842" t="s">
        <v>3869</v>
      </c>
      <c r="J1842">
        <v>7.0544859390000001</v>
      </c>
      <c r="K1842">
        <v>0.623000361</v>
      </c>
      <c r="L1842">
        <v>0.42866702800000001</v>
      </c>
      <c r="M1842" s="21">
        <v>-1.237776684</v>
      </c>
      <c r="N1842">
        <v>-0.119777394</v>
      </c>
    </row>
    <row r="1843" spans="1:14" x14ac:dyDescent="0.2">
      <c r="A1843" t="s">
        <v>1954</v>
      </c>
      <c r="B1843">
        <v>281800</v>
      </c>
      <c r="C1843" t="s">
        <v>100</v>
      </c>
      <c r="D1843" t="s">
        <v>1955</v>
      </c>
      <c r="E1843" t="s">
        <v>3870</v>
      </c>
      <c r="G1843" t="s">
        <v>3871</v>
      </c>
      <c r="J1843">
        <v>5.9110743220000002</v>
      </c>
      <c r="K1843">
        <v>0.71598987199999997</v>
      </c>
      <c r="L1843">
        <v>0.29077365599999999</v>
      </c>
      <c r="M1843" s="21">
        <v>-1.2378541510000001</v>
      </c>
      <c r="N1843">
        <v>-0.12017537</v>
      </c>
    </row>
    <row r="1844" spans="1:14" x14ac:dyDescent="0.2">
      <c r="A1844" t="s">
        <v>482</v>
      </c>
      <c r="B1844">
        <v>261920</v>
      </c>
      <c r="C1844" t="s">
        <v>84</v>
      </c>
      <c r="D1844" t="s">
        <v>482</v>
      </c>
      <c r="E1844" t="s">
        <v>3872</v>
      </c>
      <c r="J1844">
        <v>3.600219579</v>
      </c>
      <c r="K1844">
        <v>-0.293098474</v>
      </c>
      <c r="L1844">
        <v>-0.153917466</v>
      </c>
      <c r="M1844" s="21">
        <v>-1.2380696840000001</v>
      </c>
      <c r="N1844">
        <v>-0.12128264599999999</v>
      </c>
    </row>
    <row r="1845" spans="1:14" x14ac:dyDescent="0.2">
      <c r="A1845" t="s">
        <v>932</v>
      </c>
      <c r="B1845">
        <v>281520</v>
      </c>
      <c r="C1845" t="s">
        <v>100</v>
      </c>
      <c r="D1845" t="s">
        <v>932</v>
      </c>
      <c r="E1845" t="s">
        <v>3873</v>
      </c>
      <c r="G1845" t="s">
        <v>3874</v>
      </c>
      <c r="J1845">
        <v>5.9110743220000002</v>
      </c>
      <c r="K1845">
        <v>0.71598987199999997</v>
      </c>
      <c r="L1845">
        <v>0.29077365599999999</v>
      </c>
      <c r="M1845" s="21">
        <v>-1.23813211</v>
      </c>
      <c r="N1845">
        <v>-0.121603353</v>
      </c>
    </row>
    <row r="1846" spans="1:14" x14ac:dyDescent="0.2">
      <c r="A1846" t="s">
        <v>1788</v>
      </c>
      <c r="B1846">
        <v>282000</v>
      </c>
      <c r="C1846" t="s">
        <v>58</v>
      </c>
      <c r="D1846" t="s">
        <v>1788</v>
      </c>
      <c r="E1846" t="s">
        <v>3875</v>
      </c>
      <c r="G1846" t="s">
        <v>3876</v>
      </c>
      <c r="J1846">
        <v>4.5363847230000003</v>
      </c>
      <c r="K1846">
        <v>0.245646371</v>
      </c>
      <c r="L1846">
        <v>7.5242279999999995E-2</v>
      </c>
      <c r="M1846" s="21">
        <v>-1.238312297</v>
      </c>
      <c r="N1846">
        <v>-0.12252903800000001</v>
      </c>
    </row>
    <row r="1847" spans="1:14" x14ac:dyDescent="0.2">
      <c r="A1847" t="s">
        <v>972</v>
      </c>
      <c r="B1847">
        <v>72720</v>
      </c>
      <c r="C1847" t="s">
        <v>34</v>
      </c>
      <c r="D1847" t="s">
        <v>972</v>
      </c>
      <c r="E1847" t="s">
        <v>3877</v>
      </c>
      <c r="G1847" t="s">
        <v>3878</v>
      </c>
      <c r="J1847">
        <v>7.0544859390000001</v>
      </c>
      <c r="K1847">
        <v>0.623000361</v>
      </c>
      <c r="L1847">
        <v>0.42866702800000001</v>
      </c>
      <c r="M1847" s="21">
        <v>-1.2384799310000001</v>
      </c>
      <c r="N1847">
        <v>-0.123390239</v>
      </c>
    </row>
    <row r="1848" spans="1:14" x14ac:dyDescent="0.2">
      <c r="A1848" t="s">
        <v>157</v>
      </c>
      <c r="B1848">
        <v>261600</v>
      </c>
      <c r="C1848" t="s">
        <v>84</v>
      </c>
      <c r="D1848" t="s">
        <v>157</v>
      </c>
      <c r="E1848" t="s">
        <v>3879</v>
      </c>
      <c r="J1848">
        <v>3.600219579</v>
      </c>
      <c r="K1848">
        <v>-0.293098474</v>
      </c>
      <c r="L1848">
        <v>-0.153917466</v>
      </c>
      <c r="M1848" s="21">
        <v>-1.2384885210000001</v>
      </c>
      <c r="N1848">
        <v>-0.12343437</v>
      </c>
    </row>
    <row r="1849" spans="1:14" x14ac:dyDescent="0.2">
      <c r="A1849" t="s">
        <v>1963</v>
      </c>
      <c r="B1849">
        <v>261560</v>
      </c>
      <c r="C1849" t="s">
        <v>84</v>
      </c>
      <c r="D1849" t="s">
        <v>1963</v>
      </c>
      <c r="E1849" t="s">
        <v>3880</v>
      </c>
      <c r="J1849">
        <v>3.600219579</v>
      </c>
      <c r="K1849">
        <v>-0.293098474</v>
      </c>
      <c r="L1849">
        <v>-0.153917466</v>
      </c>
      <c r="M1849" s="21">
        <v>-1.2385408760000001</v>
      </c>
      <c r="N1849">
        <v>-0.123703335</v>
      </c>
    </row>
    <row r="1850" spans="1:14" x14ac:dyDescent="0.2">
      <c r="A1850" t="s">
        <v>236</v>
      </c>
      <c r="B1850">
        <v>261560</v>
      </c>
      <c r="C1850" t="s">
        <v>84</v>
      </c>
      <c r="D1850" t="s">
        <v>236</v>
      </c>
      <c r="E1850" t="s">
        <v>3881</v>
      </c>
      <c r="J1850">
        <v>3.600219579</v>
      </c>
      <c r="K1850">
        <v>-0.293098474</v>
      </c>
      <c r="L1850">
        <v>-0.153917466</v>
      </c>
      <c r="M1850" s="21">
        <v>-1.2385408760000001</v>
      </c>
      <c r="N1850">
        <v>-0.123703335</v>
      </c>
    </row>
    <row r="1851" spans="1:14" x14ac:dyDescent="0.2">
      <c r="A1851" t="s">
        <v>1119</v>
      </c>
      <c r="B1851">
        <v>72640</v>
      </c>
      <c r="C1851" t="s">
        <v>34</v>
      </c>
      <c r="D1851" t="s">
        <v>1120</v>
      </c>
      <c r="J1851">
        <v>7.0544859390000001</v>
      </c>
      <c r="K1851">
        <v>0.623000361</v>
      </c>
      <c r="L1851">
        <v>0.42866702800000001</v>
      </c>
      <c r="M1851" s="21">
        <v>-1.2385502559999999</v>
      </c>
      <c r="N1851">
        <v>-0.123751523</v>
      </c>
    </row>
    <row r="1852" spans="1:14" x14ac:dyDescent="0.2">
      <c r="A1852" t="s">
        <v>1897</v>
      </c>
      <c r="B1852">
        <v>317040</v>
      </c>
      <c r="C1852" t="s">
        <v>14</v>
      </c>
      <c r="D1852" t="s">
        <v>1897</v>
      </c>
      <c r="E1852" t="s">
        <v>3882</v>
      </c>
      <c r="G1852" t="s">
        <v>3883</v>
      </c>
      <c r="J1852">
        <v>6.7484204910000001</v>
      </c>
      <c r="K1852">
        <v>0.48629166299999999</v>
      </c>
      <c r="L1852">
        <v>0.375053939</v>
      </c>
      <c r="M1852" s="21">
        <v>-1.238593531</v>
      </c>
      <c r="N1852">
        <v>-0.123973843</v>
      </c>
    </row>
    <row r="1853" spans="1:14" x14ac:dyDescent="0.2">
      <c r="A1853" t="s">
        <v>175</v>
      </c>
      <c r="B1853">
        <v>280880</v>
      </c>
      <c r="C1853" t="s">
        <v>100</v>
      </c>
      <c r="D1853" t="s">
        <v>175</v>
      </c>
      <c r="E1853" t="s">
        <v>3884</v>
      </c>
      <c r="G1853" t="s">
        <v>3885</v>
      </c>
      <c r="J1853">
        <v>5.9110743220000002</v>
      </c>
      <c r="K1853">
        <v>0.71598987199999997</v>
      </c>
      <c r="L1853">
        <v>0.29077365599999999</v>
      </c>
      <c r="M1853" s="21">
        <v>-1.2387674470000001</v>
      </c>
      <c r="N1853">
        <v>-0.12486731500000001</v>
      </c>
    </row>
    <row r="1854" spans="1:14" x14ac:dyDescent="0.2">
      <c r="A1854" t="s">
        <v>1208</v>
      </c>
      <c r="B1854">
        <v>261280</v>
      </c>
      <c r="C1854" t="s">
        <v>84</v>
      </c>
      <c r="D1854" t="s">
        <v>1208</v>
      </c>
      <c r="E1854" t="s">
        <v>3886</v>
      </c>
      <c r="J1854">
        <v>3.600219579</v>
      </c>
      <c r="K1854">
        <v>-0.293098474</v>
      </c>
      <c r="L1854">
        <v>-0.153917466</v>
      </c>
      <c r="M1854" s="21">
        <v>-1.2389073580000001</v>
      </c>
      <c r="N1854">
        <v>-0.12558609300000001</v>
      </c>
    </row>
    <row r="1855" spans="1:14" x14ac:dyDescent="0.2">
      <c r="A1855" t="s">
        <v>1954</v>
      </c>
      <c r="B1855">
        <v>316680</v>
      </c>
      <c r="C1855" t="s">
        <v>14</v>
      </c>
      <c r="D1855" t="s">
        <v>1955</v>
      </c>
      <c r="E1855" t="s">
        <v>3887</v>
      </c>
      <c r="G1855" t="s">
        <v>3888</v>
      </c>
      <c r="J1855">
        <v>6.7484204910000001</v>
      </c>
      <c r="K1855">
        <v>0.48629166299999999</v>
      </c>
      <c r="L1855">
        <v>0.375053939</v>
      </c>
      <c r="M1855" s="21">
        <v>-1.2389879909999999</v>
      </c>
      <c r="N1855">
        <v>-0.12600033199999999</v>
      </c>
    </row>
    <row r="1856" spans="1:14" x14ac:dyDescent="0.2">
      <c r="A1856" t="s">
        <v>1739</v>
      </c>
      <c r="B1856">
        <v>260840</v>
      </c>
      <c r="C1856" t="s">
        <v>84</v>
      </c>
      <c r="D1856" t="s">
        <v>1739</v>
      </c>
      <c r="E1856" t="s">
        <v>3889</v>
      </c>
      <c r="J1856">
        <v>3.600219579</v>
      </c>
      <c r="K1856">
        <v>-0.293098474</v>
      </c>
      <c r="L1856">
        <v>-0.153917466</v>
      </c>
      <c r="M1856" s="21">
        <v>-1.2394832600000001</v>
      </c>
      <c r="N1856">
        <v>-0.128544713</v>
      </c>
    </row>
    <row r="1857" spans="1:14" x14ac:dyDescent="0.2">
      <c r="A1857" t="s">
        <v>2412</v>
      </c>
      <c r="B1857">
        <v>260800</v>
      </c>
      <c r="C1857" t="s">
        <v>84</v>
      </c>
      <c r="D1857" t="s">
        <v>2412</v>
      </c>
      <c r="E1857" t="s">
        <v>3890</v>
      </c>
      <c r="J1857">
        <v>3.600219579</v>
      </c>
      <c r="K1857">
        <v>-0.293098474</v>
      </c>
      <c r="L1857">
        <v>-0.153917466</v>
      </c>
      <c r="M1857" s="21">
        <v>-1.239535614</v>
      </c>
      <c r="N1857">
        <v>-0.12881367799999999</v>
      </c>
    </row>
    <row r="1858" spans="1:14" x14ac:dyDescent="0.2">
      <c r="A1858" t="s">
        <v>438</v>
      </c>
      <c r="B1858">
        <v>181600</v>
      </c>
      <c r="C1858" t="s">
        <v>68</v>
      </c>
      <c r="D1858" t="s">
        <v>438</v>
      </c>
      <c r="E1858" t="s">
        <v>3891</v>
      </c>
      <c r="G1858" t="s">
        <v>3892</v>
      </c>
      <c r="J1858">
        <v>6.4561903559999996</v>
      </c>
      <c r="K1858">
        <v>0.47291064100000002</v>
      </c>
      <c r="L1858">
        <v>0.34414126499999997</v>
      </c>
      <c r="M1858" s="21">
        <v>-1.2395679209999999</v>
      </c>
      <c r="N1858">
        <v>-0.12897965</v>
      </c>
    </row>
    <row r="1859" spans="1:14" x14ac:dyDescent="0.2">
      <c r="A1859" t="s">
        <v>919</v>
      </c>
      <c r="B1859">
        <v>297840</v>
      </c>
      <c r="C1859" t="s">
        <v>149</v>
      </c>
      <c r="D1859" t="s">
        <v>919</v>
      </c>
      <c r="E1859" t="s">
        <v>3893</v>
      </c>
      <c r="G1859" t="s">
        <v>3894</v>
      </c>
      <c r="J1859">
        <v>5.0381074159999999</v>
      </c>
      <c r="K1859">
        <v>0.81312368999999995</v>
      </c>
      <c r="L1859">
        <v>0.16969141800000001</v>
      </c>
      <c r="M1859" s="21">
        <v>-1.239937866</v>
      </c>
      <c r="N1859">
        <v>-0.130880195</v>
      </c>
    </row>
    <row r="1860" spans="1:14" x14ac:dyDescent="0.2">
      <c r="A1860" t="s">
        <v>293</v>
      </c>
      <c r="B1860">
        <v>71000</v>
      </c>
      <c r="C1860" t="s">
        <v>34</v>
      </c>
      <c r="D1860" t="s">
        <v>293</v>
      </c>
      <c r="E1860" t="s">
        <v>3895</v>
      </c>
      <c r="G1860" t="s">
        <v>3896</v>
      </c>
      <c r="J1860">
        <v>7.0544859390000001</v>
      </c>
      <c r="K1860">
        <v>0.623000361</v>
      </c>
      <c r="L1860">
        <v>0.42866702800000001</v>
      </c>
      <c r="M1860" s="21">
        <v>-1.2399919129999999</v>
      </c>
      <c r="N1860">
        <v>-0.13115785399999999</v>
      </c>
    </row>
    <row r="1861" spans="1:14" x14ac:dyDescent="0.2">
      <c r="A1861" t="s">
        <v>1736</v>
      </c>
      <c r="B1861">
        <v>260200</v>
      </c>
      <c r="C1861" t="s">
        <v>84</v>
      </c>
      <c r="D1861" t="s">
        <v>1736</v>
      </c>
      <c r="E1861" t="s">
        <v>3897</v>
      </c>
      <c r="J1861">
        <v>3.600219579</v>
      </c>
      <c r="K1861">
        <v>-0.293098474</v>
      </c>
      <c r="L1861">
        <v>-0.153917466</v>
      </c>
      <c r="M1861" s="21">
        <v>-1.2403209340000001</v>
      </c>
      <c r="N1861">
        <v>-0.13284815999999999</v>
      </c>
    </row>
    <row r="1862" spans="1:14" x14ac:dyDescent="0.2">
      <c r="A1862" t="s">
        <v>448</v>
      </c>
      <c r="B1862">
        <v>260120</v>
      </c>
      <c r="C1862" t="s">
        <v>84</v>
      </c>
      <c r="D1862" t="s">
        <v>448</v>
      </c>
      <c r="E1862" t="s">
        <v>3898</v>
      </c>
      <c r="J1862">
        <v>3.600219579</v>
      </c>
      <c r="K1862">
        <v>-0.293098474</v>
      </c>
      <c r="L1862">
        <v>-0.153917466</v>
      </c>
      <c r="M1862" s="21">
        <v>-1.240425643</v>
      </c>
      <c r="N1862">
        <v>-0.13338609100000001</v>
      </c>
    </row>
    <row r="1863" spans="1:14" x14ac:dyDescent="0.2">
      <c r="A1863" t="s">
        <v>1617</v>
      </c>
      <c r="B1863">
        <v>279120</v>
      </c>
      <c r="C1863" t="s">
        <v>100</v>
      </c>
      <c r="D1863" t="s">
        <v>1617</v>
      </c>
      <c r="E1863" t="s">
        <v>3899</v>
      </c>
      <c r="G1863" t="s">
        <v>3900</v>
      </c>
      <c r="J1863">
        <v>5.9110743220000002</v>
      </c>
      <c r="K1863">
        <v>0.71598987199999997</v>
      </c>
      <c r="L1863">
        <v>0.29077365599999999</v>
      </c>
      <c r="M1863" s="21">
        <v>-1.2405146229999999</v>
      </c>
      <c r="N1863">
        <v>-0.13384321099999999</v>
      </c>
    </row>
    <row r="1864" spans="1:14" x14ac:dyDescent="0.2">
      <c r="A1864" t="s">
        <v>2315</v>
      </c>
      <c r="B1864">
        <v>239040</v>
      </c>
      <c r="C1864" t="s">
        <v>130</v>
      </c>
      <c r="D1864" t="s">
        <v>2316</v>
      </c>
      <c r="E1864" t="s">
        <v>3901</v>
      </c>
      <c r="G1864" t="s">
        <v>3902</v>
      </c>
      <c r="J1864">
        <v>5.1222566499999997</v>
      </c>
      <c r="K1864">
        <v>0.21422175600000001</v>
      </c>
      <c r="L1864">
        <v>0.25354511400000002</v>
      </c>
      <c r="M1864" s="21">
        <v>-1.240579364</v>
      </c>
      <c r="N1864">
        <v>-0.13417581200000001</v>
      </c>
    </row>
    <row r="1865" spans="1:14" x14ac:dyDescent="0.2">
      <c r="A1865" t="s">
        <v>1415</v>
      </c>
      <c r="B1865">
        <v>314920</v>
      </c>
      <c r="C1865" t="s">
        <v>14</v>
      </c>
      <c r="D1865" t="s">
        <v>1415</v>
      </c>
      <c r="E1865" t="s">
        <v>3903</v>
      </c>
      <c r="G1865" t="s">
        <v>3904</v>
      </c>
      <c r="J1865">
        <v>6.7484204910000001</v>
      </c>
      <c r="K1865">
        <v>0.48629166299999999</v>
      </c>
      <c r="L1865">
        <v>0.375053939</v>
      </c>
      <c r="M1865" s="21">
        <v>-1.2409164619999999</v>
      </c>
      <c r="N1865">
        <v>-0.13590761100000001</v>
      </c>
    </row>
    <row r="1866" spans="1:14" x14ac:dyDescent="0.2">
      <c r="A1866" t="s">
        <v>1409</v>
      </c>
      <c r="B1866">
        <v>119720</v>
      </c>
      <c r="C1866" t="s">
        <v>28</v>
      </c>
      <c r="D1866" t="s">
        <v>1410</v>
      </c>
      <c r="E1866" t="s">
        <v>3905</v>
      </c>
      <c r="G1866" t="s">
        <v>3906</v>
      </c>
      <c r="J1866">
        <v>5.8462906840000004</v>
      </c>
      <c r="K1866">
        <v>0.60615847</v>
      </c>
      <c r="L1866">
        <v>0.28550877299999999</v>
      </c>
      <c r="M1866" s="21">
        <v>-1.2409425359999999</v>
      </c>
      <c r="N1866">
        <v>-0.136041562</v>
      </c>
    </row>
    <row r="1867" spans="1:14" x14ac:dyDescent="0.2">
      <c r="A1867" t="s">
        <v>1160</v>
      </c>
      <c r="B1867">
        <v>259520</v>
      </c>
      <c r="C1867" t="s">
        <v>84</v>
      </c>
      <c r="D1867" t="s">
        <v>1160</v>
      </c>
      <c r="E1867" t="s">
        <v>3907</v>
      </c>
      <c r="J1867">
        <v>3.600219579</v>
      </c>
      <c r="K1867">
        <v>-0.293098474</v>
      </c>
      <c r="L1867">
        <v>-0.153917466</v>
      </c>
      <c r="M1867" s="21">
        <v>-1.2412109629999999</v>
      </c>
      <c r="N1867">
        <v>-0.13742057199999999</v>
      </c>
    </row>
    <row r="1868" spans="1:14" x14ac:dyDescent="0.2">
      <c r="A1868" t="s">
        <v>1251</v>
      </c>
      <c r="B1868">
        <v>296400</v>
      </c>
      <c r="C1868" t="s">
        <v>149</v>
      </c>
      <c r="D1868" t="s">
        <v>1251</v>
      </c>
      <c r="E1868" t="s">
        <v>3908</v>
      </c>
      <c r="G1868" t="s">
        <v>3909</v>
      </c>
      <c r="J1868">
        <v>5.0381074159999999</v>
      </c>
      <c r="K1868">
        <v>0.81312368999999995</v>
      </c>
      <c r="L1868">
        <v>0.16969141800000001</v>
      </c>
      <c r="M1868" s="21">
        <v>-1.2412693130000001</v>
      </c>
      <c r="N1868">
        <v>-0.137720337</v>
      </c>
    </row>
    <row r="1869" spans="1:14" x14ac:dyDescent="0.2">
      <c r="A1869" t="s">
        <v>572</v>
      </c>
      <c r="B1869">
        <v>179640</v>
      </c>
      <c r="C1869" t="s">
        <v>68</v>
      </c>
      <c r="D1869" t="s">
        <v>572</v>
      </c>
      <c r="E1869" t="s">
        <v>3910</v>
      </c>
      <c r="G1869" t="s">
        <v>3911</v>
      </c>
      <c r="J1869">
        <v>6.4561903559999996</v>
      </c>
      <c r="K1869">
        <v>0.47291064100000002</v>
      </c>
      <c r="L1869">
        <v>0.34414126499999997</v>
      </c>
      <c r="M1869" s="21">
        <v>-1.241463344</v>
      </c>
      <c r="N1869">
        <v>-0.13871714700000001</v>
      </c>
    </row>
    <row r="1870" spans="1:14" x14ac:dyDescent="0.2">
      <c r="A1870" t="s">
        <v>868</v>
      </c>
      <c r="B1870">
        <v>237880</v>
      </c>
      <c r="C1870" t="s">
        <v>130</v>
      </c>
      <c r="D1870" t="s">
        <v>869</v>
      </c>
      <c r="E1870" t="s">
        <v>3912</v>
      </c>
      <c r="G1870" t="s">
        <v>3913</v>
      </c>
      <c r="J1870">
        <v>5.1222566499999997</v>
      </c>
      <c r="K1870">
        <v>0.21422175600000001</v>
      </c>
      <c r="L1870">
        <v>0.25354511400000002</v>
      </c>
      <c r="M1870" s="21">
        <v>-1.241502527</v>
      </c>
      <c r="N1870">
        <v>-0.138918444</v>
      </c>
    </row>
    <row r="1871" spans="1:14" x14ac:dyDescent="0.2">
      <c r="A1871" t="s">
        <v>214</v>
      </c>
      <c r="B1871">
        <v>314360</v>
      </c>
      <c r="C1871" t="s">
        <v>14</v>
      </c>
      <c r="D1871" t="s">
        <v>215</v>
      </c>
      <c r="E1871" t="s">
        <v>3914</v>
      </c>
      <c r="G1871" t="s">
        <v>3915</v>
      </c>
      <c r="J1871">
        <v>6.7484204910000001</v>
      </c>
      <c r="K1871">
        <v>0.48629166299999999</v>
      </c>
      <c r="L1871">
        <v>0.375053939</v>
      </c>
      <c r="M1871" s="21">
        <v>-1.241530067</v>
      </c>
      <c r="N1871">
        <v>-0.139059927</v>
      </c>
    </row>
    <row r="1872" spans="1:14" x14ac:dyDescent="0.2">
      <c r="A1872" t="s">
        <v>295</v>
      </c>
      <c r="B1872">
        <v>237640</v>
      </c>
      <c r="C1872" t="s">
        <v>130</v>
      </c>
      <c r="D1872" t="s">
        <v>295</v>
      </c>
      <c r="E1872" t="s">
        <v>3916</v>
      </c>
      <c r="G1872" t="s">
        <v>3917</v>
      </c>
      <c r="J1872">
        <v>5.1222566499999997</v>
      </c>
      <c r="K1872">
        <v>0.21422175600000001</v>
      </c>
      <c r="L1872">
        <v>0.25354511400000002</v>
      </c>
      <c r="M1872" s="21">
        <v>-1.2416935259999999</v>
      </c>
      <c r="N1872">
        <v>-0.139899678</v>
      </c>
    </row>
    <row r="1873" spans="1:14" x14ac:dyDescent="0.2">
      <c r="A1873" t="s">
        <v>703</v>
      </c>
      <c r="B1873">
        <v>237520</v>
      </c>
      <c r="C1873" t="s">
        <v>130</v>
      </c>
      <c r="D1873" t="s">
        <v>704</v>
      </c>
      <c r="E1873" t="s">
        <v>3918</v>
      </c>
      <c r="G1873" t="s">
        <v>3919</v>
      </c>
      <c r="J1873">
        <v>5.1222566499999997</v>
      </c>
      <c r="K1873">
        <v>0.21422175600000001</v>
      </c>
      <c r="L1873">
        <v>0.25354511400000002</v>
      </c>
      <c r="M1873" s="21">
        <v>-1.241789026</v>
      </c>
      <c r="N1873">
        <v>-0.140390295</v>
      </c>
    </row>
    <row r="1874" spans="1:14" x14ac:dyDescent="0.2">
      <c r="A1874" t="s">
        <v>1971</v>
      </c>
      <c r="B1874">
        <v>68880</v>
      </c>
      <c r="C1874" t="s">
        <v>34</v>
      </c>
      <c r="D1874" t="s">
        <v>1971</v>
      </c>
      <c r="J1874">
        <v>7.0544859390000001</v>
      </c>
      <c r="K1874">
        <v>0.623000361</v>
      </c>
      <c r="L1874">
        <v>0.42866702800000001</v>
      </c>
      <c r="M1874" s="21">
        <v>-1.2418555179999999</v>
      </c>
      <c r="N1874">
        <v>-0.140731891</v>
      </c>
    </row>
    <row r="1875" spans="1:14" x14ac:dyDescent="0.2">
      <c r="A1875" t="s">
        <v>1256</v>
      </c>
      <c r="B1875">
        <v>237400</v>
      </c>
      <c r="C1875" t="s">
        <v>130</v>
      </c>
      <c r="D1875" t="s">
        <v>1257</v>
      </c>
      <c r="E1875" t="s">
        <v>3920</v>
      </c>
      <c r="G1875" t="s">
        <v>3921</v>
      </c>
      <c r="J1875">
        <v>5.1222566499999997</v>
      </c>
      <c r="K1875">
        <v>0.21422175600000001</v>
      </c>
      <c r="L1875">
        <v>0.25354511400000002</v>
      </c>
      <c r="M1875" s="21">
        <v>-1.2418845249999999</v>
      </c>
      <c r="N1875">
        <v>-0.140880913</v>
      </c>
    </row>
    <row r="1876" spans="1:14" x14ac:dyDescent="0.2">
      <c r="A1876" t="s">
        <v>1494</v>
      </c>
      <c r="B1876">
        <v>179200</v>
      </c>
      <c r="C1876" t="s">
        <v>68</v>
      </c>
      <c r="D1876" t="s">
        <v>1494</v>
      </c>
      <c r="E1876" t="s">
        <v>3922</v>
      </c>
      <c r="G1876" t="s">
        <v>3923</v>
      </c>
      <c r="J1876">
        <v>6.4561903559999996</v>
      </c>
      <c r="K1876">
        <v>0.47291064100000002</v>
      </c>
      <c r="L1876">
        <v>0.34414126499999997</v>
      </c>
      <c r="M1876" s="21">
        <v>-1.241888847</v>
      </c>
      <c r="N1876">
        <v>-0.14090311599999999</v>
      </c>
    </row>
    <row r="1877" spans="1:14" x14ac:dyDescent="0.2">
      <c r="A1877" t="s">
        <v>1703</v>
      </c>
      <c r="B1877">
        <v>68280</v>
      </c>
      <c r="C1877" t="s">
        <v>34</v>
      </c>
      <c r="D1877" t="s">
        <v>1703</v>
      </c>
      <c r="E1877" t="s">
        <v>3924</v>
      </c>
      <c r="G1877" t="s">
        <v>3925</v>
      </c>
      <c r="J1877">
        <v>7.0544859390000001</v>
      </c>
      <c r="K1877">
        <v>0.623000361</v>
      </c>
      <c r="L1877">
        <v>0.42866702800000001</v>
      </c>
      <c r="M1877" s="21">
        <v>-1.2423829529999999</v>
      </c>
      <c r="N1877">
        <v>-0.14344152499999999</v>
      </c>
    </row>
    <row r="1878" spans="1:14" x14ac:dyDescent="0.2">
      <c r="A1878" t="s">
        <v>807</v>
      </c>
      <c r="B1878">
        <v>117920</v>
      </c>
      <c r="C1878" t="s">
        <v>28</v>
      </c>
      <c r="D1878" t="s">
        <v>807</v>
      </c>
      <c r="E1878" t="s">
        <v>3926</v>
      </c>
      <c r="G1878" t="s">
        <v>3927</v>
      </c>
      <c r="J1878">
        <v>5.8462906840000004</v>
      </c>
      <c r="K1878">
        <v>0.60615847</v>
      </c>
      <c r="L1878">
        <v>0.28550877299999999</v>
      </c>
      <c r="M1878" s="21">
        <v>-1.2425675979999999</v>
      </c>
      <c r="N1878">
        <v>-0.14439011400000001</v>
      </c>
    </row>
    <row r="1879" spans="1:14" x14ac:dyDescent="0.2">
      <c r="A1879" t="s">
        <v>1550</v>
      </c>
      <c r="B1879">
        <v>67800</v>
      </c>
      <c r="C1879" t="s">
        <v>34</v>
      </c>
      <c r="D1879" t="s">
        <v>1550</v>
      </c>
      <c r="E1879" t="s">
        <v>3928</v>
      </c>
      <c r="G1879" t="s">
        <v>3929</v>
      </c>
      <c r="J1879">
        <v>7.0544859390000001</v>
      </c>
      <c r="K1879">
        <v>0.623000361</v>
      </c>
      <c r="L1879">
        <v>0.42866702800000001</v>
      </c>
      <c r="M1879" s="21">
        <v>-1.242804902</v>
      </c>
      <c r="N1879">
        <v>-0.14560923100000001</v>
      </c>
    </row>
    <row r="1880" spans="1:14" x14ac:dyDescent="0.2">
      <c r="A1880" t="s">
        <v>1971</v>
      </c>
      <c r="B1880">
        <v>236120</v>
      </c>
      <c r="C1880" t="s">
        <v>130</v>
      </c>
      <c r="D1880" t="s">
        <v>1971</v>
      </c>
      <c r="E1880" t="s">
        <v>3930</v>
      </c>
      <c r="G1880" t="s">
        <v>3931</v>
      </c>
      <c r="J1880">
        <v>5.1222566499999997</v>
      </c>
      <c r="K1880">
        <v>0.21422175600000001</v>
      </c>
      <c r="L1880">
        <v>0.25354511400000002</v>
      </c>
      <c r="M1880" s="21">
        <v>-1.242903187</v>
      </c>
      <c r="N1880">
        <v>-0.14611416199999999</v>
      </c>
    </row>
    <row r="1881" spans="1:14" x14ac:dyDescent="0.2">
      <c r="A1881" t="s">
        <v>779</v>
      </c>
      <c r="B1881">
        <v>312640</v>
      </c>
      <c r="C1881" t="s">
        <v>14</v>
      </c>
      <c r="D1881" t="s">
        <v>780</v>
      </c>
      <c r="E1881" t="s">
        <v>3932</v>
      </c>
      <c r="G1881" t="s">
        <v>3933</v>
      </c>
      <c r="J1881">
        <v>6.7484204910000001</v>
      </c>
      <c r="K1881">
        <v>0.48629166299999999</v>
      </c>
      <c r="L1881">
        <v>0.375053939</v>
      </c>
      <c r="M1881" s="21">
        <v>-1.2434147090000001</v>
      </c>
      <c r="N1881">
        <v>-0.14874203999999999</v>
      </c>
    </row>
    <row r="1882" spans="1:14" x14ac:dyDescent="0.2">
      <c r="A1882" t="s">
        <v>775</v>
      </c>
      <c r="B1882">
        <v>257760</v>
      </c>
      <c r="C1882" t="s">
        <v>84</v>
      </c>
      <c r="D1882" t="s">
        <v>776</v>
      </c>
      <c r="E1882" t="s">
        <v>3934</v>
      </c>
      <c r="G1882" t="s">
        <v>3935</v>
      </c>
      <c r="J1882">
        <v>3.600219579</v>
      </c>
      <c r="K1882">
        <v>-0.293098474</v>
      </c>
      <c r="L1882">
        <v>-0.153917466</v>
      </c>
      <c r="M1882" s="21">
        <v>-1.2435145679999999</v>
      </c>
      <c r="N1882">
        <v>-0.149255051</v>
      </c>
    </row>
    <row r="1883" spans="1:14" x14ac:dyDescent="0.2">
      <c r="A1883" t="s">
        <v>972</v>
      </c>
      <c r="B1883">
        <v>275800</v>
      </c>
      <c r="C1883" t="s">
        <v>100</v>
      </c>
      <c r="D1883" t="s">
        <v>972</v>
      </c>
      <c r="E1883" t="s">
        <v>3936</v>
      </c>
      <c r="G1883" t="s">
        <v>3937</v>
      </c>
      <c r="J1883">
        <v>5.9110743220000002</v>
      </c>
      <c r="K1883">
        <v>0.71598987199999997</v>
      </c>
      <c r="L1883">
        <v>0.29077365599999999</v>
      </c>
      <c r="M1883" s="21">
        <v>-1.243810431</v>
      </c>
      <c r="N1883">
        <v>-0.15077501400000001</v>
      </c>
    </row>
    <row r="1884" spans="1:14" x14ac:dyDescent="0.2">
      <c r="A1884" t="s">
        <v>583</v>
      </c>
      <c r="B1884">
        <v>234680</v>
      </c>
      <c r="C1884" t="s">
        <v>130</v>
      </c>
      <c r="D1884" t="s">
        <v>583</v>
      </c>
      <c r="E1884" t="s">
        <v>3938</v>
      </c>
      <c r="G1884" t="s">
        <v>3939</v>
      </c>
      <c r="J1884">
        <v>5.1222566499999997</v>
      </c>
      <c r="K1884">
        <v>0.21422175600000001</v>
      </c>
      <c r="L1884">
        <v>0.25354511400000002</v>
      </c>
      <c r="M1884" s="21">
        <v>-1.2440491819999999</v>
      </c>
      <c r="N1884">
        <v>-0.152001567</v>
      </c>
    </row>
    <row r="1885" spans="1:14" x14ac:dyDescent="0.2">
      <c r="A1885" t="s">
        <v>730</v>
      </c>
      <c r="B1885">
        <v>234560</v>
      </c>
      <c r="C1885" t="s">
        <v>130</v>
      </c>
      <c r="D1885" t="s">
        <v>731</v>
      </c>
      <c r="E1885" t="s">
        <v>3940</v>
      </c>
      <c r="G1885" t="s">
        <v>3941</v>
      </c>
      <c r="J1885">
        <v>5.1222566499999997</v>
      </c>
      <c r="K1885">
        <v>0.21422175600000001</v>
      </c>
      <c r="L1885">
        <v>0.25354511400000002</v>
      </c>
      <c r="M1885" s="21">
        <v>-1.2441446819999999</v>
      </c>
      <c r="N1885">
        <v>-0.152492184</v>
      </c>
    </row>
    <row r="1886" spans="1:14" x14ac:dyDescent="0.2">
      <c r="A1886" t="s">
        <v>792</v>
      </c>
      <c r="B1886">
        <v>66200</v>
      </c>
      <c r="C1886" t="s">
        <v>34</v>
      </c>
      <c r="D1886" t="s">
        <v>793</v>
      </c>
      <c r="E1886" t="s">
        <v>3942</v>
      </c>
      <c r="G1886" t="s">
        <v>3943</v>
      </c>
      <c r="J1886">
        <v>7.0544859390000001</v>
      </c>
      <c r="K1886">
        <v>0.623000361</v>
      </c>
      <c r="L1886">
        <v>0.42866702800000001</v>
      </c>
      <c r="M1886" s="21">
        <v>-1.2442113960000001</v>
      </c>
      <c r="N1886">
        <v>-0.15283492000000001</v>
      </c>
    </row>
    <row r="1887" spans="1:14" x14ac:dyDescent="0.2">
      <c r="A1887" t="s">
        <v>2073</v>
      </c>
      <c r="B1887">
        <v>65960</v>
      </c>
      <c r="C1887" t="s">
        <v>34</v>
      </c>
      <c r="D1887" t="s">
        <v>2074</v>
      </c>
      <c r="E1887" t="s">
        <v>3944</v>
      </c>
      <c r="G1887" t="s">
        <v>3945</v>
      </c>
      <c r="J1887">
        <v>7.0544859390000001</v>
      </c>
      <c r="K1887">
        <v>0.623000361</v>
      </c>
      <c r="L1887">
        <v>0.42866702800000001</v>
      </c>
      <c r="M1887" s="21">
        <v>-1.2444223700000001</v>
      </c>
      <c r="N1887">
        <v>-0.15391877300000001</v>
      </c>
    </row>
    <row r="1888" spans="1:14" x14ac:dyDescent="0.2">
      <c r="A1888" t="s">
        <v>1373</v>
      </c>
      <c r="B1888">
        <v>256920</v>
      </c>
      <c r="C1888" t="s">
        <v>84</v>
      </c>
      <c r="D1888" t="s">
        <v>1373</v>
      </c>
      <c r="E1888" t="s">
        <v>3946</v>
      </c>
      <c r="J1888">
        <v>3.600219579</v>
      </c>
      <c r="K1888">
        <v>-0.293098474</v>
      </c>
      <c r="L1888">
        <v>-0.153917466</v>
      </c>
      <c r="M1888" s="21">
        <v>-1.244614015</v>
      </c>
      <c r="N1888">
        <v>-0.15490332600000001</v>
      </c>
    </row>
    <row r="1889" spans="1:14" x14ac:dyDescent="0.2">
      <c r="A1889" t="s">
        <v>519</v>
      </c>
      <c r="B1889">
        <v>115360</v>
      </c>
      <c r="C1889" t="s">
        <v>28</v>
      </c>
      <c r="D1889" t="s">
        <v>519</v>
      </c>
      <c r="E1889" t="s">
        <v>3947</v>
      </c>
      <c r="G1889" t="s">
        <v>3948</v>
      </c>
      <c r="J1889">
        <v>5.8462906840000004</v>
      </c>
      <c r="K1889">
        <v>0.60615847</v>
      </c>
      <c r="L1889">
        <v>0.28550877299999999</v>
      </c>
      <c r="M1889" s="21">
        <v>-1.2448787969999999</v>
      </c>
      <c r="N1889">
        <v>-0.15626361</v>
      </c>
    </row>
    <row r="1890" spans="1:14" x14ac:dyDescent="0.2">
      <c r="A1890" t="s">
        <v>1309</v>
      </c>
      <c r="B1890">
        <v>256640</v>
      </c>
      <c r="C1890" t="s">
        <v>84</v>
      </c>
      <c r="D1890" t="s">
        <v>1309</v>
      </c>
      <c r="E1890" t="s">
        <v>3949</v>
      </c>
      <c r="J1890">
        <v>3.600219579</v>
      </c>
      <c r="K1890">
        <v>-0.293098474</v>
      </c>
      <c r="L1890">
        <v>-0.153917466</v>
      </c>
      <c r="M1890" s="21">
        <v>-1.2449804980000001</v>
      </c>
      <c r="N1890">
        <v>-0.15678608399999999</v>
      </c>
    </row>
    <row r="1891" spans="1:14" x14ac:dyDescent="0.2">
      <c r="A1891" t="s">
        <v>1939</v>
      </c>
      <c r="B1891">
        <v>274760</v>
      </c>
      <c r="C1891" t="s">
        <v>58</v>
      </c>
      <c r="D1891" t="s">
        <v>1939</v>
      </c>
      <c r="E1891" t="s">
        <v>3950</v>
      </c>
      <c r="G1891" t="s">
        <v>3951</v>
      </c>
      <c r="J1891">
        <v>4.5363847230000003</v>
      </c>
      <c r="K1891">
        <v>0.245646371</v>
      </c>
      <c r="L1891">
        <v>7.5242279999999995E-2</v>
      </c>
      <c r="M1891" s="21">
        <v>-1.245304156</v>
      </c>
      <c r="N1891">
        <v>-0.15844883400000001</v>
      </c>
    </row>
    <row r="1892" spans="1:14" x14ac:dyDescent="0.2">
      <c r="A1892" t="s">
        <v>277</v>
      </c>
      <c r="B1892">
        <v>114640</v>
      </c>
      <c r="C1892" t="s">
        <v>28</v>
      </c>
      <c r="D1892" t="s">
        <v>277</v>
      </c>
      <c r="E1892" t="s">
        <v>3952</v>
      </c>
      <c r="G1892" t="s">
        <v>3953</v>
      </c>
      <c r="J1892">
        <v>5.8462906840000004</v>
      </c>
      <c r="K1892">
        <v>0.60615847</v>
      </c>
      <c r="L1892">
        <v>0.28550877299999999</v>
      </c>
      <c r="M1892" s="21">
        <v>-1.245528822</v>
      </c>
      <c r="N1892">
        <v>-0.15960303100000001</v>
      </c>
    </row>
    <row r="1893" spans="1:14" x14ac:dyDescent="0.2">
      <c r="A1893" t="s">
        <v>2239</v>
      </c>
      <c r="B1893">
        <v>64680</v>
      </c>
      <c r="C1893" t="s">
        <v>34</v>
      </c>
      <c r="D1893" t="s">
        <v>2240</v>
      </c>
      <c r="E1893" t="s">
        <v>3954</v>
      </c>
      <c r="G1893" t="s">
        <v>3955</v>
      </c>
      <c r="J1893">
        <v>7.0544859390000001</v>
      </c>
      <c r="K1893">
        <v>0.623000361</v>
      </c>
      <c r="L1893">
        <v>0.42866702800000001</v>
      </c>
      <c r="M1893" s="21">
        <v>-1.2455475659999999</v>
      </c>
      <c r="N1893">
        <v>-0.159699324</v>
      </c>
    </row>
    <row r="1894" spans="1:14" x14ac:dyDescent="0.2">
      <c r="A1894" t="s">
        <v>2315</v>
      </c>
      <c r="B1894">
        <v>175400</v>
      </c>
      <c r="C1894" t="s">
        <v>68</v>
      </c>
      <c r="D1894" t="s">
        <v>2316</v>
      </c>
      <c r="E1894" t="s">
        <v>3956</v>
      </c>
      <c r="G1894" t="s">
        <v>3957</v>
      </c>
      <c r="J1894">
        <v>6.4561903559999996</v>
      </c>
      <c r="K1894">
        <v>0.47291064100000002</v>
      </c>
      <c r="L1894">
        <v>0.34414126499999997</v>
      </c>
      <c r="M1894" s="21">
        <v>-1.245563647</v>
      </c>
      <c r="N1894">
        <v>-0.15978193700000001</v>
      </c>
    </row>
    <row r="1895" spans="1:14" x14ac:dyDescent="0.2">
      <c r="A1895" t="s">
        <v>172</v>
      </c>
      <c r="B1895">
        <v>232760</v>
      </c>
      <c r="C1895" t="s">
        <v>130</v>
      </c>
      <c r="D1895" t="s">
        <v>172</v>
      </c>
      <c r="E1895" t="s">
        <v>3958</v>
      </c>
      <c r="G1895" t="s">
        <v>3959</v>
      </c>
      <c r="J1895">
        <v>5.1222566499999997</v>
      </c>
      <c r="K1895">
        <v>0.21422175600000001</v>
      </c>
      <c r="L1895">
        <v>0.25354511400000002</v>
      </c>
      <c r="M1895" s="21">
        <v>-1.2455771760000001</v>
      </c>
      <c r="N1895">
        <v>-0.15985144000000001</v>
      </c>
    </row>
    <row r="1896" spans="1:14" x14ac:dyDescent="0.2">
      <c r="A1896" t="s">
        <v>435</v>
      </c>
      <c r="B1896">
        <v>232720</v>
      </c>
      <c r="C1896" t="s">
        <v>130</v>
      </c>
      <c r="D1896" t="s">
        <v>435</v>
      </c>
      <c r="E1896" t="s">
        <v>3960</v>
      </c>
      <c r="G1896" t="s">
        <v>3961</v>
      </c>
      <c r="J1896">
        <v>5.1222566499999997</v>
      </c>
      <c r="K1896">
        <v>0.21422175600000001</v>
      </c>
      <c r="L1896">
        <v>0.25354511400000002</v>
      </c>
      <c r="M1896" s="21">
        <v>-1.245609009</v>
      </c>
      <c r="N1896">
        <v>-0.160014979</v>
      </c>
    </row>
    <row r="1897" spans="1:14" x14ac:dyDescent="0.2">
      <c r="A1897" t="s">
        <v>148</v>
      </c>
      <c r="B1897">
        <v>64560</v>
      </c>
      <c r="C1897" t="s">
        <v>34</v>
      </c>
      <c r="D1897" t="s">
        <v>148</v>
      </c>
      <c r="E1897" t="s">
        <v>3962</v>
      </c>
      <c r="G1897" t="s">
        <v>3963</v>
      </c>
      <c r="J1897">
        <v>7.0544859390000001</v>
      </c>
      <c r="K1897">
        <v>0.623000361</v>
      </c>
      <c r="L1897">
        <v>0.42866702800000001</v>
      </c>
      <c r="M1897" s="21">
        <v>-1.2456530530000001</v>
      </c>
      <c r="N1897">
        <v>-0.160241251</v>
      </c>
    </row>
    <row r="1898" spans="1:14" x14ac:dyDescent="0.2">
      <c r="A1898" t="s">
        <v>307</v>
      </c>
      <c r="B1898">
        <v>175280</v>
      </c>
      <c r="C1898" t="s">
        <v>68</v>
      </c>
      <c r="D1898" t="s">
        <v>308</v>
      </c>
      <c r="E1898" t="s">
        <v>3964</v>
      </c>
      <c r="G1898" t="s">
        <v>3965</v>
      </c>
      <c r="J1898">
        <v>6.4561903559999996</v>
      </c>
      <c r="K1898">
        <v>0.47291064100000002</v>
      </c>
      <c r="L1898">
        <v>0.34414126499999997</v>
      </c>
      <c r="M1898" s="21">
        <v>-1.245679693</v>
      </c>
      <c r="N1898">
        <v>-0.16037810999999999</v>
      </c>
    </row>
    <row r="1899" spans="1:14" x14ac:dyDescent="0.2">
      <c r="A1899" t="s">
        <v>1095</v>
      </c>
      <c r="B1899">
        <v>256080</v>
      </c>
      <c r="C1899" t="s">
        <v>84</v>
      </c>
      <c r="D1899" t="s">
        <v>1096</v>
      </c>
      <c r="E1899" t="s">
        <v>3966</v>
      </c>
      <c r="J1899">
        <v>3.600219579</v>
      </c>
      <c r="K1899">
        <v>-0.293098474</v>
      </c>
      <c r="L1899">
        <v>-0.153917466</v>
      </c>
      <c r="M1899" s="21">
        <v>-1.245713463</v>
      </c>
      <c r="N1899">
        <v>-0.16055159999999999</v>
      </c>
    </row>
    <row r="1900" spans="1:14" x14ac:dyDescent="0.2">
      <c r="A1900" t="s">
        <v>603</v>
      </c>
      <c r="B1900">
        <v>273880</v>
      </c>
      <c r="C1900" t="s">
        <v>58</v>
      </c>
      <c r="D1900" t="s">
        <v>604</v>
      </c>
      <c r="E1900" t="s">
        <v>3967</v>
      </c>
      <c r="G1900" t="s">
        <v>3968</v>
      </c>
      <c r="J1900">
        <v>4.5363847230000003</v>
      </c>
      <c r="K1900">
        <v>0.245646371</v>
      </c>
      <c r="L1900">
        <v>7.5242279999999995E-2</v>
      </c>
      <c r="M1900" s="21">
        <v>-1.246153995</v>
      </c>
      <c r="N1900">
        <v>-0.16281477599999999</v>
      </c>
    </row>
    <row r="1901" spans="1:14" x14ac:dyDescent="0.2">
      <c r="A1901" t="s">
        <v>1365</v>
      </c>
      <c r="B1901">
        <v>63920</v>
      </c>
      <c r="C1901" t="s">
        <v>34</v>
      </c>
      <c r="D1901" t="s">
        <v>1365</v>
      </c>
      <c r="E1901" t="s">
        <v>3969</v>
      </c>
      <c r="G1901" t="s">
        <v>3970</v>
      </c>
      <c r="J1901">
        <v>7.0544859390000001</v>
      </c>
      <c r="K1901">
        <v>0.623000361</v>
      </c>
      <c r="L1901">
        <v>0.42866702800000001</v>
      </c>
      <c r="M1901" s="21">
        <v>-1.246215651</v>
      </c>
      <c r="N1901">
        <v>-0.163131526</v>
      </c>
    </row>
    <row r="1902" spans="1:14" x14ac:dyDescent="0.2">
      <c r="A1902" t="s">
        <v>1073</v>
      </c>
      <c r="B1902">
        <v>291040</v>
      </c>
      <c r="C1902" t="s">
        <v>149</v>
      </c>
      <c r="D1902" t="s">
        <v>1073</v>
      </c>
      <c r="E1902" t="s">
        <v>3971</v>
      </c>
      <c r="G1902" t="s">
        <v>3972</v>
      </c>
      <c r="J1902">
        <v>5.0381074159999999</v>
      </c>
      <c r="K1902">
        <v>0.81312368999999995</v>
      </c>
      <c r="L1902">
        <v>0.16969141800000001</v>
      </c>
      <c r="M1902" s="21">
        <v>-1.2462252549999999</v>
      </c>
      <c r="N1902">
        <v>-0.16318086700000001</v>
      </c>
    </row>
    <row r="1903" spans="1:14" x14ac:dyDescent="0.2">
      <c r="A1903" t="s">
        <v>1290</v>
      </c>
      <c r="B1903">
        <v>255600</v>
      </c>
      <c r="C1903" t="s">
        <v>84</v>
      </c>
      <c r="D1903" t="s">
        <v>1291</v>
      </c>
      <c r="E1903" t="s">
        <v>3973</v>
      </c>
      <c r="J1903">
        <v>3.600219579</v>
      </c>
      <c r="K1903">
        <v>-0.293098474</v>
      </c>
      <c r="L1903">
        <v>-0.153917466</v>
      </c>
      <c r="M1903" s="21">
        <v>-1.2463417189999999</v>
      </c>
      <c r="N1903">
        <v>-0.16377918499999999</v>
      </c>
    </row>
    <row r="1904" spans="1:14" x14ac:dyDescent="0.2">
      <c r="A1904" t="s">
        <v>1062</v>
      </c>
      <c r="B1904">
        <v>231640</v>
      </c>
      <c r="C1904" t="s">
        <v>130</v>
      </c>
      <c r="D1904" t="s">
        <v>1062</v>
      </c>
      <c r="E1904" t="s">
        <v>3974</v>
      </c>
      <c r="G1904" t="s">
        <v>3975</v>
      </c>
      <c r="J1904">
        <v>5.1222566499999997</v>
      </c>
      <c r="K1904">
        <v>0.21422175600000001</v>
      </c>
      <c r="L1904">
        <v>0.25354511400000002</v>
      </c>
      <c r="M1904" s="21">
        <v>-1.2464685049999999</v>
      </c>
      <c r="N1904">
        <v>-0.16443053299999999</v>
      </c>
    </row>
    <row r="1905" spans="1:14" x14ac:dyDescent="0.2">
      <c r="A1905" t="s">
        <v>400</v>
      </c>
      <c r="B1905">
        <v>272880</v>
      </c>
      <c r="C1905" t="s">
        <v>100</v>
      </c>
      <c r="D1905" t="s">
        <v>400</v>
      </c>
      <c r="E1905" t="s">
        <v>3976</v>
      </c>
      <c r="G1905" t="s">
        <v>3977</v>
      </c>
      <c r="J1905">
        <v>5.9110743220000002</v>
      </c>
      <c r="K1905">
        <v>0.71598987199999997</v>
      </c>
      <c r="L1905">
        <v>0.29077365599999999</v>
      </c>
      <c r="M1905" s="21">
        <v>-1.246709155</v>
      </c>
      <c r="N1905">
        <v>-0.16566684100000001</v>
      </c>
    </row>
    <row r="1906" spans="1:14" x14ac:dyDescent="0.2">
      <c r="A1906" t="s">
        <v>1535</v>
      </c>
      <c r="B1906">
        <v>255240</v>
      </c>
      <c r="C1906" t="s">
        <v>84</v>
      </c>
      <c r="D1906" t="s">
        <v>1535</v>
      </c>
      <c r="E1906" t="s">
        <v>3978</v>
      </c>
      <c r="J1906">
        <v>3.600219579</v>
      </c>
      <c r="K1906">
        <v>-0.293098474</v>
      </c>
      <c r="L1906">
        <v>-0.153917466</v>
      </c>
      <c r="M1906" s="21">
        <v>-1.2468129109999999</v>
      </c>
      <c r="N1906">
        <v>-0.166199874</v>
      </c>
    </row>
    <row r="1907" spans="1:14" x14ac:dyDescent="0.2">
      <c r="A1907" t="s">
        <v>1321</v>
      </c>
      <c r="B1907">
        <v>255160</v>
      </c>
      <c r="C1907" t="s">
        <v>84</v>
      </c>
      <c r="D1907" t="s">
        <v>1321</v>
      </c>
      <c r="E1907" t="s">
        <v>3979</v>
      </c>
      <c r="J1907">
        <v>3.600219579</v>
      </c>
      <c r="K1907">
        <v>-0.293098474</v>
      </c>
      <c r="L1907">
        <v>-0.153917466</v>
      </c>
      <c r="M1907" s="21">
        <v>-1.2469176200000001</v>
      </c>
      <c r="N1907">
        <v>-0.16673780499999999</v>
      </c>
    </row>
    <row r="1908" spans="1:14" x14ac:dyDescent="0.2">
      <c r="A1908" t="s">
        <v>929</v>
      </c>
      <c r="B1908">
        <v>290240</v>
      </c>
      <c r="C1908" t="s">
        <v>149</v>
      </c>
      <c r="D1908" t="s">
        <v>929</v>
      </c>
      <c r="E1908" t="s">
        <v>3980</v>
      </c>
      <c r="G1908" t="s">
        <v>3981</v>
      </c>
      <c r="J1908">
        <v>5.0381074159999999</v>
      </c>
      <c r="K1908">
        <v>0.81312368999999995</v>
      </c>
      <c r="L1908">
        <v>0.16969141800000001</v>
      </c>
      <c r="M1908" s="21">
        <v>-1.246964948</v>
      </c>
      <c r="N1908">
        <v>-0.16698094599999999</v>
      </c>
    </row>
    <row r="1909" spans="1:14" x14ac:dyDescent="0.2">
      <c r="A1909" t="s">
        <v>1394</v>
      </c>
      <c r="B1909">
        <v>290200</v>
      </c>
      <c r="C1909" t="s">
        <v>149</v>
      </c>
      <c r="D1909" t="s">
        <v>1394</v>
      </c>
      <c r="E1909" t="s">
        <v>3982</v>
      </c>
      <c r="G1909" t="s">
        <v>3983</v>
      </c>
      <c r="J1909">
        <v>5.0381074159999999</v>
      </c>
      <c r="K1909">
        <v>0.81312368999999995</v>
      </c>
      <c r="L1909">
        <v>0.16969141800000001</v>
      </c>
      <c r="M1909" s="21">
        <v>-1.2470019320000001</v>
      </c>
      <c r="N1909">
        <v>-0.16717095000000001</v>
      </c>
    </row>
    <row r="1910" spans="1:14" x14ac:dyDescent="0.2">
      <c r="A1910" t="s">
        <v>963</v>
      </c>
      <c r="B1910">
        <v>272520</v>
      </c>
      <c r="C1910" t="s">
        <v>100</v>
      </c>
      <c r="D1910" t="s">
        <v>963</v>
      </c>
      <c r="E1910" t="s">
        <v>3984</v>
      </c>
      <c r="G1910" t="s">
        <v>3985</v>
      </c>
      <c r="J1910">
        <v>5.9110743220000002</v>
      </c>
      <c r="K1910">
        <v>0.71598987199999997</v>
      </c>
      <c r="L1910">
        <v>0.29077365599999999</v>
      </c>
      <c r="M1910" s="21">
        <v>-1.2470665320000001</v>
      </c>
      <c r="N1910">
        <v>-0.16750282</v>
      </c>
    </row>
    <row r="1911" spans="1:14" x14ac:dyDescent="0.2">
      <c r="A1911" t="s">
        <v>2239</v>
      </c>
      <c r="B1911">
        <v>272520</v>
      </c>
      <c r="C1911" t="s">
        <v>58</v>
      </c>
      <c r="D1911" t="s">
        <v>2240</v>
      </c>
      <c r="E1911" t="s">
        <v>3986</v>
      </c>
      <c r="G1911" t="s">
        <v>3987</v>
      </c>
      <c r="J1911">
        <v>4.5363847230000003</v>
      </c>
      <c r="K1911">
        <v>0.245646371</v>
      </c>
      <c r="L1911">
        <v>7.5242279999999995E-2</v>
      </c>
      <c r="M1911" s="21">
        <v>-1.247467383</v>
      </c>
      <c r="N1911">
        <v>-0.169562141</v>
      </c>
    </row>
    <row r="1912" spans="1:14" x14ac:dyDescent="0.2">
      <c r="A1912" t="s">
        <v>1683</v>
      </c>
      <c r="B1912">
        <v>254720</v>
      </c>
      <c r="C1912" t="s">
        <v>84</v>
      </c>
      <c r="D1912" t="s">
        <v>1683</v>
      </c>
      <c r="E1912" t="s">
        <v>3988</v>
      </c>
      <c r="J1912">
        <v>3.600219579</v>
      </c>
      <c r="K1912">
        <v>-0.293098474</v>
      </c>
      <c r="L1912">
        <v>-0.153917466</v>
      </c>
      <c r="M1912" s="21">
        <v>-1.247493521</v>
      </c>
      <c r="N1912">
        <v>-0.16969642500000001</v>
      </c>
    </row>
    <row r="1913" spans="1:14" x14ac:dyDescent="0.2">
      <c r="A1913" t="s">
        <v>2871</v>
      </c>
      <c r="B1913">
        <v>112320</v>
      </c>
      <c r="C1913" t="s">
        <v>28</v>
      </c>
      <c r="D1913" t="s">
        <v>2871</v>
      </c>
      <c r="E1913" t="s">
        <v>3989</v>
      </c>
      <c r="G1913" t="s">
        <v>3990</v>
      </c>
      <c r="J1913">
        <v>5.8462906840000004</v>
      </c>
      <c r="K1913">
        <v>0.60615847</v>
      </c>
      <c r="L1913">
        <v>0.28550877299999999</v>
      </c>
      <c r="M1913" s="21">
        <v>-1.247623347</v>
      </c>
      <c r="N1913">
        <v>-0.17036338700000001</v>
      </c>
    </row>
    <row r="1914" spans="1:14" x14ac:dyDescent="0.2">
      <c r="A1914" t="s">
        <v>1811</v>
      </c>
      <c r="B1914">
        <v>272280</v>
      </c>
      <c r="C1914" t="s">
        <v>58</v>
      </c>
      <c r="D1914" t="s">
        <v>1811</v>
      </c>
      <c r="E1914" t="s">
        <v>3991</v>
      </c>
      <c r="G1914" t="s">
        <v>3992</v>
      </c>
      <c r="J1914">
        <v>4.5363847230000003</v>
      </c>
      <c r="K1914">
        <v>0.245646371</v>
      </c>
      <c r="L1914">
        <v>7.5242279999999995E-2</v>
      </c>
      <c r="M1914" s="21">
        <v>-1.247699157</v>
      </c>
      <c r="N1914">
        <v>-0.17075285300000001</v>
      </c>
    </row>
    <row r="1915" spans="1:14" x14ac:dyDescent="0.2">
      <c r="A1915" t="s">
        <v>929</v>
      </c>
      <c r="B1915">
        <v>271680</v>
      </c>
      <c r="C1915" t="s">
        <v>100</v>
      </c>
      <c r="D1915" t="s">
        <v>929</v>
      </c>
      <c r="E1915" t="s">
        <v>3993</v>
      </c>
      <c r="G1915" t="s">
        <v>3994</v>
      </c>
      <c r="J1915">
        <v>5.9110743220000002</v>
      </c>
      <c r="K1915">
        <v>0.71598987199999997</v>
      </c>
      <c r="L1915">
        <v>0.29077365599999999</v>
      </c>
      <c r="M1915" s="21">
        <v>-1.247900411</v>
      </c>
      <c r="N1915">
        <v>-0.17178677000000001</v>
      </c>
    </row>
    <row r="1916" spans="1:14" x14ac:dyDescent="0.2">
      <c r="A1916" t="s">
        <v>1582</v>
      </c>
      <c r="B1916">
        <v>271560</v>
      </c>
      <c r="C1916" t="s">
        <v>100</v>
      </c>
      <c r="D1916" t="s">
        <v>1583</v>
      </c>
      <c r="E1916" t="s">
        <v>3995</v>
      </c>
      <c r="G1916" t="s">
        <v>3996</v>
      </c>
      <c r="J1916">
        <v>5.9110743220000002</v>
      </c>
      <c r="K1916">
        <v>0.71598987199999997</v>
      </c>
      <c r="L1916">
        <v>0.29077365599999999</v>
      </c>
      <c r="M1916" s="21">
        <v>-1.248019537</v>
      </c>
      <c r="N1916">
        <v>-0.17239876300000001</v>
      </c>
    </row>
    <row r="1917" spans="1:14" x14ac:dyDescent="0.2">
      <c r="A1917" t="s">
        <v>1119</v>
      </c>
      <c r="B1917">
        <v>271880</v>
      </c>
      <c r="C1917" t="s">
        <v>58</v>
      </c>
      <c r="D1917" t="s">
        <v>1120</v>
      </c>
      <c r="E1917" t="s">
        <v>3997</v>
      </c>
      <c r="G1917" t="s">
        <v>3998</v>
      </c>
      <c r="J1917">
        <v>4.5363847230000003</v>
      </c>
      <c r="K1917">
        <v>0.245646371</v>
      </c>
      <c r="L1917">
        <v>7.5242279999999995E-2</v>
      </c>
      <c r="M1917" s="21">
        <v>-1.248085447</v>
      </c>
      <c r="N1917">
        <v>-0.172737372</v>
      </c>
    </row>
    <row r="1918" spans="1:14" x14ac:dyDescent="0.2">
      <c r="A1918" t="s">
        <v>995</v>
      </c>
      <c r="B1918">
        <v>271800</v>
      </c>
      <c r="C1918" t="s">
        <v>58</v>
      </c>
      <c r="D1918" t="s">
        <v>995</v>
      </c>
      <c r="E1918" t="s">
        <v>3999</v>
      </c>
      <c r="G1918" t="s">
        <v>4000</v>
      </c>
      <c r="J1918">
        <v>4.5363847230000003</v>
      </c>
      <c r="K1918">
        <v>0.245646371</v>
      </c>
      <c r="L1918">
        <v>7.5242279999999995E-2</v>
      </c>
      <c r="M1918" s="21">
        <v>-1.248162706</v>
      </c>
      <c r="N1918">
        <v>-0.173134276</v>
      </c>
    </row>
    <row r="1919" spans="1:14" x14ac:dyDescent="0.2">
      <c r="A1919" t="s">
        <v>57</v>
      </c>
      <c r="B1919">
        <v>61360</v>
      </c>
      <c r="C1919" t="s">
        <v>34</v>
      </c>
      <c r="D1919" t="s">
        <v>59</v>
      </c>
      <c r="E1919" t="s">
        <v>4001</v>
      </c>
      <c r="G1919" t="s">
        <v>4002</v>
      </c>
      <c r="J1919">
        <v>7.0544859390000001</v>
      </c>
      <c r="K1919">
        <v>0.623000361</v>
      </c>
      <c r="L1919">
        <v>0.42866702800000001</v>
      </c>
      <c r="M1919" s="21">
        <v>-1.248466042</v>
      </c>
      <c r="N1919">
        <v>-0.17469262799999999</v>
      </c>
    </row>
    <row r="1920" spans="1:14" x14ac:dyDescent="0.2">
      <c r="A1920" t="s">
        <v>342</v>
      </c>
      <c r="B1920">
        <v>288400</v>
      </c>
      <c r="C1920" t="s">
        <v>149</v>
      </c>
      <c r="D1920" t="s">
        <v>342</v>
      </c>
      <c r="E1920" t="s">
        <v>4003</v>
      </c>
      <c r="G1920" t="s">
        <v>4004</v>
      </c>
      <c r="J1920">
        <v>5.0381074159999999</v>
      </c>
      <c r="K1920">
        <v>0.81312368999999995</v>
      </c>
      <c r="L1920">
        <v>0.16969141800000001</v>
      </c>
      <c r="M1920" s="21">
        <v>-1.248666241</v>
      </c>
      <c r="N1920">
        <v>-0.175721127</v>
      </c>
    </row>
    <row r="1921" spans="1:14" x14ac:dyDescent="0.2">
      <c r="A1921" t="s">
        <v>1986</v>
      </c>
      <c r="B1921">
        <v>61080</v>
      </c>
      <c r="C1921" t="s">
        <v>34</v>
      </c>
      <c r="D1921" t="s">
        <v>1986</v>
      </c>
      <c r="J1921">
        <v>7.0544859390000001</v>
      </c>
      <c r="K1921">
        <v>0.623000361</v>
      </c>
      <c r="L1921">
        <v>0.42866702800000001</v>
      </c>
      <c r="M1921" s="21">
        <v>-1.2487121779999999</v>
      </c>
      <c r="N1921">
        <v>-0.17595712399999999</v>
      </c>
    </row>
    <row r="1922" spans="1:14" x14ac:dyDescent="0.2">
      <c r="A1922" t="s">
        <v>165</v>
      </c>
      <c r="B1922">
        <v>270800</v>
      </c>
      <c r="C1922" t="s">
        <v>100</v>
      </c>
      <c r="D1922" t="s">
        <v>166</v>
      </c>
      <c r="E1922" t="s">
        <v>4005</v>
      </c>
      <c r="G1922" t="s">
        <v>4006</v>
      </c>
      <c r="J1922">
        <v>5.9110743220000002</v>
      </c>
      <c r="K1922">
        <v>0.71598987199999997</v>
      </c>
      <c r="L1922">
        <v>0.29077365599999999</v>
      </c>
      <c r="M1922" s="21">
        <v>-1.248773999</v>
      </c>
      <c r="N1922">
        <v>-0.176274718</v>
      </c>
    </row>
    <row r="1923" spans="1:14" x14ac:dyDescent="0.2">
      <c r="A1923" t="s">
        <v>1825</v>
      </c>
      <c r="B1923">
        <v>271080</v>
      </c>
      <c r="C1923" t="s">
        <v>58</v>
      </c>
      <c r="D1923" t="s">
        <v>1826</v>
      </c>
      <c r="E1923" t="s">
        <v>4007</v>
      </c>
      <c r="G1923" t="s">
        <v>4008</v>
      </c>
      <c r="J1923">
        <v>4.5363847230000003</v>
      </c>
      <c r="K1923">
        <v>0.245646371</v>
      </c>
      <c r="L1923">
        <v>7.5242279999999995E-2</v>
      </c>
      <c r="M1923" s="21">
        <v>-1.248858029</v>
      </c>
      <c r="N1923">
        <v>-0.17670641000000001</v>
      </c>
    </row>
    <row r="1924" spans="1:14" x14ac:dyDescent="0.2">
      <c r="A1924" t="s">
        <v>1668</v>
      </c>
      <c r="B1924">
        <v>270640</v>
      </c>
      <c r="C1924" t="s">
        <v>100</v>
      </c>
      <c r="D1924" t="s">
        <v>1668</v>
      </c>
      <c r="E1924" t="s">
        <v>4009</v>
      </c>
      <c r="G1924" t="s">
        <v>4010</v>
      </c>
      <c r="J1924">
        <v>5.9110743220000002</v>
      </c>
      <c r="K1924">
        <v>0.71598987199999997</v>
      </c>
      <c r="L1924">
        <v>0.29077365599999999</v>
      </c>
      <c r="M1924" s="21">
        <v>-1.248932833</v>
      </c>
      <c r="N1924">
        <v>-0.17709070900000001</v>
      </c>
    </row>
    <row r="1925" spans="1:14" x14ac:dyDescent="0.2">
      <c r="A1925" t="s">
        <v>645</v>
      </c>
      <c r="B1925">
        <v>60760</v>
      </c>
      <c r="C1925" t="s">
        <v>34</v>
      </c>
      <c r="D1925" t="s">
        <v>645</v>
      </c>
      <c r="J1925">
        <v>7.0544859390000001</v>
      </c>
      <c r="K1925">
        <v>0.623000361</v>
      </c>
      <c r="L1925">
        <v>0.42866702800000001</v>
      </c>
      <c r="M1925" s="21">
        <v>-1.248993477</v>
      </c>
      <c r="N1925">
        <v>-0.17740226100000001</v>
      </c>
    </row>
    <row r="1926" spans="1:14" x14ac:dyDescent="0.2">
      <c r="A1926" t="s">
        <v>616</v>
      </c>
      <c r="B1926">
        <v>171720</v>
      </c>
      <c r="C1926" t="s">
        <v>68</v>
      </c>
      <c r="D1926" t="s">
        <v>616</v>
      </c>
      <c r="E1926" t="s">
        <v>4011</v>
      </c>
      <c r="G1926" t="s">
        <v>4012</v>
      </c>
      <c r="J1926">
        <v>6.4561903559999996</v>
      </c>
      <c r="K1926">
        <v>0.47291064100000002</v>
      </c>
      <c r="L1926">
        <v>0.34414126499999997</v>
      </c>
      <c r="M1926" s="21">
        <v>-1.2491224000000001</v>
      </c>
      <c r="N1926">
        <v>-0.178064584</v>
      </c>
    </row>
    <row r="1927" spans="1:14" x14ac:dyDescent="0.2">
      <c r="A1927" t="s">
        <v>1550</v>
      </c>
      <c r="B1927">
        <v>270400</v>
      </c>
      <c r="C1927" t="s">
        <v>100</v>
      </c>
      <c r="D1927" t="s">
        <v>1550</v>
      </c>
      <c r="E1927" t="s">
        <v>4013</v>
      </c>
      <c r="G1927" t="s">
        <v>4014</v>
      </c>
      <c r="J1927">
        <v>5.9110743220000002</v>
      </c>
      <c r="K1927">
        <v>0.71598987199999997</v>
      </c>
      <c r="L1927">
        <v>0.29077365599999999</v>
      </c>
      <c r="M1927" s="21">
        <v>-1.2491710840000001</v>
      </c>
      <c r="N1927">
        <v>-0.178314694</v>
      </c>
    </row>
    <row r="1928" spans="1:14" x14ac:dyDescent="0.2">
      <c r="A1928" t="s">
        <v>153</v>
      </c>
      <c r="B1928">
        <v>59800</v>
      </c>
      <c r="C1928" t="s">
        <v>34</v>
      </c>
      <c r="D1928" t="s">
        <v>153</v>
      </c>
      <c r="E1928" t="s">
        <v>4015</v>
      </c>
      <c r="G1928" t="s">
        <v>4016</v>
      </c>
      <c r="J1928">
        <v>7.0544859390000001</v>
      </c>
      <c r="K1928">
        <v>0.623000361</v>
      </c>
      <c r="L1928">
        <v>0.42866702800000001</v>
      </c>
      <c r="M1928" s="21">
        <v>-1.2498373739999999</v>
      </c>
      <c r="N1928">
        <v>-0.18173767499999999</v>
      </c>
    </row>
    <row r="1929" spans="1:14" x14ac:dyDescent="0.2">
      <c r="A1929" t="s">
        <v>1095</v>
      </c>
      <c r="B1929">
        <v>286960</v>
      </c>
      <c r="C1929" t="s">
        <v>149</v>
      </c>
      <c r="D1929" t="s">
        <v>1096</v>
      </c>
      <c r="E1929" t="s">
        <v>4017</v>
      </c>
      <c r="G1929" t="s">
        <v>4018</v>
      </c>
      <c r="J1929">
        <v>5.0381074159999999</v>
      </c>
      <c r="K1929">
        <v>0.81312368999999995</v>
      </c>
      <c r="L1929">
        <v>0.16969141800000001</v>
      </c>
      <c r="M1929" s="21">
        <v>-1.2499976880000001</v>
      </c>
      <c r="N1929">
        <v>-0.18256127</v>
      </c>
    </row>
    <row r="1930" spans="1:14" x14ac:dyDescent="0.2">
      <c r="A1930" t="s">
        <v>2421</v>
      </c>
      <c r="B1930">
        <v>269440</v>
      </c>
      <c r="C1930" t="s">
        <v>100</v>
      </c>
      <c r="D1930" t="s">
        <v>2422</v>
      </c>
      <c r="E1930" t="s">
        <v>4019</v>
      </c>
      <c r="G1930" t="s">
        <v>4020</v>
      </c>
      <c r="J1930">
        <v>5.9110743220000002</v>
      </c>
      <c r="K1930">
        <v>0.71598987199999997</v>
      </c>
      <c r="L1930">
        <v>0.29077365599999999</v>
      </c>
      <c r="M1930" s="21">
        <v>-1.250124089</v>
      </c>
      <c r="N1930">
        <v>-0.18321063700000001</v>
      </c>
    </row>
    <row r="1931" spans="1:14" x14ac:dyDescent="0.2">
      <c r="A1931" t="s">
        <v>718</v>
      </c>
      <c r="B1931">
        <v>286800</v>
      </c>
      <c r="C1931" t="s">
        <v>149</v>
      </c>
      <c r="D1931" t="s">
        <v>718</v>
      </c>
      <c r="E1931" t="s">
        <v>4021</v>
      </c>
      <c r="G1931" t="s">
        <v>4022</v>
      </c>
      <c r="J1931">
        <v>5.0381074159999999</v>
      </c>
      <c r="K1931">
        <v>0.81312368999999995</v>
      </c>
      <c r="L1931">
        <v>0.16969141800000001</v>
      </c>
      <c r="M1931" s="21">
        <v>-1.250145627</v>
      </c>
      <c r="N1931">
        <v>-0.183321285</v>
      </c>
    </row>
    <row r="1932" spans="1:14" x14ac:dyDescent="0.2">
      <c r="A1932" t="s">
        <v>1013</v>
      </c>
      <c r="B1932">
        <v>226680</v>
      </c>
      <c r="C1932" t="s">
        <v>130</v>
      </c>
      <c r="D1932" t="s">
        <v>1014</v>
      </c>
      <c r="E1932" t="s">
        <v>4023</v>
      </c>
      <c r="G1932" t="s">
        <v>4024</v>
      </c>
      <c r="J1932">
        <v>5.1222566499999997</v>
      </c>
      <c r="K1932">
        <v>0.21422175600000001</v>
      </c>
      <c r="L1932">
        <v>0.25354511400000002</v>
      </c>
      <c r="M1932" s="21">
        <v>-1.250415821</v>
      </c>
      <c r="N1932">
        <v>-0.18470937400000001</v>
      </c>
    </row>
    <row r="1933" spans="1:14" x14ac:dyDescent="0.2">
      <c r="A1933" t="s">
        <v>1163</v>
      </c>
      <c r="B1933">
        <v>226520</v>
      </c>
      <c r="C1933" t="s">
        <v>130</v>
      </c>
      <c r="D1933" t="s">
        <v>1164</v>
      </c>
      <c r="E1933" t="s">
        <v>4025</v>
      </c>
      <c r="G1933" t="s">
        <v>4026</v>
      </c>
      <c r="J1933">
        <v>5.1222566499999997</v>
      </c>
      <c r="K1933">
        <v>0.21422175600000001</v>
      </c>
      <c r="L1933">
        <v>0.25354511400000002</v>
      </c>
      <c r="M1933" s="21">
        <v>-1.250543154</v>
      </c>
      <c r="N1933">
        <v>-0.18536353</v>
      </c>
    </row>
    <row r="1934" spans="1:14" x14ac:dyDescent="0.2">
      <c r="A1934" t="s">
        <v>1659</v>
      </c>
      <c r="B1934">
        <v>58760</v>
      </c>
      <c r="C1934" t="s">
        <v>34</v>
      </c>
      <c r="D1934" t="s">
        <v>1660</v>
      </c>
      <c r="E1934" t="s">
        <v>4027</v>
      </c>
      <c r="G1934" t="s">
        <v>4028</v>
      </c>
      <c r="J1934">
        <v>7.0544859390000001</v>
      </c>
      <c r="K1934">
        <v>0.623000361</v>
      </c>
      <c r="L1934">
        <v>0.42866702800000001</v>
      </c>
      <c r="M1934" s="21">
        <v>-1.2507515950000001</v>
      </c>
      <c r="N1934">
        <v>-0.18643437199999999</v>
      </c>
    </row>
    <row r="1935" spans="1:14" x14ac:dyDescent="0.2">
      <c r="A1935" t="s">
        <v>534</v>
      </c>
      <c r="B1935">
        <v>58680</v>
      </c>
      <c r="C1935" t="s">
        <v>34</v>
      </c>
      <c r="D1935" t="s">
        <v>534</v>
      </c>
      <c r="E1935" t="s">
        <v>4029</v>
      </c>
      <c r="G1935" t="s">
        <v>4030</v>
      </c>
      <c r="J1935">
        <v>7.0544859390000001</v>
      </c>
      <c r="K1935">
        <v>0.623000361</v>
      </c>
      <c r="L1935">
        <v>0.42866702800000001</v>
      </c>
      <c r="M1935" s="21">
        <v>-1.2508219199999999</v>
      </c>
      <c r="N1935">
        <v>-0.186795657</v>
      </c>
    </row>
    <row r="1936" spans="1:14" x14ac:dyDescent="0.2">
      <c r="A1936" t="s">
        <v>2902</v>
      </c>
      <c r="B1936">
        <v>108640</v>
      </c>
      <c r="C1936" t="s">
        <v>28</v>
      </c>
      <c r="D1936" t="s">
        <v>2903</v>
      </c>
      <c r="E1936" t="s">
        <v>4031</v>
      </c>
      <c r="G1936" t="s">
        <v>4032</v>
      </c>
      <c r="J1936">
        <v>5.8462906840000004</v>
      </c>
      <c r="K1936">
        <v>0.60615847</v>
      </c>
      <c r="L1936">
        <v>0.28550877299999999</v>
      </c>
      <c r="M1936" s="21">
        <v>-1.2509456960000001</v>
      </c>
      <c r="N1936">
        <v>-0.18743153800000001</v>
      </c>
    </row>
    <row r="1937" spans="1:14" x14ac:dyDescent="0.2">
      <c r="A1937" t="s">
        <v>314</v>
      </c>
      <c r="B1937">
        <v>225440</v>
      </c>
      <c r="C1937" t="s">
        <v>130</v>
      </c>
      <c r="D1937" t="s">
        <v>315</v>
      </c>
      <c r="E1937" t="s">
        <v>4033</v>
      </c>
      <c r="G1937" t="s">
        <v>4034</v>
      </c>
      <c r="J1937">
        <v>5.1222566499999997</v>
      </c>
      <c r="K1937">
        <v>0.21422175600000001</v>
      </c>
      <c r="L1937">
        <v>0.25354511400000002</v>
      </c>
      <c r="M1937" s="21">
        <v>-1.2514026499999999</v>
      </c>
      <c r="N1937">
        <v>-0.18977908399999999</v>
      </c>
    </row>
    <row r="1938" spans="1:14" x14ac:dyDescent="0.2">
      <c r="A1938" t="s">
        <v>441</v>
      </c>
      <c r="B1938">
        <v>57960</v>
      </c>
      <c r="C1938" t="s">
        <v>34</v>
      </c>
      <c r="D1938" t="s">
        <v>442</v>
      </c>
      <c r="E1938" t="s">
        <v>4035</v>
      </c>
      <c r="G1938" t="s">
        <v>4036</v>
      </c>
      <c r="J1938">
        <v>7.0544859390000001</v>
      </c>
      <c r="K1938">
        <v>0.623000361</v>
      </c>
      <c r="L1938">
        <v>0.42866702800000001</v>
      </c>
      <c r="M1938" s="21">
        <v>-1.2514548430000001</v>
      </c>
      <c r="N1938">
        <v>-0.19004721699999999</v>
      </c>
    </row>
    <row r="1939" spans="1:14" x14ac:dyDescent="0.2">
      <c r="A1939" t="s">
        <v>2139</v>
      </c>
      <c r="B1939">
        <v>268040</v>
      </c>
      <c r="C1939" t="s">
        <v>58</v>
      </c>
      <c r="D1939" t="s">
        <v>2140</v>
      </c>
      <c r="E1939" t="s">
        <v>4037</v>
      </c>
      <c r="G1939" t="s">
        <v>4038</v>
      </c>
      <c r="J1939">
        <v>4.5363847230000003</v>
      </c>
      <c r="K1939">
        <v>0.245646371</v>
      </c>
      <c r="L1939">
        <v>7.5242279999999995E-2</v>
      </c>
      <c r="M1939" s="21">
        <v>-1.2517938369999999</v>
      </c>
      <c r="N1939">
        <v>-0.191788756</v>
      </c>
    </row>
    <row r="1940" spans="1:14" x14ac:dyDescent="0.2">
      <c r="A1940" t="s">
        <v>2335</v>
      </c>
      <c r="B1940">
        <v>251160</v>
      </c>
      <c r="C1940" t="s">
        <v>84</v>
      </c>
      <c r="D1940" t="s">
        <v>2335</v>
      </c>
      <c r="E1940" t="s">
        <v>4039</v>
      </c>
      <c r="J1940">
        <v>3.600219579</v>
      </c>
      <c r="K1940">
        <v>-0.293098474</v>
      </c>
      <c r="L1940">
        <v>-0.153917466</v>
      </c>
      <c r="M1940" s="21">
        <v>-1.252153085</v>
      </c>
      <c r="N1940">
        <v>-0.19363434800000001</v>
      </c>
    </row>
    <row r="1941" spans="1:14" x14ac:dyDescent="0.2">
      <c r="A1941" t="s">
        <v>426</v>
      </c>
      <c r="B1941">
        <v>267560</v>
      </c>
      <c r="C1941" t="s">
        <v>58</v>
      </c>
      <c r="D1941" t="s">
        <v>426</v>
      </c>
      <c r="E1941" t="s">
        <v>4040</v>
      </c>
      <c r="G1941" t="s">
        <v>4041</v>
      </c>
      <c r="J1941">
        <v>4.5363847230000003</v>
      </c>
      <c r="K1941">
        <v>0.245646371</v>
      </c>
      <c r="L1941">
        <v>7.5242279999999995E-2</v>
      </c>
      <c r="M1941" s="21">
        <v>-1.2522573850000001</v>
      </c>
      <c r="N1941">
        <v>-0.194170179</v>
      </c>
    </row>
    <row r="1942" spans="1:14" x14ac:dyDescent="0.2">
      <c r="A1942" t="s">
        <v>714</v>
      </c>
      <c r="B1942">
        <v>250960</v>
      </c>
      <c r="C1942" t="s">
        <v>84</v>
      </c>
      <c r="D1942" t="s">
        <v>715</v>
      </c>
      <c r="E1942" t="s">
        <v>4042</v>
      </c>
      <c r="J1942">
        <v>3.600219579</v>
      </c>
      <c r="K1942">
        <v>-0.293098474</v>
      </c>
      <c r="L1942">
        <v>-0.153917466</v>
      </c>
      <c r="M1942" s="21">
        <v>-1.2524148580000001</v>
      </c>
      <c r="N1942">
        <v>-0.194979176</v>
      </c>
    </row>
    <row r="1943" spans="1:14" x14ac:dyDescent="0.2">
      <c r="A1943" t="s">
        <v>1112</v>
      </c>
      <c r="B1943">
        <v>56840</v>
      </c>
      <c r="C1943" t="s">
        <v>34</v>
      </c>
      <c r="D1943" t="s">
        <v>1112</v>
      </c>
      <c r="E1943" t="s">
        <v>4043</v>
      </c>
      <c r="G1943" t="s">
        <v>4044</v>
      </c>
      <c r="J1943">
        <v>7.0544859390000001</v>
      </c>
      <c r="K1943">
        <v>0.623000361</v>
      </c>
      <c r="L1943">
        <v>0.42866702800000001</v>
      </c>
      <c r="M1943" s="21">
        <v>-1.2524393890000001</v>
      </c>
      <c r="N1943">
        <v>-0.19510519900000001</v>
      </c>
    </row>
    <row r="1944" spans="1:14" x14ac:dyDescent="0.2">
      <c r="A1944" t="s">
        <v>222</v>
      </c>
      <c r="B1944">
        <v>304360</v>
      </c>
      <c r="C1944" t="s">
        <v>14</v>
      </c>
      <c r="D1944" t="s">
        <v>222</v>
      </c>
      <c r="E1944" t="s">
        <v>4045</v>
      </c>
      <c r="G1944" t="s">
        <v>4046</v>
      </c>
      <c r="J1944">
        <v>6.7484204910000001</v>
      </c>
      <c r="K1944">
        <v>0.48629166299999999</v>
      </c>
      <c r="L1944">
        <v>0.375053939</v>
      </c>
      <c r="M1944" s="21">
        <v>-1.2524872899999999</v>
      </c>
      <c r="N1944">
        <v>-0.19535128299999999</v>
      </c>
    </row>
    <row r="1945" spans="1:14" x14ac:dyDescent="0.2">
      <c r="A1945" t="s">
        <v>1675</v>
      </c>
      <c r="B1945">
        <v>284000</v>
      </c>
      <c r="C1945" t="s">
        <v>149</v>
      </c>
      <c r="D1945" t="s">
        <v>1675</v>
      </c>
      <c r="E1945" t="s">
        <v>4047</v>
      </c>
      <c r="G1945" t="s">
        <v>4048</v>
      </c>
      <c r="J1945">
        <v>5.0381074159999999</v>
      </c>
      <c r="K1945">
        <v>0.81312368999999995</v>
      </c>
      <c r="L1945">
        <v>0.16969141800000001</v>
      </c>
      <c r="M1945" s="21">
        <v>-1.2527345519999999</v>
      </c>
      <c r="N1945">
        <v>-0.196621562</v>
      </c>
    </row>
    <row r="1946" spans="1:14" x14ac:dyDescent="0.2">
      <c r="A1946" t="s">
        <v>1181</v>
      </c>
      <c r="B1946">
        <v>106640</v>
      </c>
      <c r="C1946" t="s">
        <v>28</v>
      </c>
      <c r="D1946" t="s">
        <v>1181</v>
      </c>
      <c r="E1946" t="s">
        <v>4049</v>
      </c>
      <c r="G1946" t="s">
        <v>4050</v>
      </c>
      <c r="J1946">
        <v>5.8462906840000004</v>
      </c>
      <c r="K1946">
        <v>0.60615847</v>
      </c>
      <c r="L1946">
        <v>0.28550877299999999</v>
      </c>
      <c r="M1946" s="21">
        <v>-1.25275132</v>
      </c>
      <c r="N1946">
        <v>-0.19670770700000001</v>
      </c>
    </row>
    <row r="1947" spans="1:14" x14ac:dyDescent="0.2">
      <c r="A1947" t="s">
        <v>637</v>
      </c>
      <c r="B1947">
        <v>304040</v>
      </c>
      <c r="C1947" t="s">
        <v>14</v>
      </c>
      <c r="D1947" t="s">
        <v>637</v>
      </c>
      <c r="E1947" t="s">
        <v>4051</v>
      </c>
      <c r="G1947" t="s">
        <v>4052</v>
      </c>
      <c r="J1947">
        <v>6.7484204910000001</v>
      </c>
      <c r="K1947">
        <v>0.48629166299999999</v>
      </c>
      <c r="L1947">
        <v>0.375053939</v>
      </c>
      <c r="M1947" s="21">
        <v>-1.252837921</v>
      </c>
      <c r="N1947">
        <v>-0.19715260600000001</v>
      </c>
    </row>
    <row r="1948" spans="1:14" x14ac:dyDescent="0.2">
      <c r="A1948" t="s">
        <v>337</v>
      </c>
      <c r="B1948">
        <v>283480</v>
      </c>
      <c r="C1948" t="s">
        <v>149</v>
      </c>
      <c r="D1948" t="s">
        <v>337</v>
      </c>
      <c r="E1948" t="s">
        <v>4053</v>
      </c>
      <c r="G1948" t="s">
        <v>4054</v>
      </c>
      <c r="J1948">
        <v>5.0381074159999999</v>
      </c>
      <c r="K1948">
        <v>0.81312368999999995</v>
      </c>
      <c r="L1948">
        <v>0.16969141800000001</v>
      </c>
      <c r="M1948" s="21">
        <v>-1.253215352</v>
      </c>
      <c r="N1948">
        <v>-0.199091613</v>
      </c>
    </row>
    <row r="1949" spans="1:14" x14ac:dyDescent="0.2">
      <c r="A1949" t="s">
        <v>2871</v>
      </c>
      <c r="B1949">
        <v>55920</v>
      </c>
      <c r="C1949" t="s">
        <v>34</v>
      </c>
      <c r="D1949" t="s">
        <v>2871</v>
      </c>
      <c r="E1949" t="s">
        <v>4055</v>
      </c>
      <c r="G1949" t="s">
        <v>4056</v>
      </c>
      <c r="J1949">
        <v>7.0544859390000001</v>
      </c>
      <c r="K1949">
        <v>0.623000361</v>
      </c>
      <c r="L1949">
        <v>0.42866702800000001</v>
      </c>
      <c r="M1949" s="21">
        <v>-1.2532481230000001</v>
      </c>
      <c r="N1949">
        <v>-0.19925997000000001</v>
      </c>
    </row>
    <row r="1950" spans="1:14" x14ac:dyDescent="0.2">
      <c r="A1950" t="s">
        <v>165</v>
      </c>
      <c r="B1950">
        <v>55920</v>
      </c>
      <c r="C1950" t="s">
        <v>34</v>
      </c>
      <c r="D1950" t="s">
        <v>166</v>
      </c>
      <c r="E1950" t="s">
        <v>4057</v>
      </c>
      <c r="G1950" t="s">
        <v>4058</v>
      </c>
      <c r="J1950">
        <v>7.0544859390000001</v>
      </c>
      <c r="K1950">
        <v>0.623000361</v>
      </c>
      <c r="L1950">
        <v>0.42866702800000001</v>
      </c>
      <c r="M1950" s="21">
        <v>-1.2532481230000001</v>
      </c>
      <c r="N1950">
        <v>-0.19925997000000001</v>
      </c>
    </row>
    <row r="1951" spans="1:14" x14ac:dyDescent="0.2">
      <c r="A1951" t="s">
        <v>796</v>
      </c>
      <c r="B1951">
        <v>222880</v>
      </c>
      <c r="C1951" t="s">
        <v>130</v>
      </c>
      <c r="D1951" t="s">
        <v>796</v>
      </c>
      <c r="E1951" t="s">
        <v>4059</v>
      </c>
      <c r="G1951" t="s">
        <v>4060</v>
      </c>
      <c r="J1951">
        <v>5.1222566499999997</v>
      </c>
      <c r="K1951">
        <v>0.21422175600000001</v>
      </c>
      <c r="L1951">
        <v>0.25354511400000002</v>
      </c>
      <c r="M1951" s="21">
        <v>-1.253439975</v>
      </c>
      <c r="N1951">
        <v>-0.20024558200000001</v>
      </c>
    </row>
    <row r="1952" spans="1:14" x14ac:dyDescent="0.2">
      <c r="A1952" t="s">
        <v>1140</v>
      </c>
      <c r="B1952">
        <v>167200</v>
      </c>
      <c r="C1952" t="s">
        <v>68</v>
      </c>
      <c r="D1952" t="s">
        <v>1141</v>
      </c>
      <c r="E1952" t="s">
        <v>4061</v>
      </c>
      <c r="G1952" t="s">
        <v>4062</v>
      </c>
      <c r="J1952">
        <v>6.4561903559999996</v>
      </c>
      <c r="K1952">
        <v>0.47291064100000002</v>
      </c>
      <c r="L1952">
        <v>0.34414126499999997</v>
      </c>
      <c r="M1952" s="21">
        <v>-1.2534934769999999</v>
      </c>
      <c r="N1952">
        <v>-0.20052044499999999</v>
      </c>
    </row>
    <row r="1953" spans="1:14" x14ac:dyDescent="0.2">
      <c r="A1953" t="s">
        <v>703</v>
      </c>
      <c r="B1953">
        <v>250000</v>
      </c>
      <c r="C1953" t="s">
        <v>84</v>
      </c>
      <c r="D1953" t="s">
        <v>704</v>
      </c>
      <c r="E1953" t="s">
        <v>4063</v>
      </c>
      <c r="J1953">
        <v>3.600219579</v>
      </c>
      <c r="K1953">
        <v>-0.293098474</v>
      </c>
      <c r="L1953">
        <v>-0.153917466</v>
      </c>
      <c r="M1953" s="21">
        <v>-1.25367137</v>
      </c>
      <c r="N1953">
        <v>-0.20143434599999999</v>
      </c>
    </row>
    <row r="1954" spans="1:14" x14ac:dyDescent="0.2">
      <c r="A1954" t="s">
        <v>1739</v>
      </c>
      <c r="B1954">
        <v>303240</v>
      </c>
      <c r="C1954" t="s">
        <v>14</v>
      </c>
      <c r="D1954" t="s">
        <v>1739</v>
      </c>
      <c r="E1954" t="s">
        <v>4064</v>
      </c>
      <c r="G1954" t="s">
        <v>4065</v>
      </c>
      <c r="J1954">
        <v>6.7484204910000001</v>
      </c>
      <c r="K1954">
        <v>0.48629166299999999</v>
      </c>
      <c r="L1954">
        <v>0.375053939</v>
      </c>
      <c r="M1954" s="21">
        <v>-1.253714499</v>
      </c>
      <c r="N1954">
        <v>-0.20165591499999999</v>
      </c>
    </row>
    <row r="1955" spans="1:14" x14ac:dyDescent="0.2">
      <c r="A1955" t="s">
        <v>632</v>
      </c>
      <c r="B1955">
        <v>249640</v>
      </c>
      <c r="C1955" t="s">
        <v>84</v>
      </c>
      <c r="D1955" t="s">
        <v>632</v>
      </c>
      <c r="E1955" t="s">
        <v>4066</v>
      </c>
      <c r="J1955">
        <v>3.600219579</v>
      </c>
      <c r="K1955">
        <v>-0.293098474</v>
      </c>
      <c r="L1955">
        <v>-0.153917466</v>
      </c>
      <c r="M1955" s="21">
        <v>-1.254142562</v>
      </c>
      <c r="N1955">
        <v>-0.20385503499999999</v>
      </c>
    </row>
    <row r="1956" spans="1:14" x14ac:dyDescent="0.2">
      <c r="A1956" t="s">
        <v>963</v>
      </c>
      <c r="B1956">
        <v>105040</v>
      </c>
      <c r="C1956" t="s">
        <v>28</v>
      </c>
      <c r="D1956" t="s">
        <v>963</v>
      </c>
      <c r="E1956" t="s">
        <v>4067</v>
      </c>
      <c r="G1956" t="s">
        <v>4068</v>
      </c>
      <c r="J1956">
        <v>5.8462906840000004</v>
      </c>
      <c r="K1956">
        <v>0.60615847</v>
      </c>
      <c r="L1956">
        <v>0.28550877299999999</v>
      </c>
      <c r="M1956" s="21">
        <v>-1.2541958200000001</v>
      </c>
      <c r="N1956">
        <v>-0.204128643</v>
      </c>
    </row>
    <row r="1957" spans="1:14" x14ac:dyDescent="0.2">
      <c r="A1957" t="s">
        <v>2149</v>
      </c>
      <c r="B1957">
        <v>302800</v>
      </c>
      <c r="C1957" t="s">
        <v>14</v>
      </c>
      <c r="D1957" t="s">
        <v>2149</v>
      </c>
      <c r="E1957" t="s">
        <v>4069</v>
      </c>
      <c r="G1957" t="s">
        <v>4070</v>
      </c>
      <c r="J1957">
        <v>6.7484204910000001</v>
      </c>
      <c r="K1957">
        <v>0.48629166299999999</v>
      </c>
      <c r="L1957">
        <v>0.375053939</v>
      </c>
      <c r="M1957" s="21">
        <v>-1.254196616</v>
      </c>
      <c r="N1957">
        <v>-0.20413273400000001</v>
      </c>
    </row>
    <row r="1958" spans="1:14" x14ac:dyDescent="0.2">
      <c r="A1958" t="s">
        <v>375</v>
      </c>
      <c r="B1958">
        <v>249440</v>
      </c>
      <c r="C1958" t="s">
        <v>84</v>
      </c>
      <c r="D1958" t="s">
        <v>375</v>
      </c>
      <c r="E1958" t="s">
        <v>4071</v>
      </c>
      <c r="J1958">
        <v>3.600219579</v>
      </c>
      <c r="K1958">
        <v>-0.293098474</v>
      </c>
      <c r="L1958">
        <v>-0.153917466</v>
      </c>
      <c r="M1958" s="21">
        <v>-1.254404335</v>
      </c>
      <c r="N1958">
        <v>-0.20519986200000001</v>
      </c>
    </row>
    <row r="1959" spans="1:14" x14ac:dyDescent="0.2">
      <c r="A1959" t="s">
        <v>1251</v>
      </c>
      <c r="B1959">
        <v>249280</v>
      </c>
      <c r="C1959" t="s">
        <v>84</v>
      </c>
      <c r="D1959" t="s">
        <v>1251</v>
      </c>
      <c r="E1959" t="s">
        <v>4072</v>
      </c>
      <c r="J1959">
        <v>3.600219579</v>
      </c>
      <c r="K1959">
        <v>-0.293098474</v>
      </c>
      <c r="L1959">
        <v>-0.153917466</v>
      </c>
      <c r="M1959" s="21">
        <v>-1.254613754</v>
      </c>
      <c r="N1959">
        <v>-0.20627572399999999</v>
      </c>
    </row>
    <row r="1960" spans="1:14" x14ac:dyDescent="0.2">
      <c r="A1960" t="s">
        <v>2040</v>
      </c>
      <c r="B1960">
        <v>54200</v>
      </c>
      <c r="C1960" t="s">
        <v>34</v>
      </c>
      <c r="D1960" t="s">
        <v>2040</v>
      </c>
      <c r="E1960" t="s">
        <v>4073</v>
      </c>
      <c r="G1960" t="s">
        <v>4074</v>
      </c>
      <c r="J1960">
        <v>7.0544859390000001</v>
      </c>
      <c r="K1960">
        <v>0.623000361</v>
      </c>
      <c r="L1960">
        <v>0.42866702800000001</v>
      </c>
      <c r="M1960" s="21">
        <v>-1.2547601049999999</v>
      </c>
      <c r="N1960">
        <v>-0.20702758499999999</v>
      </c>
    </row>
    <row r="1961" spans="1:14" x14ac:dyDescent="0.2">
      <c r="A1961" t="s">
        <v>554</v>
      </c>
      <c r="B1961">
        <v>264560</v>
      </c>
      <c r="C1961" t="s">
        <v>100</v>
      </c>
      <c r="D1961" t="s">
        <v>555</v>
      </c>
      <c r="E1961" t="s">
        <v>4075</v>
      </c>
      <c r="G1961" t="s">
        <v>4076</v>
      </c>
      <c r="J1961">
        <v>5.9110743220000002</v>
      </c>
      <c r="K1961">
        <v>0.71598987199999997</v>
      </c>
      <c r="L1961">
        <v>0.29077365599999999</v>
      </c>
      <c r="M1961" s="21">
        <v>-1.2549685310000001</v>
      </c>
      <c r="N1961">
        <v>-0.20809834799999999</v>
      </c>
    </row>
    <row r="1962" spans="1:14" x14ac:dyDescent="0.2">
      <c r="A1962" t="s">
        <v>1383</v>
      </c>
      <c r="B1962">
        <v>220680</v>
      </c>
      <c r="C1962" t="s">
        <v>130</v>
      </c>
      <c r="D1962" t="s">
        <v>1384</v>
      </c>
      <c r="E1962" t="s">
        <v>4077</v>
      </c>
      <c r="G1962" t="s">
        <v>4078</v>
      </c>
      <c r="J1962">
        <v>5.1222566499999997</v>
      </c>
      <c r="K1962">
        <v>0.21422175600000001</v>
      </c>
      <c r="L1962">
        <v>0.25354511400000002</v>
      </c>
      <c r="M1962" s="21">
        <v>-1.2551908000000001</v>
      </c>
      <c r="N1962">
        <v>-0.209240229</v>
      </c>
    </row>
    <row r="1963" spans="1:14" x14ac:dyDescent="0.2">
      <c r="A1963" t="s">
        <v>2054</v>
      </c>
      <c r="B1963">
        <v>248800</v>
      </c>
      <c r="C1963" t="s">
        <v>84</v>
      </c>
      <c r="D1963" t="s">
        <v>2054</v>
      </c>
      <c r="E1963" t="s">
        <v>4079</v>
      </c>
      <c r="J1963">
        <v>3.600219579</v>
      </c>
      <c r="K1963">
        <v>-0.293098474</v>
      </c>
      <c r="L1963">
        <v>-0.153917466</v>
      </c>
      <c r="M1963" s="21">
        <v>-1.255242009</v>
      </c>
      <c r="N1963">
        <v>-0.209503309</v>
      </c>
    </row>
    <row r="1964" spans="1:14" x14ac:dyDescent="0.2">
      <c r="A1964" t="s">
        <v>1181</v>
      </c>
      <c r="B1964">
        <v>53600</v>
      </c>
      <c r="C1964" t="s">
        <v>34</v>
      </c>
      <c r="D1964" t="s">
        <v>1181</v>
      </c>
      <c r="E1964" t="s">
        <v>4080</v>
      </c>
      <c r="G1964" t="s">
        <v>4081</v>
      </c>
      <c r="J1964">
        <v>7.0544859390000001</v>
      </c>
      <c r="K1964">
        <v>0.623000361</v>
      </c>
      <c r="L1964">
        <v>0.42866702800000001</v>
      </c>
      <c r="M1964" s="21">
        <v>-1.2552875400000001</v>
      </c>
      <c r="N1964">
        <v>-0.209737218</v>
      </c>
    </row>
    <row r="1965" spans="1:14" x14ac:dyDescent="0.2">
      <c r="A1965" t="s">
        <v>2348</v>
      </c>
      <c r="B1965">
        <v>53560</v>
      </c>
      <c r="C1965" t="s">
        <v>34</v>
      </c>
      <c r="D1965" t="s">
        <v>2348</v>
      </c>
      <c r="J1965">
        <v>7.0544859390000001</v>
      </c>
      <c r="K1965">
        <v>0.623000361</v>
      </c>
      <c r="L1965">
        <v>0.42866702800000001</v>
      </c>
      <c r="M1965" s="21">
        <v>-1.255322703</v>
      </c>
      <c r="N1965">
        <v>-0.20991786000000001</v>
      </c>
    </row>
    <row r="1966" spans="1:14" x14ac:dyDescent="0.2">
      <c r="A1966" t="s">
        <v>714</v>
      </c>
      <c r="B1966">
        <v>264320</v>
      </c>
      <c r="C1966" t="s">
        <v>58</v>
      </c>
      <c r="D1966" t="s">
        <v>715</v>
      </c>
      <c r="E1966" t="s">
        <v>4082</v>
      </c>
      <c r="G1966" t="s">
        <v>4083</v>
      </c>
      <c r="J1966">
        <v>4.5363847230000003</v>
      </c>
      <c r="K1966">
        <v>0.245646371</v>
      </c>
      <c r="L1966">
        <v>7.5242279999999995E-2</v>
      </c>
      <c r="M1966" s="21">
        <v>-1.255386339</v>
      </c>
      <c r="N1966">
        <v>-0.21024478399999999</v>
      </c>
    </row>
    <row r="1967" spans="1:14" x14ac:dyDescent="0.2">
      <c r="A1967" t="s">
        <v>494</v>
      </c>
      <c r="B1967">
        <v>264120</v>
      </c>
      <c r="C1967" t="s">
        <v>100</v>
      </c>
      <c r="D1967" t="s">
        <v>495</v>
      </c>
      <c r="E1967" t="s">
        <v>4084</v>
      </c>
      <c r="G1967" t="s">
        <v>4085</v>
      </c>
      <c r="J1967">
        <v>5.9110743220000002</v>
      </c>
      <c r="K1967">
        <v>0.71598987199999997</v>
      </c>
      <c r="L1967">
        <v>0.29077365599999999</v>
      </c>
      <c r="M1967" s="21">
        <v>-1.2554053249999999</v>
      </c>
      <c r="N1967">
        <v>-0.210342322</v>
      </c>
    </row>
    <row r="1968" spans="1:14" x14ac:dyDescent="0.2">
      <c r="A1968" t="s">
        <v>924</v>
      </c>
      <c r="B1968">
        <v>280920</v>
      </c>
      <c r="C1968" t="s">
        <v>149</v>
      </c>
      <c r="D1968" t="s">
        <v>924</v>
      </c>
      <c r="E1968" t="s">
        <v>4086</v>
      </c>
      <c r="G1968" t="s">
        <v>4087</v>
      </c>
      <c r="J1968">
        <v>5.0381074159999999</v>
      </c>
      <c r="K1968">
        <v>0.81312368999999995</v>
      </c>
      <c r="L1968">
        <v>0.16969141800000001</v>
      </c>
      <c r="M1968" s="21">
        <v>-1.2555823690000001</v>
      </c>
      <c r="N1968">
        <v>-0.21125186600000001</v>
      </c>
    </row>
    <row r="1969" spans="1:14" x14ac:dyDescent="0.2">
      <c r="A1969" t="s">
        <v>1391</v>
      </c>
      <c r="B1969">
        <v>248480</v>
      </c>
      <c r="C1969" t="s">
        <v>84</v>
      </c>
      <c r="D1969" t="s">
        <v>1391</v>
      </c>
      <c r="E1969" t="s">
        <v>4088</v>
      </c>
      <c r="J1969">
        <v>3.600219579</v>
      </c>
      <c r="K1969">
        <v>-0.293098474</v>
      </c>
      <c r="L1969">
        <v>-0.153917466</v>
      </c>
      <c r="M1969" s="21">
        <v>-1.2556608469999999</v>
      </c>
      <c r="N1969">
        <v>-0.21165503299999999</v>
      </c>
    </row>
    <row r="1970" spans="1:14" x14ac:dyDescent="0.2">
      <c r="A1970" t="s">
        <v>1778</v>
      </c>
      <c r="B1970">
        <v>52360</v>
      </c>
      <c r="C1970" t="s">
        <v>34</v>
      </c>
      <c r="D1970" t="s">
        <v>1778</v>
      </c>
      <c r="E1970" t="s">
        <v>4089</v>
      </c>
      <c r="G1970" t="s">
        <v>4090</v>
      </c>
      <c r="J1970">
        <v>7.0544859390000001</v>
      </c>
      <c r="K1970">
        <v>0.623000361</v>
      </c>
      <c r="L1970">
        <v>0.42866702800000001</v>
      </c>
      <c r="M1970" s="21">
        <v>-1.256377573</v>
      </c>
      <c r="N1970">
        <v>-0.21533712699999999</v>
      </c>
    </row>
    <row r="1971" spans="1:14" x14ac:dyDescent="0.2">
      <c r="A1971" t="s">
        <v>2080</v>
      </c>
      <c r="B1971">
        <v>52040</v>
      </c>
      <c r="C1971" t="s">
        <v>34</v>
      </c>
      <c r="D1971" t="s">
        <v>2080</v>
      </c>
      <c r="J1971">
        <v>7.0544859390000001</v>
      </c>
      <c r="K1971">
        <v>0.623000361</v>
      </c>
      <c r="L1971">
        <v>0.42866702800000001</v>
      </c>
      <c r="M1971" s="21">
        <v>-1.256658872</v>
      </c>
      <c r="N1971">
        <v>-0.216782265</v>
      </c>
    </row>
    <row r="1972" spans="1:14" x14ac:dyDescent="0.2">
      <c r="A1972" t="s">
        <v>2453</v>
      </c>
      <c r="B1972">
        <v>218240</v>
      </c>
      <c r="C1972" t="s">
        <v>130</v>
      </c>
      <c r="D1972" t="s">
        <v>2454</v>
      </c>
      <c r="E1972" t="s">
        <v>4091</v>
      </c>
      <c r="G1972" t="s">
        <v>4092</v>
      </c>
      <c r="J1972">
        <v>5.1222566499999997</v>
      </c>
      <c r="K1972">
        <v>0.21422175600000001</v>
      </c>
      <c r="L1972">
        <v>0.25354511400000002</v>
      </c>
      <c r="M1972" s="21">
        <v>-1.2571326249999999</v>
      </c>
      <c r="N1972">
        <v>-0.21921610999999999</v>
      </c>
    </row>
    <row r="1973" spans="1:14" x14ac:dyDescent="0.2">
      <c r="A1973" t="s">
        <v>859</v>
      </c>
      <c r="B1973">
        <v>262400</v>
      </c>
      <c r="C1973" t="s">
        <v>58</v>
      </c>
      <c r="D1973" t="s">
        <v>859</v>
      </c>
      <c r="E1973" t="s">
        <v>4093</v>
      </c>
      <c r="G1973" t="s">
        <v>4094</v>
      </c>
      <c r="J1973">
        <v>4.5363847230000003</v>
      </c>
      <c r="K1973">
        <v>0.245646371</v>
      </c>
      <c r="L1973">
        <v>7.5242279999999995E-2</v>
      </c>
      <c r="M1973" s="21">
        <v>-1.257240533</v>
      </c>
      <c r="N1973">
        <v>-0.21977047599999999</v>
      </c>
    </row>
    <row r="1974" spans="1:14" x14ac:dyDescent="0.2">
      <c r="A1974" t="s">
        <v>2385</v>
      </c>
      <c r="B1974">
        <v>51240</v>
      </c>
      <c r="C1974" t="s">
        <v>34</v>
      </c>
      <c r="D1974" t="s">
        <v>2385</v>
      </c>
      <c r="E1974" t="s">
        <v>4095</v>
      </c>
      <c r="G1974" t="s">
        <v>4096</v>
      </c>
      <c r="J1974">
        <v>7.0544859390000001</v>
      </c>
      <c r="K1974">
        <v>0.623000361</v>
      </c>
      <c r="L1974">
        <v>0.42866702800000001</v>
      </c>
      <c r="M1974" s="21">
        <v>-1.25736212</v>
      </c>
      <c r="N1974">
        <v>-0.22039510900000001</v>
      </c>
    </row>
    <row r="1975" spans="1:14" x14ac:dyDescent="0.2">
      <c r="A1975" t="s">
        <v>1825</v>
      </c>
      <c r="B1975">
        <v>247160</v>
      </c>
      <c r="C1975" t="s">
        <v>84</v>
      </c>
      <c r="D1975" t="s">
        <v>1826</v>
      </c>
      <c r="E1975" t="s">
        <v>4097</v>
      </c>
      <c r="J1975">
        <v>3.600219579</v>
      </c>
      <c r="K1975">
        <v>-0.293098474</v>
      </c>
      <c r="L1975">
        <v>-0.153917466</v>
      </c>
      <c r="M1975" s="21">
        <v>-1.2573885499999999</v>
      </c>
      <c r="N1975">
        <v>-0.22053089200000001</v>
      </c>
    </row>
    <row r="1976" spans="1:14" x14ac:dyDescent="0.2">
      <c r="A1976" t="s">
        <v>2224</v>
      </c>
      <c r="B1976">
        <v>51200</v>
      </c>
      <c r="C1976" t="s">
        <v>34</v>
      </c>
      <c r="D1976" t="s">
        <v>2224</v>
      </c>
      <c r="E1976" t="s">
        <v>4098</v>
      </c>
      <c r="G1976" t="s">
        <v>4099</v>
      </c>
      <c r="J1976">
        <v>7.0544859390000001</v>
      </c>
      <c r="K1976">
        <v>0.623000361</v>
      </c>
      <c r="L1976">
        <v>0.42866702800000001</v>
      </c>
      <c r="M1976" s="21">
        <v>-1.2573972819999999</v>
      </c>
      <c r="N1976">
        <v>-0.22057575099999999</v>
      </c>
    </row>
    <row r="1977" spans="1:14" x14ac:dyDescent="0.2">
      <c r="A1977" t="s">
        <v>1825</v>
      </c>
      <c r="B1977">
        <v>278640</v>
      </c>
      <c r="C1977" t="s">
        <v>149</v>
      </c>
      <c r="D1977" t="s">
        <v>1826</v>
      </c>
      <c r="E1977" t="s">
        <v>4100</v>
      </c>
      <c r="G1977" t="s">
        <v>4101</v>
      </c>
      <c r="J1977">
        <v>5.0381074159999999</v>
      </c>
      <c r="K1977">
        <v>0.81312368999999995</v>
      </c>
      <c r="L1977">
        <v>0.16969141800000001</v>
      </c>
      <c r="M1977" s="21">
        <v>-1.257690494</v>
      </c>
      <c r="N1977">
        <v>-0.22208209100000001</v>
      </c>
    </row>
    <row r="1978" spans="1:14" x14ac:dyDescent="0.2">
      <c r="A1978" t="s">
        <v>1190</v>
      </c>
      <c r="B1978">
        <v>50720</v>
      </c>
      <c r="C1978" t="s">
        <v>34</v>
      </c>
      <c r="D1978" t="s">
        <v>1190</v>
      </c>
      <c r="E1978" t="s">
        <v>4102</v>
      </c>
      <c r="G1978" t="s">
        <v>4103</v>
      </c>
      <c r="J1978">
        <v>7.0544859390000001</v>
      </c>
      <c r="K1978">
        <v>0.623000361</v>
      </c>
      <c r="L1978">
        <v>0.42866702800000001</v>
      </c>
      <c r="M1978" s="21">
        <v>-1.25781923</v>
      </c>
      <c r="N1978">
        <v>-0.22274345800000001</v>
      </c>
    </row>
    <row r="1979" spans="1:14" x14ac:dyDescent="0.2">
      <c r="A1979" t="s">
        <v>289</v>
      </c>
      <c r="B1979">
        <v>261760</v>
      </c>
      <c r="C1979" t="s">
        <v>58</v>
      </c>
      <c r="D1979" t="s">
        <v>290</v>
      </c>
      <c r="E1979" t="s">
        <v>4104</v>
      </c>
      <c r="G1979" t="s">
        <v>4105</v>
      </c>
      <c r="J1979">
        <v>4.5363847230000003</v>
      </c>
      <c r="K1979">
        <v>0.245646371</v>
      </c>
      <c r="L1979">
        <v>7.5242279999999995E-2</v>
      </c>
      <c r="M1979" s="21">
        <v>-1.2578585980000001</v>
      </c>
      <c r="N1979">
        <v>-0.22294570599999999</v>
      </c>
    </row>
    <row r="1980" spans="1:14" x14ac:dyDescent="0.2">
      <c r="A1980" t="s">
        <v>709</v>
      </c>
      <c r="B1980">
        <v>50320</v>
      </c>
      <c r="C1980" t="s">
        <v>34</v>
      </c>
      <c r="D1980" t="s">
        <v>709</v>
      </c>
      <c r="E1980" t="s">
        <v>4106</v>
      </c>
      <c r="G1980" t="s">
        <v>4107</v>
      </c>
      <c r="J1980">
        <v>7.0544859390000001</v>
      </c>
      <c r="K1980">
        <v>0.623000361</v>
      </c>
      <c r="L1980">
        <v>0.42866702800000001</v>
      </c>
      <c r="M1980" s="21">
        <v>-1.2581708540000001</v>
      </c>
      <c r="N1980">
        <v>-0.22454988000000001</v>
      </c>
    </row>
    <row r="1981" spans="1:14" x14ac:dyDescent="0.2">
      <c r="A1981" t="s">
        <v>2108</v>
      </c>
      <c r="B1981">
        <v>277080</v>
      </c>
      <c r="C1981" t="s">
        <v>149</v>
      </c>
      <c r="D1981" t="s">
        <v>2108</v>
      </c>
      <c r="E1981" t="s">
        <v>4108</v>
      </c>
      <c r="G1981" t="s">
        <v>4109</v>
      </c>
      <c r="J1981">
        <v>5.0381074159999999</v>
      </c>
      <c r="K1981">
        <v>0.81312368999999995</v>
      </c>
      <c r="L1981">
        <v>0.16969141800000001</v>
      </c>
      <c r="M1981" s="21">
        <v>-1.259132895</v>
      </c>
      <c r="N1981">
        <v>-0.22949224500000001</v>
      </c>
    </row>
    <row r="1982" spans="1:14" x14ac:dyDescent="0.2">
      <c r="A1982" t="s">
        <v>2341</v>
      </c>
      <c r="B1982">
        <v>161240</v>
      </c>
      <c r="C1982" t="s">
        <v>68</v>
      </c>
      <c r="D1982" t="s">
        <v>2341</v>
      </c>
      <c r="E1982" t="s">
        <v>4110</v>
      </c>
      <c r="G1982" t="s">
        <v>4111</v>
      </c>
      <c r="J1982">
        <v>6.4561903559999996</v>
      </c>
      <c r="K1982">
        <v>0.47291064100000002</v>
      </c>
      <c r="L1982">
        <v>0.34414126499999997</v>
      </c>
      <c r="M1982" s="21">
        <v>-1.2592571100000001</v>
      </c>
      <c r="N1982">
        <v>-0.23013038499999999</v>
      </c>
    </row>
    <row r="1983" spans="1:14" x14ac:dyDescent="0.2">
      <c r="A1983" t="s">
        <v>1335</v>
      </c>
      <c r="B1983">
        <v>245680</v>
      </c>
      <c r="C1983" t="s">
        <v>84</v>
      </c>
      <c r="D1983" t="s">
        <v>1335</v>
      </c>
      <c r="E1983" t="s">
        <v>4112</v>
      </c>
      <c r="J1983">
        <v>3.600219579</v>
      </c>
      <c r="K1983">
        <v>-0.293098474</v>
      </c>
      <c r="L1983">
        <v>-0.153917466</v>
      </c>
      <c r="M1983" s="21">
        <v>-1.2593256719999999</v>
      </c>
      <c r="N1983">
        <v>-0.230482613</v>
      </c>
    </row>
    <row r="1984" spans="1:14" x14ac:dyDescent="0.2">
      <c r="A1984" t="s">
        <v>1714</v>
      </c>
      <c r="B1984">
        <v>48800</v>
      </c>
      <c r="C1984" t="s">
        <v>34</v>
      </c>
      <c r="D1984" t="s">
        <v>1715</v>
      </c>
      <c r="E1984" t="s">
        <v>4113</v>
      </c>
      <c r="G1984" t="s">
        <v>4114</v>
      </c>
      <c r="J1984">
        <v>7.0544859390000001</v>
      </c>
      <c r="K1984">
        <v>0.623000361</v>
      </c>
      <c r="L1984">
        <v>0.42866702800000001</v>
      </c>
      <c r="M1984" s="21">
        <v>-1.2595070239999999</v>
      </c>
      <c r="N1984">
        <v>-0.231414284</v>
      </c>
    </row>
    <row r="1985" spans="1:14" x14ac:dyDescent="0.2">
      <c r="A1985" t="s">
        <v>1714</v>
      </c>
      <c r="B1985">
        <v>276480</v>
      </c>
      <c r="C1985" t="s">
        <v>149</v>
      </c>
      <c r="D1985" t="s">
        <v>1715</v>
      </c>
      <c r="E1985" t="s">
        <v>4115</v>
      </c>
      <c r="G1985" t="s">
        <v>4116</v>
      </c>
      <c r="J1985">
        <v>5.0381074159999999</v>
      </c>
      <c r="K1985">
        <v>0.81312368999999995</v>
      </c>
      <c r="L1985">
        <v>0.16969141800000001</v>
      </c>
      <c r="M1985" s="21">
        <v>-1.259687665</v>
      </c>
      <c r="N1985">
        <v>-0.232342305</v>
      </c>
    </row>
    <row r="1986" spans="1:14" x14ac:dyDescent="0.2">
      <c r="A1986" t="s">
        <v>311</v>
      </c>
      <c r="B1986">
        <v>297760</v>
      </c>
      <c r="C1986" t="s">
        <v>14</v>
      </c>
      <c r="D1986" t="s">
        <v>311</v>
      </c>
      <c r="E1986" t="s">
        <v>4117</v>
      </c>
      <c r="G1986" t="s">
        <v>4118</v>
      </c>
      <c r="J1986">
        <v>6.7484204910000001</v>
      </c>
      <c r="K1986">
        <v>0.48629166299999999</v>
      </c>
      <c r="L1986">
        <v>0.375053939</v>
      </c>
      <c r="M1986" s="21">
        <v>-1.2597190570000001</v>
      </c>
      <c r="N1986">
        <v>-0.23250357799999999</v>
      </c>
    </row>
    <row r="1987" spans="1:14" x14ac:dyDescent="0.2">
      <c r="A1987" t="s">
        <v>1794</v>
      </c>
      <c r="B1987">
        <v>48400</v>
      </c>
      <c r="C1987" t="s">
        <v>34</v>
      </c>
      <c r="D1987" t="s">
        <v>1794</v>
      </c>
      <c r="J1987">
        <v>7.0544859390000001</v>
      </c>
      <c r="K1987">
        <v>0.623000361</v>
      </c>
      <c r="L1987">
        <v>0.42866702800000001</v>
      </c>
      <c r="M1987" s="21">
        <v>-1.2598586469999999</v>
      </c>
      <c r="N1987">
        <v>-0.233220706</v>
      </c>
    </row>
    <row r="1988" spans="1:14" x14ac:dyDescent="0.2">
      <c r="A1988" t="s">
        <v>169</v>
      </c>
      <c r="B1988">
        <v>245200</v>
      </c>
      <c r="C1988" t="s">
        <v>84</v>
      </c>
      <c r="D1988" t="s">
        <v>169</v>
      </c>
      <c r="E1988" t="s">
        <v>4119</v>
      </c>
      <c r="J1988">
        <v>3.600219579</v>
      </c>
      <c r="K1988">
        <v>-0.293098474</v>
      </c>
      <c r="L1988">
        <v>-0.153917466</v>
      </c>
      <c r="M1988" s="21">
        <v>-1.2599539280000001</v>
      </c>
      <c r="N1988">
        <v>-0.23371019800000001</v>
      </c>
    </row>
    <row r="1989" spans="1:14" x14ac:dyDescent="0.2">
      <c r="A1989" t="s">
        <v>482</v>
      </c>
      <c r="B1989">
        <v>276160</v>
      </c>
      <c r="C1989" t="s">
        <v>149</v>
      </c>
      <c r="D1989" t="s">
        <v>482</v>
      </c>
      <c r="E1989" t="s">
        <v>4120</v>
      </c>
      <c r="G1989" t="s">
        <v>4121</v>
      </c>
      <c r="J1989">
        <v>5.0381074159999999</v>
      </c>
      <c r="K1989">
        <v>0.81312368999999995</v>
      </c>
      <c r="L1989">
        <v>0.16969141800000001</v>
      </c>
      <c r="M1989" s="21">
        <v>-1.2599835420000001</v>
      </c>
      <c r="N1989">
        <v>-0.233862336</v>
      </c>
    </row>
    <row r="1990" spans="1:14" x14ac:dyDescent="0.2">
      <c r="A1990" t="s">
        <v>1498</v>
      </c>
      <c r="B1990">
        <v>48240</v>
      </c>
      <c r="C1990" t="s">
        <v>34</v>
      </c>
      <c r="D1990" t="s">
        <v>1498</v>
      </c>
      <c r="E1990" t="s">
        <v>4122</v>
      </c>
      <c r="G1990" t="s">
        <v>4123</v>
      </c>
      <c r="J1990">
        <v>7.0544859390000001</v>
      </c>
      <c r="K1990">
        <v>0.623000361</v>
      </c>
      <c r="L1990">
        <v>0.42866702800000001</v>
      </c>
      <c r="M1990" s="21">
        <v>-1.259999297</v>
      </c>
      <c r="N1990">
        <v>-0.23394327500000001</v>
      </c>
    </row>
    <row r="1991" spans="1:14" x14ac:dyDescent="0.2">
      <c r="A1991" t="s">
        <v>730</v>
      </c>
      <c r="B1991">
        <v>48160</v>
      </c>
      <c r="C1991" t="s">
        <v>34</v>
      </c>
      <c r="D1991" t="s">
        <v>731</v>
      </c>
      <c r="E1991" t="s">
        <v>4124</v>
      </c>
      <c r="G1991" t="s">
        <v>4125</v>
      </c>
      <c r="J1991">
        <v>7.0544859390000001</v>
      </c>
      <c r="K1991">
        <v>0.623000361</v>
      </c>
      <c r="L1991">
        <v>0.42866702800000001</v>
      </c>
      <c r="M1991" s="21">
        <v>-1.260069621</v>
      </c>
      <c r="N1991">
        <v>-0.23430456</v>
      </c>
    </row>
    <row r="1992" spans="1:14" x14ac:dyDescent="0.2">
      <c r="A1992" t="s">
        <v>1739</v>
      </c>
      <c r="B1992">
        <v>214320</v>
      </c>
      <c r="C1992" t="s">
        <v>130</v>
      </c>
      <c r="D1992" t="s">
        <v>1739</v>
      </c>
      <c r="E1992" t="s">
        <v>4126</v>
      </c>
      <c r="G1992" t="s">
        <v>4127</v>
      </c>
      <c r="J1992">
        <v>5.1222566499999997</v>
      </c>
      <c r="K1992">
        <v>0.21422175600000001</v>
      </c>
      <c r="L1992">
        <v>0.25354511400000002</v>
      </c>
      <c r="M1992" s="21">
        <v>-1.2602522780000001</v>
      </c>
      <c r="N1992">
        <v>-0.23524293499999999</v>
      </c>
    </row>
    <row r="1993" spans="1:14" x14ac:dyDescent="0.2">
      <c r="A1993" t="s">
        <v>1133</v>
      </c>
      <c r="B1993">
        <v>214240</v>
      </c>
      <c r="C1993" t="s">
        <v>130</v>
      </c>
      <c r="D1993" t="s">
        <v>1134</v>
      </c>
      <c r="E1993" t="s">
        <v>4128</v>
      </c>
      <c r="G1993" t="s">
        <v>4129</v>
      </c>
      <c r="J1993">
        <v>5.1222566499999997</v>
      </c>
      <c r="K1993">
        <v>0.21422175600000001</v>
      </c>
      <c r="L1993">
        <v>0.25354511400000002</v>
      </c>
      <c r="M1993" s="21">
        <v>-1.260315944</v>
      </c>
      <c r="N1993">
        <v>-0.23557001299999999</v>
      </c>
    </row>
    <row r="1994" spans="1:14" x14ac:dyDescent="0.2">
      <c r="A1994" t="s">
        <v>153</v>
      </c>
      <c r="B1994">
        <v>258480</v>
      </c>
      <c r="C1994" t="s">
        <v>58</v>
      </c>
      <c r="D1994" t="s">
        <v>153</v>
      </c>
      <c r="E1994" t="s">
        <v>4130</v>
      </c>
      <c r="G1994" t="s">
        <v>4131</v>
      </c>
      <c r="J1994">
        <v>4.5363847230000003</v>
      </c>
      <c r="K1994">
        <v>0.245646371</v>
      </c>
      <c r="L1994">
        <v>7.5242279999999995E-2</v>
      </c>
      <c r="M1994" s="21">
        <v>-1.2610261810000001</v>
      </c>
      <c r="N1994">
        <v>-0.239218763</v>
      </c>
    </row>
    <row r="1995" spans="1:14" x14ac:dyDescent="0.2">
      <c r="A1995" t="s">
        <v>3235</v>
      </c>
      <c r="B1995">
        <v>244080</v>
      </c>
      <c r="C1995" t="s">
        <v>84</v>
      </c>
      <c r="D1995" t="s">
        <v>3236</v>
      </c>
      <c r="E1995" t="s">
        <v>4132</v>
      </c>
      <c r="G1995" t="s">
        <v>4133</v>
      </c>
      <c r="J1995">
        <v>3.600219579</v>
      </c>
      <c r="K1995">
        <v>-0.293098474</v>
      </c>
      <c r="L1995">
        <v>-0.153917466</v>
      </c>
      <c r="M1995" s="21">
        <v>-1.261419858</v>
      </c>
      <c r="N1995">
        <v>-0.241241231</v>
      </c>
    </row>
    <row r="1996" spans="1:14" x14ac:dyDescent="0.2">
      <c r="A1996" t="s">
        <v>1747</v>
      </c>
      <c r="B1996">
        <v>46480</v>
      </c>
      <c r="C1996" t="s">
        <v>34</v>
      </c>
      <c r="D1996" t="s">
        <v>1747</v>
      </c>
      <c r="J1996">
        <v>7.0544859390000001</v>
      </c>
      <c r="K1996">
        <v>0.623000361</v>
      </c>
      <c r="L1996">
        <v>0.42866702800000001</v>
      </c>
      <c r="M1996" s="21">
        <v>-1.2615464409999999</v>
      </c>
      <c r="N1996">
        <v>-0.24189153299999999</v>
      </c>
    </row>
    <row r="1997" spans="1:14" x14ac:dyDescent="0.2">
      <c r="A1997" t="s">
        <v>998</v>
      </c>
      <c r="B1997">
        <v>212520</v>
      </c>
      <c r="C1997" t="s">
        <v>130</v>
      </c>
      <c r="D1997" t="s">
        <v>998</v>
      </c>
      <c r="E1997" t="s">
        <v>4134</v>
      </c>
      <c r="G1997" t="s">
        <v>4135</v>
      </c>
      <c r="J1997">
        <v>5.1222566499999997</v>
      </c>
      <c r="K1997">
        <v>0.21422175600000001</v>
      </c>
      <c r="L1997">
        <v>0.25354511400000002</v>
      </c>
      <c r="M1997" s="21">
        <v>-1.261684772</v>
      </c>
      <c r="N1997">
        <v>-0.24260219099999999</v>
      </c>
    </row>
    <row r="1998" spans="1:14" x14ac:dyDescent="0.2">
      <c r="A1998" t="s">
        <v>567</v>
      </c>
      <c r="B1998">
        <v>46240</v>
      </c>
      <c r="C1998" t="s">
        <v>34</v>
      </c>
      <c r="D1998" t="s">
        <v>567</v>
      </c>
      <c r="E1998" t="s">
        <v>4136</v>
      </c>
      <c r="G1998" t="s">
        <v>4137</v>
      </c>
      <c r="J1998">
        <v>7.0544859390000001</v>
      </c>
      <c r="K1998">
        <v>0.623000361</v>
      </c>
      <c r="L1998">
        <v>0.42866702800000001</v>
      </c>
      <c r="M1998" s="21">
        <v>-1.2617574149999999</v>
      </c>
      <c r="N1998">
        <v>-0.24297538599999999</v>
      </c>
    </row>
    <row r="1999" spans="1:14" x14ac:dyDescent="0.2">
      <c r="A1999" t="s">
        <v>214</v>
      </c>
      <c r="B1999">
        <v>243680</v>
      </c>
      <c r="C1999" t="s">
        <v>84</v>
      </c>
      <c r="D1999" t="s">
        <v>215</v>
      </c>
      <c r="E1999" t="s">
        <v>4138</v>
      </c>
      <c r="J1999">
        <v>3.600219579</v>
      </c>
      <c r="K1999">
        <v>-0.293098474</v>
      </c>
      <c r="L1999">
        <v>-0.153917466</v>
      </c>
      <c r="M1999" s="21">
        <v>-1.261943405</v>
      </c>
      <c r="N1999">
        <v>-0.24393088499999999</v>
      </c>
    </row>
    <row r="2000" spans="1:14" x14ac:dyDescent="0.2">
      <c r="A2000" t="s">
        <v>1231</v>
      </c>
      <c r="B2000">
        <v>45960</v>
      </c>
      <c r="C2000" t="s">
        <v>34</v>
      </c>
      <c r="D2000" t="s">
        <v>1231</v>
      </c>
      <c r="E2000" t="s">
        <v>4139</v>
      </c>
      <c r="G2000" t="s">
        <v>4140</v>
      </c>
      <c r="J2000">
        <v>7.0544859390000001</v>
      </c>
      <c r="K2000">
        <v>0.623000361</v>
      </c>
      <c r="L2000">
        <v>0.42866702800000001</v>
      </c>
      <c r="M2000" s="21">
        <v>-1.2620035510000001</v>
      </c>
      <c r="N2000">
        <v>-0.24423988199999999</v>
      </c>
    </row>
    <row r="2001" spans="1:14" x14ac:dyDescent="0.2">
      <c r="A2001" t="s">
        <v>1089</v>
      </c>
      <c r="B2001">
        <v>45920</v>
      </c>
      <c r="C2001" t="s">
        <v>34</v>
      </c>
      <c r="D2001" t="s">
        <v>1089</v>
      </c>
      <c r="E2001" t="s">
        <v>4141</v>
      </c>
      <c r="G2001" t="s">
        <v>4142</v>
      </c>
      <c r="J2001">
        <v>7.0544859390000001</v>
      </c>
      <c r="K2001">
        <v>0.623000361</v>
      </c>
      <c r="L2001">
        <v>0.42866702800000001</v>
      </c>
      <c r="M2001" s="21">
        <v>-1.262038714</v>
      </c>
      <c r="N2001">
        <v>-0.244420524</v>
      </c>
    </row>
    <row r="2002" spans="1:14" x14ac:dyDescent="0.2">
      <c r="A2002" t="s">
        <v>18</v>
      </c>
      <c r="B2002">
        <v>45880</v>
      </c>
      <c r="C2002" t="s">
        <v>34</v>
      </c>
      <c r="D2002" t="s">
        <v>19</v>
      </c>
      <c r="E2002" t="s">
        <v>4143</v>
      </c>
      <c r="G2002" t="s">
        <v>4144</v>
      </c>
      <c r="J2002">
        <v>7.0544859390000001</v>
      </c>
      <c r="K2002">
        <v>0.623000361</v>
      </c>
      <c r="L2002">
        <v>0.42866702800000001</v>
      </c>
      <c r="M2002" s="21">
        <v>-1.2620738760000001</v>
      </c>
      <c r="N2002">
        <v>-0.24460116600000001</v>
      </c>
    </row>
    <row r="2003" spans="1:14" x14ac:dyDescent="0.2">
      <c r="A2003" t="s">
        <v>441</v>
      </c>
      <c r="B2003">
        <v>257240</v>
      </c>
      <c r="C2003" t="s">
        <v>58</v>
      </c>
      <c r="D2003" t="s">
        <v>442</v>
      </c>
      <c r="E2003" t="s">
        <v>4145</v>
      </c>
      <c r="G2003" t="s">
        <v>4146</v>
      </c>
      <c r="J2003">
        <v>4.5363847230000003</v>
      </c>
      <c r="K2003">
        <v>0.245646371</v>
      </c>
      <c r="L2003">
        <v>7.5242279999999995E-2</v>
      </c>
      <c r="M2003" s="21">
        <v>-1.2622236819999999</v>
      </c>
      <c r="N2003">
        <v>-0.24537077299999999</v>
      </c>
    </row>
    <row r="2004" spans="1:14" x14ac:dyDescent="0.2">
      <c r="A2004" t="s">
        <v>619</v>
      </c>
      <c r="B2004">
        <v>257200</v>
      </c>
      <c r="C2004" t="s">
        <v>100</v>
      </c>
      <c r="D2004" t="s">
        <v>619</v>
      </c>
      <c r="E2004" t="s">
        <v>4147</v>
      </c>
      <c r="G2004" t="s">
        <v>4148</v>
      </c>
      <c r="J2004">
        <v>5.9110743220000002</v>
      </c>
      <c r="K2004">
        <v>0.71598987199999997</v>
      </c>
      <c r="L2004">
        <v>0.29077365599999999</v>
      </c>
      <c r="M2004" s="21">
        <v>-1.2622749019999999</v>
      </c>
      <c r="N2004">
        <v>-0.24563391200000001</v>
      </c>
    </row>
    <row r="2005" spans="1:14" x14ac:dyDescent="0.2">
      <c r="A2005" t="s">
        <v>807</v>
      </c>
      <c r="B2005">
        <v>257120</v>
      </c>
      <c r="C2005" t="s">
        <v>58</v>
      </c>
      <c r="D2005" t="s">
        <v>807</v>
      </c>
      <c r="E2005" t="s">
        <v>4149</v>
      </c>
      <c r="G2005" t="s">
        <v>4150</v>
      </c>
      <c r="J2005">
        <v>4.5363847230000003</v>
      </c>
      <c r="K2005">
        <v>0.245646371</v>
      </c>
      <c r="L2005">
        <v>7.5242279999999995E-2</v>
      </c>
      <c r="M2005" s="21">
        <v>-1.2623395690000001</v>
      </c>
      <c r="N2005">
        <v>-0.24596612800000001</v>
      </c>
    </row>
    <row r="2006" spans="1:14" x14ac:dyDescent="0.2">
      <c r="A2006" t="s">
        <v>277</v>
      </c>
      <c r="B2006">
        <v>45400</v>
      </c>
      <c r="C2006" t="s">
        <v>34</v>
      </c>
      <c r="D2006" t="s">
        <v>277</v>
      </c>
      <c r="E2006" t="s">
        <v>4151</v>
      </c>
      <c r="G2006" t="s">
        <v>4152</v>
      </c>
      <c r="J2006">
        <v>7.0544859390000001</v>
      </c>
      <c r="K2006">
        <v>0.623000361</v>
      </c>
      <c r="L2006">
        <v>0.42866702800000001</v>
      </c>
      <c r="M2006" s="21">
        <v>-1.2624958239999999</v>
      </c>
      <c r="N2006">
        <v>-0.246768873</v>
      </c>
    </row>
    <row r="2007" spans="1:14" x14ac:dyDescent="0.2">
      <c r="A2007" t="s">
        <v>1683</v>
      </c>
      <c r="B2007">
        <v>295200</v>
      </c>
      <c r="C2007" t="s">
        <v>14</v>
      </c>
      <c r="D2007" t="s">
        <v>1683</v>
      </c>
      <c r="E2007" t="s">
        <v>4153</v>
      </c>
      <c r="G2007" t="s">
        <v>4154</v>
      </c>
      <c r="J2007">
        <v>6.7484204910000001</v>
      </c>
      <c r="K2007">
        <v>0.48629166299999999</v>
      </c>
      <c r="L2007">
        <v>0.375053939</v>
      </c>
      <c r="M2007" s="21">
        <v>-1.2625241060000001</v>
      </c>
      <c r="N2007">
        <v>-0.24691416499999999</v>
      </c>
    </row>
    <row r="2008" spans="1:14" x14ac:dyDescent="0.2">
      <c r="A2008" t="s">
        <v>1336</v>
      </c>
      <c r="B2008">
        <v>45080</v>
      </c>
      <c r="C2008" t="s">
        <v>34</v>
      </c>
      <c r="D2008" t="s">
        <v>1336</v>
      </c>
      <c r="E2008" t="s">
        <v>4155</v>
      </c>
      <c r="G2008" t="s">
        <v>4156</v>
      </c>
      <c r="J2008">
        <v>7.0544859390000001</v>
      </c>
      <c r="K2008">
        <v>0.623000361</v>
      </c>
      <c r="L2008">
        <v>0.42866702800000001</v>
      </c>
      <c r="M2008" s="21">
        <v>-1.262777123</v>
      </c>
      <c r="N2008">
        <v>-0.24821401000000001</v>
      </c>
    </row>
    <row r="2009" spans="1:14" x14ac:dyDescent="0.2">
      <c r="A2009" t="s">
        <v>2499</v>
      </c>
      <c r="B2009">
        <v>294880</v>
      </c>
      <c r="C2009" t="s">
        <v>14</v>
      </c>
      <c r="D2009" t="s">
        <v>2500</v>
      </c>
      <c r="E2009" t="s">
        <v>4157</v>
      </c>
      <c r="G2009" t="s">
        <v>4158</v>
      </c>
      <c r="J2009">
        <v>6.7484204910000001</v>
      </c>
      <c r="K2009">
        <v>0.48629166299999999</v>
      </c>
      <c r="L2009">
        <v>0.375053939</v>
      </c>
      <c r="M2009" s="21">
        <v>-1.262874737</v>
      </c>
      <c r="N2009">
        <v>-0.24871548800000001</v>
      </c>
    </row>
    <row r="2010" spans="1:14" x14ac:dyDescent="0.2">
      <c r="A2010" t="s">
        <v>656</v>
      </c>
      <c r="B2010">
        <v>157360</v>
      </c>
      <c r="C2010" t="s">
        <v>68</v>
      </c>
      <c r="D2010" t="s">
        <v>656</v>
      </c>
      <c r="E2010" t="s">
        <v>4159</v>
      </c>
      <c r="G2010" t="s">
        <v>4160</v>
      </c>
      <c r="J2010">
        <v>6.4561903559999996</v>
      </c>
      <c r="K2010">
        <v>0.47291064100000002</v>
      </c>
      <c r="L2010">
        <v>0.34414126499999997</v>
      </c>
      <c r="M2010" s="21">
        <v>-1.2630092740000001</v>
      </c>
      <c r="N2010">
        <v>-0.249406655</v>
      </c>
    </row>
    <row r="2011" spans="1:14" x14ac:dyDescent="0.2">
      <c r="A2011" t="s">
        <v>2412</v>
      </c>
      <c r="B2011">
        <v>44800</v>
      </c>
      <c r="C2011" t="s">
        <v>34</v>
      </c>
      <c r="D2011" t="s">
        <v>2412</v>
      </c>
      <c r="J2011">
        <v>7.0544859390000001</v>
      </c>
      <c r="K2011">
        <v>0.623000361</v>
      </c>
      <c r="L2011">
        <v>0.42866702800000001</v>
      </c>
      <c r="M2011" s="21">
        <v>-1.26302326</v>
      </c>
      <c r="N2011">
        <v>-0.24947850599999999</v>
      </c>
    </row>
    <row r="2012" spans="1:14" x14ac:dyDescent="0.2">
      <c r="A2012" t="s">
        <v>134</v>
      </c>
      <c r="B2012">
        <v>44760</v>
      </c>
      <c r="C2012" t="s">
        <v>34</v>
      </c>
      <c r="D2012" t="s">
        <v>135</v>
      </c>
      <c r="E2012" t="s">
        <v>4161</v>
      </c>
      <c r="G2012" t="s">
        <v>4162</v>
      </c>
      <c r="J2012">
        <v>7.0544859390000001</v>
      </c>
      <c r="K2012">
        <v>0.623000361</v>
      </c>
      <c r="L2012">
        <v>0.42866702800000001</v>
      </c>
      <c r="M2012" s="21">
        <v>-1.2630584220000001</v>
      </c>
      <c r="N2012">
        <v>-0.249659148</v>
      </c>
    </row>
    <row r="2013" spans="1:14" x14ac:dyDescent="0.2">
      <c r="A2013" t="s">
        <v>560</v>
      </c>
      <c r="B2013">
        <v>44600</v>
      </c>
      <c r="C2013" t="s">
        <v>34</v>
      </c>
      <c r="D2013" t="s">
        <v>560</v>
      </c>
      <c r="J2013">
        <v>7.0544859390000001</v>
      </c>
      <c r="K2013">
        <v>0.623000361</v>
      </c>
      <c r="L2013">
        <v>0.42866702800000001</v>
      </c>
      <c r="M2013" s="21">
        <v>-1.2631990719999999</v>
      </c>
      <c r="N2013">
        <v>-0.250381717</v>
      </c>
    </row>
    <row r="2014" spans="1:14" x14ac:dyDescent="0.2">
      <c r="A2014" t="s">
        <v>375</v>
      </c>
      <c r="B2014">
        <v>210600</v>
      </c>
      <c r="C2014" t="s">
        <v>130</v>
      </c>
      <c r="D2014" t="s">
        <v>375</v>
      </c>
      <c r="E2014" t="s">
        <v>4163</v>
      </c>
      <c r="G2014" t="s">
        <v>4164</v>
      </c>
      <c r="J2014">
        <v>5.1222566499999997</v>
      </c>
      <c r="K2014">
        <v>0.21422175600000001</v>
      </c>
      <c r="L2014">
        <v>0.25354511400000002</v>
      </c>
      <c r="M2014" s="21">
        <v>-1.263212765</v>
      </c>
      <c r="N2014">
        <v>-0.250452065</v>
      </c>
    </row>
    <row r="2015" spans="1:14" x14ac:dyDescent="0.2">
      <c r="A2015" t="s">
        <v>1409</v>
      </c>
      <c r="B2015">
        <v>256120</v>
      </c>
      <c r="C2015" t="s">
        <v>58</v>
      </c>
      <c r="D2015" t="s">
        <v>1410</v>
      </c>
      <c r="E2015" t="s">
        <v>4165</v>
      </c>
      <c r="G2015" t="s">
        <v>4166</v>
      </c>
      <c r="J2015">
        <v>4.5363847230000003</v>
      </c>
      <c r="K2015">
        <v>0.245646371</v>
      </c>
      <c r="L2015">
        <v>7.5242279999999995E-2</v>
      </c>
      <c r="M2015" s="21">
        <v>-1.2633052950000001</v>
      </c>
      <c r="N2015">
        <v>-0.25092742600000001</v>
      </c>
    </row>
    <row r="2016" spans="1:14" x14ac:dyDescent="0.2">
      <c r="A2016" t="s">
        <v>1498</v>
      </c>
      <c r="B2016">
        <v>242600</v>
      </c>
      <c r="C2016" t="s">
        <v>84</v>
      </c>
      <c r="D2016" t="s">
        <v>1498</v>
      </c>
      <c r="E2016" t="s">
        <v>4167</v>
      </c>
      <c r="J2016">
        <v>3.600219579</v>
      </c>
      <c r="K2016">
        <v>-0.293098474</v>
      </c>
      <c r="L2016">
        <v>-0.153917466</v>
      </c>
      <c r="M2016" s="21">
        <v>-1.26335698</v>
      </c>
      <c r="N2016">
        <v>-0.25119295200000002</v>
      </c>
    </row>
    <row r="2017" spans="1:14" x14ac:dyDescent="0.2">
      <c r="A2017" t="s">
        <v>27</v>
      </c>
      <c r="B2017">
        <v>242280</v>
      </c>
      <c r="C2017" t="s">
        <v>84</v>
      </c>
      <c r="D2017" t="s">
        <v>29</v>
      </c>
      <c r="E2017" t="s">
        <v>4168</v>
      </c>
      <c r="J2017">
        <v>3.600219579</v>
      </c>
      <c r="K2017">
        <v>-0.293098474</v>
      </c>
      <c r="L2017">
        <v>-0.153917466</v>
      </c>
      <c r="M2017" s="21">
        <v>-1.263775817</v>
      </c>
      <c r="N2017">
        <v>-0.25334467500000002</v>
      </c>
    </row>
    <row r="2018" spans="1:14" x14ac:dyDescent="0.2">
      <c r="A2018" t="s">
        <v>1544</v>
      </c>
      <c r="B2018">
        <v>242200</v>
      </c>
      <c r="C2018" t="s">
        <v>84</v>
      </c>
      <c r="D2018" t="s">
        <v>1545</v>
      </c>
      <c r="E2018" t="s">
        <v>4169</v>
      </c>
      <c r="J2018">
        <v>3.600219579</v>
      </c>
      <c r="K2018">
        <v>-0.293098474</v>
      </c>
      <c r="L2018">
        <v>-0.153917466</v>
      </c>
      <c r="M2018" s="21">
        <v>-1.263880527</v>
      </c>
      <c r="N2018">
        <v>-0.25388260600000001</v>
      </c>
    </row>
    <row r="2019" spans="1:14" x14ac:dyDescent="0.2">
      <c r="A2019" t="s">
        <v>148</v>
      </c>
      <c r="B2019">
        <v>293960</v>
      </c>
      <c r="C2019" t="s">
        <v>14</v>
      </c>
      <c r="D2019" t="s">
        <v>148</v>
      </c>
      <c r="E2019" t="s">
        <v>4170</v>
      </c>
      <c r="G2019" t="s">
        <v>4171</v>
      </c>
      <c r="J2019">
        <v>6.7484204910000001</v>
      </c>
      <c r="K2019">
        <v>0.48629166299999999</v>
      </c>
      <c r="L2019">
        <v>0.375053939</v>
      </c>
      <c r="M2019" s="21">
        <v>-1.2638828019999999</v>
      </c>
      <c r="N2019">
        <v>-0.25389429299999999</v>
      </c>
    </row>
    <row r="2020" spans="1:14" x14ac:dyDescent="0.2">
      <c r="A2020" t="s">
        <v>89</v>
      </c>
      <c r="B2020">
        <v>156320</v>
      </c>
      <c r="C2020" t="s">
        <v>68</v>
      </c>
      <c r="D2020" t="s">
        <v>90</v>
      </c>
      <c r="E2020" t="s">
        <v>4172</v>
      </c>
      <c r="G2020" t="s">
        <v>4173</v>
      </c>
      <c r="J2020">
        <v>6.4561903559999996</v>
      </c>
      <c r="K2020">
        <v>0.47291064100000002</v>
      </c>
      <c r="L2020">
        <v>0.34414126499999997</v>
      </c>
      <c r="M2020" s="21">
        <v>-1.264015009</v>
      </c>
      <c r="N2020">
        <v>-0.25457349000000001</v>
      </c>
    </row>
    <row r="2021" spans="1:14" x14ac:dyDescent="0.2">
      <c r="A2021" t="s">
        <v>361</v>
      </c>
      <c r="B2021">
        <v>43120</v>
      </c>
      <c r="C2021" t="s">
        <v>34</v>
      </c>
      <c r="D2021" t="s">
        <v>361</v>
      </c>
      <c r="E2021" t="s">
        <v>4174</v>
      </c>
      <c r="G2021" t="s">
        <v>4175</v>
      </c>
      <c r="J2021">
        <v>7.0544859390000001</v>
      </c>
      <c r="K2021">
        <v>0.623000361</v>
      </c>
      <c r="L2021">
        <v>0.42866702800000001</v>
      </c>
      <c r="M2021" s="21">
        <v>-1.2645000790000001</v>
      </c>
      <c r="N2021">
        <v>-0.25706547899999999</v>
      </c>
    </row>
    <row r="2022" spans="1:14" x14ac:dyDescent="0.2">
      <c r="A2022" t="s">
        <v>868</v>
      </c>
      <c r="B2022">
        <v>42640</v>
      </c>
      <c r="C2022" t="s">
        <v>34</v>
      </c>
      <c r="D2022" t="s">
        <v>869</v>
      </c>
      <c r="E2022" t="s">
        <v>4176</v>
      </c>
      <c r="G2022" t="s">
        <v>4177</v>
      </c>
      <c r="J2022">
        <v>7.0544859390000001</v>
      </c>
      <c r="K2022">
        <v>0.623000361</v>
      </c>
      <c r="L2022">
        <v>0.42866702800000001</v>
      </c>
      <c r="M2022" s="21">
        <v>-1.2649220269999999</v>
      </c>
      <c r="N2022">
        <v>-0.259233186</v>
      </c>
    </row>
    <row r="2023" spans="1:14" x14ac:dyDescent="0.2">
      <c r="A2023" t="s">
        <v>1137</v>
      </c>
      <c r="B2023">
        <v>42520</v>
      </c>
      <c r="C2023" t="s">
        <v>34</v>
      </c>
      <c r="D2023" t="s">
        <v>1137</v>
      </c>
      <c r="E2023" t="s">
        <v>4178</v>
      </c>
      <c r="G2023" t="s">
        <v>4179</v>
      </c>
      <c r="J2023">
        <v>7.0544859390000001</v>
      </c>
      <c r="K2023">
        <v>0.623000361</v>
      </c>
      <c r="L2023">
        <v>0.42866702800000001</v>
      </c>
      <c r="M2023" s="21">
        <v>-1.2650275150000001</v>
      </c>
      <c r="N2023">
        <v>-0.25977511199999997</v>
      </c>
    </row>
    <row r="2024" spans="1:14" x14ac:dyDescent="0.2">
      <c r="A2024" t="s">
        <v>522</v>
      </c>
      <c r="B2024">
        <v>155200</v>
      </c>
      <c r="C2024" t="s">
        <v>68</v>
      </c>
      <c r="D2024" t="s">
        <v>522</v>
      </c>
      <c r="E2024" t="s">
        <v>4180</v>
      </c>
      <c r="G2024" t="s">
        <v>4181</v>
      </c>
      <c r="J2024">
        <v>6.4561903559999996</v>
      </c>
      <c r="K2024">
        <v>0.47291064100000002</v>
      </c>
      <c r="L2024">
        <v>0.34414126499999997</v>
      </c>
      <c r="M2024" s="21">
        <v>-1.265098107</v>
      </c>
      <c r="N2024">
        <v>-0.26013777399999999</v>
      </c>
    </row>
    <row r="2025" spans="1:14" x14ac:dyDescent="0.2">
      <c r="A2025" t="s">
        <v>2224</v>
      </c>
      <c r="B2025">
        <v>208200</v>
      </c>
      <c r="C2025" t="s">
        <v>130</v>
      </c>
      <c r="D2025" t="s">
        <v>2224</v>
      </c>
      <c r="E2025" t="s">
        <v>4182</v>
      </c>
      <c r="G2025" t="s">
        <v>4183</v>
      </c>
      <c r="J2025">
        <v>5.1222566499999997</v>
      </c>
      <c r="K2025">
        <v>0.21422175600000001</v>
      </c>
      <c r="L2025">
        <v>0.25354511400000002</v>
      </c>
      <c r="M2025" s="21">
        <v>-1.2651227570000001</v>
      </c>
      <c r="N2025">
        <v>-0.26026440699999998</v>
      </c>
    </row>
    <row r="2026" spans="1:14" x14ac:dyDescent="0.2">
      <c r="A2026" t="s">
        <v>749</v>
      </c>
      <c r="B2026">
        <v>155120</v>
      </c>
      <c r="C2026" t="s">
        <v>68</v>
      </c>
      <c r="D2026" t="s">
        <v>749</v>
      </c>
      <c r="E2026" t="s">
        <v>4184</v>
      </c>
      <c r="G2026" t="s">
        <v>4185</v>
      </c>
      <c r="J2026">
        <v>6.4561903559999996</v>
      </c>
      <c r="K2026">
        <v>0.47291064100000002</v>
      </c>
      <c r="L2026">
        <v>0.34414126499999997</v>
      </c>
      <c r="M2026" s="21">
        <v>-1.2651754719999999</v>
      </c>
      <c r="N2026">
        <v>-0.26053522299999998</v>
      </c>
    </row>
    <row r="2027" spans="1:14" x14ac:dyDescent="0.2">
      <c r="A2027" t="s">
        <v>2791</v>
      </c>
      <c r="B2027">
        <v>42160</v>
      </c>
      <c r="C2027" t="s">
        <v>34</v>
      </c>
      <c r="D2027" t="s">
        <v>2792</v>
      </c>
      <c r="E2027" t="s">
        <v>4186</v>
      </c>
      <c r="G2027" t="s">
        <v>4187</v>
      </c>
      <c r="J2027">
        <v>7.0544859390000001</v>
      </c>
      <c r="K2027">
        <v>0.623000361</v>
      </c>
      <c r="L2027">
        <v>0.42866702800000001</v>
      </c>
      <c r="M2027" s="21">
        <v>-1.265343976</v>
      </c>
      <c r="N2027">
        <v>-0.261400892</v>
      </c>
    </row>
    <row r="2028" spans="1:14" x14ac:dyDescent="0.2">
      <c r="A2028" t="s">
        <v>907</v>
      </c>
      <c r="B2028">
        <v>92600</v>
      </c>
      <c r="C2028" t="s">
        <v>28</v>
      </c>
      <c r="D2028" t="s">
        <v>907</v>
      </c>
      <c r="E2028" t="s">
        <v>4188</v>
      </c>
      <c r="G2028" t="s">
        <v>4189</v>
      </c>
      <c r="J2028">
        <v>5.8462906840000004</v>
      </c>
      <c r="K2028">
        <v>0.60615847</v>
      </c>
      <c r="L2028">
        <v>0.28550877299999999</v>
      </c>
      <c r="M2028" s="21">
        <v>-1.2654268040000001</v>
      </c>
      <c r="N2028">
        <v>-0.26182641400000001</v>
      </c>
    </row>
    <row r="2029" spans="1:14" x14ac:dyDescent="0.2">
      <c r="A2029" t="s">
        <v>2657</v>
      </c>
      <c r="B2029">
        <v>253960</v>
      </c>
      <c r="C2029" t="s">
        <v>100</v>
      </c>
      <c r="D2029" t="s">
        <v>2658</v>
      </c>
      <c r="E2029" t="s">
        <v>4190</v>
      </c>
      <c r="G2029" t="s">
        <v>4191</v>
      </c>
      <c r="J2029">
        <v>5.9110743220000002</v>
      </c>
      <c r="K2029">
        <v>0.71598987199999997</v>
      </c>
      <c r="L2029">
        <v>0.29077365599999999</v>
      </c>
      <c r="M2029" s="21">
        <v>-1.265491294</v>
      </c>
      <c r="N2029">
        <v>-0.26215771999999998</v>
      </c>
    </row>
    <row r="2030" spans="1:14" x14ac:dyDescent="0.2">
      <c r="A2030" t="s">
        <v>448</v>
      </c>
      <c r="B2030">
        <v>92480</v>
      </c>
      <c r="C2030" t="s">
        <v>28</v>
      </c>
      <c r="D2030" t="s">
        <v>448</v>
      </c>
      <c r="E2030" t="s">
        <v>4192</v>
      </c>
      <c r="G2030" t="s">
        <v>4193</v>
      </c>
      <c r="J2030">
        <v>5.8462906840000004</v>
      </c>
      <c r="K2030">
        <v>0.60615847</v>
      </c>
      <c r="L2030">
        <v>0.28550877299999999</v>
      </c>
      <c r="M2030" s="21">
        <v>-1.2655351420000001</v>
      </c>
      <c r="N2030">
        <v>-0.26238298399999999</v>
      </c>
    </row>
    <row r="2031" spans="1:14" x14ac:dyDescent="0.2">
      <c r="A2031" t="s">
        <v>772</v>
      </c>
      <c r="B2031">
        <v>41800</v>
      </c>
      <c r="C2031" t="s">
        <v>34</v>
      </c>
      <c r="D2031" t="s">
        <v>772</v>
      </c>
      <c r="E2031" t="s">
        <v>4194</v>
      </c>
      <c r="G2031" t="s">
        <v>4195</v>
      </c>
      <c r="J2031">
        <v>7.0544859390000001</v>
      </c>
      <c r="K2031">
        <v>0.623000361</v>
      </c>
      <c r="L2031">
        <v>0.42866702800000001</v>
      </c>
      <c r="M2031" s="21">
        <v>-1.265660437</v>
      </c>
      <c r="N2031">
        <v>-0.26302667200000002</v>
      </c>
    </row>
    <row r="2032" spans="1:14" x14ac:dyDescent="0.2">
      <c r="A2032" t="s">
        <v>389</v>
      </c>
      <c r="B2032">
        <v>41520</v>
      </c>
      <c r="C2032" t="s">
        <v>34</v>
      </c>
      <c r="D2032" t="s">
        <v>389</v>
      </c>
      <c r="J2032">
        <v>7.0544859390000001</v>
      </c>
      <c r="K2032">
        <v>0.623000361</v>
      </c>
      <c r="L2032">
        <v>0.42866702800000001</v>
      </c>
      <c r="M2032" s="21">
        <v>-1.265906574</v>
      </c>
      <c r="N2032">
        <v>-0.26429116800000002</v>
      </c>
    </row>
    <row r="2033" spans="1:14" x14ac:dyDescent="0.2">
      <c r="A2033" t="s">
        <v>1101</v>
      </c>
      <c r="B2033">
        <v>207160</v>
      </c>
      <c r="C2033" t="s">
        <v>130</v>
      </c>
      <c r="D2033" t="s">
        <v>1101</v>
      </c>
      <c r="E2033" t="s">
        <v>4196</v>
      </c>
      <c r="G2033" t="s">
        <v>4197</v>
      </c>
      <c r="J2033">
        <v>5.1222566499999997</v>
      </c>
      <c r="K2033">
        <v>0.21422175600000001</v>
      </c>
      <c r="L2033">
        <v>0.25354511400000002</v>
      </c>
      <c r="M2033" s="21">
        <v>-1.26595042</v>
      </c>
      <c r="N2033">
        <v>-0.26451642199999997</v>
      </c>
    </row>
    <row r="2034" spans="1:14" x14ac:dyDescent="0.2">
      <c r="A2034" t="s">
        <v>753</v>
      </c>
      <c r="B2034">
        <v>41400</v>
      </c>
      <c r="C2034" t="s">
        <v>34</v>
      </c>
      <c r="D2034" t="s">
        <v>753</v>
      </c>
      <c r="J2034">
        <v>7.0544859390000001</v>
      </c>
      <c r="K2034">
        <v>0.623000361</v>
      </c>
      <c r="L2034">
        <v>0.42866702800000001</v>
      </c>
      <c r="M2034" s="21">
        <v>-1.2660120610000001</v>
      </c>
      <c r="N2034">
        <v>-0.26483309399999999</v>
      </c>
    </row>
    <row r="2035" spans="1:14" x14ac:dyDescent="0.2">
      <c r="A2035" t="s">
        <v>1939</v>
      </c>
      <c r="B2035">
        <v>41040</v>
      </c>
      <c r="C2035" t="s">
        <v>34</v>
      </c>
      <c r="D2035" t="s">
        <v>1939</v>
      </c>
      <c r="E2035" t="s">
        <v>4198</v>
      </c>
      <c r="G2035" t="s">
        <v>4199</v>
      </c>
      <c r="J2035">
        <v>7.0544859390000001</v>
      </c>
      <c r="K2035">
        <v>0.623000361</v>
      </c>
      <c r="L2035">
        <v>0.42866702800000001</v>
      </c>
      <c r="M2035" s="21">
        <v>-1.266328522</v>
      </c>
      <c r="N2035">
        <v>-0.26645887400000001</v>
      </c>
    </row>
    <row r="2036" spans="1:14" x14ac:dyDescent="0.2">
      <c r="A2036" t="s">
        <v>1010</v>
      </c>
      <c r="B2036">
        <v>41000</v>
      </c>
      <c r="C2036" t="s">
        <v>34</v>
      </c>
      <c r="D2036" t="s">
        <v>1010</v>
      </c>
      <c r="E2036" t="s">
        <v>4200</v>
      </c>
      <c r="G2036" t="s">
        <v>4201</v>
      </c>
      <c r="J2036">
        <v>7.0544859390000001</v>
      </c>
      <c r="K2036">
        <v>0.623000361</v>
      </c>
      <c r="L2036">
        <v>0.42866702800000001</v>
      </c>
      <c r="M2036" s="21">
        <v>-1.2663636840000001</v>
      </c>
      <c r="N2036">
        <v>-0.26663951600000002</v>
      </c>
    </row>
    <row r="2037" spans="1:14" x14ac:dyDescent="0.2">
      <c r="A2037" t="s">
        <v>2457</v>
      </c>
      <c r="B2037">
        <v>40640</v>
      </c>
      <c r="C2037" t="s">
        <v>34</v>
      </c>
      <c r="D2037" t="s">
        <v>2458</v>
      </c>
      <c r="E2037" t="s">
        <v>4202</v>
      </c>
      <c r="G2037" t="s">
        <v>4203</v>
      </c>
      <c r="J2037">
        <v>7.0544859390000001</v>
      </c>
      <c r="K2037">
        <v>0.623000361</v>
      </c>
      <c r="L2037">
        <v>0.42866702800000001</v>
      </c>
      <c r="M2037" s="21">
        <v>-1.2666801459999999</v>
      </c>
      <c r="N2037">
        <v>-0.26826529599999999</v>
      </c>
    </row>
    <row r="2038" spans="1:14" x14ac:dyDescent="0.2">
      <c r="A2038" t="s">
        <v>1825</v>
      </c>
      <c r="B2038">
        <v>40400</v>
      </c>
      <c r="C2038" t="s">
        <v>34</v>
      </c>
      <c r="D2038" t="s">
        <v>1826</v>
      </c>
      <c r="E2038" t="s">
        <v>4204</v>
      </c>
      <c r="G2038" t="s">
        <v>4205</v>
      </c>
      <c r="J2038">
        <v>7.0544859390000001</v>
      </c>
      <c r="K2038">
        <v>0.623000361</v>
      </c>
      <c r="L2038">
        <v>0.42866702800000001</v>
      </c>
      <c r="M2038" s="21">
        <v>-1.2668911199999999</v>
      </c>
      <c r="N2038">
        <v>-0.26934914999999998</v>
      </c>
    </row>
    <row r="2039" spans="1:14" x14ac:dyDescent="0.2">
      <c r="A2039" t="s">
        <v>1181</v>
      </c>
      <c r="B2039">
        <v>268520</v>
      </c>
      <c r="C2039" t="s">
        <v>149</v>
      </c>
      <c r="D2039" t="s">
        <v>1181</v>
      </c>
      <c r="E2039" t="s">
        <v>4206</v>
      </c>
      <c r="G2039" t="s">
        <v>4207</v>
      </c>
      <c r="J2039">
        <v>5.0381074159999999</v>
      </c>
      <c r="K2039">
        <v>0.81312368999999995</v>
      </c>
      <c r="L2039">
        <v>0.16969141800000001</v>
      </c>
      <c r="M2039" s="21">
        <v>-1.2670476079999999</v>
      </c>
      <c r="N2039">
        <v>-0.27015309100000001</v>
      </c>
    </row>
    <row r="2040" spans="1:14" x14ac:dyDescent="0.2">
      <c r="A2040" t="s">
        <v>801</v>
      </c>
      <c r="B2040">
        <v>252240</v>
      </c>
      <c r="C2040" t="s">
        <v>58</v>
      </c>
      <c r="D2040" t="s">
        <v>801</v>
      </c>
      <c r="E2040" t="s">
        <v>4208</v>
      </c>
      <c r="G2040" t="s">
        <v>4209</v>
      </c>
      <c r="J2040">
        <v>4.5363847230000003</v>
      </c>
      <c r="K2040">
        <v>0.245646371</v>
      </c>
      <c r="L2040">
        <v>7.5242279999999995E-2</v>
      </c>
      <c r="M2040" s="21">
        <v>-1.267052313</v>
      </c>
      <c r="N2040">
        <v>-0.27017726199999997</v>
      </c>
    </row>
    <row r="2041" spans="1:14" x14ac:dyDescent="0.2">
      <c r="A2041" t="s">
        <v>2960</v>
      </c>
      <c r="B2041">
        <v>252040</v>
      </c>
      <c r="C2041" t="s">
        <v>58</v>
      </c>
      <c r="D2041" t="s">
        <v>2961</v>
      </c>
      <c r="E2041" t="s">
        <v>4210</v>
      </c>
      <c r="G2041" t="s">
        <v>4211</v>
      </c>
      <c r="J2041">
        <v>4.5363847230000003</v>
      </c>
      <c r="K2041">
        <v>0.245646371</v>
      </c>
      <c r="L2041">
        <v>7.5242279999999995E-2</v>
      </c>
      <c r="M2041" s="21">
        <v>-1.267245459</v>
      </c>
      <c r="N2041">
        <v>-0.27116952100000002</v>
      </c>
    </row>
    <row r="2042" spans="1:14" x14ac:dyDescent="0.2">
      <c r="A2042" t="s">
        <v>2385</v>
      </c>
      <c r="B2042">
        <v>268160</v>
      </c>
      <c r="C2042" t="s">
        <v>149</v>
      </c>
      <c r="D2042" t="s">
        <v>2385</v>
      </c>
      <c r="E2042" t="s">
        <v>4212</v>
      </c>
      <c r="G2042" t="s">
        <v>4213</v>
      </c>
      <c r="J2042">
        <v>5.0381074159999999</v>
      </c>
      <c r="K2042">
        <v>0.81312368999999995</v>
      </c>
      <c r="L2042">
        <v>0.16969141800000001</v>
      </c>
      <c r="M2042" s="21">
        <v>-1.26738047</v>
      </c>
      <c r="N2042">
        <v>-0.27186312600000001</v>
      </c>
    </row>
    <row r="2043" spans="1:14" x14ac:dyDescent="0.2">
      <c r="A2043" t="s">
        <v>27</v>
      </c>
      <c r="B2043">
        <v>39720</v>
      </c>
      <c r="C2043" t="s">
        <v>34</v>
      </c>
      <c r="D2043" t="s">
        <v>29</v>
      </c>
      <c r="E2043" t="s">
        <v>4214</v>
      </c>
      <c r="G2043" t="s">
        <v>4215</v>
      </c>
      <c r="J2043">
        <v>7.0544859390000001</v>
      </c>
      <c r="K2043">
        <v>0.623000361</v>
      </c>
      <c r="L2043">
        <v>0.42866702800000001</v>
      </c>
      <c r="M2043" s="21">
        <v>-1.2674888799999999</v>
      </c>
      <c r="N2043">
        <v>-0.27242006699999999</v>
      </c>
    </row>
    <row r="2044" spans="1:14" x14ac:dyDescent="0.2">
      <c r="A2044" t="s">
        <v>1431</v>
      </c>
      <c r="B2044">
        <v>39640</v>
      </c>
      <c r="C2044" t="s">
        <v>34</v>
      </c>
      <c r="D2044" t="s">
        <v>1431</v>
      </c>
      <c r="J2044">
        <v>7.0544859390000001</v>
      </c>
      <c r="K2044">
        <v>0.623000361</v>
      </c>
      <c r="L2044">
        <v>0.42866702800000001</v>
      </c>
      <c r="M2044" s="21">
        <v>-1.267559205</v>
      </c>
      <c r="N2044">
        <v>-0.27278135199999998</v>
      </c>
    </row>
    <row r="2045" spans="1:14" x14ac:dyDescent="0.2">
      <c r="A2045" t="s">
        <v>883</v>
      </c>
      <c r="B2045">
        <v>290600</v>
      </c>
      <c r="C2045" t="s">
        <v>14</v>
      </c>
      <c r="D2045" t="s">
        <v>883</v>
      </c>
      <c r="E2045" t="s">
        <v>4216</v>
      </c>
      <c r="G2045" t="s">
        <v>4217</v>
      </c>
      <c r="J2045">
        <v>6.7484204910000001</v>
      </c>
      <c r="K2045">
        <v>0.48629166299999999</v>
      </c>
      <c r="L2045">
        <v>0.375053939</v>
      </c>
      <c r="M2045" s="21">
        <v>-1.267564428</v>
      </c>
      <c r="N2045">
        <v>-0.27280818899999998</v>
      </c>
    </row>
    <row r="2046" spans="1:14" x14ac:dyDescent="0.2">
      <c r="A2046" t="s">
        <v>355</v>
      </c>
      <c r="B2046">
        <v>205120</v>
      </c>
      <c r="C2046" t="s">
        <v>130</v>
      </c>
      <c r="D2046" t="s">
        <v>356</v>
      </c>
      <c r="E2046" t="s">
        <v>4218</v>
      </c>
      <c r="G2046" t="s">
        <v>4219</v>
      </c>
      <c r="J2046">
        <v>5.1222566499999997</v>
      </c>
      <c r="K2046">
        <v>0.21422175600000001</v>
      </c>
      <c r="L2046">
        <v>0.25354511400000002</v>
      </c>
      <c r="M2046" s="21">
        <v>-1.2675739130000001</v>
      </c>
      <c r="N2046">
        <v>-0.27285691299999998</v>
      </c>
    </row>
    <row r="2047" spans="1:14" x14ac:dyDescent="0.2">
      <c r="A2047" t="s">
        <v>749</v>
      </c>
      <c r="B2047">
        <v>39560</v>
      </c>
      <c r="C2047" t="s">
        <v>34</v>
      </c>
      <c r="D2047" t="s">
        <v>749</v>
      </c>
      <c r="J2047">
        <v>7.0544859390000001</v>
      </c>
      <c r="K2047">
        <v>0.623000361</v>
      </c>
      <c r="L2047">
        <v>0.42866702800000001</v>
      </c>
      <c r="M2047" s="21">
        <v>-1.2676295289999999</v>
      </c>
      <c r="N2047">
        <v>-0.27314263599999999</v>
      </c>
    </row>
    <row r="2048" spans="1:14" x14ac:dyDescent="0.2">
      <c r="A2048" t="s">
        <v>2028</v>
      </c>
      <c r="B2048">
        <v>39440</v>
      </c>
      <c r="C2048" t="s">
        <v>34</v>
      </c>
      <c r="D2048" t="s">
        <v>2028</v>
      </c>
      <c r="J2048">
        <v>7.0544859390000001</v>
      </c>
      <c r="K2048">
        <v>0.623000361</v>
      </c>
      <c r="L2048">
        <v>0.42866702800000001</v>
      </c>
      <c r="M2048" s="21">
        <v>-1.267735016</v>
      </c>
      <c r="N2048">
        <v>-0.27368456299999999</v>
      </c>
    </row>
    <row r="2049" spans="1:14" x14ac:dyDescent="0.2">
      <c r="A2049" t="s">
        <v>1739</v>
      </c>
      <c r="B2049">
        <v>39200</v>
      </c>
      <c r="C2049" t="s">
        <v>34</v>
      </c>
      <c r="D2049" t="s">
        <v>1739</v>
      </c>
      <c r="J2049">
        <v>7.0544859390000001</v>
      </c>
      <c r="K2049">
        <v>0.623000361</v>
      </c>
      <c r="L2049">
        <v>0.42866702800000001</v>
      </c>
      <c r="M2049" s="21">
        <v>-1.2679459909999999</v>
      </c>
      <c r="N2049">
        <v>-0.27476841600000002</v>
      </c>
    </row>
    <row r="2050" spans="1:14" x14ac:dyDescent="0.2">
      <c r="A2050" t="s">
        <v>2335</v>
      </c>
      <c r="B2050">
        <v>39120</v>
      </c>
      <c r="C2050" t="s">
        <v>34</v>
      </c>
      <c r="D2050" t="s">
        <v>2335</v>
      </c>
      <c r="J2050">
        <v>7.0544859390000001</v>
      </c>
      <c r="K2050">
        <v>0.623000361</v>
      </c>
      <c r="L2050">
        <v>0.42866702800000001</v>
      </c>
      <c r="M2050" s="21">
        <v>-1.2680163149999999</v>
      </c>
      <c r="N2050">
        <v>-0.275129701</v>
      </c>
    </row>
    <row r="2051" spans="1:14" x14ac:dyDescent="0.2">
      <c r="A2051" t="s">
        <v>2073</v>
      </c>
      <c r="B2051">
        <v>89600</v>
      </c>
      <c r="C2051" t="s">
        <v>28</v>
      </c>
      <c r="D2051" t="s">
        <v>2074</v>
      </c>
      <c r="E2051" t="s">
        <v>4220</v>
      </c>
      <c r="G2051" t="s">
        <v>4221</v>
      </c>
      <c r="J2051">
        <v>5.8462906840000004</v>
      </c>
      <c r="K2051">
        <v>0.60615847</v>
      </c>
      <c r="L2051">
        <v>0.28550877299999999</v>
      </c>
      <c r="M2051" s="21">
        <v>-1.268135241</v>
      </c>
      <c r="N2051">
        <v>-0.27574066800000002</v>
      </c>
    </row>
    <row r="2052" spans="1:14" x14ac:dyDescent="0.2">
      <c r="A2052" t="s">
        <v>1857</v>
      </c>
      <c r="B2052">
        <v>38920</v>
      </c>
      <c r="C2052" t="s">
        <v>34</v>
      </c>
      <c r="D2052" t="s">
        <v>1858</v>
      </c>
      <c r="E2052" t="s">
        <v>4222</v>
      </c>
      <c r="G2052" t="s">
        <v>4223</v>
      </c>
      <c r="J2052">
        <v>7.0544859390000001</v>
      </c>
      <c r="K2052">
        <v>0.623000361</v>
      </c>
      <c r="L2052">
        <v>0.42866702800000001</v>
      </c>
      <c r="M2052" s="21">
        <v>-1.2681921270000001</v>
      </c>
      <c r="N2052">
        <v>-0.27603291200000002</v>
      </c>
    </row>
    <row r="2053" spans="1:14" x14ac:dyDescent="0.2">
      <c r="A2053" t="s">
        <v>1001</v>
      </c>
      <c r="B2053">
        <v>151960</v>
      </c>
      <c r="C2053" t="s">
        <v>68</v>
      </c>
      <c r="D2053" t="s">
        <v>1001</v>
      </c>
      <c r="E2053" t="s">
        <v>4224</v>
      </c>
      <c r="G2053" t="s">
        <v>4225</v>
      </c>
      <c r="J2053">
        <v>6.4561903559999996</v>
      </c>
      <c r="K2053">
        <v>0.47291064100000002</v>
      </c>
      <c r="L2053">
        <v>0.34414126499999997</v>
      </c>
      <c r="M2053" s="21">
        <v>-1.268231358</v>
      </c>
      <c r="N2053">
        <v>-0.27623445299999999</v>
      </c>
    </row>
    <row r="2054" spans="1:14" x14ac:dyDescent="0.2">
      <c r="A2054" t="s">
        <v>929</v>
      </c>
      <c r="B2054">
        <v>38520</v>
      </c>
      <c r="C2054" t="s">
        <v>34</v>
      </c>
      <c r="D2054" t="s">
        <v>929</v>
      </c>
      <c r="E2054" t="s">
        <v>4226</v>
      </c>
      <c r="G2054" t="s">
        <v>4227</v>
      </c>
      <c r="J2054">
        <v>7.0544859390000001</v>
      </c>
      <c r="K2054">
        <v>0.623000361</v>
      </c>
      <c r="L2054">
        <v>0.42866702800000001</v>
      </c>
      <c r="M2054" s="21">
        <v>-1.2685437509999999</v>
      </c>
      <c r="N2054">
        <v>-0.27783933399999999</v>
      </c>
    </row>
    <row r="2055" spans="1:14" x14ac:dyDescent="0.2">
      <c r="A2055" t="s">
        <v>1409</v>
      </c>
      <c r="B2055">
        <v>203760</v>
      </c>
      <c r="C2055" t="s">
        <v>130</v>
      </c>
      <c r="D2055" t="s">
        <v>1410</v>
      </c>
      <c r="E2055" t="s">
        <v>4228</v>
      </c>
      <c r="G2055" t="s">
        <v>4229</v>
      </c>
      <c r="J2055">
        <v>5.1222566499999997</v>
      </c>
      <c r="K2055">
        <v>0.21422175600000001</v>
      </c>
      <c r="L2055">
        <v>0.25354511400000002</v>
      </c>
      <c r="M2055" s="21">
        <v>-1.268656241</v>
      </c>
      <c r="N2055">
        <v>-0.27841724000000001</v>
      </c>
    </row>
    <row r="2056" spans="1:14" x14ac:dyDescent="0.2">
      <c r="A2056" t="s">
        <v>2294</v>
      </c>
      <c r="B2056">
        <v>238480</v>
      </c>
      <c r="C2056" t="s">
        <v>84</v>
      </c>
      <c r="D2056" t="s">
        <v>2294</v>
      </c>
      <c r="E2056" t="s">
        <v>4230</v>
      </c>
      <c r="J2056">
        <v>3.600219579</v>
      </c>
      <c r="K2056">
        <v>-0.293098474</v>
      </c>
      <c r="L2056">
        <v>-0.153917466</v>
      </c>
      <c r="M2056" s="21">
        <v>-1.2687495090000001</v>
      </c>
      <c r="N2056">
        <v>-0.27889639199999999</v>
      </c>
    </row>
    <row r="2057" spans="1:14" x14ac:dyDescent="0.2">
      <c r="A2057" t="s">
        <v>1290</v>
      </c>
      <c r="B2057">
        <v>37880</v>
      </c>
      <c r="C2057" t="s">
        <v>34</v>
      </c>
      <c r="D2057" t="s">
        <v>1291</v>
      </c>
      <c r="E2057" t="s">
        <v>4231</v>
      </c>
      <c r="G2057" t="s">
        <v>4232</v>
      </c>
      <c r="J2057">
        <v>7.0544859390000001</v>
      </c>
      <c r="K2057">
        <v>0.623000361</v>
      </c>
      <c r="L2057">
        <v>0.42866702800000001</v>
      </c>
      <c r="M2057" s="21">
        <v>-1.2691063490000001</v>
      </c>
      <c r="N2057">
        <v>-0.28072960899999999</v>
      </c>
    </row>
    <row r="2058" spans="1:14" x14ac:dyDescent="0.2">
      <c r="A2058" t="s">
        <v>650</v>
      </c>
      <c r="B2058">
        <v>37840</v>
      </c>
      <c r="C2058" t="s">
        <v>34</v>
      </c>
      <c r="D2058" t="s">
        <v>651</v>
      </c>
      <c r="E2058" t="s">
        <v>4233</v>
      </c>
      <c r="G2058" t="s">
        <v>4234</v>
      </c>
      <c r="J2058">
        <v>7.0544859390000001</v>
      </c>
      <c r="K2058">
        <v>0.623000361</v>
      </c>
      <c r="L2058">
        <v>0.42866702800000001</v>
      </c>
      <c r="M2058" s="21">
        <v>-1.2691415109999999</v>
      </c>
      <c r="N2058">
        <v>-0.28091025200000003</v>
      </c>
    </row>
    <row r="2059" spans="1:14" x14ac:dyDescent="0.2">
      <c r="A2059" t="s">
        <v>1582</v>
      </c>
      <c r="B2059">
        <v>289120</v>
      </c>
      <c r="C2059" t="s">
        <v>14</v>
      </c>
      <c r="D2059" t="s">
        <v>1583</v>
      </c>
      <c r="E2059" t="s">
        <v>4235</v>
      </c>
      <c r="G2059" t="s">
        <v>4236</v>
      </c>
      <c r="J2059">
        <v>6.7484204910000001</v>
      </c>
      <c r="K2059">
        <v>0.48629166299999999</v>
      </c>
      <c r="L2059">
        <v>0.375053939</v>
      </c>
      <c r="M2059" s="21">
        <v>-1.269186097</v>
      </c>
      <c r="N2059">
        <v>-0.281139309</v>
      </c>
    </row>
    <row r="2060" spans="1:14" x14ac:dyDescent="0.2">
      <c r="A2060" t="s">
        <v>2911</v>
      </c>
      <c r="B2060">
        <v>37720</v>
      </c>
      <c r="C2060" t="s">
        <v>34</v>
      </c>
      <c r="D2060" t="s">
        <v>2912</v>
      </c>
      <c r="E2060" t="s">
        <v>4237</v>
      </c>
      <c r="G2060" t="s">
        <v>4238</v>
      </c>
      <c r="J2060">
        <v>7.0544859390000001</v>
      </c>
      <c r="K2060">
        <v>0.623000361</v>
      </c>
      <c r="L2060">
        <v>0.42866702800000001</v>
      </c>
      <c r="M2060" s="21">
        <v>-1.2692469980000001</v>
      </c>
      <c r="N2060">
        <v>-0.281452178</v>
      </c>
    </row>
    <row r="2061" spans="1:14" x14ac:dyDescent="0.2">
      <c r="A2061" t="s">
        <v>462</v>
      </c>
      <c r="B2061">
        <v>88160</v>
      </c>
      <c r="C2061" t="s">
        <v>28</v>
      </c>
      <c r="D2061" t="s">
        <v>462</v>
      </c>
      <c r="E2061" t="s">
        <v>4239</v>
      </c>
      <c r="G2061" t="s">
        <v>4240</v>
      </c>
      <c r="J2061">
        <v>5.8462906840000004</v>
      </c>
      <c r="K2061">
        <v>0.60615847</v>
      </c>
      <c r="L2061">
        <v>0.28550877299999999</v>
      </c>
      <c r="M2061" s="21">
        <v>-1.269435291</v>
      </c>
      <c r="N2061">
        <v>-0.28241950900000001</v>
      </c>
    </row>
    <row r="2062" spans="1:14" x14ac:dyDescent="0.2">
      <c r="A2062" t="s">
        <v>1413</v>
      </c>
      <c r="B2062">
        <v>265920</v>
      </c>
      <c r="C2062" t="s">
        <v>149</v>
      </c>
      <c r="D2062" t="s">
        <v>1413</v>
      </c>
      <c r="E2062" t="s">
        <v>4241</v>
      </c>
      <c r="G2062" t="s">
        <v>4242</v>
      </c>
      <c r="J2062">
        <v>5.0381074159999999</v>
      </c>
      <c r="K2062">
        <v>0.81312368999999995</v>
      </c>
      <c r="L2062">
        <v>0.16969141800000001</v>
      </c>
      <c r="M2062" s="21">
        <v>-1.26945161</v>
      </c>
      <c r="N2062">
        <v>-0.28250334799999999</v>
      </c>
    </row>
    <row r="2063" spans="1:14" x14ac:dyDescent="0.2">
      <c r="A2063" t="s">
        <v>2167</v>
      </c>
      <c r="B2063">
        <v>150680</v>
      </c>
      <c r="C2063" t="s">
        <v>68</v>
      </c>
      <c r="D2063" t="s">
        <v>2168</v>
      </c>
      <c r="E2063" t="s">
        <v>4243</v>
      </c>
      <c r="G2063" t="s">
        <v>4244</v>
      </c>
      <c r="J2063">
        <v>6.4561903559999996</v>
      </c>
      <c r="K2063">
        <v>0.47291064100000002</v>
      </c>
      <c r="L2063">
        <v>0.34414126499999997</v>
      </c>
      <c r="M2063" s="21">
        <v>-1.2694691849999999</v>
      </c>
      <c r="N2063">
        <v>-0.28259363500000001</v>
      </c>
    </row>
    <row r="2064" spans="1:14" x14ac:dyDescent="0.2">
      <c r="A2064" t="s">
        <v>3235</v>
      </c>
      <c r="B2064">
        <v>37440</v>
      </c>
      <c r="C2064" t="s">
        <v>34</v>
      </c>
      <c r="D2064" t="s">
        <v>3236</v>
      </c>
      <c r="E2064" t="s">
        <v>4245</v>
      </c>
      <c r="G2064" t="s">
        <v>4246</v>
      </c>
      <c r="J2064">
        <v>7.0544859390000001</v>
      </c>
      <c r="K2064">
        <v>0.623000361</v>
      </c>
      <c r="L2064">
        <v>0.42866702800000001</v>
      </c>
      <c r="M2064" s="21">
        <v>-1.2694931350000001</v>
      </c>
      <c r="N2064">
        <v>-0.282716674</v>
      </c>
    </row>
    <row r="2065" spans="1:14" x14ac:dyDescent="0.2">
      <c r="A2065" t="s">
        <v>2089</v>
      </c>
      <c r="B2065">
        <v>249680</v>
      </c>
      <c r="C2065" t="s">
        <v>58</v>
      </c>
      <c r="D2065" t="s">
        <v>2090</v>
      </c>
      <c r="E2065" t="s">
        <v>4247</v>
      </c>
      <c r="G2065" t="s">
        <v>4248</v>
      </c>
      <c r="J2065">
        <v>4.5363847230000003</v>
      </c>
      <c r="K2065">
        <v>0.245646371</v>
      </c>
      <c r="L2065">
        <v>7.5242279999999995E-2</v>
      </c>
      <c r="M2065" s="21">
        <v>-1.269524573</v>
      </c>
      <c r="N2065">
        <v>-0.28287818399999998</v>
      </c>
    </row>
    <row r="2066" spans="1:14" x14ac:dyDescent="0.2">
      <c r="A2066" t="s">
        <v>1089</v>
      </c>
      <c r="B2066">
        <v>202200</v>
      </c>
      <c r="C2066" t="s">
        <v>130</v>
      </c>
      <c r="D2066" t="s">
        <v>1089</v>
      </c>
      <c r="E2066" t="s">
        <v>4249</v>
      </c>
      <c r="G2066" t="s">
        <v>4250</v>
      </c>
      <c r="J2066">
        <v>5.1222566499999997</v>
      </c>
      <c r="K2066">
        <v>0.21422175600000001</v>
      </c>
      <c r="L2066">
        <v>0.25354511400000002</v>
      </c>
      <c r="M2066" s="21">
        <v>-1.2698977360000001</v>
      </c>
      <c r="N2066">
        <v>-0.28479526199999999</v>
      </c>
    </row>
    <row r="2067" spans="1:14" x14ac:dyDescent="0.2">
      <c r="A2067" t="s">
        <v>1362</v>
      </c>
      <c r="B2067">
        <v>36680</v>
      </c>
      <c r="C2067" t="s">
        <v>34</v>
      </c>
      <c r="D2067" t="s">
        <v>1362</v>
      </c>
      <c r="E2067" t="s">
        <v>4251</v>
      </c>
      <c r="G2067" t="s">
        <v>4252</v>
      </c>
      <c r="J2067">
        <v>7.0544859390000001</v>
      </c>
      <c r="K2067">
        <v>0.623000361</v>
      </c>
      <c r="L2067">
        <v>0.42866702800000001</v>
      </c>
      <c r="M2067" s="21">
        <v>-1.270161219</v>
      </c>
      <c r="N2067">
        <v>-0.286148876</v>
      </c>
    </row>
    <row r="2068" spans="1:14" x14ac:dyDescent="0.2">
      <c r="A2068" t="s">
        <v>1275</v>
      </c>
      <c r="B2068">
        <v>36640</v>
      </c>
      <c r="C2068" t="s">
        <v>34</v>
      </c>
      <c r="D2068" t="s">
        <v>1276</v>
      </c>
      <c r="E2068" t="s">
        <v>4253</v>
      </c>
      <c r="G2068" t="s">
        <v>4254</v>
      </c>
      <c r="J2068">
        <v>7.0544859390000001</v>
      </c>
      <c r="K2068">
        <v>0.623000361</v>
      </c>
      <c r="L2068">
        <v>0.42866702800000001</v>
      </c>
      <c r="M2068" s="21">
        <v>-1.270196382</v>
      </c>
      <c r="N2068">
        <v>-0.28632951800000001</v>
      </c>
    </row>
    <row r="2069" spans="1:14" x14ac:dyDescent="0.2">
      <c r="A2069" t="s">
        <v>1494</v>
      </c>
      <c r="B2069">
        <v>36560</v>
      </c>
      <c r="C2069" t="s">
        <v>34</v>
      </c>
      <c r="D2069" t="s">
        <v>1494</v>
      </c>
      <c r="J2069">
        <v>7.0544859390000001</v>
      </c>
      <c r="K2069">
        <v>0.623000361</v>
      </c>
      <c r="L2069">
        <v>0.42866702800000001</v>
      </c>
      <c r="M2069" s="21">
        <v>-1.270266707</v>
      </c>
      <c r="N2069">
        <v>-0.28669080200000002</v>
      </c>
    </row>
    <row r="2070" spans="1:14" x14ac:dyDescent="0.2">
      <c r="A2070" t="s">
        <v>2230</v>
      </c>
      <c r="B2070">
        <v>36400</v>
      </c>
      <c r="C2070" t="s">
        <v>34</v>
      </c>
      <c r="D2070" t="s">
        <v>2231</v>
      </c>
      <c r="E2070" t="s">
        <v>4255</v>
      </c>
      <c r="G2070" t="s">
        <v>4256</v>
      </c>
      <c r="J2070">
        <v>7.0544859390000001</v>
      </c>
      <c r="K2070">
        <v>0.623000361</v>
      </c>
      <c r="L2070">
        <v>0.42866702800000001</v>
      </c>
      <c r="M2070" s="21">
        <v>-1.270407356</v>
      </c>
      <c r="N2070">
        <v>-0.28741337099999997</v>
      </c>
    </row>
    <row r="2071" spans="1:14" x14ac:dyDescent="0.2">
      <c r="A2071" t="s">
        <v>2054</v>
      </c>
      <c r="B2071">
        <v>36400</v>
      </c>
      <c r="C2071" t="s">
        <v>34</v>
      </c>
      <c r="D2071" t="s">
        <v>2054</v>
      </c>
      <c r="E2071" t="s">
        <v>4257</v>
      </c>
      <c r="G2071" t="s">
        <v>4258</v>
      </c>
      <c r="J2071">
        <v>7.0544859390000001</v>
      </c>
      <c r="K2071">
        <v>0.623000361</v>
      </c>
      <c r="L2071">
        <v>0.42866702800000001</v>
      </c>
      <c r="M2071" s="21">
        <v>-1.270407356</v>
      </c>
      <c r="N2071">
        <v>-0.28741337099999997</v>
      </c>
    </row>
    <row r="2072" spans="1:14" x14ac:dyDescent="0.2">
      <c r="A2072" t="s">
        <v>697</v>
      </c>
      <c r="B2072">
        <v>237200</v>
      </c>
      <c r="C2072" t="s">
        <v>84</v>
      </c>
      <c r="D2072" t="s">
        <v>698</v>
      </c>
      <c r="E2072" t="s">
        <v>4259</v>
      </c>
      <c r="G2072" t="s">
        <v>4260</v>
      </c>
      <c r="J2072">
        <v>3.600219579</v>
      </c>
      <c r="K2072">
        <v>-0.293098474</v>
      </c>
      <c r="L2072">
        <v>-0.153917466</v>
      </c>
      <c r="M2072" s="21">
        <v>-1.2704248579999999</v>
      </c>
      <c r="N2072">
        <v>-0.28750328600000002</v>
      </c>
    </row>
    <row r="2073" spans="1:14" x14ac:dyDescent="0.2">
      <c r="A2073" t="s">
        <v>3235</v>
      </c>
      <c r="B2073">
        <v>248720</v>
      </c>
      <c r="C2073" t="s">
        <v>100</v>
      </c>
      <c r="D2073" t="s">
        <v>3236</v>
      </c>
      <c r="E2073" t="s">
        <v>4261</v>
      </c>
      <c r="G2073" t="s">
        <v>4262</v>
      </c>
      <c r="J2073">
        <v>5.9110743220000002</v>
      </c>
      <c r="K2073">
        <v>0.71598987199999997</v>
      </c>
      <c r="L2073">
        <v>0.29077365599999999</v>
      </c>
      <c r="M2073" s="21">
        <v>-1.2706931130000001</v>
      </c>
      <c r="N2073">
        <v>-0.28888141000000001</v>
      </c>
    </row>
    <row r="2074" spans="1:14" x14ac:dyDescent="0.2">
      <c r="A2074" t="s">
        <v>883</v>
      </c>
      <c r="B2074">
        <v>264520</v>
      </c>
      <c r="C2074" t="s">
        <v>149</v>
      </c>
      <c r="D2074" t="s">
        <v>883</v>
      </c>
      <c r="E2074" t="s">
        <v>4263</v>
      </c>
      <c r="G2074" t="s">
        <v>4264</v>
      </c>
      <c r="J2074">
        <v>5.0381074159999999</v>
      </c>
      <c r="K2074">
        <v>0.81312368999999995</v>
      </c>
      <c r="L2074">
        <v>0.16969141800000001</v>
      </c>
      <c r="M2074" s="21">
        <v>-1.270746073</v>
      </c>
      <c r="N2074">
        <v>-0.28915348600000002</v>
      </c>
    </row>
    <row r="2075" spans="1:14" x14ac:dyDescent="0.2">
      <c r="A2075" t="s">
        <v>1461</v>
      </c>
      <c r="B2075">
        <v>35960</v>
      </c>
      <c r="C2075" t="s">
        <v>34</v>
      </c>
      <c r="D2075" t="s">
        <v>1461</v>
      </c>
      <c r="E2075" t="s">
        <v>4265</v>
      </c>
      <c r="G2075" t="s">
        <v>4266</v>
      </c>
      <c r="J2075">
        <v>7.0544859390000001</v>
      </c>
      <c r="K2075">
        <v>0.623000361</v>
      </c>
      <c r="L2075">
        <v>0.42866702800000001</v>
      </c>
      <c r="M2075" s="21">
        <v>-1.270794142</v>
      </c>
      <c r="N2075">
        <v>-0.28940043599999998</v>
      </c>
    </row>
    <row r="2076" spans="1:14" x14ac:dyDescent="0.2">
      <c r="A2076" t="s">
        <v>1736</v>
      </c>
      <c r="B2076">
        <v>35800</v>
      </c>
      <c r="C2076" t="s">
        <v>34</v>
      </c>
      <c r="D2076" t="s">
        <v>1736</v>
      </c>
      <c r="E2076" t="s">
        <v>4267</v>
      </c>
      <c r="G2076" t="s">
        <v>4268</v>
      </c>
      <c r="J2076">
        <v>7.0544859390000001</v>
      </c>
      <c r="K2076">
        <v>0.623000361</v>
      </c>
      <c r="L2076">
        <v>0.42866702800000001</v>
      </c>
      <c r="M2076" s="21">
        <v>-1.270934791</v>
      </c>
      <c r="N2076">
        <v>-0.29012300499999999</v>
      </c>
    </row>
    <row r="2077" spans="1:14" x14ac:dyDescent="0.2">
      <c r="A2077" t="s">
        <v>1683</v>
      </c>
      <c r="B2077">
        <v>35760</v>
      </c>
      <c r="C2077" t="s">
        <v>34</v>
      </c>
      <c r="D2077" t="s">
        <v>1683</v>
      </c>
      <c r="E2077" t="s">
        <v>4269</v>
      </c>
      <c r="G2077" t="s">
        <v>4270</v>
      </c>
      <c r="J2077">
        <v>7.0544859390000001</v>
      </c>
      <c r="K2077">
        <v>0.623000361</v>
      </c>
      <c r="L2077">
        <v>0.42866702800000001</v>
      </c>
      <c r="M2077" s="21">
        <v>-1.2709699539999999</v>
      </c>
      <c r="N2077">
        <v>-0.290303647</v>
      </c>
    </row>
    <row r="2078" spans="1:14" x14ac:dyDescent="0.2">
      <c r="A2078" t="s">
        <v>1714</v>
      </c>
      <c r="B2078">
        <v>248160</v>
      </c>
      <c r="C2078" t="s">
        <v>58</v>
      </c>
      <c r="D2078" t="s">
        <v>1715</v>
      </c>
      <c r="E2078" t="s">
        <v>4271</v>
      </c>
      <c r="G2078" t="s">
        <v>4272</v>
      </c>
      <c r="J2078">
        <v>4.5363847230000003</v>
      </c>
      <c r="K2078">
        <v>0.245646371</v>
      </c>
      <c r="L2078">
        <v>7.5242279999999995E-2</v>
      </c>
      <c r="M2078" s="21">
        <v>-1.2709924770000001</v>
      </c>
      <c r="N2078">
        <v>-0.29041935699999999</v>
      </c>
    </row>
    <row r="2079" spans="1:14" x14ac:dyDescent="0.2">
      <c r="A2079" t="s">
        <v>2319</v>
      </c>
      <c r="B2079">
        <v>35640</v>
      </c>
      <c r="C2079" t="s">
        <v>34</v>
      </c>
      <c r="D2079" t="s">
        <v>2320</v>
      </c>
      <c r="E2079" t="s">
        <v>4273</v>
      </c>
      <c r="G2079" t="s">
        <v>4274</v>
      </c>
      <c r="J2079">
        <v>7.0544859390000001</v>
      </c>
      <c r="K2079">
        <v>0.623000361</v>
      </c>
      <c r="L2079">
        <v>0.42866702800000001</v>
      </c>
      <c r="M2079" s="21">
        <v>-1.271075441</v>
      </c>
      <c r="N2079">
        <v>-0.29084557300000002</v>
      </c>
    </row>
    <row r="2080" spans="1:14" x14ac:dyDescent="0.2">
      <c r="A2080" t="s">
        <v>919</v>
      </c>
      <c r="B2080">
        <v>86320</v>
      </c>
      <c r="C2080" t="s">
        <v>28</v>
      </c>
      <c r="D2080" t="s">
        <v>919</v>
      </c>
      <c r="E2080" t="s">
        <v>4275</v>
      </c>
      <c r="G2080" t="s">
        <v>4276</v>
      </c>
      <c r="J2080">
        <v>5.8462906840000004</v>
      </c>
      <c r="K2080">
        <v>0.60615847</v>
      </c>
      <c r="L2080">
        <v>0.28550877299999999</v>
      </c>
      <c r="M2080" s="21">
        <v>-1.2710964650000001</v>
      </c>
      <c r="N2080">
        <v>-0.29095358500000001</v>
      </c>
    </row>
    <row r="2081" spans="1:14" x14ac:dyDescent="0.2">
      <c r="A2081" t="s">
        <v>1788</v>
      </c>
      <c r="B2081">
        <v>35600</v>
      </c>
      <c r="C2081" t="s">
        <v>34</v>
      </c>
      <c r="D2081" t="s">
        <v>1788</v>
      </c>
      <c r="J2081">
        <v>7.0544859390000001</v>
      </c>
      <c r="K2081">
        <v>0.623000361</v>
      </c>
      <c r="L2081">
        <v>0.42866702800000001</v>
      </c>
      <c r="M2081" s="21">
        <v>-1.2711106029999999</v>
      </c>
      <c r="N2081">
        <v>-0.291026216</v>
      </c>
    </row>
    <row r="2082" spans="1:14" x14ac:dyDescent="0.2">
      <c r="A2082" t="s">
        <v>185</v>
      </c>
      <c r="B2082">
        <v>35400</v>
      </c>
      <c r="C2082" t="s">
        <v>34</v>
      </c>
      <c r="D2082" t="s">
        <v>185</v>
      </c>
      <c r="E2082" t="s">
        <v>4277</v>
      </c>
      <c r="G2082" t="s">
        <v>4278</v>
      </c>
      <c r="J2082">
        <v>7.0544859390000001</v>
      </c>
      <c r="K2082">
        <v>0.623000361</v>
      </c>
      <c r="L2082">
        <v>0.42866702800000001</v>
      </c>
      <c r="M2082" s="21">
        <v>-1.2712864150000001</v>
      </c>
      <c r="N2082">
        <v>-0.29192942700000002</v>
      </c>
    </row>
    <row r="2083" spans="1:14" x14ac:dyDescent="0.2">
      <c r="A2083" t="s">
        <v>361</v>
      </c>
      <c r="B2083">
        <v>287160</v>
      </c>
      <c r="C2083" t="s">
        <v>14</v>
      </c>
      <c r="D2083" t="s">
        <v>361</v>
      </c>
      <c r="E2083" t="s">
        <v>4279</v>
      </c>
      <c r="G2083" t="s">
        <v>4280</v>
      </c>
      <c r="J2083">
        <v>6.7484204910000001</v>
      </c>
      <c r="K2083">
        <v>0.48629166299999999</v>
      </c>
      <c r="L2083">
        <v>0.375053939</v>
      </c>
      <c r="M2083" s="21">
        <v>-1.271333713</v>
      </c>
      <c r="N2083">
        <v>-0.29217241500000002</v>
      </c>
    </row>
    <row r="2084" spans="1:14" x14ac:dyDescent="0.2">
      <c r="A2084" t="s">
        <v>697</v>
      </c>
      <c r="B2084">
        <v>35280</v>
      </c>
      <c r="C2084" t="s">
        <v>34</v>
      </c>
      <c r="D2084" t="s">
        <v>698</v>
      </c>
      <c r="E2084" t="s">
        <v>4281</v>
      </c>
      <c r="G2084" t="s">
        <v>4282</v>
      </c>
      <c r="J2084">
        <v>7.0544859390000001</v>
      </c>
      <c r="K2084">
        <v>0.623000361</v>
      </c>
      <c r="L2084">
        <v>0.42866702800000001</v>
      </c>
      <c r="M2084" s="21">
        <v>-1.271391902</v>
      </c>
      <c r="N2084">
        <v>-0.29247135299999999</v>
      </c>
    </row>
    <row r="2085" spans="1:14" x14ac:dyDescent="0.2">
      <c r="A2085" t="s">
        <v>2089</v>
      </c>
      <c r="B2085">
        <v>35200</v>
      </c>
      <c r="C2085" t="s">
        <v>34</v>
      </c>
      <c r="D2085" t="s">
        <v>2090</v>
      </c>
      <c r="E2085" t="s">
        <v>4283</v>
      </c>
      <c r="G2085" t="s">
        <v>4284</v>
      </c>
      <c r="J2085">
        <v>7.0544859390000001</v>
      </c>
      <c r="K2085">
        <v>0.623000361</v>
      </c>
      <c r="L2085">
        <v>0.42866702800000001</v>
      </c>
      <c r="M2085" s="21">
        <v>-1.271462227</v>
      </c>
      <c r="N2085">
        <v>-0.29283263799999998</v>
      </c>
    </row>
    <row r="2086" spans="1:14" x14ac:dyDescent="0.2">
      <c r="A2086" t="s">
        <v>1511</v>
      </c>
      <c r="B2086">
        <v>199720</v>
      </c>
      <c r="C2086" t="s">
        <v>130</v>
      </c>
      <c r="D2086" t="s">
        <v>1512</v>
      </c>
      <c r="E2086" t="s">
        <v>4285</v>
      </c>
      <c r="G2086" t="s">
        <v>4286</v>
      </c>
      <c r="J2086">
        <v>5.1222566499999997</v>
      </c>
      <c r="K2086">
        <v>0.21422175600000001</v>
      </c>
      <c r="L2086">
        <v>0.25354511400000002</v>
      </c>
      <c r="M2086" s="21">
        <v>-1.2718713939999999</v>
      </c>
      <c r="N2086">
        <v>-0.294934682</v>
      </c>
    </row>
    <row r="2087" spans="1:14" x14ac:dyDescent="0.2">
      <c r="A2087" t="s">
        <v>756</v>
      </c>
      <c r="B2087">
        <v>34720</v>
      </c>
      <c r="C2087" t="s">
        <v>34</v>
      </c>
      <c r="D2087" t="s">
        <v>756</v>
      </c>
      <c r="E2087" t="s">
        <v>4287</v>
      </c>
      <c r="G2087" t="s">
        <v>4288</v>
      </c>
      <c r="J2087">
        <v>7.0544859390000001</v>
      </c>
      <c r="K2087">
        <v>0.623000361</v>
      </c>
      <c r="L2087">
        <v>0.42866702800000001</v>
      </c>
      <c r="M2087" s="21">
        <v>-1.2718841750000001</v>
      </c>
      <c r="N2087">
        <v>-0.29500034400000003</v>
      </c>
    </row>
    <row r="2088" spans="1:14" x14ac:dyDescent="0.2">
      <c r="A2088" t="s">
        <v>769</v>
      </c>
      <c r="B2088">
        <v>247200</v>
      </c>
      <c r="C2088" t="s">
        <v>58</v>
      </c>
      <c r="D2088" t="s">
        <v>769</v>
      </c>
      <c r="E2088" t="s">
        <v>4289</v>
      </c>
      <c r="G2088" t="s">
        <v>4290</v>
      </c>
      <c r="J2088">
        <v>4.5363847230000003</v>
      </c>
      <c r="K2088">
        <v>0.245646371</v>
      </c>
      <c r="L2088">
        <v>7.5242279999999995E-2</v>
      </c>
      <c r="M2088" s="21">
        <v>-1.271919574</v>
      </c>
      <c r="N2088">
        <v>-0.29518220299999998</v>
      </c>
    </row>
    <row r="2089" spans="1:14" x14ac:dyDescent="0.2">
      <c r="A2089" t="s">
        <v>889</v>
      </c>
      <c r="B2089">
        <v>34600</v>
      </c>
      <c r="C2089" t="s">
        <v>34</v>
      </c>
      <c r="D2089" t="s">
        <v>889</v>
      </c>
      <c r="E2089" t="s">
        <v>4291</v>
      </c>
      <c r="G2089" t="s">
        <v>4292</v>
      </c>
      <c r="J2089">
        <v>7.0544859390000001</v>
      </c>
      <c r="K2089">
        <v>0.623000361</v>
      </c>
      <c r="L2089">
        <v>0.42866702800000001</v>
      </c>
      <c r="M2089" s="21">
        <v>-1.271989662</v>
      </c>
      <c r="N2089">
        <v>-0.29554227100000002</v>
      </c>
    </row>
    <row r="2090" spans="1:14" x14ac:dyDescent="0.2">
      <c r="A2090" t="s">
        <v>190</v>
      </c>
      <c r="B2090">
        <v>85200</v>
      </c>
      <c r="C2090" t="s">
        <v>28</v>
      </c>
      <c r="D2090" t="s">
        <v>190</v>
      </c>
      <c r="E2090" t="s">
        <v>4293</v>
      </c>
      <c r="G2090" t="s">
        <v>4294</v>
      </c>
      <c r="J2090">
        <v>5.8462906840000004</v>
      </c>
      <c r="K2090">
        <v>0.60615847</v>
      </c>
      <c r="L2090">
        <v>0.28550877299999999</v>
      </c>
      <c r="M2090" s="21">
        <v>-1.2721076149999999</v>
      </c>
      <c r="N2090">
        <v>-0.29614824000000001</v>
      </c>
    </row>
    <row r="2091" spans="1:14" x14ac:dyDescent="0.2">
      <c r="A2091" t="s">
        <v>1764</v>
      </c>
      <c r="B2091">
        <v>246920</v>
      </c>
      <c r="C2091" t="s">
        <v>58</v>
      </c>
      <c r="D2091" t="s">
        <v>1764</v>
      </c>
      <c r="E2091" t="s">
        <v>4295</v>
      </c>
      <c r="G2091" t="s">
        <v>4296</v>
      </c>
      <c r="J2091">
        <v>4.5363847230000003</v>
      </c>
      <c r="K2091">
        <v>0.245646371</v>
      </c>
      <c r="L2091">
        <v>7.5242279999999995E-2</v>
      </c>
      <c r="M2091" s="21">
        <v>-1.2721899780000001</v>
      </c>
      <c r="N2091">
        <v>-0.296571366</v>
      </c>
    </row>
    <row r="2092" spans="1:14" x14ac:dyDescent="0.2">
      <c r="A2092" t="s">
        <v>198</v>
      </c>
      <c r="B2092">
        <v>34360</v>
      </c>
      <c r="C2092" t="s">
        <v>34</v>
      </c>
      <c r="D2092" t="s">
        <v>199</v>
      </c>
      <c r="E2092" t="s">
        <v>4297</v>
      </c>
      <c r="G2092" t="s">
        <v>4298</v>
      </c>
      <c r="J2092">
        <v>7.0544859390000001</v>
      </c>
      <c r="K2092">
        <v>0.623000361</v>
      </c>
      <c r="L2092">
        <v>0.42866702800000001</v>
      </c>
      <c r="M2092" s="21">
        <v>-1.272200636</v>
      </c>
      <c r="N2092">
        <v>-0.29662612399999999</v>
      </c>
    </row>
    <row r="2093" spans="1:14" x14ac:dyDescent="0.2">
      <c r="A2093" t="s">
        <v>1617</v>
      </c>
      <c r="B2093">
        <v>34000</v>
      </c>
      <c r="C2093" t="s">
        <v>34</v>
      </c>
      <c r="D2093" t="s">
        <v>1617</v>
      </c>
      <c r="E2093" t="s">
        <v>4299</v>
      </c>
      <c r="G2093" t="s">
        <v>4300</v>
      </c>
      <c r="J2093">
        <v>7.0544859390000001</v>
      </c>
      <c r="K2093">
        <v>0.623000361</v>
      </c>
      <c r="L2093">
        <v>0.42866702800000001</v>
      </c>
      <c r="M2093" s="21">
        <v>-1.272517098</v>
      </c>
      <c r="N2093">
        <v>-0.29825190400000001</v>
      </c>
    </row>
    <row r="2094" spans="1:14" x14ac:dyDescent="0.2">
      <c r="A2094" t="s">
        <v>218</v>
      </c>
      <c r="B2094">
        <v>33880</v>
      </c>
      <c r="C2094" t="s">
        <v>34</v>
      </c>
      <c r="D2094" t="s">
        <v>218</v>
      </c>
      <c r="E2094" t="s">
        <v>4301</v>
      </c>
      <c r="G2094" t="s">
        <v>4302</v>
      </c>
      <c r="J2094">
        <v>7.0544859390000001</v>
      </c>
      <c r="K2094">
        <v>0.623000361</v>
      </c>
      <c r="L2094">
        <v>0.42866702800000001</v>
      </c>
      <c r="M2094" s="21">
        <v>-1.2726225849999999</v>
      </c>
      <c r="N2094">
        <v>-0.29879383100000001</v>
      </c>
    </row>
    <row r="2095" spans="1:14" x14ac:dyDescent="0.2">
      <c r="A2095" t="s">
        <v>79</v>
      </c>
      <c r="B2095">
        <v>33720</v>
      </c>
      <c r="C2095" t="s">
        <v>34</v>
      </c>
      <c r="D2095" t="s">
        <v>80</v>
      </c>
      <c r="E2095" t="s">
        <v>4303</v>
      </c>
      <c r="G2095" t="s">
        <v>4304</v>
      </c>
      <c r="J2095">
        <v>7.0544859390000001</v>
      </c>
      <c r="K2095">
        <v>0.623000361</v>
      </c>
      <c r="L2095">
        <v>0.42866702800000001</v>
      </c>
      <c r="M2095" s="21">
        <v>-1.2727632339999999</v>
      </c>
      <c r="N2095">
        <v>-0.29951640000000002</v>
      </c>
    </row>
    <row r="2096" spans="1:14" x14ac:dyDescent="0.2">
      <c r="A2096" t="s">
        <v>1383</v>
      </c>
      <c r="B2096">
        <v>235320</v>
      </c>
      <c r="C2096" t="s">
        <v>84</v>
      </c>
      <c r="D2096" t="s">
        <v>1384</v>
      </c>
      <c r="E2096" t="s">
        <v>4305</v>
      </c>
      <c r="J2096">
        <v>3.600219579</v>
      </c>
      <c r="K2096">
        <v>-0.293098474</v>
      </c>
      <c r="L2096">
        <v>-0.153917466</v>
      </c>
      <c r="M2096" s="21">
        <v>-1.2728855269999999</v>
      </c>
      <c r="N2096">
        <v>-0.30014466099999998</v>
      </c>
    </row>
    <row r="2097" spans="1:14" x14ac:dyDescent="0.2">
      <c r="A2097" t="s">
        <v>342</v>
      </c>
      <c r="B2097">
        <v>285680</v>
      </c>
      <c r="C2097" t="s">
        <v>14</v>
      </c>
      <c r="D2097" t="s">
        <v>342</v>
      </c>
      <c r="E2097" t="s">
        <v>4306</v>
      </c>
      <c r="G2097" t="s">
        <v>4307</v>
      </c>
      <c r="J2097">
        <v>6.7484204910000001</v>
      </c>
      <c r="K2097">
        <v>0.48629166299999999</v>
      </c>
      <c r="L2097">
        <v>0.375053939</v>
      </c>
      <c r="M2097" s="21">
        <v>-1.2729553819999999</v>
      </c>
      <c r="N2097">
        <v>-0.30050353600000002</v>
      </c>
    </row>
    <row r="2098" spans="1:14" x14ac:dyDescent="0.2">
      <c r="A2098" t="s">
        <v>1620</v>
      </c>
      <c r="B2098">
        <v>235200</v>
      </c>
      <c r="C2098" t="s">
        <v>84</v>
      </c>
      <c r="D2098" t="s">
        <v>1620</v>
      </c>
      <c r="E2098" t="s">
        <v>4308</v>
      </c>
      <c r="J2098">
        <v>3.600219579</v>
      </c>
      <c r="K2098">
        <v>-0.293098474</v>
      </c>
      <c r="L2098">
        <v>-0.153917466</v>
      </c>
      <c r="M2098" s="21">
        <v>-1.2730425910000001</v>
      </c>
      <c r="N2098">
        <v>-0.30095155800000001</v>
      </c>
    </row>
    <row r="2099" spans="1:14" x14ac:dyDescent="0.2">
      <c r="A2099" t="s">
        <v>912</v>
      </c>
      <c r="B2099">
        <v>33400</v>
      </c>
      <c r="C2099" t="s">
        <v>34</v>
      </c>
      <c r="D2099" t="s">
        <v>912</v>
      </c>
      <c r="E2099" t="s">
        <v>4309</v>
      </c>
      <c r="G2099" t="s">
        <v>4310</v>
      </c>
      <c r="J2099">
        <v>7.0544859390000001</v>
      </c>
      <c r="K2099">
        <v>0.623000361</v>
      </c>
      <c r="L2099">
        <v>0.42866702800000001</v>
      </c>
      <c r="M2099" s="21">
        <v>-1.273044533</v>
      </c>
      <c r="N2099">
        <v>-0.30096153799999997</v>
      </c>
    </row>
    <row r="2100" spans="1:14" x14ac:dyDescent="0.2">
      <c r="A2100" t="s">
        <v>1082</v>
      </c>
      <c r="B2100">
        <v>235000</v>
      </c>
      <c r="C2100" t="s">
        <v>84</v>
      </c>
      <c r="D2100" t="s">
        <v>1082</v>
      </c>
      <c r="E2100" t="s">
        <v>4311</v>
      </c>
      <c r="J2100">
        <v>3.600219579</v>
      </c>
      <c r="K2100">
        <v>-0.293098474</v>
      </c>
      <c r="L2100">
        <v>-0.153917466</v>
      </c>
      <c r="M2100" s="21">
        <v>-1.2733043639999999</v>
      </c>
      <c r="N2100">
        <v>-0.302296385</v>
      </c>
    </row>
    <row r="2101" spans="1:14" x14ac:dyDescent="0.2">
      <c r="A2101" t="s">
        <v>303</v>
      </c>
      <c r="B2101">
        <v>32880</v>
      </c>
      <c r="C2101" t="s">
        <v>34</v>
      </c>
      <c r="D2101" t="s">
        <v>304</v>
      </c>
      <c r="E2101" t="s">
        <v>4312</v>
      </c>
      <c r="G2101" t="s">
        <v>4313</v>
      </c>
      <c r="J2101">
        <v>7.0544859390000001</v>
      </c>
      <c r="K2101">
        <v>0.623000361</v>
      </c>
      <c r="L2101">
        <v>0.42866702800000001</v>
      </c>
      <c r="M2101" s="21">
        <v>-1.273501644</v>
      </c>
      <c r="N2101">
        <v>-0.30330988599999997</v>
      </c>
    </row>
    <row r="2102" spans="1:14" x14ac:dyDescent="0.2">
      <c r="A2102" t="s">
        <v>1494</v>
      </c>
      <c r="B2102">
        <v>83560</v>
      </c>
      <c r="C2102" t="s">
        <v>28</v>
      </c>
      <c r="D2102" t="s">
        <v>1494</v>
      </c>
      <c r="E2102" t="s">
        <v>4314</v>
      </c>
      <c r="G2102" t="s">
        <v>4315</v>
      </c>
      <c r="J2102">
        <v>5.8462906840000004</v>
      </c>
      <c r="K2102">
        <v>0.60615847</v>
      </c>
      <c r="L2102">
        <v>0.28550877299999999</v>
      </c>
      <c r="M2102" s="21">
        <v>-1.2735882270000001</v>
      </c>
      <c r="N2102">
        <v>-0.30375469799999999</v>
      </c>
    </row>
    <row r="2103" spans="1:14" x14ac:dyDescent="0.2">
      <c r="A2103" t="s">
        <v>846</v>
      </c>
      <c r="B2103">
        <v>146240</v>
      </c>
      <c r="C2103" t="s">
        <v>68</v>
      </c>
      <c r="D2103" t="s">
        <v>847</v>
      </c>
      <c r="E2103" t="s">
        <v>4316</v>
      </c>
      <c r="G2103" t="s">
        <v>4317</v>
      </c>
      <c r="J2103">
        <v>6.4561903559999996</v>
      </c>
      <c r="K2103">
        <v>0.47291064100000002</v>
      </c>
      <c r="L2103">
        <v>0.34414126499999997</v>
      </c>
      <c r="M2103" s="21">
        <v>-1.273762898</v>
      </c>
      <c r="N2103">
        <v>-0.30465204699999998</v>
      </c>
    </row>
    <row r="2104" spans="1:14" x14ac:dyDescent="0.2">
      <c r="A2104" t="s">
        <v>507</v>
      </c>
      <c r="B2104">
        <v>32440</v>
      </c>
      <c r="C2104" t="s">
        <v>34</v>
      </c>
      <c r="D2104" t="s">
        <v>508</v>
      </c>
      <c r="E2104" t="s">
        <v>4318</v>
      </c>
      <c r="G2104" t="s">
        <v>4319</v>
      </c>
      <c r="J2104">
        <v>7.0544859390000001</v>
      </c>
      <c r="K2104">
        <v>0.623000361</v>
      </c>
      <c r="L2104">
        <v>0.42866702800000001</v>
      </c>
      <c r="M2104" s="21">
        <v>-1.27388843</v>
      </c>
      <c r="N2104">
        <v>-0.30529695099999998</v>
      </c>
    </row>
    <row r="2105" spans="1:14" x14ac:dyDescent="0.2">
      <c r="A2105" t="s">
        <v>681</v>
      </c>
      <c r="B2105">
        <v>32400</v>
      </c>
      <c r="C2105" t="s">
        <v>34</v>
      </c>
      <c r="D2105" t="s">
        <v>682</v>
      </c>
      <c r="E2105" t="s">
        <v>4320</v>
      </c>
      <c r="G2105" t="s">
        <v>4321</v>
      </c>
      <c r="J2105">
        <v>7.0544859390000001</v>
      </c>
      <c r="K2105">
        <v>0.623000361</v>
      </c>
      <c r="L2105">
        <v>0.42866702800000001</v>
      </c>
      <c r="M2105" s="21">
        <v>-1.273923592</v>
      </c>
      <c r="N2105">
        <v>-0.30547759299999999</v>
      </c>
    </row>
    <row r="2106" spans="1:14" x14ac:dyDescent="0.2">
      <c r="A2106" t="s">
        <v>788</v>
      </c>
      <c r="B2106">
        <v>32400</v>
      </c>
      <c r="C2106" t="s">
        <v>34</v>
      </c>
      <c r="D2106" t="s">
        <v>788</v>
      </c>
      <c r="J2106">
        <v>7.0544859390000001</v>
      </c>
      <c r="K2106">
        <v>0.623000361</v>
      </c>
      <c r="L2106">
        <v>0.42866702800000001</v>
      </c>
      <c r="M2106" s="21">
        <v>-1.273923592</v>
      </c>
      <c r="N2106">
        <v>-0.30547759299999999</v>
      </c>
    </row>
    <row r="2107" spans="1:14" x14ac:dyDescent="0.2">
      <c r="A2107" t="s">
        <v>1783</v>
      </c>
      <c r="B2107">
        <v>245440</v>
      </c>
      <c r="C2107" t="s">
        <v>100</v>
      </c>
      <c r="D2107" t="s">
        <v>1783</v>
      </c>
      <c r="E2107" t="s">
        <v>4322</v>
      </c>
      <c r="G2107" t="s">
        <v>4323</v>
      </c>
      <c r="J2107">
        <v>5.9110743220000002</v>
      </c>
      <c r="K2107">
        <v>0.71598987199999997</v>
      </c>
      <c r="L2107">
        <v>0.29077365599999999</v>
      </c>
      <c r="M2107" s="21">
        <v>-1.2739492130000001</v>
      </c>
      <c r="N2107">
        <v>-0.30560921600000002</v>
      </c>
    </row>
    <row r="2108" spans="1:14" x14ac:dyDescent="0.2">
      <c r="A2108" t="s">
        <v>106</v>
      </c>
      <c r="B2108">
        <v>245080</v>
      </c>
      <c r="C2108" t="s">
        <v>58</v>
      </c>
      <c r="D2108" t="s">
        <v>107</v>
      </c>
      <c r="E2108" t="s">
        <v>4324</v>
      </c>
      <c r="G2108" t="s">
        <v>4325</v>
      </c>
      <c r="J2108">
        <v>4.5363847230000003</v>
      </c>
      <c r="K2108">
        <v>0.245646371</v>
      </c>
      <c r="L2108">
        <v>7.5242279999999995E-2</v>
      </c>
      <c r="M2108" s="21">
        <v>-1.2739669140000001</v>
      </c>
      <c r="N2108">
        <v>-0.305700154</v>
      </c>
    </row>
    <row r="2109" spans="1:14" x14ac:dyDescent="0.2">
      <c r="A2109" t="s">
        <v>485</v>
      </c>
      <c r="B2109">
        <v>260880</v>
      </c>
      <c r="C2109" t="s">
        <v>149</v>
      </c>
      <c r="D2109" t="s">
        <v>486</v>
      </c>
      <c r="E2109" t="s">
        <v>4326</v>
      </c>
      <c r="G2109" t="s">
        <v>4327</v>
      </c>
      <c r="J2109">
        <v>5.0381074159999999</v>
      </c>
      <c r="K2109">
        <v>0.81312368999999995</v>
      </c>
      <c r="L2109">
        <v>0.16969141800000001</v>
      </c>
      <c r="M2109" s="21">
        <v>-1.2741116750000001</v>
      </c>
      <c r="N2109">
        <v>-0.30644384499999999</v>
      </c>
    </row>
    <row r="2110" spans="1:14" x14ac:dyDescent="0.2">
      <c r="A2110" t="s">
        <v>832</v>
      </c>
      <c r="B2110">
        <v>32080</v>
      </c>
      <c r="C2110" t="s">
        <v>34</v>
      </c>
      <c r="D2110" t="s">
        <v>832</v>
      </c>
      <c r="E2110" t="s">
        <v>4328</v>
      </c>
      <c r="G2110" t="s">
        <v>4329</v>
      </c>
      <c r="J2110">
        <v>7.0544859390000001</v>
      </c>
      <c r="K2110">
        <v>0.623000361</v>
      </c>
      <c r="L2110">
        <v>0.42866702800000001</v>
      </c>
      <c r="M2110" s="21">
        <v>-1.2742048909999999</v>
      </c>
      <c r="N2110">
        <v>-0.306922731</v>
      </c>
    </row>
    <row r="2111" spans="1:14" x14ac:dyDescent="0.2">
      <c r="A2111" t="s">
        <v>1126</v>
      </c>
      <c r="B2111">
        <v>82600</v>
      </c>
      <c r="C2111" t="s">
        <v>28</v>
      </c>
      <c r="D2111" t="s">
        <v>1126</v>
      </c>
      <c r="E2111" t="s">
        <v>4330</v>
      </c>
      <c r="G2111" t="s">
        <v>4331</v>
      </c>
      <c r="J2111">
        <v>5.8462906840000004</v>
      </c>
      <c r="K2111">
        <v>0.60615847</v>
      </c>
      <c r="L2111">
        <v>0.28550877299999999</v>
      </c>
      <c r="M2111" s="21">
        <v>-1.2744549270000001</v>
      </c>
      <c r="N2111">
        <v>-0.30820725900000001</v>
      </c>
    </row>
    <row r="2112" spans="1:14" x14ac:dyDescent="0.2">
      <c r="A2112" t="s">
        <v>13</v>
      </c>
      <c r="B2112">
        <v>260400</v>
      </c>
      <c r="C2112" t="s">
        <v>149</v>
      </c>
      <c r="D2112" t="s">
        <v>13</v>
      </c>
      <c r="E2112" t="s">
        <v>4332</v>
      </c>
      <c r="G2112" t="s">
        <v>4333</v>
      </c>
      <c r="J2112">
        <v>5.0381074159999999</v>
      </c>
      <c r="K2112">
        <v>0.81312368999999995</v>
      </c>
      <c r="L2112">
        <v>0.16969141800000001</v>
      </c>
      <c r="M2112" s="21">
        <v>-1.2745554910000001</v>
      </c>
      <c r="N2112">
        <v>-0.30872389300000003</v>
      </c>
    </row>
    <row r="2113" spans="1:14" x14ac:dyDescent="0.2">
      <c r="A2113" t="s">
        <v>1092</v>
      </c>
      <c r="B2113">
        <v>82480</v>
      </c>
      <c r="C2113" t="s">
        <v>28</v>
      </c>
      <c r="D2113" t="s">
        <v>1092</v>
      </c>
      <c r="E2113" t="s">
        <v>4334</v>
      </c>
      <c r="G2113" t="s">
        <v>4335</v>
      </c>
      <c r="J2113">
        <v>5.8462906840000004</v>
      </c>
      <c r="K2113">
        <v>0.60615847</v>
      </c>
      <c r="L2113">
        <v>0.28550877299999999</v>
      </c>
      <c r="M2113" s="21">
        <v>-1.2745632650000001</v>
      </c>
      <c r="N2113">
        <v>-0.30876382899999999</v>
      </c>
    </row>
    <row r="2114" spans="1:14" x14ac:dyDescent="0.2">
      <c r="A2114" t="s">
        <v>693</v>
      </c>
      <c r="B2114">
        <v>196240</v>
      </c>
      <c r="C2114" t="s">
        <v>130</v>
      </c>
      <c r="D2114" t="s">
        <v>693</v>
      </c>
      <c r="E2114" t="s">
        <v>4336</v>
      </c>
      <c r="G2114" t="s">
        <v>4337</v>
      </c>
      <c r="J2114">
        <v>5.1222566499999997</v>
      </c>
      <c r="K2114">
        <v>0.21422175600000001</v>
      </c>
      <c r="L2114">
        <v>0.25354511400000002</v>
      </c>
      <c r="M2114" s="21">
        <v>-1.2746408819999999</v>
      </c>
      <c r="N2114">
        <v>-0.30916257800000002</v>
      </c>
    </row>
    <row r="2115" spans="1:14" x14ac:dyDescent="0.2">
      <c r="A2115" t="s">
        <v>769</v>
      </c>
      <c r="B2115">
        <v>260160</v>
      </c>
      <c r="C2115" t="s">
        <v>149</v>
      </c>
      <c r="D2115" t="s">
        <v>769</v>
      </c>
      <c r="E2115" t="s">
        <v>4338</v>
      </c>
      <c r="G2115" t="s">
        <v>4339</v>
      </c>
      <c r="J2115">
        <v>5.0381074159999999</v>
      </c>
      <c r="K2115">
        <v>0.81312368999999995</v>
      </c>
      <c r="L2115">
        <v>0.16969141800000001</v>
      </c>
      <c r="M2115" s="21">
        <v>-1.274777399</v>
      </c>
      <c r="N2115">
        <v>-0.30986391699999999</v>
      </c>
    </row>
    <row r="2116" spans="1:14" x14ac:dyDescent="0.2">
      <c r="A2116" t="s">
        <v>909</v>
      </c>
      <c r="B2116">
        <v>260160</v>
      </c>
      <c r="C2116" t="s">
        <v>149</v>
      </c>
      <c r="D2116" t="s">
        <v>909</v>
      </c>
      <c r="E2116" t="s">
        <v>4340</v>
      </c>
      <c r="G2116" t="s">
        <v>4341</v>
      </c>
      <c r="J2116">
        <v>5.0381074159999999</v>
      </c>
      <c r="K2116">
        <v>0.81312368999999995</v>
      </c>
      <c r="L2116">
        <v>0.16969141800000001</v>
      </c>
      <c r="M2116" s="21">
        <v>-1.274777399</v>
      </c>
      <c r="N2116">
        <v>-0.30986391699999999</v>
      </c>
    </row>
    <row r="2117" spans="1:14" x14ac:dyDescent="0.2">
      <c r="A2117" t="s">
        <v>2188</v>
      </c>
      <c r="B2117">
        <v>233680</v>
      </c>
      <c r="C2117" t="s">
        <v>84</v>
      </c>
      <c r="D2117" t="s">
        <v>2188</v>
      </c>
      <c r="E2117" t="s">
        <v>4342</v>
      </c>
      <c r="J2117">
        <v>3.600219579</v>
      </c>
      <c r="K2117">
        <v>-0.293098474</v>
      </c>
      <c r="L2117">
        <v>-0.153917466</v>
      </c>
      <c r="M2117" s="21">
        <v>-1.2750320669999999</v>
      </c>
      <c r="N2117">
        <v>-0.31117224399999999</v>
      </c>
    </row>
    <row r="2118" spans="1:14" x14ac:dyDescent="0.2">
      <c r="A2118" t="s">
        <v>1263</v>
      </c>
      <c r="B2118">
        <v>243880</v>
      </c>
      <c r="C2118" t="s">
        <v>58</v>
      </c>
      <c r="D2118" t="s">
        <v>1264</v>
      </c>
      <c r="E2118" t="s">
        <v>4343</v>
      </c>
      <c r="G2118" t="s">
        <v>4344</v>
      </c>
      <c r="J2118">
        <v>4.5363847230000003</v>
      </c>
      <c r="K2118">
        <v>0.245646371</v>
      </c>
      <c r="L2118">
        <v>7.5242279999999995E-2</v>
      </c>
      <c r="M2118" s="21">
        <v>-1.275125786</v>
      </c>
      <c r="N2118">
        <v>-0.31165371200000003</v>
      </c>
    </row>
    <row r="2119" spans="1:14" x14ac:dyDescent="0.2">
      <c r="A2119" t="s">
        <v>511</v>
      </c>
      <c r="B2119">
        <v>233480</v>
      </c>
      <c r="C2119" t="s">
        <v>84</v>
      </c>
      <c r="D2119" t="s">
        <v>511</v>
      </c>
      <c r="E2119" t="s">
        <v>4345</v>
      </c>
      <c r="J2119">
        <v>3.600219579</v>
      </c>
      <c r="K2119">
        <v>-0.293098474</v>
      </c>
      <c r="L2119">
        <v>-0.153917466</v>
      </c>
      <c r="M2119" s="21">
        <v>-1.27529384</v>
      </c>
      <c r="N2119">
        <v>-0.31251707099999998</v>
      </c>
    </row>
    <row r="2120" spans="1:14" x14ac:dyDescent="0.2">
      <c r="A2120" t="s">
        <v>1092</v>
      </c>
      <c r="B2120">
        <v>195280</v>
      </c>
      <c r="C2120" t="s">
        <v>130</v>
      </c>
      <c r="D2120" t="s">
        <v>1092</v>
      </c>
      <c r="E2120" t="s">
        <v>4346</v>
      </c>
      <c r="G2120" t="s">
        <v>4347</v>
      </c>
      <c r="J2120">
        <v>5.1222566499999997</v>
      </c>
      <c r="K2120">
        <v>0.21422175600000001</v>
      </c>
      <c r="L2120">
        <v>0.25354511400000002</v>
      </c>
      <c r="M2120" s="21">
        <v>-1.275404878</v>
      </c>
      <c r="N2120">
        <v>-0.31308751499999998</v>
      </c>
    </row>
    <row r="2121" spans="1:14" x14ac:dyDescent="0.2">
      <c r="A2121" t="s">
        <v>435</v>
      </c>
      <c r="B2121">
        <v>81280</v>
      </c>
      <c r="C2121" t="s">
        <v>28</v>
      </c>
      <c r="D2121" t="s">
        <v>435</v>
      </c>
      <c r="E2121" t="s">
        <v>4348</v>
      </c>
      <c r="G2121" t="s">
        <v>4349</v>
      </c>
      <c r="J2121">
        <v>5.8462906840000004</v>
      </c>
      <c r="K2121">
        <v>0.60615847</v>
      </c>
      <c r="L2121">
        <v>0.28550877299999999</v>
      </c>
      <c r="M2121" s="21">
        <v>-1.2756466390000001</v>
      </c>
      <c r="N2121">
        <v>-0.314329531</v>
      </c>
    </row>
    <row r="2122" spans="1:14" x14ac:dyDescent="0.2">
      <c r="A2122" t="s">
        <v>1857</v>
      </c>
      <c r="B2122">
        <v>144200</v>
      </c>
      <c r="C2122" t="s">
        <v>68</v>
      </c>
      <c r="D2122" t="s">
        <v>1858</v>
      </c>
      <c r="E2122" t="s">
        <v>4350</v>
      </c>
      <c r="G2122" t="s">
        <v>4351</v>
      </c>
      <c r="J2122">
        <v>6.4561903559999996</v>
      </c>
      <c r="K2122">
        <v>0.47291064100000002</v>
      </c>
      <c r="L2122">
        <v>0.34414126499999997</v>
      </c>
      <c r="M2122" s="21">
        <v>-1.2757356849999999</v>
      </c>
      <c r="N2122">
        <v>-0.31478699300000001</v>
      </c>
    </row>
    <row r="2123" spans="1:14" x14ac:dyDescent="0.2">
      <c r="A2123" t="s">
        <v>232</v>
      </c>
      <c r="B2123">
        <v>29960</v>
      </c>
      <c r="C2123" t="s">
        <v>34</v>
      </c>
      <c r="D2123" t="s">
        <v>233</v>
      </c>
      <c r="E2123" t="s">
        <v>4352</v>
      </c>
      <c r="G2123" t="s">
        <v>4353</v>
      </c>
      <c r="J2123">
        <v>7.0544859390000001</v>
      </c>
      <c r="K2123">
        <v>0.623000361</v>
      </c>
      <c r="L2123">
        <v>0.42866702800000001</v>
      </c>
      <c r="M2123" s="21">
        <v>-1.2760684959999999</v>
      </c>
      <c r="N2123">
        <v>-0.31649676799999998</v>
      </c>
    </row>
    <row r="2124" spans="1:14" x14ac:dyDescent="0.2">
      <c r="A2124" t="s">
        <v>1498</v>
      </c>
      <c r="B2124">
        <v>243040</v>
      </c>
      <c r="C2124" t="s">
        <v>100</v>
      </c>
      <c r="D2124" t="s">
        <v>1498</v>
      </c>
      <c r="E2124" t="s">
        <v>4354</v>
      </c>
      <c r="G2124" t="s">
        <v>4355</v>
      </c>
      <c r="J2124">
        <v>5.9110743220000002</v>
      </c>
      <c r="K2124">
        <v>0.71598987199999997</v>
      </c>
      <c r="L2124">
        <v>0.29077365599999999</v>
      </c>
      <c r="M2124" s="21">
        <v>-1.2763317249999999</v>
      </c>
      <c r="N2124">
        <v>-0.31784907299999998</v>
      </c>
    </row>
    <row r="2125" spans="1:14" x14ac:dyDescent="0.2">
      <c r="A2125" t="s">
        <v>500</v>
      </c>
      <c r="B2125">
        <v>29560</v>
      </c>
      <c r="C2125" t="s">
        <v>34</v>
      </c>
      <c r="D2125" t="s">
        <v>501</v>
      </c>
      <c r="E2125" t="s">
        <v>4356</v>
      </c>
      <c r="G2125" t="s">
        <v>4357</v>
      </c>
      <c r="J2125">
        <v>7.0544859390000001</v>
      </c>
      <c r="K2125">
        <v>0.623000361</v>
      </c>
      <c r="L2125">
        <v>0.42866702800000001</v>
      </c>
      <c r="M2125" s="21">
        <v>-1.27642012</v>
      </c>
      <c r="N2125">
        <v>-0.31830319000000001</v>
      </c>
    </row>
    <row r="2126" spans="1:14" x14ac:dyDescent="0.2">
      <c r="A2126" t="s">
        <v>239</v>
      </c>
      <c r="B2126">
        <v>29200</v>
      </c>
      <c r="C2126" t="s">
        <v>34</v>
      </c>
      <c r="D2126" t="s">
        <v>240</v>
      </c>
      <c r="E2126" t="s">
        <v>4358</v>
      </c>
      <c r="G2126" t="s">
        <v>4359</v>
      </c>
      <c r="J2126">
        <v>7.0544859390000001</v>
      </c>
      <c r="K2126">
        <v>0.623000361</v>
      </c>
      <c r="L2126">
        <v>0.42866702800000001</v>
      </c>
      <c r="M2126" s="21">
        <v>-1.276736581</v>
      </c>
      <c r="N2126">
        <v>-0.31992896999999998</v>
      </c>
    </row>
    <row r="2127" spans="1:14" x14ac:dyDescent="0.2">
      <c r="A2127" t="s">
        <v>1413</v>
      </c>
      <c r="B2127">
        <v>29000</v>
      </c>
      <c r="C2127" t="s">
        <v>34</v>
      </c>
      <c r="D2127" t="s">
        <v>1413</v>
      </c>
      <c r="E2127" t="s">
        <v>4360</v>
      </c>
      <c r="G2127" t="s">
        <v>4361</v>
      </c>
      <c r="J2127">
        <v>7.0544859390000001</v>
      </c>
      <c r="K2127">
        <v>0.623000361</v>
      </c>
      <c r="L2127">
        <v>0.42866702800000001</v>
      </c>
      <c r="M2127" s="21">
        <v>-1.2769123929999999</v>
      </c>
      <c r="N2127">
        <v>-0.32083218099999999</v>
      </c>
    </row>
    <row r="2128" spans="1:14" x14ac:dyDescent="0.2">
      <c r="A2128" t="s">
        <v>1521</v>
      </c>
      <c r="B2128">
        <v>232200</v>
      </c>
      <c r="C2128" t="s">
        <v>84</v>
      </c>
      <c r="D2128" t="s">
        <v>1521</v>
      </c>
      <c r="E2128" t="s">
        <v>4362</v>
      </c>
      <c r="J2128">
        <v>3.600219579</v>
      </c>
      <c r="K2128">
        <v>-0.293098474</v>
      </c>
      <c r="L2128">
        <v>-0.153917466</v>
      </c>
      <c r="M2128" s="21">
        <v>-1.2769691889999999</v>
      </c>
      <c r="N2128">
        <v>-0.32112396500000001</v>
      </c>
    </row>
    <row r="2129" spans="1:14" x14ac:dyDescent="0.2">
      <c r="A2129" t="s">
        <v>1394</v>
      </c>
      <c r="B2129">
        <v>28800</v>
      </c>
      <c r="C2129" t="s">
        <v>34</v>
      </c>
      <c r="D2129" t="s">
        <v>1394</v>
      </c>
      <c r="E2129" t="s">
        <v>4363</v>
      </c>
      <c r="G2129" t="s">
        <v>4364</v>
      </c>
      <c r="J2129">
        <v>7.0544859390000001</v>
      </c>
      <c r="K2129">
        <v>0.623000361</v>
      </c>
      <c r="L2129">
        <v>0.42866702800000001</v>
      </c>
      <c r="M2129" s="21">
        <v>-1.2770882050000001</v>
      </c>
      <c r="N2129">
        <v>-0.32173539200000001</v>
      </c>
    </row>
    <row r="2130" spans="1:14" x14ac:dyDescent="0.2">
      <c r="A2130" t="s">
        <v>225</v>
      </c>
      <c r="B2130">
        <v>241480</v>
      </c>
      <c r="C2130" t="s">
        <v>58</v>
      </c>
      <c r="D2130" t="s">
        <v>225</v>
      </c>
      <c r="E2130" t="s">
        <v>4365</v>
      </c>
      <c r="G2130" t="s">
        <v>4366</v>
      </c>
      <c r="J2130">
        <v>4.5363847230000003</v>
      </c>
      <c r="K2130">
        <v>0.245646371</v>
      </c>
      <c r="L2130">
        <v>7.5242279999999995E-2</v>
      </c>
      <c r="M2130" s="21">
        <v>-1.2774435289999999</v>
      </c>
      <c r="N2130">
        <v>-0.323560827</v>
      </c>
    </row>
    <row r="2131" spans="1:14" x14ac:dyDescent="0.2">
      <c r="A2131" t="s">
        <v>2031</v>
      </c>
      <c r="B2131">
        <v>28160</v>
      </c>
      <c r="C2131" t="s">
        <v>34</v>
      </c>
      <c r="D2131" t="s">
        <v>2032</v>
      </c>
      <c r="E2131" t="s">
        <v>4367</v>
      </c>
      <c r="G2131" t="s">
        <v>4368</v>
      </c>
      <c r="J2131">
        <v>7.0544859390000001</v>
      </c>
      <c r="K2131">
        <v>0.623000361</v>
      </c>
      <c r="L2131">
        <v>0.42866702800000001</v>
      </c>
      <c r="M2131" s="21">
        <v>-1.277650803</v>
      </c>
      <c r="N2131">
        <v>-0.32462566799999998</v>
      </c>
    </row>
    <row r="2132" spans="1:14" x14ac:dyDescent="0.2">
      <c r="A2132" t="s">
        <v>935</v>
      </c>
      <c r="B2132">
        <v>241240</v>
      </c>
      <c r="C2132" t="s">
        <v>58</v>
      </c>
      <c r="D2132" t="s">
        <v>935</v>
      </c>
      <c r="E2132" t="s">
        <v>4369</v>
      </c>
      <c r="G2132" t="s">
        <v>4370</v>
      </c>
      <c r="J2132">
        <v>4.5363847230000003</v>
      </c>
      <c r="K2132">
        <v>0.245646371</v>
      </c>
      <c r="L2132">
        <v>7.5242279999999995E-2</v>
      </c>
      <c r="M2132" s="21">
        <v>-1.2776753030000001</v>
      </c>
      <c r="N2132">
        <v>-0.32475153800000001</v>
      </c>
    </row>
    <row r="2133" spans="1:14" x14ac:dyDescent="0.2">
      <c r="A2133" t="s">
        <v>792</v>
      </c>
      <c r="B2133">
        <v>192320</v>
      </c>
      <c r="C2133" t="s">
        <v>130</v>
      </c>
      <c r="D2133" t="s">
        <v>793</v>
      </c>
      <c r="E2133" t="s">
        <v>4371</v>
      </c>
      <c r="G2133" t="s">
        <v>4372</v>
      </c>
      <c r="J2133">
        <v>5.1222566499999997</v>
      </c>
      <c r="K2133">
        <v>0.21422175600000001</v>
      </c>
      <c r="L2133">
        <v>0.25354511400000002</v>
      </c>
      <c r="M2133" s="21">
        <v>-1.2777605350000001</v>
      </c>
      <c r="N2133">
        <v>-0.32518940299999999</v>
      </c>
    </row>
    <row r="2134" spans="1:14" x14ac:dyDescent="0.2">
      <c r="A2134" t="s">
        <v>687</v>
      </c>
      <c r="B2134">
        <v>192240</v>
      </c>
      <c r="C2134" t="s">
        <v>130</v>
      </c>
      <c r="D2134" t="s">
        <v>688</v>
      </c>
      <c r="E2134" t="s">
        <v>4373</v>
      </c>
      <c r="G2134" t="s">
        <v>4374</v>
      </c>
      <c r="J2134">
        <v>5.1222566499999997</v>
      </c>
      <c r="K2134">
        <v>0.21422175600000001</v>
      </c>
      <c r="L2134">
        <v>0.25354511400000002</v>
      </c>
      <c r="M2134" s="21">
        <v>-1.277824201</v>
      </c>
      <c r="N2134">
        <v>-0.32551648100000002</v>
      </c>
    </row>
    <row r="2135" spans="1:14" x14ac:dyDescent="0.2">
      <c r="A2135" t="s">
        <v>1269</v>
      </c>
      <c r="B2135">
        <v>240400</v>
      </c>
      <c r="C2135" t="s">
        <v>58</v>
      </c>
      <c r="D2135" t="s">
        <v>1269</v>
      </c>
      <c r="E2135" t="s">
        <v>4375</v>
      </c>
      <c r="G2135" t="s">
        <v>4376</v>
      </c>
      <c r="J2135">
        <v>4.5363847230000003</v>
      </c>
      <c r="K2135">
        <v>0.245646371</v>
      </c>
      <c r="L2135">
        <v>7.5242279999999995E-2</v>
      </c>
      <c r="M2135" s="21">
        <v>-1.2784865139999999</v>
      </c>
      <c r="N2135">
        <v>-0.328919028</v>
      </c>
    </row>
    <row r="2136" spans="1:14" x14ac:dyDescent="0.2">
      <c r="A2136" t="s">
        <v>1251</v>
      </c>
      <c r="B2136">
        <v>27200</v>
      </c>
      <c r="C2136" t="s">
        <v>34</v>
      </c>
      <c r="D2136" t="s">
        <v>1251</v>
      </c>
      <c r="E2136" t="s">
        <v>4377</v>
      </c>
      <c r="G2136" t="s">
        <v>4378</v>
      </c>
      <c r="J2136">
        <v>7.0544859390000001</v>
      </c>
      <c r="K2136">
        <v>0.623000361</v>
      </c>
      <c r="L2136">
        <v>0.42866702800000001</v>
      </c>
      <c r="M2136" s="21">
        <v>-1.2784946989999999</v>
      </c>
      <c r="N2136">
        <v>-0.32896108099999999</v>
      </c>
    </row>
    <row r="2137" spans="1:14" x14ac:dyDescent="0.2">
      <c r="A2137" t="s">
        <v>1263</v>
      </c>
      <c r="B2137">
        <v>240840</v>
      </c>
      <c r="C2137" t="s">
        <v>100</v>
      </c>
      <c r="D2137" t="s">
        <v>1264</v>
      </c>
      <c r="E2137" t="s">
        <v>4379</v>
      </c>
      <c r="G2137" t="s">
        <v>4380</v>
      </c>
      <c r="J2137">
        <v>5.9110743220000002</v>
      </c>
      <c r="K2137">
        <v>0.71598987199999997</v>
      </c>
      <c r="L2137">
        <v>0.29077365599999999</v>
      </c>
      <c r="M2137" s="21">
        <v>-1.2785156950000001</v>
      </c>
      <c r="N2137">
        <v>-0.329068943</v>
      </c>
    </row>
    <row r="2138" spans="1:14" x14ac:dyDescent="0.2">
      <c r="A2138" t="s">
        <v>1095</v>
      </c>
      <c r="B2138">
        <v>27160</v>
      </c>
      <c r="C2138" t="s">
        <v>34</v>
      </c>
      <c r="D2138" t="s">
        <v>1096</v>
      </c>
      <c r="E2138" t="s">
        <v>4381</v>
      </c>
      <c r="G2138" t="s">
        <v>4382</v>
      </c>
      <c r="J2138">
        <v>7.0544859390000001</v>
      </c>
      <c r="K2138">
        <v>0.623000361</v>
      </c>
      <c r="L2138">
        <v>0.42866702800000001</v>
      </c>
      <c r="M2138" s="21">
        <v>-1.2785298620000001</v>
      </c>
      <c r="N2138">
        <v>-0.329141723</v>
      </c>
    </row>
    <row r="2139" spans="1:14" x14ac:dyDescent="0.2">
      <c r="A2139" t="s">
        <v>143</v>
      </c>
      <c r="B2139">
        <v>27160</v>
      </c>
      <c r="C2139" t="s">
        <v>34</v>
      </c>
      <c r="D2139" t="s">
        <v>144</v>
      </c>
      <c r="E2139" t="s">
        <v>4383</v>
      </c>
      <c r="G2139" t="s">
        <v>4384</v>
      </c>
      <c r="J2139">
        <v>7.0544859390000001</v>
      </c>
      <c r="K2139">
        <v>0.623000361</v>
      </c>
      <c r="L2139">
        <v>0.42866702800000001</v>
      </c>
      <c r="M2139" s="21">
        <v>-1.2785298620000001</v>
      </c>
      <c r="N2139">
        <v>-0.329141723</v>
      </c>
    </row>
    <row r="2140" spans="1:14" x14ac:dyDescent="0.2">
      <c r="A2140" t="s">
        <v>1368</v>
      </c>
      <c r="B2140">
        <v>141280</v>
      </c>
      <c r="C2140" t="s">
        <v>68</v>
      </c>
      <c r="D2140" t="s">
        <v>1368</v>
      </c>
      <c r="E2140" t="s">
        <v>4385</v>
      </c>
      <c r="G2140" t="s">
        <v>4386</v>
      </c>
      <c r="J2140">
        <v>6.4561903559999996</v>
      </c>
      <c r="K2140">
        <v>0.47291064100000002</v>
      </c>
      <c r="L2140">
        <v>0.34414126499999997</v>
      </c>
      <c r="M2140" s="21">
        <v>-1.2785594790000001</v>
      </c>
      <c r="N2140">
        <v>-0.32929387700000001</v>
      </c>
    </row>
    <row r="2141" spans="1:14" x14ac:dyDescent="0.2">
      <c r="A2141" t="s">
        <v>380</v>
      </c>
      <c r="B2141">
        <v>141120</v>
      </c>
      <c r="C2141" t="s">
        <v>68</v>
      </c>
      <c r="D2141" t="s">
        <v>380</v>
      </c>
      <c r="E2141" t="s">
        <v>4387</v>
      </c>
      <c r="G2141" t="s">
        <v>4388</v>
      </c>
      <c r="J2141">
        <v>6.4561903559999996</v>
      </c>
      <c r="K2141">
        <v>0.47291064100000002</v>
      </c>
      <c r="L2141">
        <v>0.34414126499999997</v>
      </c>
      <c r="M2141" s="21">
        <v>-1.2787142069999999</v>
      </c>
      <c r="N2141">
        <v>-0.33008877399999997</v>
      </c>
    </row>
    <row r="2142" spans="1:14" x14ac:dyDescent="0.2">
      <c r="A2142" t="s">
        <v>2348</v>
      </c>
      <c r="B2142">
        <v>240120</v>
      </c>
      <c r="C2142" t="s">
        <v>58</v>
      </c>
      <c r="D2142" t="s">
        <v>2348</v>
      </c>
      <c r="E2142" t="s">
        <v>4389</v>
      </c>
      <c r="G2142" t="s">
        <v>4390</v>
      </c>
      <c r="J2142">
        <v>4.5363847230000003</v>
      </c>
      <c r="K2142">
        <v>0.245646371</v>
      </c>
      <c r="L2142">
        <v>7.5242279999999995E-2</v>
      </c>
      <c r="M2142" s="21">
        <v>-1.2787569169999999</v>
      </c>
      <c r="N2142">
        <v>-0.330308192</v>
      </c>
    </row>
    <row r="2143" spans="1:14" x14ac:dyDescent="0.2">
      <c r="A2143" t="s">
        <v>889</v>
      </c>
      <c r="B2143">
        <v>239840</v>
      </c>
      <c r="C2143" t="s">
        <v>58</v>
      </c>
      <c r="D2143" t="s">
        <v>889</v>
      </c>
      <c r="E2143" t="s">
        <v>4391</v>
      </c>
      <c r="G2143" t="s">
        <v>4392</v>
      </c>
      <c r="J2143">
        <v>4.5363847230000003</v>
      </c>
      <c r="K2143">
        <v>0.245646371</v>
      </c>
      <c r="L2143">
        <v>7.5242279999999995E-2</v>
      </c>
      <c r="M2143" s="21">
        <v>-1.27902732</v>
      </c>
      <c r="N2143">
        <v>-0.33169735500000003</v>
      </c>
    </row>
    <row r="2144" spans="1:14" x14ac:dyDescent="0.2">
      <c r="A2144" t="s">
        <v>775</v>
      </c>
      <c r="B2144">
        <v>26520</v>
      </c>
      <c r="C2144" t="s">
        <v>34</v>
      </c>
      <c r="D2144" t="s">
        <v>776</v>
      </c>
      <c r="E2144" t="s">
        <v>4393</v>
      </c>
      <c r="G2144" t="s">
        <v>4394</v>
      </c>
      <c r="J2144">
        <v>7.0544859390000001</v>
      </c>
      <c r="K2144">
        <v>0.623000361</v>
      </c>
      <c r="L2144">
        <v>0.42866702800000001</v>
      </c>
      <c r="M2144" s="21">
        <v>-1.2790924589999999</v>
      </c>
      <c r="N2144">
        <v>-0.33203199900000002</v>
      </c>
    </row>
    <row r="2145" spans="1:14" x14ac:dyDescent="0.2">
      <c r="A2145" t="s">
        <v>1882</v>
      </c>
      <c r="B2145">
        <v>77000</v>
      </c>
      <c r="C2145" t="s">
        <v>28</v>
      </c>
      <c r="D2145" t="s">
        <v>1882</v>
      </c>
      <c r="E2145" t="s">
        <v>4395</v>
      </c>
      <c r="G2145" t="s">
        <v>4396</v>
      </c>
      <c r="J2145">
        <v>5.8462906840000004</v>
      </c>
      <c r="K2145">
        <v>0.60615847</v>
      </c>
      <c r="L2145">
        <v>0.28550877299999999</v>
      </c>
      <c r="M2145" s="21">
        <v>-1.2795106759999999</v>
      </c>
      <c r="N2145">
        <v>-0.334180533</v>
      </c>
    </row>
    <row r="2146" spans="1:14" x14ac:dyDescent="0.2">
      <c r="A2146" t="s">
        <v>746</v>
      </c>
      <c r="B2146">
        <v>190120</v>
      </c>
      <c r="C2146" t="s">
        <v>130</v>
      </c>
      <c r="D2146" t="s">
        <v>746</v>
      </c>
      <c r="E2146" t="s">
        <v>4397</v>
      </c>
      <c r="G2146" t="s">
        <v>4398</v>
      </c>
      <c r="J2146">
        <v>5.1222566499999997</v>
      </c>
      <c r="K2146">
        <v>0.21422175600000001</v>
      </c>
      <c r="L2146">
        <v>0.25354511400000002</v>
      </c>
      <c r="M2146" s="21">
        <v>-1.2795113600000001</v>
      </c>
      <c r="N2146">
        <v>-0.33418405000000001</v>
      </c>
    </row>
    <row r="2147" spans="1:14" x14ac:dyDescent="0.2">
      <c r="A2147" t="s">
        <v>1356</v>
      </c>
      <c r="B2147">
        <v>230000</v>
      </c>
      <c r="C2147" t="s">
        <v>84</v>
      </c>
      <c r="D2147" t="s">
        <v>1356</v>
      </c>
      <c r="E2147" t="s">
        <v>4399</v>
      </c>
      <c r="J2147">
        <v>3.600219579</v>
      </c>
      <c r="K2147">
        <v>-0.293098474</v>
      </c>
      <c r="L2147">
        <v>-0.153917466</v>
      </c>
      <c r="M2147" s="21">
        <v>-1.2798486950000001</v>
      </c>
      <c r="N2147">
        <v>-0.33591706399999999</v>
      </c>
    </row>
    <row r="2148" spans="1:14" x14ac:dyDescent="0.2">
      <c r="A2148" t="s">
        <v>1422</v>
      </c>
      <c r="B2148">
        <v>239280</v>
      </c>
      <c r="C2148" t="s">
        <v>100</v>
      </c>
      <c r="D2148" t="s">
        <v>1423</v>
      </c>
      <c r="E2148" t="s">
        <v>4400</v>
      </c>
      <c r="G2148" t="s">
        <v>4401</v>
      </c>
      <c r="J2148">
        <v>5.9110743220000002</v>
      </c>
      <c r="K2148">
        <v>0.71598987199999997</v>
      </c>
      <c r="L2148">
        <v>0.29077365599999999</v>
      </c>
      <c r="M2148" s="21">
        <v>-1.2800643279999999</v>
      </c>
      <c r="N2148">
        <v>-0.33702485100000001</v>
      </c>
    </row>
    <row r="2149" spans="1:14" x14ac:dyDescent="0.2">
      <c r="A2149" t="s">
        <v>311</v>
      </c>
      <c r="B2149">
        <v>254280</v>
      </c>
      <c r="C2149" t="s">
        <v>149</v>
      </c>
      <c r="D2149" t="s">
        <v>311</v>
      </c>
      <c r="E2149" t="s">
        <v>4402</v>
      </c>
      <c r="G2149" t="s">
        <v>4403</v>
      </c>
      <c r="J2149">
        <v>5.0381074159999999</v>
      </c>
      <c r="K2149">
        <v>0.81312368999999995</v>
      </c>
      <c r="L2149">
        <v>0.16969141800000001</v>
      </c>
      <c r="M2149" s="21">
        <v>-1.2802141410000001</v>
      </c>
      <c r="N2149">
        <v>-0.33779449700000003</v>
      </c>
    </row>
    <row r="2150" spans="1:14" x14ac:dyDescent="0.2">
      <c r="A2150" t="s">
        <v>1190</v>
      </c>
      <c r="B2150">
        <v>238720</v>
      </c>
      <c r="C2150" t="s">
        <v>100</v>
      </c>
      <c r="D2150" t="s">
        <v>1190</v>
      </c>
      <c r="E2150" t="s">
        <v>4404</v>
      </c>
      <c r="G2150" t="s">
        <v>4405</v>
      </c>
      <c r="J2150">
        <v>5.9110743220000002</v>
      </c>
      <c r="K2150">
        <v>0.71598987199999997</v>
      </c>
      <c r="L2150">
        <v>0.29077365599999999</v>
      </c>
      <c r="M2150" s="21">
        <v>-1.2806202470000001</v>
      </c>
      <c r="N2150">
        <v>-0.339880817</v>
      </c>
    </row>
    <row r="2151" spans="1:14" x14ac:dyDescent="0.2">
      <c r="A2151" t="s">
        <v>369</v>
      </c>
      <c r="B2151">
        <v>238680</v>
      </c>
      <c r="C2151" t="s">
        <v>100</v>
      </c>
      <c r="D2151" t="s">
        <v>369</v>
      </c>
      <c r="E2151" t="s">
        <v>4406</v>
      </c>
      <c r="G2151" t="s">
        <v>4407</v>
      </c>
      <c r="J2151">
        <v>5.9110743220000002</v>
      </c>
      <c r="K2151">
        <v>0.71598987199999997</v>
      </c>
      <c r="L2151">
        <v>0.29077365599999999</v>
      </c>
      <c r="M2151" s="21">
        <v>-1.280659956</v>
      </c>
      <c r="N2151">
        <v>-0.34008481499999998</v>
      </c>
    </row>
    <row r="2152" spans="1:14" x14ac:dyDescent="0.2">
      <c r="A2152" t="s">
        <v>2764</v>
      </c>
      <c r="B2152">
        <v>138800</v>
      </c>
      <c r="C2152" t="s">
        <v>68</v>
      </c>
      <c r="D2152" t="s">
        <v>2764</v>
      </c>
      <c r="E2152" t="s">
        <v>4408</v>
      </c>
      <c r="G2152" t="s">
        <v>4409</v>
      </c>
      <c r="J2152">
        <v>6.4561903559999996</v>
      </c>
      <c r="K2152">
        <v>0.47291064100000002</v>
      </c>
      <c r="L2152">
        <v>0.34414126499999997</v>
      </c>
      <c r="M2152" s="21">
        <v>-1.280957769</v>
      </c>
      <c r="N2152">
        <v>-0.34161479099999997</v>
      </c>
    </row>
    <row r="2153" spans="1:14" x14ac:dyDescent="0.2">
      <c r="A2153" t="s">
        <v>2040</v>
      </c>
      <c r="B2153">
        <v>188120</v>
      </c>
      <c r="C2153" t="s">
        <v>130</v>
      </c>
      <c r="D2153" t="s">
        <v>2040</v>
      </c>
      <c r="E2153" t="s">
        <v>4410</v>
      </c>
      <c r="G2153" t="s">
        <v>4411</v>
      </c>
      <c r="J2153">
        <v>5.1222566499999997</v>
      </c>
      <c r="K2153">
        <v>0.21422175600000001</v>
      </c>
      <c r="L2153">
        <v>0.25354511400000002</v>
      </c>
      <c r="M2153" s="21">
        <v>-1.28110302</v>
      </c>
      <c r="N2153">
        <v>-0.34236100200000003</v>
      </c>
    </row>
    <row r="2154" spans="1:14" x14ac:dyDescent="0.2">
      <c r="A2154" t="s">
        <v>1256</v>
      </c>
      <c r="B2154">
        <v>238200</v>
      </c>
      <c r="C2154" t="s">
        <v>100</v>
      </c>
      <c r="D2154" t="s">
        <v>1257</v>
      </c>
      <c r="E2154" t="s">
        <v>4412</v>
      </c>
      <c r="G2154" t="s">
        <v>4413</v>
      </c>
      <c r="J2154">
        <v>5.9110743220000002</v>
      </c>
      <c r="K2154">
        <v>0.71598987199999997</v>
      </c>
      <c r="L2154">
        <v>0.29077365599999999</v>
      </c>
      <c r="M2154" s="21">
        <v>-1.281136458</v>
      </c>
      <c r="N2154">
        <v>-0.34253278700000001</v>
      </c>
    </row>
    <row r="2155" spans="1:14" x14ac:dyDescent="0.2">
      <c r="A2155" t="s">
        <v>494</v>
      </c>
      <c r="B2155">
        <v>23920</v>
      </c>
      <c r="C2155" t="s">
        <v>34</v>
      </c>
      <c r="D2155" t="s">
        <v>495</v>
      </c>
      <c r="E2155" t="s">
        <v>4414</v>
      </c>
      <c r="G2155" t="s">
        <v>4415</v>
      </c>
      <c r="J2155">
        <v>7.0544859390000001</v>
      </c>
      <c r="K2155">
        <v>0.623000361</v>
      </c>
      <c r="L2155">
        <v>0.42866702800000001</v>
      </c>
      <c r="M2155" s="21">
        <v>-1.2813780130000001</v>
      </c>
      <c r="N2155">
        <v>-0.34377374300000002</v>
      </c>
    </row>
    <row r="2156" spans="1:14" x14ac:dyDescent="0.2">
      <c r="A2156" t="s">
        <v>703</v>
      </c>
      <c r="B2156">
        <v>237360</v>
      </c>
      <c r="C2156" t="s">
        <v>58</v>
      </c>
      <c r="D2156" t="s">
        <v>704</v>
      </c>
      <c r="E2156" t="s">
        <v>4416</v>
      </c>
      <c r="G2156" t="s">
        <v>4417</v>
      </c>
      <c r="J2156">
        <v>4.5363847230000003</v>
      </c>
      <c r="K2156">
        <v>0.245646371</v>
      </c>
      <c r="L2156">
        <v>7.5242279999999995E-2</v>
      </c>
      <c r="M2156" s="21">
        <v>-1.2814223220000001</v>
      </c>
      <c r="N2156">
        <v>-0.34400137400000003</v>
      </c>
    </row>
    <row r="2157" spans="1:14" x14ac:dyDescent="0.2">
      <c r="A2157" t="s">
        <v>1123</v>
      </c>
      <c r="B2157">
        <v>228560</v>
      </c>
      <c r="C2157" t="s">
        <v>84</v>
      </c>
      <c r="D2157" t="s">
        <v>1123</v>
      </c>
      <c r="E2157" t="s">
        <v>4418</v>
      </c>
      <c r="J2157">
        <v>3.600219579</v>
      </c>
      <c r="K2157">
        <v>-0.293098474</v>
      </c>
      <c r="L2157">
        <v>-0.153917466</v>
      </c>
      <c r="M2157" s="21">
        <v>-1.281733462</v>
      </c>
      <c r="N2157">
        <v>-0.34559982</v>
      </c>
    </row>
    <row r="2158" spans="1:14" x14ac:dyDescent="0.2">
      <c r="A2158" t="s">
        <v>2089</v>
      </c>
      <c r="B2158">
        <v>187160</v>
      </c>
      <c r="C2158" t="s">
        <v>130</v>
      </c>
      <c r="D2158" t="s">
        <v>2090</v>
      </c>
      <c r="E2158" t="s">
        <v>4419</v>
      </c>
      <c r="G2158" t="s">
        <v>4420</v>
      </c>
      <c r="J2158">
        <v>5.1222566499999997</v>
      </c>
      <c r="K2158">
        <v>0.21422175600000001</v>
      </c>
      <c r="L2158">
        <v>0.25354511400000002</v>
      </c>
      <c r="M2158" s="21">
        <v>-1.2818670169999999</v>
      </c>
      <c r="N2158">
        <v>-0.34628593899999999</v>
      </c>
    </row>
    <row r="2159" spans="1:14" x14ac:dyDescent="0.2">
      <c r="A2159" t="s">
        <v>172</v>
      </c>
      <c r="B2159">
        <v>23280</v>
      </c>
      <c r="C2159" t="s">
        <v>34</v>
      </c>
      <c r="D2159" t="s">
        <v>172</v>
      </c>
      <c r="J2159">
        <v>7.0544859390000001</v>
      </c>
      <c r="K2159">
        <v>0.623000361</v>
      </c>
      <c r="L2159">
        <v>0.42866702800000001</v>
      </c>
      <c r="M2159" s="21">
        <v>-1.281940611</v>
      </c>
      <c r="N2159">
        <v>-0.34666401800000002</v>
      </c>
    </row>
    <row r="2160" spans="1:14" x14ac:dyDescent="0.2">
      <c r="A2160" t="s">
        <v>765</v>
      </c>
      <c r="B2160">
        <v>22680</v>
      </c>
      <c r="C2160" t="s">
        <v>34</v>
      </c>
      <c r="D2160" t="s">
        <v>766</v>
      </c>
      <c r="E2160" t="s">
        <v>4421</v>
      </c>
      <c r="G2160" t="s">
        <v>4422</v>
      </c>
      <c r="J2160">
        <v>7.0544859390000001</v>
      </c>
      <c r="K2160">
        <v>0.623000361</v>
      </c>
      <c r="L2160">
        <v>0.42866702800000001</v>
      </c>
      <c r="M2160" s="21">
        <v>-1.282468046</v>
      </c>
      <c r="N2160">
        <v>-0.34937365199999998</v>
      </c>
    </row>
    <row r="2161" spans="1:14" x14ac:dyDescent="0.2">
      <c r="A2161" t="s">
        <v>619</v>
      </c>
      <c r="B2161">
        <v>22560</v>
      </c>
      <c r="C2161" t="s">
        <v>34</v>
      </c>
      <c r="D2161" t="s">
        <v>619</v>
      </c>
      <c r="E2161" t="s">
        <v>4423</v>
      </c>
      <c r="G2161" t="s">
        <v>4424</v>
      </c>
      <c r="J2161">
        <v>7.0544859390000001</v>
      </c>
      <c r="K2161">
        <v>0.623000361</v>
      </c>
      <c r="L2161">
        <v>0.42866702800000001</v>
      </c>
      <c r="M2161" s="21">
        <v>-1.2825735330000001</v>
      </c>
      <c r="N2161">
        <v>-0.349915578</v>
      </c>
    </row>
    <row r="2162" spans="1:14" x14ac:dyDescent="0.2">
      <c r="A2162" t="s">
        <v>477</v>
      </c>
      <c r="B2162">
        <v>22240</v>
      </c>
      <c r="C2162" t="s">
        <v>34</v>
      </c>
      <c r="D2162" t="s">
        <v>477</v>
      </c>
      <c r="J2162">
        <v>7.0544859390000001</v>
      </c>
      <c r="K2162">
        <v>0.623000361</v>
      </c>
      <c r="L2162">
        <v>0.42866702800000001</v>
      </c>
      <c r="M2162" s="21">
        <v>-1.2828548319999999</v>
      </c>
      <c r="N2162">
        <v>-0.35136071600000002</v>
      </c>
    </row>
    <row r="2163" spans="1:14" x14ac:dyDescent="0.2">
      <c r="A2163" t="s">
        <v>516</v>
      </c>
      <c r="B2163">
        <v>236320</v>
      </c>
      <c r="C2163" t="s">
        <v>100</v>
      </c>
      <c r="D2163" t="s">
        <v>516</v>
      </c>
      <c r="E2163" t="s">
        <v>4425</v>
      </c>
      <c r="G2163" t="s">
        <v>4426</v>
      </c>
      <c r="J2163">
        <v>5.9110743220000002</v>
      </c>
      <c r="K2163">
        <v>0.71598987199999997</v>
      </c>
      <c r="L2163">
        <v>0.29077365599999999</v>
      </c>
      <c r="M2163" s="21">
        <v>-1.28300276</v>
      </c>
      <c r="N2163">
        <v>-0.35212067499999999</v>
      </c>
    </row>
    <row r="2164" spans="1:14" x14ac:dyDescent="0.2">
      <c r="A2164" t="s">
        <v>1058</v>
      </c>
      <c r="B2164">
        <v>227560</v>
      </c>
      <c r="C2164" t="s">
        <v>84</v>
      </c>
      <c r="D2164" t="s">
        <v>1059</v>
      </c>
      <c r="E2164" t="s">
        <v>4427</v>
      </c>
      <c r="J2164">
        <v>3.600219579</v>
      </c>
      <c r="K2164">
        <v>-0.293098474</v>
      </c>
      <c r="L2164">
        <v>-0.153917466</v>
      </c>
      <c r="M2164" s="21">
        <v>-1.2830423289999999</v>
      </c>
      <c r="N2164">
        <v>-0.35232395599999999</v>
      </c>
    </row>
    <row r="2165" spans="1:14" x14ac:dyDescent="0.2">
      <c r="A2165" t="s">
        <v>239</v>
      </c>
      <c r="B2165">
        <v>235680</v>
      </c>
      <c r="C2165" t="s">
        <v>58</v>
      </c>
      <c r="D2165" t="s">
        <v>240</v>
      </c>
      <c r="E2165" t="s">
        <v>4428</v>
      </c>
      <c r="G2165" t="s">
        <v>4429</v>
      </c>
      <c r="J2165">
        <v>4.5363847230000003</v>
      </c>
      <c r="K2165">
        <v>0.245646371</v>
      </c>
      <c r="L2165">
        <v>7.5242279999999995E-2</v>
      </c>
      <c r="M2165" s="21">
        <v>-1.283044742</v>
      </c>
      <c r="N2165">
        <v>-0.35233635400000002</v>
      </c>
    </row>
    <row r="2166" spans="1:14" x14ac:dyDescent="0.2">
      <c r="A2166" t="s">
        <v>1062</v>
      </c>
      <c r="B2166">
        <v>276360</v>
      </c>
      <c r="C2166" t="s">
        <v>14</v>
      </c>
      <c r="D2166" t="s">
        <v>1062</v>
      </c>
      <c r="E2166" t="s">
        <v>4430</v>
      </c>
      <c r="G2166" t="s">
        <v>4431</v>
      </c>
      <c r="J2166">
        <v>6.7484204910000001</v>
      </c>
      <c r="K2166">
        <v>0.48629166299999999</v>
      </c>
      <c r="L2166">
        <v>0.375053939</v>
      </c>
      <c r="M2166" s="21">
        <v>-1.2831675140000001</v>
      </c>
      <c r="N2166">
        <v>-0.35296707999999999</v>
      </c>
    </row>
    <row r="2167" spans="1:14" x14ac:dyDescent="0.2">
      <c r="A2167" t="s">
        <v>246</v>
      </c>
      <c r="B2167">
        <v>21880</v>
      </c>
      <c r="C2167" t="s">
        <v>34</v>
      </c>
      <c r="D2167" t="s">
        <v>246</v>
      </c>
      <c r="J2167">
        <v>7.0544859390000001</v>
      </c>
      <c r="K2167">
        <v>0.623000361</v>
      </c>
      <c r="L2167">
        <v>0.42866702800000001</v>
      </c>
      <c r="M2167" s="21">
        <v>-1.2831712930000001</v>
      </c>
      <c r="N2167">
        <v>-0.35298649599999998</v>
      </c>
    </row>
    <row r="2168" spans="1:14" x14ac:dyDescent="0.2">
      <c r="A2168" t="s">
        <v>329</v>
      </c>
      <c r="B2168">
        <v>21840</v>
      </c>
      <c r="C2168" t="s">
        <v>34</v>
      </c>
      <c r="D2168" t="s">
        <v>329</v>
      </c>
      <c r="E2168" t="s">
        <v>4432</v>
      </c>
      <c r="G2168" t="s">
        <v>4433</v>
      </c>
      <c r="J2168">
        <v>7.0544859390000001</v>
      </c>
      <c r="K2168">
        <v>0.623000361</v>
      </c>
      <c r="L2168">
        <v>0.42866702800000001</v>
      </c>
      <c r="M2168" s="21">
        <v>-1.2832064560000001</v>
      </c>
      <c r="N2168">
        <v>-0.35316713799999999</v>
      </c>
    </row>
    <row r="2169" spans="1:14" x14ac:dyDescent="0.2">
      <c r="A2169" t="s">
        <v>243</v>
      </c>
      <c r="B2169">
        <v>21640</v>
      </c>
      <c r="C2169" t="s">
        <v>34</v>
      </c>
      <c r="D2169" t="s">
        <v>243</v>
      </c>
      <c r="J2169">
        <v>7.0544859390000001</v>
      </c>
      <c r="K2169">
        <v>0.623000361</v>
      </c>
      <c r="L2169">
        <v>0.42866702800000001</v>
      </c>
      <c r="M2169" s="21">
        <v>-1.283382268</v>
      </c>
      <c r="N2169">
        <v>-0.35407034900000001</v>
      </c>
    </row>
    <row r="2170" spans="1:14" x14ac:dyDescent="0.2">
      <c r="A2170" t="s">
        <v>2270</v>
      </c>
      <c r="B2170">
        <v>250720</v>
      </c>
      <c r="C2170" t="s">
        <v>149</v>
      </c>
      <c r="D2170" t="s">
        <v>2271</v>
      </c>
      <c r="E2170" t="s">
        <v>4434</v>
      </c>
      <c r="G2170" t="s">
        <v>4435</v>
      </c>
      <c r="J2170">
        <v>5.0381074159999999</v>
      </c>
      <c r="K2170">
        <v>0.81312368999999995</v>
      </c>
      <c r="L2170">
        <v>0.16969141800000001</v>
      </c>
      <c r="M2170" s="21">
        <v>-1.283505774</v>
      </c>
      <c r="N2170">
        <v>-0.35470484899999999</v>
      </c>
    </row>
    <row r="2171" spans="1:14" x14ac:dyDescent="0.2">
      <c r="A2171" t="s">
        <v>361</v>
      </c>
      <c r="B2171">
        <v>184880</v>
      </c>
      <c r="C2171" t="s">
        <v>130</v>
      </c>
      <c r="D2171" t="s">
        <v>361</v>
      </c>
      <c r="E2171" t="s">
        <v>4436</v>
      </c>
      <c r="G2171" t="s">
        <v>4437</v>
      </c>
      <c r="J2171">
        <v>5.1222566499999997</v>
      </c>
      <c r="K2171">
        <v>0.21422175600000001</v>
      </c>
      <c r="L2171">
        <v>0.25354511400000002</v>
      </c>
      <c r="M2171" s="21">
        <v>-1.283681509</v>
      </c>
      <c r="N2171">
        <v>-0.35560766399999999</v>
      </c>
    </row>
    <row r="2172" spans="1:14" x14ac:dyDescent="0.2">
      <c r="A2172" t="s">
        <v>1118</v>
      </c>
      <c r="B2172">
        <v>275880</v>
      </c>
      <c r="C2172" t="s">
        <v>14</v>
      </c>
      <c r="D2172" t="s">
        <v>1118</v>
      </c>
      <c r="E2172" t="s">
        <v>4438</v>
      </c>
      <c r="G2172" t="s">
        <v>4439</v>
      </c>
      <c r="J2172">
        <v>6.7484204910000001</v>
      </c>
      <c r="K2172">
        <v>0.48629166299999999</v>
      </c>
      <c r="L2172">
        <v>0.375053939</v>
      </c>
      <c r="M2172" s="21">
        <v>-1.2836934609999999</v>
      </c>
      <c r="N2172">
        <v>-0.35566906500000001</v>
      </c>
    </row>
    <row r="2173" spans="1:14" x14ac:dyDescent="0.2">
      <c r="A2173" t="s">
        <v>1620</v>
      </c>
      <c r="B2173">
        <v>72160</v>
      </c>
      <c r="C2173" t="s">
        <v>28</v>
      </c>
      <c r="D2173" t="s">
        <v>1620</v>
      </c>
      <c r="E2173" t="s">
        <v>4440</v>
      </c>
      <c r="G2173" t="s">
        <v>4441</v>
      </c>
      <c r="J2173">
        <v>5.8462906840000004</v>
      </c>
      <c r="K2173">
        <v>0.60615847</v>
      </c>
      <c r="L2173">
        <v>0.28550877299999999</v>
      </c>
      <c r="M2173" s="21">
        <v>-1.2838802869999999</v>
      </c>
      <c r="N2173">
        <v>-0.35662886199999999</v>
      </c>
    </row>
    <row r="2174" spans="1:14" x14ac:dyDescent="0.2">
      <c r="A2174" t="s">
        <v>1963</v>
      </c>
      <c r="B2174">
        <v>20920</v>
      </c>
      <c r="C2174" t="s">
        <v>34</v>
      </c>
      <c r="D2174" t="s">
        <v>1963</v>
      </c>
      <c r="J2174">
        <v>7.0544859390000001</v>
      </c>
      <c r="K2174">
        <v>0.623000361</v>
      </c>
      <c r="L2174">
        <v>0.42866702800000001</v>
      </c>
      <c r="M2174" s="21">
        <v>-1.2840151900000001</v>
      </c>
      <c r="N2174">
        <v>-0.35732190899999999</v>
      </c>
    </row>
    <row r="2175" spans="1:14" x14ac:dyDescent="0.2">
      <c r="A2175" t="s">
        <v>1208</v>
      </c>
      <c r="B2175">
        <v>275520</v>
      </c>
      <c r="C2175" t="s">
        <v>14</v>
      </c>
      <c r="D2175" t="s">
        <v>1208</v>
      </c>
      <c r="E2175" t="s">
        <v>4442</v>
      </c>
      <c r="G2175" t="s">
        <v>4443</v>
      </c>
      <c r="J2175">
        <v>6.7484204910000001</v>
      </c>
      <c r="K2175">
        <v>0.48629166299999999</v>
      </c>
      <c r="L2175">
        <v>0.375053939</v>
      </c>
      <c r="M2175" s="21">
        <v>-1.284087921</v>
      </c>
      <c r="N2175">
        <v>-0.357695553</v>
      </c>
    </row>
    <row r="2176" spans="1:14" x14ac:dyDescent="0.2">
      <c r="A2176" t="s">
        <v>880</v>
      </c>
      <c r="B2176">
        <v>71840</v>
      </c>
      <c r="C2176" t="s">
        <v>28</v>
      </c>
      <c r="D2176" t="s">
        <v>880</v>
      </c>
      <c r="E2176" t="s">
        <v>4444</v>
      </c>
      <c r="G2176" t="s">
        <v>4445</v>
      </c>
      <c r="J2176">
        <v>5.8462906840000004</v>
      </c>
      <c r="K2176">
        <v>0.60615847</v>
      </c>
      <c r="L2176">
        <v>0.28550877299999999</v>
      </c>
      <c r="M2176" s="21">
        <v>-1.284169187</v>
      </c>
      <c r="N2176">
        <v>-0.35811304900000002</v>
      </c>
    </row>
    <row r="2177" spans="1:14" x14ac:dyDescent="0.2">
      <c r="A2177" t="s">
        <v>1231</v>
      </c>
      <c r="B2177">
        <v>234440</v>
      </c>
      <c r="C2177" t="s">
        <v>58</v>
      </c>
      <c r="D2177" t="s">
        <v>1231</v>
      </c>
      <c r="E2177" t="s">
        <v>4446</v>
      </c>
      <c r="G2177" t="s">
        <v>4447</v>
      </c>
      <c r="J2177">
        <v>4.5363847230000003</v>
      </c>
      <c r="K2177">
        <v>0.245646371</v>
      </c>
      <c r="L2177">
        <v>7.5242279999999995E-2</v>
      </c>
      <c r="M2177" s="21">
        <v>-1.284242243</v>
      </c>
      <c r="N2177">
        <v>-0.358488364</v>
      </c>
    </row>
    <row r="2178" spans="1:14" x14ac:dyDescent="0.2">
      <c r="A2178" t="s">
        <v>385</v>
      </c>
      <c r="B2178">
        <v>135360</v>
      </c>
      <c r="C2178" t="s">
        <v>68</v>
      </c>
      <c r="D2178" t="s">
        <v>386</v>
      </c>
      <c r="E2178" t="s">
        <v>4448</v>
      </c>
      <c r="G2178" t="s">
        <v>4449</v>
      </c>
      <c r="J2178">
        <v>6.4561903559999996</v>
      </c>
      <c r="K2178">
        <v>0.47291064100000002</v>
      </c>
      <c r="L2178">
        <v>0.34414126499999997</v>
      </c>
      <c r="M2178" s="21">
        <v>-1.2842844289999999</v>
      </c>
      <c r="N2178">
        <v>-0.358705092</v>
      </c>
    </row>
    <row r="2179" spans="1:14" x14ac:dyDescent="0.2">
      <c r="A2179" t="s">
        <v>929</v>
      </c>
      <c r="B2179">
        <v>234320</v>
      </c>
      <c r="C2179" t="s">
        <v>58</v>
      </c>
      <c r="D2179" t="s">
        <v>929</v>
      </c>
      <c r="E2179" t="s">
        <v>4450</v>
      </c>
      <c r="G2179" t="s">
        <v>4451</v>
      </c>
      <c r="J2179">
        <v>4.5363847230000003</v>
      </c>
      <c r="K2179">
        <v>0.245646371</v>
      </c>
      <c r="L2179">
        <v>7.5242279999999995E-2</v>
      </c>
      <c r="M2179" s="21">
        <v>-1.28435813</v>
      </c>
      <c r="N2179">
        <v>-0.35908371900000002</v>
      </c>
    </row>
    <row r="2180" spans="1:14" x14ac:dyDescent="0.2">
      <c r="A2180" t="s">
        <v>2443</v>
      </c>
      <c r="B2180">
        <v>20360</v>
      </c>
      <c r="C2180" t="s">
        <v>34</v>
      </c>
      <c r="D2180" t="s">
        <v>2444</v>
      </c>
      <c r="E2180" t="s">
        <v>4452</v>
      </c>
      <c r="G2180" t="s">
        <v>4453</v>
      </c>
      <c r="J2180">
        <v>7.0544859390000001</v>
      </c>
      <c r="K2180">
        <v>0.623000361</v>
      </c>
      <c r="L2180">
        <v>0.42866702800000001</v>
      </c>
      <c r="M2180" s="21">
        <v>-1.284507463</v>
      </c>
      <c r="N2180">
        <v>-0.35985089999999997</v>
      </c>
    </row>
    <row r="2181" spans="1:14" x14ac:dyDescent="0.2">
      <c r="A2181" t="s">
        <v>303</v>
      </c>
      <c r="B2181">
        <v>275120</v>
      </c>
      <c r="C2181" t="s">
        <v>14</v>
      </c>
      <c r="D2181" t="s">
        <v>304</v>
      </c>
      <c r="E2181" t="s">
        <v>4454</v>
      </c>
      <c r="G2181" t="s">
        <v>4455</v>
      </c>
      <c r="J2181">
        <v>6.7484204910000001</v>
      </c>
      <c r="K2181">
        <v>0.48629166299999999</v>
      </c>
      <c r="L2181">
        <v>0.375053939</v>
      </c>
      <c r="M2181" s="21">
        <v>-1.2845262099999999</v>
      </c>
      <c r="N2181">
        <v>-0.35994720800000002</v>
      </c>
    </row>
    <row r="2182" spans="1:14" x14ac:dyDescent="0.2">
      <c r="A2182" t="s">
        <v>2499</v>
      </c>
      <c r="B2182">
        <v>135040</v>
      </c>
      <c r="C2182" t="s">
        <v>68</v>
      </c>
      <c r="D2182" t="s">
        <v>2500</v>
      </c>
      <c r="E2182" t="s">
        <v>4456</v>
      </c>
      <c r="G2182" t="s">
        <v>4457</v>
      </c>
      <c r="J2182">
        <v>6.4561903559999996</v>
      </c>
      <c r="K2182">
        <v>0.47291064100000002</v>
      </c>
      <c r="L2182">
        <v>0.34414126499999997</v>
      </c>
      <c r="M2182" s="21">
        <v>-1.2845938859999999</v>
      </c>
      <c r="N2182">
        <v>-0.36029488799999998</v>
      </c>
    </row>
    <row r="2183" spans="1:14" x14ac:dyDescent="0.2">
      <c r="A2183" t="s">
        <v>1343</v>
      </c>
      <c r="B2183">
        <v>183480</v>
      </c>
      <c r="C2183" t="s">
        <v>130</v>
      </c>
      <c r="D2183" t="s">
        <v>1344</v>
      </c>
      <c r="E2183" t="s">
        <v>4458</v>
      </c>
      <c r="G2183" t="s">
        <v>4459</v>
      </c>
      <c r="J2183">
        <v>5.1222566499999997</v>
      </c>
      <c r="K2183">
        <v>0.21422175600000001</v>
      </c>
      <c r="L2183">
        <v>0.25354511400000002</v>
      </c>
      <c r="M2183" s="21">
        <v>-1.2847956709999999</v>
      </c>
      <c r="N2183">
        <v>-0.36133153000000001</v>
      </c>
    </row>
    <row r="2184" spans="1:14" x14ac:dyDescent="0.2">
      <c r="A2184" t="s">
        <v>519</v>
      </c>
      <c r="B2184">
        <v>274840</v>
      </c>
      <c r="C2184" t="s">
        <v>14</v>
      </c>
      <c r="D2184" t="s">
        <v>519</v>
      </c>
      <c r="E2184" t="s">
        <v>4460</v>
      </c>
      <c r="G2184" t="s">
        <v>4461</v>
      </c>
      <c r="J2184">
        <v>6.7484204910000001</v>
      </c>
      <c r="K2184">
        <v>0.48629166299999999</v>
      </c>
      <c r="L2184">
        <v>0.375053939</v>
      </c>
      <c r="M2184" s="21">
        <v>-1.284833012</v>
      </c>
      <c r="N2184">
        <v>-0.36152336600000001</v>
      </c>
    </row>
    <row r="2185" spans="1:14" x14ac:dyDescent="0.2">
      <c r="A2185" t="s">
        <v>465</v>
      </c>
      <c r="B2185">
        <v>134680</v>
      </c>
      <c r="C2185" t="s">
        <v>68</v>
      </c>
      <c r="D2185" t="s">
        <v>466</v>
      </c>
      <c r="E2185" t="s">
        <v>4462</v>
      </c>
      <c r="G2185" t="s">
        <v>4463</v>
      </c>
      <c r="J2185">
        <v>6.4561903559999996</v>
      </c>
      <c r="K2185">
        <v>0.47291064100000002</v>
      </c>
      <c r="L2185">
        <v>0.34414126499999997</v>
      </c>
      <c r="M2185" s="21">
        <v>-1.2849420250000001</v>
      </c>
      <c r="N2185">
        <v>-0.362083408</v>
      </c>
    </row>
    <row r="2186" spans="1:14" x14ac:dyDescent="0.2">
      <c r="A2186" t="s">
        <v>1971</v>
      </c>
      <c r="B2186">
        <v>233440</v>
      </c>
      <c r="C2186" t="s">
        <v>58</v>
      </c>
      <c r="D2186" t="s">
        <v>1971</v>
      </c>
      <c r="E2186" t="s">
        <v>4464</v>
      </c>
      <c r="G2186" t="s">
        <v>4465</v>
      </c>
      <c r="J2186">
        <v>4.5363847230000003</v>
      </c>
      <c r="K2186">
        <v>0.245646371</v>
      </c>
      <c r="L2186">
        <v>7.5242279999999995E-2</v>
      </c>
      <c r="M2186" s="21">
        <v>-1.285207969</v>
      </c>
      <c r="N2186">
        <v>-0.36344966099999998</v>
      </c>
    </row>
    <row r="2187" spans="1:14" x14ac:dyDescent="0.2">
      <c r="A2187" t="s">
        <v>482</v>
      </c>
      <c r="B2187">
        <v>233240</v>
      </c>
      <c r="C2187" t="s">
        <v>58</v>
      </c>
      <c r="D2187" t="s">
        <v>482</v>
      </c>
      <c r="E2187" t="s">
        <v>4466</v>
      </c>
      <c r="G2187" t="s">
        <v>4467</v>
      </c>
      <c r="J2187">
        <v>4.5363847230000003</v>
      </c>
      <c r="K2187">
        <v>0.245646371</v>
      </c>
      <c r="L2187">
        <v>7.5242279999999995E-2</v>
      </c>
      <c r="M2187" s="21">
        <v>-1.2854011139999999</v>
      </c>
      <c r="N2187">
        <v>-0.364441921</v>
      </c>
    </row>
    <row r="2188" spans="1:14" x14ac:dyDescent="0.2">
      <c r="A2188" t="s">
        <v>1362</v>
      </c>
      <c r="B2188">
        <v>134200</v>
      </c>
      <c r="C2188" t="s">
        <v>68</v>
      </c>
      <c r="D2188" t="s">
        <v>1362</v>
      </c>
      <c r="E2188" t="s">
        <v>4468</v>
      </c>
      <c r="G2188" t="s">
        <v>4469</v>
      </c>
      <c r="J2188">
        <v>6.4561903559999996</v>
      </c>
      <c r="K2188">
        <v>0.47291064100000002</v>
      </c>
      <c r="L2188">
        <v>0.34414126499999997</v>
      </c>
      <c r="M2188" s="21">
        <v>-1.2854062100000001</v>
      </c>
      <c r="N2188">
        <v>-0.36446810099999999</v>
      </c>
    </row>
    <row r="2189" spans="1:14" x14ac:dyDescent="0.2">
      <c r="A2189" t="s">
        <v>947</v>
      </c>
      <c r="B2189">
        <v>133600</v>
      </c>
      <c r="C2189" t="s">
        <v>68</v>
      </c>
      <c r="D2189" t="s">
        <v>948</v>
      </c>
      <c r="E2189" t="s">
        <v>4470</v>
      </c>
      <c r="G2189" t="s">
        <v>4471</v>
      </c>
      <c r="J2189">
        <v>6.4561903559999996</v>
      </c>
      <c r="K2189">
        <v>0.47291064100000002</v>
      </c>
      <c r="L2189">
        <v>0.34414126499999997</v>
      </c>
      <c r="M2189" s="21">
        <v>-1.285986442</v>
      </c>
      <c r="N2189">
        <v>-0.36744896700000002</v>
      </c>
    </row>
    <row r="2190" spans="1:14" x14ac:dyDescent="0.2">
      <c r="A2190" t="s">
        <v>663</v>
      </c>
      <c r="B2190">
        <v>18640</v>
      </c>
      <c r="C2190" t="s">
        <v>34</v>
      </c>
      <c r="D2190" t="s">
        <v>663</v>
      </c>
      <c r="E2190" t="s">
        <v>4472</v>
      </c>
      <c r="G2190" t="s">
        <v>4473</v>
      </c>
      <c r="J2190">
        <v>7.0544859390000001</v>
      </c>
      <c r="K2190">
        <v>0.623000361</v>
      </c>
      <c r="L2190">
        <v>0.42866702800000001</v>
      </c>
      <c r="M2190" s="21">
        <v>-1.286019445</v>
      </c>
      <c r="N2190">
        <v>-0.36761851499999998</v>
      </c>
    </row>
    <row r="2191" spans="1:14" x14ac:dyDescent="0.2">
      <c r="A2191" t="s">
        <v>603</v>
      </c>
      <c r="B2191">
        <v>273560</v>
      </c>
      <c r="C2191" t="s">
        <v>14</v>
      </c>
      <c r="D2191" t="s">
        <v>604</v>
      </c>
      <c r="E2191" t="s">
        <v>4474</v>
      </c>
      <c r="G2191" t="s">
        <v>4475</v>
      </c>
      <c r="J2191">
        <v>6.7484204910000001</v>
      </c>
      <c r="K2191">
        <v>0.48629166299999999</v>
      </c>
      <c r="L2191">
        <v>0.375053939</v>
      </c>
      <c r="M2191" s="21">
        <v>-1.286235536</v>
      </c>
      <c r="N2191">
        <v>-0.36872865900000001</v>
      </c>
    </row>
    <row r="2192" spans="1:14" x14ac:dyDescent="0.2">
      <c r="A2192" t="s">
        <v>1101</v>
      </c>
      <c r="B2192">
        <v>232320</v>
      </c>
      <c r="C2192" t="s">
        <v>58</v>
      </c>
      <c r="D2192" t="s">
        <v>1101</v>
      </c>
      <c r="E2192" t="s">
        <v>4476</v>
      </c>
      <c r="G2192" t="s">
        <v>4477</v>
      </c>
      <c r="J2192">
        <v>4.5363847230000003</v>
      </c>
      <c r="K2192">
        <v>0.245646371</v>
      </c>
      <c r="L2192">
        <v>7.5242279999999995E-2</v>
      </c>
      <c r="M2192" s="21">
        <v>-1.2862895830000001</v>
      </c>
      <c r="N2192">
        <v>-0.36900631499999997</v>
      </c>
    </row>
    <row r="2193" spans="1:14" x14ac:dyDescent="0.2">
      <c r="A2193" t="s">
        <v>650</v>
      </c>
      <c r="B2193">
        <v>69200</v>
      </c>
      <c r="C2193" t="s">
        <v>28</v>
      </c>
      <c r="D2193" t="s">
        <v>651</v>
      </c>
      <c r="E2193" t="s">
        <v>4478</v>
      </c>
      <c r="G2193" t="s">
        <v>4479</v>
      </c>
      <c r="J2193">
        <v>5.8462906840000004</v>
      </c>
      <c r="K2193">
        <v>0.60615847</v>
      </c>
      <c r="L2193">
        <v>0.28550877299999999</v>
      </c>
      <c r="M2193" s="21">
        <v>-1.2865526110000001</v>
      </c>
      <c r="N2193">
        <v>-0.37035759200000001</v>
      </c>
    </row>
    <row r="2194" spans="1:14" x14ac:dyDescent="0.2">
      <c r="A2194" t="s">
        <v>178</v>
      </c>
      <c r="B2194">
        <v>231600</v>
      </c>
      <c r="C2194" t="s">
        <v>58</v>
      </c>
      <c r="D2194" t="s">
        <v>178</v>
      </c>
      <c r="E2194" t="s">
        <v>4480</v>
      </c>
      <c r="G2194" t="s">
        <v>4481</v>
      </c>
      <c r="J2194">
        <v>4.5363847230000003</v>
      </c>
      <c r="K2194">
        <v>0.245646371</v>
      </c>
      <c r="L2194">
        <v>7.5242279999999995E-2</v>
      </c>
      <c r="M2194" s="21">
        <v>-1.286984906</v>
      </c>
      <c r="N2194">
        <v>-0.37257845000000001</v>
      </c>
    </row>
    <row r="2195" spans="1:14" x14ac:dyDescent="0.2">
      <c r="A2195" t="s">
        <v>1356</v>
      </c>
      <c r="B2195">
        <v>132240</v>
      </c>
      <c r="C2195" t="s">
        <v>68</v>
      </c>
      <c r="D2195" t="s">
        <v>1356</v>
      </c>
      <c r="E2195" t="s">
        <v>4482</v>
      </c>
      <c r="G2195" t="s">
        <v>4483</v>
      </c>
      <c r="J2195">
        <v>6.4561903559999996</v>
      </c>
      <c r="K2195">
        <v>0.47291064100000002</v>
      </c>
      <c r="L2195">
        <v>0.34414126499999997</v>
      </c>
      <c r="M2195" s="21">
        <v>-1.287301633</v>
      </c>
      <c r="N2195">
        <v>-0.37420559799999997</v>
      </c>
    </row>
    <row r="2196" spans="1:14" x14ac:dyDescent="0.2">
      <c r="A2196" t="s">
        <v>663</v>
      </c>
      <c r="B2196">
        <v>272440</v>
      </c>
      <c r="C2196" t="s">
        <v>14</v>
      </c>
      <c r="D2196" t="s">
        <v>663</v>
      </c>
      <c r="E2196" t="s">
        <v>4484</v>
      </c>
      <c r="G2196" t="s">
        <v>4485</v>
      </c>
      <c r="J2196">
        <v>6.7484204910000001</v>
      </c>
      <c r="K2196">
        <v>0.48629166299999999</v>
      </c>
      <c r="L2196">
        <v>0.375053939</v>
      </c>
      <c r="M2196" s="21">
        <v>-1.287462745</v>
      </c>
      <c r="N2196">
        <v>-0.37503329099999999</v>
      </c>
    </row>
    <row r="2197" spans="1:14" x14ac:dyDescent="0.2">
      <c r="A2197" t="s">
        <v>1123</v>
      </c>
      <c r="B2197">
        <v>131720</v>
      </c>
      <c r="C2197" t="s">
        <v>68</v>
      </c>
      <c r="D2197" t="s">
        <v>1123</v>
      </c>
      <c r="E2197" t="s">
        <v>4486</v>
      </c>
      <c r="G2197" t="s">
        <v>4487</v>
      </c>
      <c r="J2197">
        <v>6.4561903559999996</v>
      </c>
      <c r="K2197">
        <v>0.47291064100000002</v>
      </c>
      <c r="L2197">
        <v>0.34414126499999997</v>
      </c>
      <c r="M2197" s="21">
        <v>-1.2878045010000001</v>
      </c>
      <c r="N2197">
        <v>-0.37678901599999998</v>
      </c>
    </row>
    <row r="2198" spans="1:14" x14ac:dyDescent="0.2">
      <c r="A2198" t="s">
        <v>236</v>
      </c>
      <c r="B2198">
        <v>230520</v>
      </c>
      <c r="C2198" t="s">
        <v>58</v>
      </c>
      <c r="D2198" t="s">
        <v>236</v>
      </c>
      <c r="E2198" t="s">
        <v>4488</v>
      </c>
      <c r="G2198" t="s">
        <v>4489</v>
      </c>
      <c r="J2198">
        <v>4.5363847230000003</v>
      </c>
      <c r="K2198">
        <v>0.245646371</v>
      </c>
      <c r="L2198">
        <v>7.5242279999999995E-2</v>
      </c>
      <c r="M2198" s="21">
        <v>-1.28802789</v>
      </c>
      <c r="N2198">
        <v>-0.37793665100000001</v>
      </c>
    </row>
    <row r="2199" spans="1:14" x14ac:dyDescent="0.2">
      <c r="A2199" t="s">
        <v>1256</v>
      </c>
      <c r="B2199">
        <v>67160</v>
      </c>
      <c r="C2199" t="s">
        <v>28</v>
      </c>
      <c r="D2199" t="s">
        <v>1257</v>
      </c>
      <c r="E2199" t="s">
        <v>4490</v>
      </c>
      <c r="G2199" t="s">
        <v>4491</v>
      </c>
      <c r="J2199">
        <v>5.8462906840000004</v>
      </c>
      <c r="K2199">
        <v>0.60615847</v>
      </c>
      <c r="L2199">
        <v>0.28550877299999999</v>
      </c>
      <c r="M2199" s="21">
        <v>-1.288394348</v>
      </c>
      <c r="N2199">
        <v>-0.37981928399999998</v>
      </c>
    </row>
    <row r="2200" spans="1:14" x14ac:dyDescent="0.2">
      <c r="A2200" t="s">
        <v>2270</v>
      </c>
      <c r="B2200">
        <v>230760</v>
      </c>
      <c r="C2200" t="s">
        <v>100</v>
      </c>
      <c r="D2200" t="s">
        <v>2271</v>
      </c>
      <c r="E2200" t="s">
        <v>4492</v>
      </c>
      <c r="G2200" t="s">
        <v>4493</v>
      </c>
      <c r="J2200">
        <v>5.9110743220000002</v>
      </c>
      <c r="K2200">
        <v>0.71598987199999997</v>
      </c>
      <c r="L2200">
        <v>0.29077365599999999</v>
      </c>
      <c r="M2200" s="21">
        <v>-1.288522247</v>
      </c>
      <c r="N2200">
        <v>-0.38047634600000002</v>
      </c>
    </row>
    <row r="2201" spans="1:14" x14ac:dyDescent="0.2">
      <c r="A2201" t="s">
        <v>451</v>
      </c>
      <c r="B2201">
        <v>271440</v>
      </c>
      <c r="C2201" t="s">
        <v>14</v>
      </c>
      <c r="D2201" t="s">
        <v>452</v>
      </c>
      <c r="E2201" t="s">
        <v>4494</v>
      </c>
      <c r="G2201" t="s">
        <v>4495</v>
      </c>
      <c r="J2201">
        <v>6.7484204910000001</v>
      </c>
      <c r="K2201">
        <v>0.48629166299999999</v>
      </c>
      <c r="L2201">
        <v>0.375053939</v>
      </c>
      <c r="M2201" s="21">
        <v>-1.288558468</v>
      </c>
      <c r="N2201">
        <v>-0.38066242700000003</v>
      </c>
    </row>
    <row r="2202" spans="1:14" x14ac:dyDescent="0.2">
      <c r="A2202" t="s">
        <v>2257</v>
      </c>
      <c r="B2202">
        <v>229800</v>
      </c>
      <c r="C2202" t="s">
        <v>58</v>
      </c>
      <c r="D2202" t="s">
        <v>2257</v>
      </c>
      <c r="E2202" t="s">
        <v>4496</v>
      </c>
      <c r="G2202" t="s">
        <v>4497</v>
      </c>
      <c r="J2202">
        <v>4.5363847230000003</v>
      </c>
      <c r="K2202">
        <v>0.245646371</v>
      </c>
      <c r="L2202">
        <v>7.5242279999999995E-2</v>
      </c>
      <c r="M2202" s="21">
        <v>-1.2887232129999999</v>
      </c>
      <c r="N2202">
        <v>-0.38150878599999999</v>
      </c>
    </row>
    <row r="2203" spans="1:14" x14ac:dyDescent="0.2">
      <c r="A2203" t="s">
        <v>441</v>
      </c>
      <c r="B2203">
        <v>130520</v>
      </c>
      <c r="C2203" t="s">
        <v>68</v>
      </c>
      <c r="D2203" t="s">
        <v>442</v>
      </c>
      <c r="E2203" t="s">
        <v>4498</v>
      </c>
      <c r="G2203" t="s">
        <v>4499</v>
      </c>
      <c r="J2203">
        <v>6.4561903559999996</v>
      </c>
      <c r="K2203">
        <v>0.47291064100000002</v>
      </c>
      <c r="L2203">
        <v>0.34414126499999997</v>
      </c>
      <c r="M2203" s="21">
        <v>-1.288964964</v>
      </c>
      <c r="N2203">
        <v>-0.382750749</v>
      </c>
    </row>
    <row r="2204" spans="1:14" x14ac:dyDescent="0.2">
      <c r="A2204" t="s">
        <v>1391</v>
      </c>
      <c r="B2204">
        <v>229520</v>
      </c>
      <c r="C2204" t="s">
        <v>58</v>
      </c>
      <c r="D2204" t="s">
        <v>1391</v>
      </c>
      <c r="E2204" t="s">
        <v>4500</v>
      </c>
      <c r="G2204" t="s">
        <v>4501</v>
      </c>
      <c r="J2204">
        <v>4.5363847230000003</v>
      </c>
      <c r="K2204">
        <v>0.245646371</v>
      </c>
      <c r="L2204">
        <v>7.5242279999999995E-2</v>
      </c>
      <c r="M2204" s="21">
        <v>-1.288993617</v>
      </c>
      <c r="N2204">
        <v>-0.38289794900000002</v>
      </c>
    </row>
    <row r="2205" spans="1:14" x14ac:dyDescent="0.2">
      <c r="A2205" t="s">
        <v>462</v>
      </c>
      <c r="B2205">
        <v>229480</v>
      </c>
      <c r="C2205" t="s">
        <v>58</v>
      </c>
      <c r="D2205" t="s">
        <v>462</v>
      </c>
      <c r="E2205" t="s">
        <v>4502</v>
      </c>
      <c r="G2205" t="s">
        <v>4503</v>
      </c>
      <c r="J2205">
        <v>4.5363847230000003</v>
      </c>
      <c r="K2205">
        <v>0.245646371</v>
      </c>
      <c r="L2205">
        <v>7.5242279999999995E-2</v>
      </c>
      <c r="M2205" s="21">
        <v>-1.2890322460000001</v>
      </c>
      <c r="N2205">
        <v>-0.38309640099999998</v>
      </c>
    </row>
    <row r="2206" spans="1:14" x14ac:dyDescent="0.2">
      <c r="A2206" t="s">
        <v>1251</v>
      </c>
      <c r="B2206">
        <v>229440</v>
      </c>
      <c r="C2206" t="s">
        <v>58</v>
      </c>
      <c r="D2206" t="s">
        <v>1251</v>
      </c>
      <c r="E2206" t="s">
        <v>4504</v>
      </c>
      <c r="G2206" t="s">
        <v>4505</v>
      </c>
      <c r="J2206">
        <v>4.5363847230000003</v>
      </c>
      <c r="K2206">
        <v>0.245646371</v>
      </c>
      <c r="L2206">
        <v>7.5242279999999995E-2</v>
      </c>
      <c r="M2206" s="21">
        <v>-1.2890708749999999</v>
      </c>
      <c r="N2206">
        <v>-0.38329485299999999</v>
      </c>
    </row>
    <row r="2207" spans="1:14" x14ac:dyDescent="0.2">
      <c r="A2207" t="s">
        <v>129</v>
      </c>
      <c r="B2207">
        <v>244200</v>
      </c>
      <c r="C2207" t="s">
        <v>149</v>
      </c>
      <c r="D2207" t="s">
        <v>129</v>
      </c>
      <c r="E2207" t="s">
        <v>4506</v>
      </c>
      <c r="G2207" t="s">
        <v>4507</v>
      </c>
      <c r="J2207">
        <v>5.0381074159999999</v>
      </c>
      <c r="K2207">
        <v>0.81312368999999995</v>
      </c>
      <c r="L2207">
        <v>0.16969141800000001</v>
      </c>
      <c r="M2207" s="21">
        <v>-1.289534271</v>
      </c>
      <c r="N2207">
        <v>-0.38567549299999998</v>
      </c>
    </row>
    <row r="2208" spans="1:14" x14ac:dyDescent="0.2">
      <c r="A2208" t="s">
        <v>169</v>
      </c>
      <c r="B2208">
        <v>228960</v>
      </c>
      <c r="C2208" t="s">
        <v>58</v>
      </c>
      <c r="D2208" t="s">
        <v>169</v>
      </c>
      <c r="E2208" t="s">
        <v>4508</v>
      </c>
      <c r="G2208" t="s">
        <v>4509</v>
      </c>
      <c r="J2208">
        <v>4.5363847230000003</v>
      </c>
      <c r="K2208">
        <v>0.245646371</v>
      </c>
      <c r="L2208">
        <v>7.5242279999999995E-2</v>
      </c>
      <c r="M2208" s="21">
        <v>-1.2895344230000001</v>
      </c>
      <c r="N2208">
        <v>-0.38567627599999998</v>
      </c>
    </row>
    <row r="2209" spans="1:14" x14ac:dyDescent="0.2">
      <c r="A2209" t="s">
        <v>2224</v>
      </c>
      <c r="B2209">
        <v>228840</v>
      </c>
      <c r="C2209" t="s">
        <v>58</v>
      </c>
      <c r="D2209" t="s">
        <v>2224</v>
      </c>
      <c r="E2209" t="s">
        <v>4510</v>
      </c>
      <c r="G2209" t="s">
        <v>4511</v>
      </c>
      <c r="J2209">
        <v>4.5363847230000003</v>
      </c>
      <c r="K2209">
        <v>0.245646371</v>
      </c>
      <c r="L2209">
        <v>7.5242279999999995E-2</v>
      </c>
      <c r="M2209" s="21">
        <v>-1.2896503100000001</v>
      </c>
      <c r="N2209">
        <v>-0.38627163199999998</v>
      </c>
    </row>
    <row r="2210" spans="1:14" x14ac:dyDescent="0.2">
      <c r="A2210" t="s">
        <v>314</v>
      </c>
      <c r="B2210">
        <v>65720</v>
      </c>
      <c r="C2210" t="s">
        <v>28</v>
      </c>
      <c r="D2210" t="s">
        <v>315</v>
      </c>
      <c r="E2210" t="s">
        <v>4512</v>
      </c>
      <c r="G2210" t="s">
        <v>4513</v>
      </c>
      <c r="J2210">
        <v>5.8462906840000004</v>
      </c>
      <c r="K2210">
        <v>0.60615847</v>
      </c>
      <c r="L2210">
        <v>0.28550877299999999</v>
      </c>
      <c r="M2210" s="21">
        <v>-1.289694398</v>
      </c>
      <c r="N2210">
        <v>-0.386498126</v>
      </c>
    </row>
    <row r="2211" spans="1:14" x14ac:dyDescent="0.2">
      <c r="A2211" t="s">
        <v>1104</v>
      </c>
      <c r="B2211">
        <v>270360</v>
      </c>
      <c r="C2211" t="s">
        <v>14</v>
      </c>
      <c r="D2211" t="s">
        <v>1105</v>
      </c>
      <c r="E2211" t="s">
        <v>4514</v>
      </c>
      <c r="G2211" t="s">
        <v>4515</v>
      </c>
      <c r="J2211">
        <v>6.7484204910000001</v>
      </c>
      <c r="K2211">
        <v>0.48629166299999999</v>
      </c>
      <c r="L2211">
        <v>0.375053939</v>
      </c>
      <c r="M2211" s="21">
        <v>-1.289741848</v>
      </c>
      <c r="N2211">
        <v>-0.386741893</v>
      </c>
    </row>
    <row r="2212" spans="1:14" x14ac:dyDescent="0.2">
      <c r="A2212" t="s">
        <v>2028</v>
      </c>
      <c r="B2212">
        <v>228720</v>
      </c>
      <c r="C2212" t="s">
        <v>58</v>
      </c>
      <c r="D2212" t="s">
        <v>2028</v>
      </c>
      <c r="E2212" t="s">
        <v>4516</v>
      </c>
      <c r="G2212" t="s">
        <v>4517</v>
      </c>
      <c r="J2212">
        <v>4.5363847230000003</v>
      </c>
      <c r="K2212">
        <v>0.245646371</v>
      </c>
      <c r="L2212">
        <v>7.5242279999999995E-2</v>
      </c>
      <c r="M2212" s="21">
        <v>-1.2897661979999999</v>
      </c>
      <c r="N2212">
        <v>-0.386866987</v>
      </c>
    </row>
    <row r="2213" spans="1:14" x14ac:dyDescent="0.2">
      <c r="A2213" t="s">
        <v>1269</v>
      </c>
      <c r="B2213">
        <v>270160</v>
      </c>
      <c r="C2213" t="s">
        <v>14</v>
      </c>
      <c r="D2213" t="s">
        <v>1269</v>
      </c>
      <c r="E2213" t="s">
        <v>4518</v>
      </c>
      <c r="G2213" t="s">
        <v>4519</v>
      </c>
      <c r="J2213">
        <v>6.7484204910000001</v>
      </c>
      <c r="K2213">
        <v>0.48629166299999999</v>
      </c>
      <c r="L2213">
        <v>0.375053939</v>
      </c>
      <c r="M2213" s="21">
        <v>-1.2899609919999999</v>
      </c>
      <c r="N2213">
        <v>-0.38786772000000003</v>
      </c>
    </row>
    <row r="2214" spans="1:14" x14ac:dyDescent="0.2">
      <c r="A2214" t="s">
        <v>1391</v>
      </c>
      <c r="B2214">
        <v>229200</v>
      </c>
      <c r="C2214" t="s">
        <v>100</v>
      </c>
      <c r="D2214" t="s">
        <v>1391</v>
      </c>
      <c r="E2214" t="s">
        <v>4520</v>
      </c>
      <c r="G2214" t="s">
        <v>4521</v>
      </c>
      <c r="J2214">
        <v>5.9110743220000002</v>
      </c>
      <c r="K2214">
        <v>0.71598987199999997</v>
      </c>
      <c r="L2214">
        <v>0.29077365599999999</v>
      </c>
      <c r="M2214" s="21">
        <v>-1.29007088</v>
      </c>
      <c r="N2214">
        <v>-0.38843225300000001</v>
      </c>
    </row>
    <row r="2215" spans="1:14" x14ac:dyDescent="0.2">
      <c r="A2215" t="s">
        <v>529</v>
      </c>
      <c r="B2215">
        <v>243600</v>
      </c>
      <c r="C2215" t="s">
        <v>149</v>
      </c>
      <c r="D2215" t="s">
        <v>529</v>
      </c>
      <c r="E2215" t="s">
        <v>4522</v>
      </c>
      <c r="G2215" t="s">
        <v>4523</v>
      </c>
      <c r="J2215">
        <v>5.0381074159999999</v>
      </c>
      <c r="K2215">
        <v>0.81312368999999995</v>
      </c>
      <c r="L2215">
        <v>0.16969141800000001</v>
      </c>
      <c r="M2215" s="21">
        <v>-1.2900890410000001</v>
      </c>
      <c r="N2215">
        <v>-0.388525552</v>
      </c>
    </row>
    <row r="2216" spans="1:14" x14ac:dyDescent="0.2">
      <c r="A2216" t="s">
        <v>2385</v>
      </c>
      <c r="B2216">
        <v>129200</v>
      </c>
      <c r="C2216" t="s">
        <v>68</v>
      </c>
      <c r="D2216" t="s">
        <v>2385</v>
      </c>
      <c r="E2216" t="s">
        <v>4524</v>
      </c>
      <c r="G2216" t="s">
        <v>4525</v>
      </c>
      <c r="J2216">
        <v>6.4561903559999996</v>
      </c>
      <c r="K2216">
        <v>0.47291064100000002</v>
      </c>
      <c r="L2216">
        <v>0.34414126499999997</v>
      </c>
      <c r="M2216" s="21">
        <v>-1.290241473</v>
      </c>
      <c r="N2216">
        <v>-0.389308655</v>
      </c>
    </row>
    <row r="2217" spans="1:14" x14ac:dyDescent="0.2">
      <c r="A2217" t="s">
        <v>1857</v>
      </c>
      <c r="B2217">
        <v>243360</v>
      </c>
      <c r="C2217" t="s">
        <v>149</v>
      </c>
      <c r="D2217" t="s">
        <v>1858</v>
      </c>
      <c r="E2217" t="s">
        <v>4526</v>
      </c>
      <c r="G2217" t="s">
        <v>4527</v>
      </c>
      <c r="J2217">
        <v>5.0381074159999999</v>
      </c>
      <c r="K2217">
        <v>0.81312368999999995</v>
      </c>
      <c r="L2217">
        <v>0.16969141800000001</v>
      </c>
      <c r="M2217" s="21">
        <v>-1.2903109479999999</v>
      </c>
      <c r="N2217">
        <v>-0.38966557600000001</v>
      </c>
    </row>
    <row r="2218" spans="1:14" x14ac:dyDescent="0.2">
      <c r="A2218" t="s">
        <v>415</v>
      </c>
      <c r="B2218">
        <v>176520</v>
      </c>
      <c r="C2218" t="s">
        <v>130</v>
      </c>
      <c r="D2218" t="s">
        <v>415</v>
      </c>
      <c r="E2218" t="s">
        <v>4528</v>
      </c>
      <c r="G2218" t="s">
        <v>4529</v>
      </c>
      <c r="J2218">
        <v>5.1222566499999997</v>
      </c>
      <c r="K2218">
        <v>0.21422175600000001</v>
      </c>
      <c r="L2218">
        <v>0.25354511400000002</v>
      </c>
      <c r="M2218" s="21">
        <v>-1.290334646</v>
      </c>
      <c r="N2218">
        <v>-0.38978732199999999</v>
      </c>
    </row>
    <row r="2219" spans="1:14" x14ac:dyDescent="0.2">
      <c r="A2219" t="s">
        <v>995</v>
      </c>
      <c r="B2219">
        <v>221920</v>
      </c>
      <c r="C2219" t="s">
        <v>84</v>
      </c>
      <c r="D2219" t="s">
        <v>995</v>
      </c>
      <c r="E2219" t="s">
        <v>4530</v>
      </c>
      <c r="J2219">
        <v>3.600219579</v>
      </c>
      <c r="K2219">
        <v>-0.293098474</v>
      </c>
      <c r="L2219">
        <v>-0.153917466</v>
      </c>
      <c r="M2219" s="21">
        <v>-1.2904243339999999</v>
      </c>
      <c r="N2219">
        <v>-0.390248082</v>
      </c>
    </row>
    <row r="2220" spans="1:14" x14ac:dyDescent="0.2">
      <c r="A2220" t="s">
        <v>263</v>
      </c>
      <c r="B2220">
        <v>176160</v>
      </c>
      <c r="C2220" t="s">
        <v>130</v>
      </c>
      <c r="D2220" t="s">
        <v>264</v>
      </c>
      <c r="E2220" t="s">
        <v>4531</v>
      </c>
      <c r="G2220" t="s">
        <v>4532</v>
      </c>
      <c r="J2220">
        <v>5.1222566499999997</v>
      </c>
      <c r="K2220">
        <v>0.21422175600000001</v>
      </c>
      <c r="L2220">
        <v>0.25354511400000002</v>
      </c>
      <c r="M2220" s="21">
        <v>-1.290621145</v>
      </c>
      <c r="N2220">
        <v>-0.39125917300000002</v>
      </c>
    </row>
    <row r="2221" spans="1:14" x14ac:dyDescent="0.2">
      <c r="A2221" t="s">
        <v>311</v>
      </c>
      <c r="B2221">
        <v>227160</v>
      </c>
      <c r="C2221" t="s">
        <v>58</v>
      </c>
      <c r="D2221" t="s">
        <v>311</v>
      </c>
      <c r="E2221" t="s">
        <v>4533</v>
      </c>
      <c r="G2221" t="s">
        <v>4534</v>
      </c>
      <c r="J2221">
        <v>4.5363847230000003</v>
      </c>
      <c r="K2221">
        <v>0.245646371</v>
      </c>
      <c r="L2221">
        <v>7.5242279999999995E-2</v>
      </c>
      <c r="M2221" s="21">
        <v>-1.2912727310000001</v>
      </c>
      <c r="N2221">
        <v>-0.39460661200000002</v>
      </c>
    </row>
    <row r="2222" spans="1:14" x14ac:dyDescent="0.2">
      <c r="A2222" t="s">
        <v>2031</v>
      </c>
      <c r="B2222">
        <v>242280</v>
      </c>
      <c r="C2222" t="s">
        <v>149</v>
      </c>
      <c r="D2222" t="s">
        <v>2032</v>
      </c>
      <c r="E2222" t="s">
        <v>4535</v>
      </c>
      <c r="G2222" t="s">
        <v>4536</v>
      </c>
      <c r="J2222">
        <v>5.0381074159999999</v>
      </c>
      <c r="K2222">
        <v>0.81312368999999995</v>
      </c>
      <c r="L2222">
        <v>0.16969141800000001</v>
      </c>
      <c r="M2222" s="21">
        <v>-1.291309534</v>
      </c>
      <c r="N2222">
        <v>-0.39479568199999998</v>
      </c>
    </row>
    <row r="2223" spans="1:14" x14ac:dyDescent="0.2">
      <c r="A2223" t="s">
        <v>2341</v>
      </c>
      <c r="B2223">
        <v>221040</v>
      </c>
      <c r="C2223" t="s">
        <v>84</v>
      </c>
      <c r="D2223" t="s">
        <v>2341</v>
      </c>
      <c r="E2223" t="s">
        <v>4537</v>
      </c>
      <c r="J2223">
        <v>3.600219579</v>
      </c>
      <c r="K2223">
        <v>-0.293098474</v>
      </c>
      <c r="L2223">
        <v>-0.153917466</v>
      </c>
      <c r="M2223" s="21">
        <v>-1.2915761370000001</v>
      </c>
      <c r="N2223">
        <v>-0.39616532199999999</v>
      </c>
    </row>
    <row r="2224" spans="1:14" x14ac:dyDescent="0.2">
      <c r="A2224" t="s">
        <v>1426</v>
      </c>
      <c r="B2224">
        <v>174560</v>
      </c>
      <c r="C2224" t="s">
        <v>130</v>
      </c>
      <c r="D2224" t="s">
        <v>1426</v>
      </c>
      <c r="E2224" t="s">
        <v>4538</v>
      </c>
      <c r="G2224" t="s">
        <v>4539</v>
      </c>
      <c r="J2224">
        <v>5.1222566499999997</v>
      </c>
      <c r="K2224">
        <v>0.21422175600000001</v>
      </c>
      <c r="L2224">
        <v>0.25354511400000002</v>
      </c>
      <c r="M2224" s="21">
        <v>-1.2918944729999999</v>
      </c>
      <c r="N2224">
        <v>-0.39780073399999999</v>
      </c>
    </row>
    <row r="2225" spans="1:14" x14ac:dyDescent="0.2">
      <c r="A2225" t="s">
        <v>1190</v>
      </c>
      <c r="B2225">
        <v>268160</v>
      </c>
      <c r="C2225" t="s">
        <v>14</v>
      </c>
      <c r="D2225" t="s">
        <v>1190</v>
      </c>
      <c r="E2225" t="s">
        <v>4540</v>
      </c>
      <c r="G2225" t="s">
        <v>4541</v>
      </c>
      <c r="J2225">
        <v>6.7484204910000001</v>
      </c>
      <c r="K2225">
        <v>0.48629166299999999</v>
      </c>
      <c r="L2225">
        <v>0.375053939</v>
      </c>
      <c r="M2225" s="21">
        <v>-1.2921524369999999</v>
      </c>
      <c r="N2225">
        <v>-0.39912599199999999</v>
      </c>
    </row>
    <row r="2226" spans="1:14" x14ac:dyDescent="0.2">
      <c r="A2226" t="s">
        <v>2499</v>
      </c>
      <c r="B2226">
        <v>226040</v>
      </c>
      <c r="C2226" t="s">
        <v>58</v>
      </c>
      <c r="D2226" t="s">
        <v>2500</v>
      </c>
      <c r="E2226" t="s">
        <v>4542</v>
      </c>
      <c r="G2226" t="s">
        <v>4543</v>
      </c>
      <c r="J2226">
        <v>4.5363847230000003</v>
      </c>
      <c r="K2226">
        <v>0.245646371</v>
      </c>
      <c r="L2226">
        <v>7.5242279999999995E-2</v>
      </c>
      <c r="M2226" s="21">
        <v>-1.292354344</v>
      </c>
      <c r="N2226">
        <v>-0.40016326600000002</v>
      </c>
    </row>
    <row r="2227" spans="1:14" x14ac:dyDescent="0.2">
      <c r="A2227" t="s">
        <v>300</v>
      </c>
      <c r="B2227">
        <v>126200</v>
      </c>
      <c r="C2227" t="s">
        <v>68</v>
      </c>
      <c r="D2227" t="s">
        <v>300</v>
      </c>
      <c r="E2227" t="s">
        <v>4544</v>
      </c>
      <c r="G2227" t="s">
        <v>4545</v>
      </c>
      <c r="J2227">
        <v>6.4561903559999996</v>
      </c>
      <c r="K2227">
        <v>0.47291064100000002</v>
      </c>
      <c r="L2227">
        <v>0.34414126499999997</v>
      </c>
      <c r="M2227" s="21">
        <v>-1.293142631</v>
      </c>
      <c r="N2227">
        <v>-0.40421298700000002</v>
      </c>
    </row>
    <row r="2228" spans="1:14" x14ac:dyDescent="0.2">
      <c r="A2228" t="s">
        <v>796</v>
      </c>
      <c r="B2228">
        <v>9800</v>
      </c>
      <c r="C2228" t="s">
        <v>34</v>
      </c>
      <c r="D2228" t="s">
        <v>796</v>
      </c>
      <c r="J2228">
        <v>7.0544859390000001</v>
      </c>
      <c r="K2228">
        <v>0.623000361</v>
      </c>
      <c r="L2228">
        <v>0.42866702800000001</v>
      </c>
      <c r="M2228" s="21">
        <v>-1.293790327</v>
      </c>
      <c r="N2228">
        <v>-0.40754044499999997</v>
      </c>
    </row>
    <row r="2229" spans="1:14" x14ac:dyDescent="0.2">
      <c r="A2229" t="s">
        <v>295</v>
      </c>
      <c r="B2229">
        <v>218960</v>
      </c>
      <c r="C2229" t="s">
        <v>84</v>
      </c>
      <c r="D2229" t="s">
        <v>295</v>
      </c>
      <c r="E2229" t="s">
        <v>4546</v>
      </c>
      <c r="J2229">
        <v>3.600219579</v>
      </c>
      <c r="K2229">
        <v>-0.293098474</v>
      </c>
      <c r="L2229">
        <v>-0.153917466</v>
      </c>
      <c r="M2229" s="21">
        <v>-1.2942985789999999</v>
      </c>
      <c r="N2229">
        <v>-0.41015152500000002</v>
      </c>
    </row>
    <row r="2230" spans="1:14" x14ac:dyDescent="0.2">
      <c r="A2230" t="s">
        <v>222</v>
      </c>
      <c r="B2230">
        <v>224680</v>
      </c>
      <c r="C2230" t="s">
        <v>100</v>
      </c>
      <c r="D2230" t="s">
        <v>222</v>
      </c>
      <c r="E2230" t="s">
        <v>4547</v>
      </c>
      <c r="G2230" t="s">
        <v>4548</v>
      </c>
      <c r="J2230">
        <v>5.9110743220000002</v>
      </c>
      <c r="K2230">
        <v>0.71598987199999997</v>
      </c>
      <c r="L2230">
        <v>0.29077365599999999</v>
      </c>
      <c r="M2230" s="21">
        <v>-1.294557945</v>
      </c>
      <c r="N2230">
        <v>-0.41148398600000002</v>
      </c>
    </row>
    <row r="2231" spans="1:14" x14ac:dyDescent="0.2">
      <c r="A2231" t="s">
        <v>1675</v>
      </c>
      <c r="B2231">
        <v>171080</v>
      </c>
      <c r="C2231" t="s">
        <v>130</v>
      </c>
      <c r="D2231" t="s">
        <v>1675</v>
      </c>
      <c r="E2231" t="s">
        <v>4549</v>
      </c>
      <c r="G2231" t="s">
        <v>4550</v>
      </c>
      <c r="J2231">
        <v>5.1222566499999997</v>
      </c>
      <c r="K2231">
        <v>0.21422175600000001</v>
      </c>
      <c r="L2231">
        <v>0.25354511400000002</v>
      </c>
      <c r="M2231" s="21">
        <v>-1.2946639609999999</v>
      </c>
      <c r="N2231">
        <v>-0.41202863000000001</v>
      </c>
    </row>
    <row r="2232" spans="1:14" x14ac:dyDescent="0.2">
      <c r="A2232" t="s">
        <v>703</v>
      </c>
      <c r="B2232">
        <v>124280</v>
      </c>
      <c r="C2232" t="s">
        <v>68</v>
      </c>
      <c r="D2232" t="s">
        <v>704</v>
      </c>
      <c r="E2232" t="s">
        <v>4551</v>
      </c>
      <c r="G2232" t="s">
        <v>4552</v>
      </c>
      <c r="J2232">
        <v>6.4561903559999996</v>
      </c>
      <c r="K2232">
        <v>0.47291064100000002</v>
      </c>
      <c r="L2232">
        <v>0.34414126499999997</v>
      </c>
      <c r="M2232" s="21">
        <v>-1.2949993710000001</v>
      </c>
      <c r="N2232">
        <v>-0.41375176000000002</v>
      </c>
    </row>
    <row r="2233" spans="1:14" x14ac:dyDescent="0.2">
      <c r="A2233" t="s">
        <v>671</v>
      </c>
      <c r="B2233">
        <v>170600</v>
      </c>
      <c r="C2233" t="s">
        <v>130</v>
      </c>
      <c r="D2233" t="s">
        <v>672</v>
      </c>
      <c r="E2233" t="s">
        <v>4553</v>
      </c>
      <c r="G2233" t="s">
        <v>4554</v>
      </c>
      <c r="J2233">
        <v>5.1222566499999997</v>
      </c>
      <c r="K2233">
        <v>0.21422175600000001</v>
      </c>
      <c r="L2233">
        <v>0.25354511400000002</v>
      </c>
      <c r="M2233" s="21">
        <v>-1.2950459590000001</v>
      </c>
      <c r="N2233">
        <v>-0.41399109899999997</v>
      </c>
    </row>
    <row r="2234" spans="1:14" x14ac:dyDescent="0.2">
      <c r="A2234" t="s">
        <v>2335</v>
      </c>
      <c r="B2234">
        <v>124160</v>
      </c>
      <c r="C2234" t="s">
        <v>68</v>
      </c>
      <c r="D2234" t="s">
        <v>2335</v>
      </c>
      <c r="E2234" t="s">
        <v>4555</v>
      </c>
      <c r="G2234" t="s">
        <v>4556</v>
      </c>
      <c r="J2234">
        <v>6.4561903559999996</v>
      </c>
      <c r="K2234">
        <v>0.47291064100000002</v>
      </c>
      <c r="L2234">
        <v>0.34414126499999997</v>
      </c>
      <c r="M2234" s="21">
        <v>-1.295115418</v>
      </c>
      <c r="N2234">
        <v>-0.414347933</v>
      </c>
    </row>
    <row r="2235" spans="1:14" x14ac:dyDescent="0.2">
      <c r="A2235" t="s">
        <v>2764</v>
      </c>
      <c r="B2235">
        <v>59240</v>
      </c>
      <c r="C2235" t="s">
        <v>28</v>
      </c>
      <c r="D2235" t="s">
        <v>2764</v>
      </c>
      <c r="E2235" t="s">
        <v>4557</v>
      </c>
      <c r="G2235" t="s">
        <v>4558</v>
      </c>
      <c r="J2235">
        <v>5.8462906840000004</v>
      </c>
      <c r="K2235">
        <v>0.60615847</v>
      </c>
      <c r="L2235">
        <v>0.28550877299999999</v>
      </c>
      <c r="M2235" s="21">
        <v>-1.2955446209999999</v>
      </c>
      <c r="N2235">
        <v>-0.416552914</v>
      </c>
    </row>
    <row r="2236" spans="1:14" x14ac:dyDescent="0.2">
      <c r="A2236" t="s">
        <v>435</v>
      </c>
      <c r="B2236">
        <v>265040</v>
      </c>
      <c r="C2236" t="s">
        <v>14</v>
      </c>
      <c r="D2236" t="s">
        <v>435</v>
      </c>
      <c r="E2236" t="s">
        <v>4559</v>
      </c>
      <c r="G2236" t="s">
        <v>4560</v>
      </c>
      <c r="J2236">
        <v>6.7484204910000001</v>
      </c>
      <c r="K2236">
        <v>0.48629166299999999</v>
      </c>
      <c r="L2236">
        <v>0.375053939</v>
      </c>
      <c r="M2236" s="21">
        <v>-1.2955710899999999</v>
      </c>
      <c r="N2236">
        <v>-0.416688895</v>
      </c>
    </row>
    <row r="2237" spans="1:14" x14ac:dyDescent="0.2">
      <c r="A2237" t="s">
        <v>1794</v>
      </c>
      <c r="B2237">
        <v>223640</v>
      </c>
      <c r="C2237" t="s">
        <v>100</v>
      </c>
      <c r="D2237" t="s">
        <v>1794</v>
      </c>
      <c r="E2237" t="s">
        <v>4561</v>
      </c>
      <c r="G2237" t="s">
        <v>4562</v>
      </c>
      <c r="J2237">
        <v>5.9110743220000002</v>
      </c>
      <c r="K2237">
        <v>0.71598987199999997</v>
      </c>
      <c r="L2237">
        <v>0.29077365599999999</v>
      </c>
      <c r="M2237" s="21">
        <v>-1.295590367</v>
      </c>
      <c r="N2237">
        <v>-0.41678792399999998</v>
      </c>
    </row>
    <row r="2238" spans="1:14" x14ac:dyDescent="0.2">
      <c r="A2238" t="s">
        <v>195</v>
      </c>
      <c r="B2238">
        <v>237280</v>
      </c>
      <c r="C2238" t="s">
        <v>149</v>
      </c>
      <c r="D2238" t="s">
        <v>195</v>
      </c>
      <c r="E2238" t="s">
        <v>4563</v>
      </c>
      <c r="G2238" t="s">
        <v>4564</v>
      </c>
      <c r="J2238">
        <v>5.0381074159999999</v>
      </c>
      <c r="K2238">
        <v>0.81312368999999995</v>
      </c>
      <c r="L2238">
        <v>0.16969141800000001</v>
      </c>
      <c r="M2238" s="21">
        <v>-1.295932614</v>
      </c>
      <c r="N2238">
        <v>-0.41854617599999999</v>
      </c>
    </row>
    <row r="2239" spans="1:14" x14ac:dyDescent="0.2">
      <c r="A2239" t="s">
        <v>956</v>
      </c>
      <c r="B2239">
        <v>58760</v>
      </c>
      <c r="C2239" t="s">
        <v>28</v>
      </c>
      <c r="D2239" t="s">
        <v>956</v>
      </c>
      <c r="E2239" t="s">
        <v>4565</v>
      </c>
      <c r="G2239" t="s">
        <v>4566</v>
      </c>
      <c r="J2239">
        <v>5.8462906840000004</v>
      </c>
      <c r="K2239">
        <v>0.60615847</v>
      </c>
      <c r="L2239">
        <v>0.28550877299999999</v>
      </c>
      <c r="M2239" s="21">
        <v>-1.2959779709999999</v>
      </c>
      <c r="N2239">
        <v>-0.41877919400000002</v>
      </c>
    </row>
    <row r="2240" spans="1:14" x14ac:dyDescent="0.2">
      <c r="A2240" t="s">
        <v>616</v>
      </c>
      <c r="B2240">
        <v>223080</v>
      </c>
      <c r="C2240" t="s">
        <v>100</v>
      </c>
      <c r="D2240" t="s">
        <v>616</v>
      </c>
      <c r="E2240" t="s">
        <v>4567</v>
      </c>
      <c r="G2240" t="s">
        <v>4568</v>
      </c>
      <c r="J2240">
        <v>5.9110743220000002</v>
      </c>
      <c r="K2240">
        <v>0.71598987199999997</v>
      </c>
      <c r="L2240">
        <v>0.29077365599999999</v>
      </c>
      <c r="M2240" s="21">
        <v>-1.2961462859999999</v>
      </c>
      <c r="N2240">
        <v>-0.41964389099999999</v>
      </c>
    </row>
    <row r="2241" spans="1:14" x14ac:dyDescent="0.2">
      <c r="A2241" t="s">
        <v>1617</v>
      </c>
      <c r="B2241">
        <v>236800</v>
      </c>
      <c r="C2241" t="s">
        <v>149</v>
      </c>
      <c r="D2241" t="s">
        <v>1617</v>
      </c>
      <c r="E2241" t="s">
        <v>4569</v>
      </c>
      <c r="G2241" t="s">
        <v>4570</v>
      </c>
      <c r="J2241">
        <v>5.0381074159999999</v>
      </c>
      <c r="K2241">
        <v>0.81312368999999995</v>
      </c>
      <c r="L2241">
        <v>0.16969141800000001</v>
      </c>
      <c r="M2241" s="21">
        <v>-1.29637643</v>
      </c>
      <c r="N2241">
        <v>-0.42082622400000003</v>
      </c>
    </row>
    <row r="2242" spans="1:14" x14ac:dyDescent="0.2">
      <c r="A2242" t="s">
        <v>2149</v>
      </c>
      <c r="B2242">
        <v>58200</v>
      </c>
      <c r="C2242" t="s">
        <v>28</v>
      </c>
      <c r="D2242" t="s">
        <v>2149</v>
      </c>
      <c r="E2242" t="s">
        <v>4571</v>
      </c>
      <c r="G2242" t="s">
        <v>4572</v>
      </c>
      <c r="J2242">
        <v>5.8462906840000004</v>
      </c>
      <c r="K2242">
        <v>0.60615847</v>
      </c>
      <c r="L2242">
        <v>0.28550877299999999</v>
      </c>
      <c r="M2242" s="21">
        <v>-1.2964835459999999</v>
      </c>
      <c r="N2242">
        <v>-0.42137652199999998</v>
      </c>
    </row>
    <row r="2243" spans="1:14" x14ac:dyDescent="0.2">
      <c r="A2243" t="s">
        <v>2488</v>
      </c>
      <c r="B2243">
        <v>236360</v>
      </c>
      <c r="C2243" t="s">
        <v>149</v>
      </c>
      <c r="D2243" t="s">
        <v>2488</v>
      </c>
      <c r="E2243" t="s">
        <v>4573</v>
      </c>
      <c r="G2243" t="s">
        <v>4574</v>
      </c>
      <c r="J2243">
        <v>5.0381074159999999</v>
      </c>
      <c r="K2243">
        <v>0.81312368999999995</v>
      </c>
      <c r="L2243">
        <v>0.16969141800000001</v>
      </c>
      <c r="M2243" s="21">
        <v>-1.2967832610000001</v>
      </c>
      <c r="N2243">
        <v>-0.42291626700000001</v>
      </c>
    </row>
    <row r="2244" spans="1:14" x14ac:dyDescent="0.2">
      <c r="A2244" t="s">
        <v>435</v>
      </c>
      <c r="B2244">
        <v>236360</v>
      </c>
      <c r="C2244" t="s">
        <v>149</v>
      </c>
      <c r="D2244" t="s">
        <v>435</v>
      </c>
      <c r="E2244" t="s">
        <v>4575</v>
      </c>
      <c r="G2244" t="s">
        <v>4576</v>
      </c>
      <c r="J2244">
        <v>5.0381074159999999</v>
      </c>
      <c r="K2244">
        <v>0.81312368999999995</v>
      </c>
      <c r="L2244">
        <v>0.16969141800000001</v>
      </c>
      <c r="M2244" s="21">
        <v>-1.2967832610000001</v>
      </c>
      <c r="N2244">
        <v>-0.42291626700000001</v>
      </c>
    </row>
    <row r="2245" spans="1:14" x14ac:dyDescent="0.2">
      <c r="A2245" t="s">
        <v>1108</v>
      </c>
      <c r="B2245">
        <v>263800</v>
      </c>
      <c r="C2245" t="s">
        <v>14</v>
      </c>
      <c r="D2245" t="s">
        <v>1109</v>
      </c>
      <c r="E2245" t="s">
        <v>4577</v>
      </c>
      <c r="G2245" t="s">
        <v>4578</v>
      </c>
      <c r="J2245">
        <v>6.7484204910000001</v>
      </c>
      <c r="K2245">
        <v>0.48629166299999999</v>
      </c>
      <c r="L2245">
        <v>0.375053939</v>
      </c>
      <c r="M2245" s="21">
        <v>-1.296929786</v>
      </c>
      <c r="N2245">
        <v>-0.42366902299999998</v>
      </c>
    </row>
    <row r="2246" spans="1:14" x14ac:dyDescent="0.2">
      <c r="A2246" t="s">
        <v>1595</v>
      </c>
      <c r="B2246">
        <v>222280</v>
      </c>
      <c r="C2246" t="s">
        <v>100</v>
      </c>
      <c r="D2246" t="s">
        <v>1595</v>
      </c>
      <c r="E2246" t="s">
        <v>4579</v>
      </c>
      <c r="G2246" t="s">
        <v>4580</v>
      </c>
      <c r="J2246">
        <v>5.9110743220000002</v>
      </c>
      <c r="K2246">
        <v>0.71598987199999997</v>
      </c>
      <c r="L2246">
        <v>0.29077365599999999</v>
      </c>
      <c r="M2246" s="21">
        <v>-1.296940457</v>
      </c>
      <c r="N2246">
        <v>-0.42372384299999999</v>
      </c>
    </row>
    <row r="2247" spans="1:14" x14ac:dyDescent="0.2">
      <c r="A2247" t="s">
        <v>2335</v>
      </c>
      <c r="B2247">
        <v>222200</v>
      </c>
      <c r="C2247" t="s">
        <v>100</v>
      </c>
      <c r="D2247" t="s">
        <v>2335</v>
      </c>
      <c r="E2247" t="s">
        <v>4581</v>
      </c>
      <c r="G2247" t="s">
        <v>4582</v>
      </c>
      <c r="J2247">
        <v>5.9110743220000002</v>
      </c>
      <c r="K2247">
        <v>0.71598987199999997</v>
      </c>
      <c r="L2247">
        <v>0.29077365599999999</v>
      </c>
      <c r="M2247" s="21">
        <v>-1.2970198740000001</v>
      </c>
      <c r="N2247">
        <v>-0.42413183900000001</v>
      </c>
    </row>
    <row r="2248" spans="1:14" x14ac:dyDescent="0.2">
      <c r="A2248" t="s">
        <v>2657</v>
      </c>
      <c r="B2248">
        <v>220720</v>
      </c>
      <c r="C2248" t="s">
        <v>58</v>
      </c>
      <c r="D2248" t="s">
        <v>2658</v>
      </c>
      <c r="E2248" t="s">
        <v>4583</v>
      </c>
      <c r="G2248" t="s">
        <v>4584</v>
      </c>
      <c r="J2248">
        <v>4.5363847230000003</v>
      </c>
      <c r="K2248">
        <v>0.245646371</v>
      </c>
      <c r="L2248">
        <v>7.5242279999999995E-2</v>
      </c>
      <c r="M2248" s="21">
        <v>-1.2974920089999999</v>
      </c>
      <c r="N2248">
        <v>-0.42655736999999999</v>
      </c>
    </row>
    <row r="2249" spans="1:14" x14ac:dyDescent="0.2">
      <c r="A2249" t="s">
        <v>894</v>
      </c>
      <c r="B2249">
        <v>220600</v>
      </c>
      <c r="C2249" t="s">
        <v>58</v>
      </c>
      <c r="D2249" t="s">
        <v>894</v>
      </c>
      <c r="E2249" t="s">
        <v>4585</v>
      </c>
      <c r="G2249" t="s">
        <v>4586</v>
      </c>
      <c r="J2249">
        <v>4.5363847230000003</v>
      </c>
      <c r="K2249">
        <v>0.245646371</v>
      </c>
      <c r="L2249">
        <v>7.5242279999999995E-2</v>
      </c>
      <c r="M2249" s="21">
        <v>-1.2976078959999999</v>
      </c>
      <c r="N2249">
        <v>-0.42715272599999998</v>
      </c>
    </row>
    <row r="2250" spans="1:14" x14ac:dyDescent="0.2">
      <c r="A2250" t="s">
        <v>13</v>
      </c>
      <c r="B2250">
        <v>56920</v>
      </c>
      <c r="C2250" t="s">
        <v>28</v>
      </c>
      <c r="D2250" t="s">
        <v>13</v>
      </c>
      <c r="E2250" t="s">
        <v>4587</v>
      </c>
      <c r="G2250" t="s">
        <v>4588</v>
      </c>
      <c r="J2250">
        <v>5.8462906840000004</v>
      </c>
      <c r="K2250">
        <v>0.60615847</v>
      </c>
      <c r="L2250">
        <v>0.28550877299999999</v>
      </c>
      <c r="M2250" s="21">
        <v>-1.2976391460000001</v>
      </c>
      <c r="N2250">
        <v>-0.42731327000000002</v>
      </c>
    </row>
    <row r="2251" spans="1:14" x14ac:dyDescent="0.2">
      <c r="A2251" t="s">
        <v>1062</v>
      </c>
      <c r="B2251">
        <v>220800</v>
      </c>
      <c r="C2251" t="s">
        <v>100</v>
      </c>
      <c r="D2251" t="s">
        <v>1062</v>
      </c>
      <c r="E2251" t="s">
        <v>4589</v>
      </c>
      <c r="G2251" t="s">
        <v>4590</v>
      </c>
      <c r="J2251">
        <v>5.9110743220000002</v>
      </c>
      <c r="K2251">
        <v>0.71598987199999997</v>
      </c>
      <c r="L2251">
        <v>0.29077365599999999</v>
      </c>
      <c r="M2251" s="21">
        <v>-1.2984096730000001</v>
      </c>
      <c r="N2251">
        <v>-0.43127175600000001</v>
      </c>
    </row>
    <row r="2252" spans="1:14" x14ac:dyDescent="0.2">
      <c r="A2252" t="s">
        <v>1010</v>
      </c>
      <c r="B2252">
        <v>120680</v>
      </c>
      <c r="C2252" t="s">
        <v>68</v>
      </c>
      <c r="D2252" t="s">
        <v>1010</v>
      </c>
      <c r="E2252" t="s">
        <v>4591</v>
      </c>
      <c r="G2252" t="s">
        <v>4592</v>
      </c>
      <c r="J2252">
        <v>6.4561903559999996</v>
      </c>
      <c r="K2252">
        <v>0.47291064100000002</v>
      </c>
      <c r="L2252">
        <v>0.34414126499999997</v>
      </c>
      <c r="M2252" s="21">
        <v>-1.2984807599999999</v>
      </c>
      <c r="N2252">
        <v>-0.43163695899999999</v>
      </c>
    </row>
    <row r="2253" spans="1:14" x14ac:dyDescent="0.2">
      <c r="A2253" t="s">
        <v>1857</v>
      </c>
      <c r="B2253">
        <v>262320</v>
      </c>
      <c r="C2253" t="s">
        <v>14</v>
      </c>
      <c r="D2253" t="s">
        <v>1858</v>
      </c>
      <c r="E2253" t="s">
        <v>4593</v>
      </c>
      <c r="G2253" t="s">
        <v>4594</v>
      </c>
      <c r="J2253">
        <v>6.7484204910000001</v>
      </c>
      <c r="K2253">
        <v>0.48629166299999999</v>
      </c>
      <c r="L2253">
        <v>0.375053939</v>
      </c>
      <c r="M2253" s="21">
        <v>-1.2985514549999999</v>
      </c>
      <c r="N2253">
        <v>-0.432000143</v>
      </c>
    </row>
    <row r="2254" spans="1:14" x14ac:dyDescent="0.2">
      <c r="A2254" t="s">
        <v>375</v>
      </c>
      <c r="B2254">
        <v>120520</v>
      </c>
      <c r="C2254" t="s">
        <v>68</v>
      </c>
      <c r="D2254" t="s">
        <v>375</v>
      </c>
      <c r="E2254" t="s">
        <v>4595</v>
      </c>
      <c r="G2254" t="s">
        <v>4596</v>
      </c>
      <c r="J2254">
        <v>6.4561903559999996</v>
      </c>
      <c r="K2254">
        <v>0.47291064100000002</v>
      </c>
      <c r="L2254">
        <v>0.34414126499999997</v>
      </c>
      <c r="M2254" s="21">
        <v>-1.298635489</v>
      </c>
      <c r="N2254">
        <v>-0.432431856</v>
      </c>
    </row>
    <row r="2255" spans="1:14" x14ac:dyDescent="0.2">
      <c r="A2255" t="s">
        <v>645</v>
      </c>
      <c r="B2255">
        <v>262200</v>
      </c>
      <c r="C2255" t="s">
        <v>14</v>
      </c>
      <c r="D2255" t="s">
        <v>645</v>
      </c>
      <c r="E2255" t="s">
        <v>4597</v>
      </c>
      <c r="G2255" t="s">
        <v>4598</v>
      </c>
      <c r="J2255">
        <v>6.7484204910000001</v>
      </c>
      <c r="K2255">
        <v>0.48629166299999999</v>
      </c>
      <c r="L2255">
        <v>0.375053939</v>
      </c>
      <c r="M2255" s="21">
        <v>-1.2986829419999999</v>
      </c>
      <c r="N2255">
        <v>-0.43267563999999997</v>
      </c>
    </row>
    <row r="2256" spans="1:14" x14ac:dyDescent="0.2">
      <c r="A2256" t="s">
        <v>202</v>
      </c>
      <c r="B2256">
        <v>220480</v>
      </c>
      <c r="C2256" t="s">
        <v>100</v>
      </c>
      <c r="D2256" t="s">
        <v>202</v>
      </c>
      <c r="E2256" t="s">
        <v>4599</v>
      </c>
      <c r="G2256" t="s">
        <v>4600</v>
      </c>
      <c r="J2256">
        <v>5.9110743220000002</v>
      </c>
      <c r="K2256">
        <v>0.71598987199999997</v>
      </c>
      <c r="L2256">
        <v>0.29077365599999999</v>
      </c>
      <c r="M2256" s="21">
        <v>-1.298727341</v>
      </c>
      <c r="N2256">
        <v>-0.43290373700000001</v>
      </c>
    </row>
    <row r="2257" spans="1:14" x14ac:dyDescent="0.2">
      <c r="A2257" t="s">
        <v>3235</v>
      </c>
      <c r="B2257">
        <v>120360</v>
      </c>
      <c r="C2257" t="s">
        <v>68</v>
      </c>
      <c r="D2257" t="s">
        <v>3236</v>
      </c>
      <c r="E2257" t="s">
        <v>4601</v>
      </c>
      <c r="G2257" t="s">
        <v>4602</v>
      </c>
      <c r="J2257">
        <v>6.4561903559999996</v>
      </c>
      <c r="K2257">
        <v>0.47291064100000002</v>
      </c>
      <c r="L2257">
        <v>0.34414126499999997</v>
      </c>
      <c r="M2257" s="21">
        <v>-1.2987902170000001</v>
      </c>
      <c r="N2257">
        <v>-0.43322675399999999</v>
      </c>
    </row>
    <row r="2258" spans="1:14" x14ac:dyDescent="0.2">
      <c r="A2258" t="s">
        <v>577</v>
      </c>
      <c r="B2258">
        <v>214920</v>
      </c>
      <c r="C2258" t="s">
        <v>84</v>
      </c>
      <c r="D2258" t="s">
        <v>578</v>
      </c>
      <c r="E2258" t="s">
        <v>4603</v>
      </c>
      <c r="G2258" t="s">
        <v>4604</v>
      </c>
      <c r="J2258">
        <v>3.600219579</v>
      </c>
      <c r="K2258">
        <v>-0.293098474</v>
      </c>
      <c r="L2258">
        <v>-0.153917466</v>
      </c>
      <c r="M2258" s="21">
        <v>-1.299586398</v>
      </c>
      <c r="N2258">
        <v>-0.43731703399999999</v>
      </c>
    </row>
    <row r="2259" spans="1:14" x14ac:dyDescent="0.2">
      <c r="A2259" t="s">
        <v>956</v>
      </c>
      <c r="B2259">
        <v>118920</v>
      </c>
      <c r="C2259" t="s">
        <v>68</v>
      </c>
      <c r="D2259" t="s">
        <v>956</v>
      </c>
      <c r="E2259" t="s">
        <v>4605</v>
      </c>
      <c r="G2259" t="s">
        <v>4606</v>
      </c>
      <c r="J2259">
        <v>6.4561903559999996</v>
      </c>
      <c r="K2259">
        <v>0.47291064100000002</v>
      </c>
      <c r="L2259">
        <v>0.34414126499999997</v>
      </c>
      <c r="M2259" s="21">
        <v>-1.300182773</v>
      </c>
      <c r="N2259">
        <v>-0.440380834</v>
      </c>
    </row>
    <row r="2260" spans="1:14" x14ac:dyDescent="0.2">
      <c r="A2260" t="s">
        <v>33</v>
      </c>
      <c r="B2260">
        <v>214400</v>
      </c>
      <c r="C2260" t="s">
        <v>84</v>
      </c>
      <c r="D2260" t="s">
        <v>33</v>
      </c>
      <c r="E2260" t="s">
        <v>4607</v>
      </c>
      <c r="J2260">
        <v>3.600219579</v>
      </c>
      <c r="K2260">
        <v>-0.293098474</v>
      </c>
      <c r="L2260">
        <v>-0.153917466</v>
      </c>
      <c r="M2260" s="21">
        <v>-1.3002670089999999</v>
      </c>
      <c r="N2260">
        <v>-0.44081358399999998</v>
      </c>
    </row>
    <row r="2261" spans="1:14" x14ac:dyDescent="0.2">
      <c r="A2261" t="s">
        <v>2443</v>
      </c>
      <c r="B2261">
        <v>214160</v>
      </c>
      <c r="C2261" t="s">
        <v>84</v>
      </c>
      <c r="D2261" t="s">
        <v>2444</v>
      </c>
      <c r="E2261" t="s">
        <v>4608</v>
      </c>
      <c r="G2261" t="s">
        <v>4609</v>
      </c>
      <c r="J2261">
        <v>3.600219579</v>
      </c>
      <c r="K2261">
        <v>-0.293098474</v>
      </c>
      <c r="L2261">
        <v>-0.153917466</v>
      </c>
      <c r="M2261" s="21">
        <v>-1.300581137</v>
      </c>
      <c r="N2261">
        <v>-0.44242737700000001</v>
      </c>
    </row>
    <row r="2262" spans="1:14" x14ac:dyDescent="0.2">
      <c r="A2262" t="s">
        <v>2911</v>
      </c>
      <c r="B2262">
        <v>214080</v>
      </c>
      <c r="C2262" t="s">
        <v>84</v>
      </c>
      <c r="D2262" t="s">
        <v>2912</v>
      </c>
      <c r="E2262" t="s">
        <v>4610</v>
      </c>
      <c r="J2262">
        <v>3.600219579</v>
      </c>
      <c r="K2262">
        <v>-0.293098474</v>
      </c>
      <c r="L2262">
        <v>-0.153917466</v>
      </c>
      <c r="M2262" s="21">
        <v>-1.3006858459999999</v>
      </c>
      <c r="N2262">
        <v>-0.442965308</v>
      </c>
    </row>
    <row r="2263" spans="1:14" x14ac:dyDescent="0.2">
      <c r="A2263" t="s">
        <v>1260</v>
      </c>
      <c r="B2263">
        <v>53320</v>
      </c>
      <c r="C2263" t="s">
        <v>28</v>
      </c>
      <c r="D2263" t="s">
        <v>1260</v>
      </c>
      <c r="E2263" t="s">
        <v>4611</v>
      </c>
      <c r="G2263" t="s">
        <v>4612</v>
      </c>
      <c r="J2263">
        <v>5.8462906840000004</v>
      </c>
      <c r="K2263">
        <v>0.60615847</v>
      </c>
      <c r="L2263">
        <v>0.28550877299999999</v>
      </c>
      <c r="M2263" s="21">
        <v>-1.3008892700000001</v>
      </c>
      <c r="N2263">
        <v>-0.44401037399999999</v>
      </c>
    </row>
    <row r="2264" spans="1:14" x14ac:dyDescent="0.2">
      <c r="A2264" t="s">
        <v>2054</v>
      </c>
      <c r="B2264">
        <v>53280</v>
      </c>
      <c r="C2264" t="s">
        <v>28</v>
      </c>
      <c r="D2264" t="s">
        <v>2054</v>
      </c>
      <c r="E2264" t="s">
        <v>4613</v>
      </c>
      <c r="G2264" t="s">
        <v>4614</v>
      </c>
      <c r="J2264">
        <v>5.8462906840000004</v>
      </c>
      <c r="K2264">
        <v>0.60615847</v>
      </c>
      <c r="L2264">
        <v>0.28550877299999999</v>
      </c>
      <c r="M2264" s="21">
        <v>-1.300925383</v>
      </c>
      <c r="N2264">
        <v>-0.44419589700000001</v>
      </c>
    </row>
    <row r="2265" spans="1:14" x14ac:dyDescent="0.2">
      <c r="A2265" t="s">
        <v>756</v>
      </c>
      <c r="B2265">
        <v>162960</v>
      </c>
      <c r="C2265" t="s">
        <v>130</v>
      </c>
      <c r="D2265" t="s">
        <v>756</v>
      </c>
      <c r="E2265" t="s">
        <v>4615</v>
      </c>
      <c r="G2265" t="s">
        <v>4616</v>
      </c>
      <c r="J2265">
        <v>5.1222566499999997</v>
      </c>
      <c r="K2265">
        <v>0.21422175600000001</v>
      </c>
      <c r="L2265">
        <v>0.25354511400000002</v>
      </c>
      <c r="M2265" s="21">
        <v>-1.301126099</v>
      </c>
      <c r="N2265">
        <v>-0.44522705400000001</v>
      </c>
    </row>
    <row r="2266" spans="1:14" x14ac:dyDescent="0.2">
      <c r="A2266" t="s">
        <v>415</v>
      </c>
      <c r="B2266">
        <v>213680</v>
      </c>
      <c r="C2266" t="s">
        <v>84</v>
      </c>
      <c r="D2266" t="s">
        <v>415</v>
      </c>
      <c r="E2266" t="s">
        <v>4617</v>
      </c>
      <c r="J2266">
        <v>3.600219579</v>
      </c>
      <c r="K2266">
        <v>-0.293098474</v>
      </c>
      <c r="L2266">
        <v>-0.153917466</v>
      </c>
      <c r="M2266" s="21">
        <v>-1.3012093920000001</v>
      </c>
      <c r="N2266">
        <v>-0.44565496199999999</v>
      </c>
    </row>
    <row r="2267" spans="1:14" x14ac:dyDescent="0.2">
      <c r="A2267" t="s">
        <v>2188</v>
      </c>
      <c r="B2267">
        <v>52840</v>
      </c>
      <c r="C2267" t="s">
        <v>28</v>
      </c>
      <c r="D2267" t="s">
        <v>2188</v>
      </c>
      <c r="E2267" t="s">
        <v>4618</v>
      </c>
      <c r="G2267" t="s">
        <v>4619</v>
      </c>
      <c r="J2267">
        <v>5.8462906840000004</v>
      </c>
      <c r="K2267">
        <v>0.60615847</v>
      </c>
      <c r="L2267">
        <v>0.28550877299999999</v>
      </c>
      <c r="M2267" s="21">
        <v>-1.3013226200000001</v>
      </c>
      <c r="N2267">
        <v>-0.44623665499999998</v>
      </c>
    </row>
    <row r="2268" spans="1:14" x14ac:dyDescent="0.2">
      <c r="A2268" t="s">
        <v>1174</v>
      </c>
      <c r="B2268">
        <v>52840</v>
      </c>
      <c r="C2268" t="s">
        <v>28</v>
      </c>
      <c r="D2268" t="s">
        <v>1174</v>
      </c>
      <c r="E2268" t="s">
        <v>4620</v>
      </c>
      <c r="G2268" t="s">
        <v>4621</v>
      </c>
      <c r="J2268">
        <v>5.8462906840000004</v>
      </c>
      <c r="K2268">
        <v>0.60615847</v>
      </c>
      <c r="L2268">
        <v>0.28550877299999999</v>
      </c>
      <c r="M2268" s="21">
        <v>-1.3013226200000001</v>
      </c>
      <c r="N2268">
        <v>-0.44623665499999998</v>
      </c>
    </row>
    <row r="2269" spans="1:14" x14ac:dyDescent="0.2">
      <c r="A2269" t="s">
        <v>839</v>
      </c>
      <c r="B2269">
        <v>52160</v>
      </c>
      <c r="C2269" t="s">
        <v>28</v>
      </c>
      <c r="D2269" t="s">
        <v>840</v>
      </c>
      <c r="E2269" t="s">
        <v>4622</v>
      </c>
      <c r="G2269" t="s">
        <v>4623</v>
      </c>
      <c r="J2269">
        <v>5.8462906840000004</v>
      </c>
      <c r="K2269">
        <v>0.60615847</v>
      </c>
      <c r="L2269">
        <v>0.28550877299999999</v>
      </c>
      <c r="M2269" s="21">
        <v>-1.301936532</v>
      </c>
      <c r="N2269">
        <v>-0.449390552</v>
      </c>
    </row>
    <row r="2270" spans="1:14" x14ac:dyDescent="0.2">
      <c r="A2270" t="s">
        <v>380</v>
      </c>
      <c r="B2270">
        <v>51560</v>
      </c>
      <c r="C2270" t="s">
        <v>28</v>
      </c>
      <c r="D2270" t="s">
        <v>380</v>
      </c>
      <c r="E2270" t="s">
        <v>4624</v>
      </c>
      <c r="G2270" t="s">
        <v>4625</v>
      </c>
      <c r="J2270">
        <v>5.8462906840000004</v>
      </c>
      <c r="K2270">
        <v>0.60615847</v>
      </c>
      <c r="L2270">
        <v>0.28550877299999999</v>
      </c>
      <c r="M2270" s="21">
        <v>-1.30247822</v>
      </c>
      <c r="N2270">
        <v>-0.45217340299999997</v>
      </c>
    </row>
    <row r="2271" spans="1:14" x14ac:dyDescent="0.2">
      <c r="A2271" t="s">
        <v>583</v>
      </c>
      <c r="B2271">
        <v>51240</v>
      </c>
      <c r="C2271" t="s">
        <v>28</v>
      </c>
      <c r="D2271" t="s">
        <v>583</v>
      </c>
      <c r="E2271" t="s">
        <v>4626</v>
      </c>
      <c r="G2271" t="s">
        <v>4627</v>
      </c>
      <c r="J2271">
        <v>5.8462906840000004</v>
      </c>
      <c r="K2271">
        <v>0.60615847</v>
      </c>
      <c r="L2271">
        <v>0.28550877299999999</v>
      </c>
      <c r="M2271" s="21">
        <v>-1.3027671199999999</v>
      </c>
      <c r="N2271">
        <v>-0.45365759</v>
      </c>
    </row>
    <row r="2272" spans="1:14" x14ac:dyDescent="0.2">
      <c r="A2272" t="s">
        <v>868</v>
      </c>
      <c r="B2272">
        <v>215080</v>
      </c>
      <c r="C2272" t="s">
        <v>58</v>
      </c>
      <c r="D2272" t="s">
        <v>869</v>
      </c>
      <c r="E2272" t="s">
        <v>4628</v>
      </c>
      <c r="G2272" t="s">
        <v>4629</v>
      </c>
      <c r="J2272">
        <v>4.5363847230000003</v>
      </c>
      <c r="K2272">
        <v>0.245646371</v>
      </c>
      <c r="L2272">
        <v>7.5242279999999995E-2</v>
      </c>
      <c r="M2272" s="21">
        <v>-1.3029387050000001</v>
      </c>
      <c r="N2272">
        <v>-0.45453908999999998</v>
      </c>
    </row>
    <row r="2273" spans="1:14" x14ac:dyDescent="0.2">
      <c r="A2273" t="s">
        <v>1052</v>
      </c>
      <c r="B2273">
        <v>258120</v>
      </c>
      <c r="C2273" t="s">
        <v>14</v>
      </c>
      <c r="D2273" t="s">
        <v>1052</v>
      </c>
      <c r="E2273" t="s">
        <v>4630</v>
      </c>
      <c r="G2273" t="s">
        <v>4631</v>
      </c>
      <c r="J2273">
        <v>6.7484204910000001</v>
      </c>
      <c r="K2273">
        <v>0.48629166299999999</v>
      </c>
      <c r="L2273">
        <v>0.375053939</v>
      </c>
      <c r="M2273" s="21">
        <v>-1.3031534890000001</v>
      </c>
      <c r="N2273">
        <v>-0.45564251300000003</v>
      </c>
    </row>
    <row r="2274" spans="1:14" x14ac:dyDescent="0.2">
      <c r="A2274" t="s">
        <v>1160</v>
      </c>
      <c r="B2274">
        <v>160360</v>
      </c>
      <c r="C2274" t="s">
        <v>130</v>
      </c>
      <c r="D2274" t="s">
        <v>1160</v>
      </c>
      <c r="E2274" t="s">
        <v>4632</v>
      </c>
      <c r="G2274" t="s">
        <v>4633</v>
      </c>
      <c r="J2274">
        <v>5.1222566499999997</v>
      </c>
      <c r="K2274">
        <v>0.21422175600000001</v>
      </c>
      <c r="L2274">
        <v>0.25354511400000002</v>
      </c>
      <c r="M2274" s="21">
        <v>-1.3031952570000001</v>
      </c>
      <c r="N2274">
        <v>-0.45585709099999999</v>
      </c>
    </row>
    <row r="2275" spans="1:14" x14ac:dyDescent="0.2">
      <c r="A2275" t="s">
        <v>1659</v>
      </c>
      <c r="B2275">
        <v>215560</v>
      </c>
      <c r="C2275" t="s">
        <v>100</v>
      </c>
      <c r="D2275" t="s">
        <v>1660</v>
      </c>
      <c r="E2275" t="s">
        <v>4634</v>
      </c>
      <c r="G2275" t="s">
        <v>4635</v>
      </c>
      <c r="J2275">
        <v>5.9110743220000002</v>
      </c>
      <c r="K2275">
        <v>0.71598987199999997</v>
      </c>
      <c r="L2275">
        <v>0.29077365599999999</v>
      </c>
      <c r="M2275" s="21">
        <v>-1.3036114919999999</v>
      </c>
      <c r="N2275">
        <v>-0.457995445</v>
      </c>
    </row>
    <row r="2276" spans="1:14" x14ac:dyDescent="0.2">
      <c r="A2276" t="s">
        <v>2791</v>
      </c>
      <c r="B2276">
        <v>50120</v>
      </c>
      <c r="C2276" t="s">
        <v>28</v>
      </c>
      <c r="D2276" t="s">
        <v>2792</v>
      </c>
      <c r="E2276" t="s">
        <v>4636</v>
      </c>
      <c r="G2276" t="s">
        <v>4637</v>
      </c>
      <c r="J2276">
        <v>5.8462906840000004</v>
      </c>
      <c r="K2276">
        <v>0.60615847</v>
      </c>
      <c r="L2276">
        <v>0.28550877299999999</v>
      </c>
      <c r="M2276" s="21">
        <v>-1.3037782689999999</v>
      </c>
      <c r="N2276">
        <v>-0.45885224400000002</v>
      </c>
    </row>
    <row r="2277" spans="1:14" x14ac:dyDescent="0.2">
      <c r="A2277" t="s">
        <v>868</v>
      </c>
      <c r="B2277">
        <v>114760</v>
      </c>
      <c r="C2277" t="s">
        <v>68</v>
      </c>
      <c r="D2277" t="s">
        <v>869</v>
      </c>
      <c r="E2277" t="s">
        <v>4638</v>
      </c>
      <c r="G2277" t="s">
        <v>4639</v>
      </c>
      <c r="J2277">
        <v>6.4561903559999996</v>
      </c>
      <c r="K2277">
        <v>0.47291064100000002</v>
      </c>
      <c r="L2277">
        <v>0.34414126499999997</v>
      </c>
      <c r="M2277" s="21">
        <v>-1.304205711</v>
      </c>
      <c r="N2277">
        <v>-0.461048175</v>
      </c>
    </row>
    <row r="2278" spans="1:14" x14ac:dyDescent="0.2">
      <c r="A2278" t="s">
        <v>385</v>
      </c>
      <c r="B2278">
        <v>228200</v>
      </c>
      <c r="C2278" t="s">
        <v>149</v>
      </c>
      <c r="D2278" t="s">
        <v>386</v>
      </c>
      <c r="E2278" t="s">
        <v>4640</v>
      </c>
      <c r="G2278" t="s">
        <v>4641</v>
      </c>
      <c r="J2278">
        <v>5.0381074159999999</v>
      </c>
      <c r="K2278">
        <v>0.81312368999999995</v>
      </c>
      <c r="L2278">
        <v>0.16969141800000001</v>
      </c>
      <c r="M2278" s="21">
        <v>-1.3043281280000001</v>
      </c>
      <c r="N2278">
        <v>-0.46167707299999999</v>
      </c>
    </row>
    <row r="2279" spans="1:14" x14ac:dyDescent="0.2">
      <c r="A2279" t="s">
        <v>687</v>
      </c>
      <c r="B2279">
        <v>49040</v>
      </c>
      <c r="C2279" t="s">
        <v>28</v>
      </c>
      <c r="D2279" t="s">
        <v>688</v>
      </c>
      <c r="E2279" t="s">
        <v>4642</v>
      </c>
      <c r="G2279" t="s">
        <v>4643</v>
      </c>
      <c r="J2279">
        <v>5.8462906840000004</v>
      </c>
      <c r="K2279">
        <v>0.60615847</v>
      </c>
      <c r="L2279">
        <v>0.28550877299999999</v>
      </c>
      <c r="M2279" s="21">
        <v>-1.3047533069999999</v>
      </c>
      <c r="N2279">
        <v>-0.46386137599999999</v>
      </c>
    </row>
    <row r="2280" spans="1:14" x14ac:dyDescent="0.2">
      <c r="A2280" t="s">
        <v>2960</v>
      </c>
      <c r="B2280">
        <v>114120</v>
      </c>
      <c r="C2280" t="s">
        <v>68</v>
      </c>
      <c r="D2280" t="s">
        <v>2961</v>
      </c>
      <c r="E2280" t="s">
        <v>4644</v>
      </c>
      <c r="G2280" t="s">
        <v>4645</v>
      </c>
      <c r="J2280">
        <v>6.4561903559999996</v>
      </c>
      <c r="K2280">
        <v>0.47291064100000002</v>
      </c>
      <c r="L2280">
        <v>0.34414126499999997</v>
      </c>
      <c r="M2280" s="21">
        <v>-1.304824625</v>
      </c>
      <c r="N2280">
        <v>-0.46422776500000001</v>
      </c>
    </row>
    <row r="2281" spans="1:14" x14ac:dyDescent="0.2">
      <c r="A2281" t="s">
        <v>1062</v>
      </c>
      <c r="B2281">
        <v>210840</v>
      </c>
      <c r="C2281" t="s">
        <v>84</v>
      </c>
      <c r="D2281" t="s">
        <v>1062</v>
      </c>
      <c r="E2281" t="s">
        <v>4646</v>
      </c>
      <c r="J2281">
        <v>3.600219579</v>
      </c>
      <c r="K2281">
        <v>-0.293098474</v>
      </c>
      <c r="L2281">
        <v>-0.153917466</v>
      </c>
      <c r="M2281" s="21">
        <v>-1.3049265729999999</v>
      </c>
      <c r="N2281">
        <v>-0.46475150799999998</v>
      </c>
    </row>
    <row r="2282" spans="1:14" x14ac:dyDescent="0.2">
      <c r="A2282" t="s">
        <v>2911</v>
      </c>
      <c r="B2282">
        <v>48480</v>
      </c>
      <c r="C2282" t="s">
        <v>28</v>
      </c>
      <c r="D2282" t="s">
        <v>2912</v>
      </c>
      <c r="E2282" t="s">
        <v>4647</v>
      </c>
      <c r="G2282" t="s">
        <v>4648</v>
      </c>
      <c r="J2282">
        <v>5.8462906840000004</v>
      </c>
      <c r="K2282">
        <v>0.60615847</v>
      </c>
      <c r="L2282">
        <v>0.28550877299999999</v>
      </c>
      <c r="M2282" s="21">
        <v>-1.3052588810000001</v>
      </c>
      <c r="N2282">
        <v>-0.46645870299999997</v>
      </c>
    </row>
    <row r="2283" spans="1:14" x14ac:dyDescent="0.2">
      <c r="A2283" t="s">
        <v>1119</v>
      </c>
      <c r="B2283">
        <v>226400</v>
      </c>
      <c r="C2283" t="s">
        <v>149</v>
      </c>
      <c r="D2283" t="s">
        <v>1120</v>
      </c>
      <c r="E2283" t="s">
        <v>4649</v>
      </c>
      <c r="G2283" t="s">
        <v>4650</v>
      </c>
      <c r="J2283">
        <v>5.0381074159999999</v>
      </c>
      <c r="K2283">
        <v>0.81312368999999995</v>
      </c>
      <c r="L2283">
        <v>0.16969141800000001</v>
      </c>
      <c r="M2283" s="21">
        <v>-1.305992437</v>
      </c>
      <c r="N2283">
        <v>-0.47022725100000001</v>
      </c>
    </row>
    <row r="2284" spans="1:14" x14ac:dyDescent="0.2">
      <c r="A2284" t="s">
        <v>577</v>
      </c>
      <c r="B2284">
        <v>47640</v>
      </c>
      <c r="C2284" t="s">
        <v>28</v>
      </c>
      <c r="D2284" t="s">
        <v>578</v>
      </c>
      <c r="E2284" t="s">
        <v>4651</v>
      </c>
      <c r="G2284" t="s">
        <v>4652</v>
      </c>
      <c r="J2284">
        <v>5.8462906840000004</v>
      </c>
      <c r="K2284">
        <v>0.60615847</v>
      </c>
      <c r="L2284">
        <v>0.28550877299999999</v>
      </c>
      <c r="M2284" s="21">
        <v>-1.306017244</v>
      </c>
      <c r="N2284">
        <v>-0.47035469400000002</v>
      </c>
    </row>
    <row r="2285" spans="1:14" x14ac:dyDescent="0.2">
      <c r="A2285" t="s">
        <v>650</v>
      </c>
      <c r="B2285">
        <v>211680</v>
      </c>
      <c r="C2285" t="s">
        <v>58</v>
      </c>
      <c r="D2285" t="s">
        <v>651</v>
      </c>
      <c r="E2285" t="s">
        <v>4653</v>
      </c>
      <c r="G2285" t="s">
        <v>4654</v>
      </c>
      <c r="J2285">
        <v>4.5363847230000003</v>
      </c>
      <c r="K2285">
        <v>0.245646371</v>
      </c>
      <c r="L2285">
        <v>7.5242279999999995E-2</v>
      </c>
      <c r="M2285" s="21">
        <v>-1.306222175</v>
      </c>
      <c r="N2285">
        <v>-0.47140750300000001</v>
      </c>
    </row>
    <row r="2286" spans="1:14" x14ac:dyDescent="0.2">
      <c r="A2286" t="s">
        <v>2457</v>
      </c>
      <c r="B2286">
        <v>225600</v>
      </c>
      <c r="C2286" t="s">
        <v>149</v>
      </c>
      <c r="D2286" t="s">
        <v>2458</v>
      </c>
      <c r="E2286" t="s">
        <v>4655</v>
      </c>
      <c r="G2286" t="s">
        <v>4656</v>
      </c>
      <c r="J2286">
        <v>5.0381074159999999</v>
      </c>
      <c r="K2286">
        <v>0.81312368999999995</v>
      </c>
      <c r="L2286">
        <v>0.16969141800000001</v>
      </c>
      <c r="M2286" s="21">
        <v>-1.306732129</v>
      </c>
      <c r="N2286">
        <v>-0.47402733000000002</v>
      </c>
    </row>
    <row r="2287" spans="1:14" x14ac:dyDescent="0.2">
      <c r="A2287" t="s">
        <v>1620</v>
      </c>
      <c r="B2287">
        <v>155880</v>
      </c>
      <c r="C2287" t="s">
        <v>130</v>
      </c>
      <c r="D2287" t="s">
        <v>1620</v>
      </c>
      <c r="E2287" t="s">
        <v>4657</v>
      </c>
      <c r="G2287" t="s">
        <v>4658</v>
      </c>
      <c r="J2287">
        <v>5.1222566499999997</v>
      </c>
      <c r="K2287">
        <v>0.21422175600000001</v>
      </c>
      <c r="L2287">
        <v>0.25354511400000002</v>
      </c>
      <c r="M2287" s="21">
        <v>-1.306760575</v>
      </c>
      <c r="N2287">
        <v>-0.47417346300000002</v>
      </c>
    </row>
    <row r="2288" spans="1:14" x14ac:dyDescent="0.2">
      <c r="A2288" t="s">
        <v>352</v>
      </c>
      <c r="B2288">
        <v>210920</v>
      </c>
      <c r="C2288" t="s">
        <v>58</v>
      </c>
      <c r="D2288" t="s">
        <v>352</v>
      </c>
      <c r="E2288" t="s">
        <v>4659</v>
      </c>
      <c r="G2288" t="s">
        <v>4660</v>
      </c>
      <c r="J2288">
        <v>4.5363847230000003</v>
      </c>
      <c r="K2288">
        <v>0.245646371</v>
      </c>
      <c r="L2288">
        <v>7.5242279999999995E-2</v>
      </c>
      <c r="M2288" s="21">
        <v>-1.3069561270000001</v>
      </c>
      <c r="N2288">
        <v>-0.47517808900000003</v>
      </c>
    </row>
    <row r="2289" spans="1:14" x14ac:dyDescent="0.2">
      <c r="A2289" t="s">
        <v>709</v>
      </c>
      <c r="B2289">
        <v>46560</v>
      </c>
      <c r="C2289" t="s">
        <v>28</v>
      </c>
      <c r="D2289" t="s">
        <v>709</v>
      </c>
      <c r="E2289" t="s">
        <v>4661</v>
      </c>
      <c r="G2289" t="s">
        <v>4662</v>
      </c>
      <c r="J2289">
        <v>5.8462906840000004</v>
      </c>
      <c r="K2289">
        <v>0.60615847</v>
      </c>
      <c r="L2289">
        <v>0.28550877299999999</v>
      </c>
      <c r="M2289" s="21">
        <v>-1.3069922810000001</v>
      </c>
      <c r="N2289">
        <v>-0.47536382500000002</v>
      </c>
    </row>
    <row r="2290" spans="1:14" x14ac:dyDescent="0.2">
      <c r="A2290" t="s">
        <v>610</v>
      </c>
      <c r="B2290">
        <v>155320</v>
      </c>
      <c r="C2290" t="s">
        <v>130</v>
      </c>
      <c r="D2290" t="s">
        <v>611</v>
      </c>
      <c r="E2290" t="s">
        <v>4663</v>
      </c>
      <c r="G2290" t="s">
        <v>4664</v>
      </c>
      <c r="J2290">
        <v>5.1222566499999997</v>
      </c>
      <c r="K2290">
        <v>0.21422175600000001</v>
      </c>
      <c r="L2290">
        <v>0.25354511400000002</v>
      </c>
      <c r="M2290" s="21">
        <v>-1.3072062390000001</v>
      </c>
      <c r="N2290">
        <v>-0.47646300899999999</v>
      </c>
    </row>
    <row r="2291" spans="1:14" x14ac:dyDescent="0.2">
      <c r="A2291" t="s">
        <v>295</v>
      </c>
      <c r="B2291">
        <v>46200</v>
      </c>
      <c r="C2291" t="s">
        <v>28</v>
      </c>
      <c r="D2291" t="s">
        <v>295</v>
      </c>
      <c r="E2291" t="s">
        <v>4665</v>
      </c>
      <c r="G2291" t="s">
        <v>4666</v>
      </c>
      <c r="J2291">
        <v>5.8462906840000004</v>
      </c>
      <c r="K2291">
        <v>0.60615847</v>
      </c>
      <c r="L2291">
        <v>0.28550877299999999</v>
      </c>
      <c r="M2291" s="21">
        <v>-1.3073172930000001</v>
      </c>
      <c r="N2291">
        <v>-0.47703353599999998</v>
      </c>
    </row>
    <row r="2292" spans="1:14" x14ac:dyDescent="0.2">
      <c r="A2292" t="s">
        <v>2188</v>
      </c>
      <c r="B2292">
        <v>224880</v>
      </c>
      <c r="C2292" t="s">
        <v>149</v>
      </c>
      <c r="D2292" t="s">
        <v>2188</v>
      </c>
      <c r="E2292" t="s">
        <v>4667</v>
      </c>
      <c r="G2292" t="s">
        <v>4668</v>
      </c>
      <c r="J2292">
        <v>5.0381074159999999</v>
      </c>
      <c r="K2292">
        <v>0.81312368999999995</v>
      </c>
      <c r="L2292">
        <v>0.16969141800000001</v>
      </c>
      <c r="M2292" s="21">
        <v>-1.3073978530000001</v>
      </c>
      <c r="N2292">
        <v>-0.47744740099999999</v>
      </c>
    </row>
    <row r="2293" spans="1:14" x14ac:dyDescent="0.2">
      <c r="A2293" t="s">
        <v>1052</v>
      </c>
      <c r="B2293">
        <v>224640</v>
      </c>
      <c r="C2293" t="s">
        <v>149</v>
      </c>
      <c r="D2293" t="s">
        <v>1052</v>
      </c>
      <c r="E2293" t="s">
        <v>4669</v>
      </c>
      <c r="G2293" t="s">
        <v>4670</v>
      </c>
      <c r="J2293">
        <v>5.0381074159999999</v>
      </c>
      <c r="K2293">
        <v>0.81312368999999995</v>
      </c>
      <c r="L2293">
        <v>0.16969141800000001</v>
      </c>
      <c r="M2293" s="21">
        <v>-1.307619761</v>
      </c>
      <c r="N2293">
        <v>-0.47858742500000001</v>
      </c>
    </row>
    <row r="2294" spans="1:14" x14ac:dyDescent="0.2">
      <c r="A2294" t="s">
        <v>1778</v>
      </c>
      <c r="B2294">
        <v>45840</v>
      </c>
      <c r="C2294" t="s">
        <v>28</v>
      </c>
      <c r="D2294" t="s">
        <v>1778</v>
      </c>
      <c r="E2294" t="s">
        <v>4671</v>
      </c>
      <c r="G2294" t="s">
        <v>4672</v>
      </c>
      <c r="J2294">
        <v>5.8462906840000004</v>
      </c>
      <c r="K2294">
        <v>0.60615847</v>
      </c>
      <c r="L2294">
        <v>0.28550877299999999</v>
      </c>
      <c r="M2294" s="21">
        <v>-1.307642306</v>
      </c>
      <c r="N2294">
        <v>-0.47870324600000003</v>
      </c>
    </row>
    <row r="2295" spans="1:14" x14ac:dyDescent="0.2">
      <c r="A2295" t="s">
        <v>1897</v>
      </c>
      <c r="B2295">
        <v>224360</v>
      </c>
      <c r="C2295" t="s">
        <v>149</v>
      </c>
      <c r="D2295" t="s">
        <v>1897</v>
      </c>
      <c r="E2295" t="s">
        <v>4673</v>
      </c>
      <c r="G2295" t="s">
        <v>4674</v>
      </c>
      <c r="J2295">
        <v>5.0381074159999999</v>
      </c>
      <c r="K2295">
        <v>0.81312368999999995</v>
      </c>
      <c r="L2295">
        <v>0.16969141800000001</v>
      </c>
      <c r="M2295" s="21">
        <v>-1.3078786529999999</v>
      </c>
      <c r="N2295">
        <v>-0.47991745200000002</v>
      </c>
    </row>
    <row r="2296" spans="1:14" x14ac:dyDescent="0.2">
      <c r="A2296" t="s">
        <v>901</v>
      </c>
      <c r="B2296">
        <v>253680</v>
      </c>
      <c r="C2296" t="s">
        <v>14</v>
      </c>
      <c r="D2296" t="s">
        <v>902</v>
      </c>
      <c r="E2296" t="s">
        <v>4675</v>
      </c>
      <c r="G2296" t="s">
        <v>4676</v>
      </c>
      <c r="J2296">
        <v>6.7484204910000001</v>
      </c>
      <c r="K2296">
        <v>0.48629166299999999</v>
      </c>
      <c r="L2296">
        <v>0.375053939</v>
      </c>
      <c r="M2296" s="21">
        <v>-1.3080184960000001</v>
      </c>
      <c r="N2296">
        <v>-0.48063587499999999</v>
      </c>
    </row>
    <row r="2297" spans="1:14" x14ac:dyDescent="0.2">
      <c r="A2297" t="s">
        <v>190</v>
      </c>
      <c r="B2297">
        <v>211080</v>
      </c>
      <c r="C2297" t="s">
        <v>100</v>
      </c>
      <c r="D2297" t="s">
        <v>190</v>
      </c>
      <c r="E2297" t="s">
        <v>4677</v>
      </c>
      <c r="G2297" t="s">
        <v>4678</v>
      </c>
      <c r="J2297">
        <v>5.9110743220000002</v>
      </c>
      <c r="K2297">
        <v>0.71598987199999997</v>
      </c>
      <c r="L2297">
        <v>0.29077365599999999</v>
      </c>
      <c r="M2297" s="21">
        <v>-1.3080588479999999</v>
      </c>
      <c r="N2297">
        <v>-0.48084317999999998</v>
      </c>
    </row>
    <row r="2298" spans="1:14" x14ac:dyDescent="0.2">
      <c r="A2298" t="s">
        <v>1052</v>
      </c>
      <c r="B2298">
        <v>110680</v>
      </c>
      <c r="C2298" t="s">
        <v>68</v>
      </c>
      <c r="D2298" t="s">
        <v>1052</v>
      </c>
      <c r="E2298" t="s">
        <v>4679</v>
      </c>
      <c r="G2298" t="s">
        <v>4680</v>
      </c>
      <c r="J2298">
        <v>6.4561903559999996</v>
      </c>
      <c r="K2298">
        <v>0.47291064100000002</v>
      </c>
      <c r="L2298">
        <v>0.34414126499999997</v>
      </c>
      <c r="M2298" s="21">
        <v>-1.308151286</v>
      </c>
      <c r="N2298">
        <v>-0.48131806700000002</v>
      </c>
    </row>
    <row r="2299" spans="1:14" x14ac:dyDescent="0.2">
      <c r="A2299" t="s">
        <v>2224</v>
      </c>
      <c r="B2299">
        <v>45200</v>
      </c>
      <c r="C2299" t="s">
        <v>28</v>
      </c>
      <c r="D2299" t="s">
        <v>2224</v>
      </c>
      <c r="E2299" t="s">
        <v>4681</v>
      </c>
      <c r="G2299" t="s">
        <v>4682</v>
      </c>
      <c r="J2299">
        <v>5.8462906840000004</v>
      </c>
      <c r="K2299">
        <v>0.60615847</v>
      </c>
      <c r="L2299">
        <v>0.28550877299999999</v>
      </c>
      <c r="M2299" s="21">
        <v>-1.308220106</v>
      </c>
      <c r="N2299">
        <v>-0.48167162000000002</v>
      </c>
    </row>
    <row r="2300" spans="1:14" x14ac:dyDescent="0.2">
      <c r="A2300" t="s">
        <v>689</v>
      </c>
      <c r="B2300">
        <v>44920</v>
      </c>
      <c r="C2300" t="s">
        <v>28</v>
      </c>
      <c r="D2300" t="s">
        <v>690</v>
      </c>
      <c r="E2300" t="s">
        <v>4683</v>
      </c>
      <c r="G2300" t="s">
        <v>4684</v>
      </c>
      <c r="J2300">
        <v>5.8462906840000004</v>
      </c>
      <c r="K2300">
        <v>0.60615847</v>
      </c>
      <c r="L2300">
        <v>0.28550877299999999</v>
      </c>
      <c r="M2300" s="21">
        <v>-1.308472893</v>
      </c>
      <c r="N2300">
        <v>-0.48297028400000003</v>
      </c>
    </row>
    <row r="2301" spans="1:14" x14ac:dyDescent="0.2">
      <c r="A2301" t="s">
        <v>329</v>
      </c>
      <c r="B2301">
        <v>253240</v>
      </c>
      <c r="C2301" t="s">
        <v>14</v>
      </c>
      <c r="D2301" t="s">
        <v>329</v>
      </c>
      <c r="E2301" t="s">
        <v>4685</v>
      </c>
      <c r="G2301" t="s">
        <v>4686</v>
      </c>
      <c r="J2301">
        <v>6.7484204910000001</v>
      </c>
      <c r="K2301">
        <v>0.48629166299999999</v>
      </c>
      <c r="L2301">
        <v>0.375053939</v>
      </c>
      <c r="M2301" s="21">
        <v>-1.308500614</v>
      </c>
      <c r="N2301">
        <v>-0.48311269499999998</v>
      </c>
    </row>
    <row r="2302" spans="1:14" x14ac:dyDescent="0.2">
      <c r="A2302" t="s">
        <v>342</v>
      </c>
      <c r="B2302">
        <v>44760</v>
      </c>
      <c r="C2302" t="s">
        <v>28</v>
      </c>
      <c r="D2302" t="s">
        <v>342</v>
      </c>
      <c r="E2302" t="s">
        <v>4687</v>
      </c>
      <c r="G2302" t="s">
        <v>4688</v>
      </c>
      <c r="J2302">
        <v>5.8462906840000004</v>
      </c>
      <c r="K2302">
        <v>0.60615847</v>
      </c>
      <c r="L2302">
        <v>0.28550877299999999</v>
      </c>
      <c r="M2302" s="21">
        <v>-1.3086173430000001</v>
      </c>
      <c r="N2302">
        <v>-0.48371237700000003</v>
      </c>
    </row>
    <row r="2303" spans="1:14" x14ac:dyDescent="0.2">
      <c r="A2303" t="s">
        <v>1550</v>
      </c>
      <c r="B2303">
        <v>44760</v>
      </c>
      <c r="C2303" t="s">
        <v>28</v>
      </c>
      <c r="D2303" t="s">
        <v>1550</v>
      </c>
      <c r="E2303" t="s">
        <v>4689</v>
      </c>
      <c r="G2303" t="s">
        <v>4690</v>
      </c>
      <c r="J2303">
        <v>5.8462906840000004</v>
      </c>
      <c r="K2303">
        <v>0.60615847</v>
      </c>
      <c r="L2303">
        <v>0.28550877299999999</v>
      </c>
      <c r="M2303" s="21">
        <v>-1.3086173430000001</v>
      </c>
      <c r="N2303">
        <v>-0.48371237700000003</v>
      </c>
    </row>
    <row r="2304" spans="1:14" x14ac:dyDescent="0.2">
      <c r="A2304" t="s">
        <v>741</v>
      </c>
      <c r="B2304">
        <v>253080</v>
      </c>
      <c r="C2304" t="s">
        <v>14</v>
      </c>
      <c r="D2304" t="s">
        <v>741</v>
      </c>
      <c r="E2304" t="s">
        <v>4691</v>
      </c>
      <c r="G2304" t="s">
        <v>4692</v>
      </c>
      <c r="J2304">
        <v>6.7484204910000001</v>
      </c>
      <c r="K2304">
        <v>0.48629166299999999</v>
      </c>
      <c r="L2304">
        <v>0.375053939</v>
      </c>
      <c r="M2304" s="21">
        <v>-1.3086759290000001</v>
      </c>
      <c r="N2304">
        <v>-0.48401335600000001</v>
      </c>
    </row>
    <row r="2305" spans="1:14" x14ac:dyDescent="0.2">
      <c r="A2305" t="s">
        <v>263</v>
      </c>
      <c r="B2305">
        <v>44680</v>
      </c>
      <c r="C2305" t="s">
        <v>28</v>
      </c>
      <c r="D2305" t="s">
        <v>264</v>
      </c>
      <c r="E2305" t="s">
        <v>4693</v>
      </c>
      <c r="G2305" t="s">
        <v>4694</v>
      </c>
      <c r="J2305">
        <v>5.8462906840000004</v>
      </c>
      <c r="K2305">
        <v>0.60615847</v>
      </c>
      <c r="L2305">
        <v>0.28550877299999999</v>
      </c>
      <c r="M2305" s="21">
        <v>-1.3086895679999999</v>
      </c>
      <c r="N2305">
        <v>-0.48408342399999998</v>
      </c>
    </row>
    <row r="2306" spans="1:14" x14ac:dyDescent="0.2">
      <c r="A2306" t="s">
        <v>868</v>
      </c>
      <c r="B2306">
        <v>44600</v>
      </c>
      <c r="C2306" t="s">
        <v>28</v>
      </c>
      <c r="D2306" t="s">
        <v>869</v>
      </c>
      <c r="E2306" t="s">
        <v>4695</v>
      </c>
      <c r="G2306" t="s">
        <v>4696</v>
      </c>
      <c r="J2306">
        <v>5.8462906840000004</v>
      </c>
      <c r="K2306">
        <v>0.60615847</v>
      </c>
      <c r="L2306">
        <v>0.28550877299999999</v>
      </c>
      <c r="M2306" s="21">
        <v>-1.308761793</v>
      </c>
      <c r="N2306">
        <v>-0.484454471</v>
      </c>
    </row>
    <row r="2307" spans="1:14" x14ac:dyDescent="0.2">
      <c r="A2307" t="s">
        <v>500</v>
      </c>
      <c r="B2307">
        <v>44600</v>
      </c>
      <c r="C2307" t="s">
        <v>28</v>
      </c>
      <c r="D2307" t="s">
        <v>501</v>
      </c>
      <c r="E2307" t="s">
        <v>4697</v>
      </c>
      <c r="G2307" t="s">
        <v>4698</v>
      </c>
      <c r="J2307">
        <v>5.8462906840000004</v>
      </c>
      <c r="K2307">
        <v>0.60615847</v>
      </c>
      <c r="L2307">
        <v>0.28550877299999999</v>
      </c>
      <c r="M2307" s="21">
        <v>-1.308761793</v>
      </c>
      <c r="N2307">
        <v>-0.484454471</v>
      </c>
    </row>
    <row r="2308" spans="1:14" x14ac:dyDescent="0.2">
      <c r="A2308" t="s">
        <v>1231</v>
      </c>
      <c r="B2308">
        <v>44560</v>
      </c>
      <c r="C2308" t="s">
        <v>28</v>
      </c>
      <c r="D2308" t="s">
        <v>1231</v>
      </c>
      <c r="E2308" t="s">
        <v>4699</v>
      </c>
      <c r="G2308" t="s">
        <v>4700</v>
      </c>
      <c r="J2308">
        <v>5.8462906840000004</v>
      </c>
      <c r="K2308">
        <v>0.60615847</v>
      </c>
      <c r="L2308">
        <v>0.28550877299999999</v>
      </c>
      <c r="M2308" s="21">
        <v>-1.308797905</v>
      </c>
      <c r="N2308">
        <v>-0.48463999400000002</v>
      </c>
    </row>
    <row r="2309" spans="1:14" x14ac:dyDescent="0.2">
      <c r="A2309" t="s">
        <v>2230</v>
      </c>
      <c r="B2309">
        <v>44160</v>
      </c>
      <c r="C2309" t="s">
        <v>28</v>
      </c>
      <c r="D2309" t="s">
        <v>2231</v>
      </c>
      <c r="E2309" t="s">
        <v>4701</v>
      </c>
      <c r="G2309" t="s">
        <v>4702</v>
      </c>
      <c r="J2309">
        <v>5.8462906840000004</v>
      </c>
      <c r="K2309">
        <v>0.60615847</v>
      </c>
      <c r="L2309">
        <v>0.28550877299999999</v>
      </c>
      <c r="M2309" s="21">
        <v>-1.30915903</v>
      </c>
      <c r="N2309">
        <v>-0.486495228</v>
      </c>
    </row>
    <row r="2310" spans="1:14" x14ac:dyDescent="0.2">
      <c r="A2310" t="s">
        <v>603</v>
      </c>
      <c r="B2310">
        <v>222960</v>
      </c>
      <c r="C2310" t="s">
        <v>149</v>
      </c>
      <c r="D2310" t="s">
        <v>604</v>
      </c>
      <c r="E2310" t="s">
        <v>4703</v>
      </c>
      <c r="G2310" t="s">
        <v>4704</v>
      </c>
      <c r="J2310">
        <v>5.0381074159999999</v>
      </c>
      <c r="K2310">
        <v>0.81312368999999995</v>
      </c>
      <c r="L2310">
        <v>0.16969141800000001</v>
      </c>
      <c r="M2310" s="21">
        <v>-1.309173116</v>
      </c>
      <c r="N2310">
        <v>-0.48656759100000002</v>
      </c>
    </row>
    <row r="2311" spans="1:14" x14ac:dyDescent="0.2">
      <c r="A2311" t="s">
        <v>801</v>
      </c>
      <c r="B2311">
        <v>43960</v>
      </c>
      <c r="C2311" t="s">
        <v>28</v>
      </c>
      <c r="D2311" t="s">
        <v>801</v>
      </c>
      <c r="E2311" t="s">
        <v>4705</v>
      </c>
      <c r="G2311" t="s">
        <v>4706</v>
      </c>
      <c r="J2311">
        <v>5.8462906840000004</v>
      </c>
      <c r="K2311">
        <v>0.60615847</v>
      </c>
      <c r="L2311">
        <v>0.28550877299999999</v>
      </c>
      <c r="M2311" s="21">
        <v>-1.309339593</v>
      </c>
      <c r="N2311">
        <v>-0.48742284499999999</v>
      </c>
    </row>
    <row r="2312" spans="1:14" x14ac:dyDescent="0.2">
      <c r="A2312" t="s">
        <v>1698</v>
      </c>
      <c r="B2312">
        <v>109440</v>
      </c>
      <c r="C2312" t="s">
        <v>68</v>
      </c>
      <c r="D2312" t="s">
        <v>1698</v>
      </c>
      <c r="E2312" t="s">
        <v>4707</v>
      </c>
      <c r="G2312" t="s">
        <v>4708</v>
      </c>
      <c r="J2312">
        <v>6.4561903559999996</v>
      </c>
      <c r="K2312">
        <v>0.47291064100000002</v>
      </c>
      <c r="L2312">
        <v>0.34414126499999997</v>
      </c>
      <c r="M2312" s="21">
        <v>-1.3093504309999999</v>
      </c>
      <c r="N2312">
        <v>-0.48747852400000002</v>
      </c>
    </row>
    <row r="2313" spans="1:14" x14ac:dyDescent="0.2">
      <c r="A2313" t="s">
        <v>320</v>
      </c>
      <c r="B2313">
        <v>252360</v>
      </c>
      <c r="C2313" t="s">
        <v>14</v>
      </c>
      <c r="D2313" t="s">
        <v>320</v>
      </c>
      <c r="E2313" t="s">
        <v>4709</v>
      </c>
      <c r="G2313" t="s">
        <v>4710</v>
      </c>
      <c r="J2313">
        <v>6.7484204910000001</v>
      </c>
      <c r="K2313">
        <v>0.48629166299999999</v>
      </c>
      <c r="L2313">
        <v>0.375053939</v>
      </c>
      <c r="M2313" s="21">
        <v>-1.309464849</v>
      </c>
      <c r="N2313">
        <v>-0.48806633399999999</v>
      </c>
    </row>
    <row r="2314" spans="1:14" x14ac:dyDescent="0.2">
      <c r="A2314" t="s">
        <v>632</v>
      </c>
      <c r="B2314">
        <v>208000</v>
      </c>
      <c r="C2314" t="s">
        <v>58</v>
      </c>
      <c r="D2314" t="s">
        <v>632</v>
      </c>
      <c r="E2314" t="s">
        <v>4711</v>
      </c>
      <c r="G2314" t="s">
        <v>4712</v>
      </c>
      <c r="J2314">
        <v>4.5363847230000003</v>
      </c>
      <c r="K2314">
        <v>0.245646371</v>
      </c>
      <c r="L2314">
        <v>7.5242279999999995E-2</v>
      </c>
      <c r="M2314" s="21">
        <v>-1.309776048</v>
      </c>
      <c r="N2314">
        <v>-0.489665079</v>
      </c>
    </row>
    <row r="2315" spans="1:14" x14ac:dyDescent="0.2">
      <c r="A2315" t="s">
        <v>178</v>
      </c>
      <c r="B2315">
        <v>209240</v>
      </c>
      <c r="C2315" t="s">
        <v>100</v>
      </c>
      <c r="D2315" t="s">
        <v>178</v>
      </c>
      <c r="E2315" t="s">
        <v>4713</v>
      </c>
      <c r="G2315" t="s">
        <v>4714</v>
      </c>
      <c r="J2315">
        <v>5.9110743220000002</v>
      </c>
      <c r="K2315">
        <v>0.71598987199999997</v>
      </c>
      <c r="L2315">
        <v>0.29077365599999999</v>
      </c>
      <c r="M2315" s="21">
        <v>-1.309885441</v>
      </c>
      <c r="N2315">
        <v>-0.49022707100000001</v>
      </c>
    </row>
    <row r="2316" spans="1:14" x14ac:dyDescent="0.2">
      <c r="A2316" t="s">
        <v>385</v>
      </c>
      <c r="B2316">
        <v>43320</v>
      </c>
      <c r="C2316" t="s">
        <v>28</v>
      </c>
      <c r="D2316" t="s">
        <v>386</v>
      </c>
      <c r="E2316" t="s">
        <v>4715</v>
      </c>
      <c r="G2316" t="s">
        <v>4716</v>
      </c>
      <c r="J2316">
        <v>5.8462906840000004</v>
      </c>
      <c r="K2316">
        <v>0.60615847</v>
      </c>
      <c r="L2316">
        <v>0.28550877299999999</v>
      </c>
      <c r="M2316" s="21">
        <v>-1.3099173930000001</v>
      </c>
      <c r="N2316">
        <v>-0.49039121899999999</v>
      </c>
    </row>
    <row r="2317" spans="1:14" x14ac:dyDescent="0.2">
      <c r="A2317" t="s">
        <v>337</v>
      </c>
      <c r="B2317">
        <v>208800</v>
      </c>
      <c r="C2317" t="s">
        <v>100</v>
      </c>
      <c r="D2317" t="s">
        <v>337</v>
      </c>
      <c r="E2317" t="s">
        <v>4717</v>
      </c>
      <c r="G2317" t="s">
        <v>4718</v>
      </c>
      <c r="J2317">
        <v>5.9110743220000002</v>
      </c>
      <c r="K2317">
        <v>0.71598987199999997</v>
      </c>
      <c r="L2317">
        <v>0.29077365599999999</v>
      </c>
      <c r="M2317" s="21">
        <v>-1.3103222349999999</v>
      </c>
      <c r="N2317">
        <v>-0.492471045</v>
      </c>
    </row>
    <row r="2318" spans="1:14" x14ac:dyDescent="0.2">
      <c r="A2318" t="s">
        <v>788</v>
      </c>
      <c r="B2318">
        <v>221640</v>
      </c>
      <c r="C2318" t="s">
        <v>149</v>
      </c>
      <c r="D2318" t="s">
        <v>788</v>
      </c>
      <c r="E2318" t="s">
        <v>4719</v>
      </c>
      <c r="G2318" t="s">
        <v>4720</v>
      </c>
      <c r="J2318">
        <v>5.0381074159999999</v>
      </c>
      <c r="K2318">
        <v>0.81312368999999995</v>
      </c>
      <c r="L2318">
        <v>0.16969141800000001</v>
      </c>
      <c r="M2318" s="21">
        <v>-1.3103936089999999</v>
      </c>
      <c r="N2318">
        <v>-0.49283772100000001</v>
      </c>
    </row>
    <row r="2319" spans="1:14" x14ac:dyDescent="0.2">
      <c r="A2319" t="s">
        <v>1456</v>
      </c>
      <c r="B2319">
        <v>42720</v>
      </c>
      <c r="C2319" t="s">
        <v>28</v>
      </c>
      <c r="D2319" t="s">
        <v>1457</v>
      </c>
      <c r="E2319" t="s">
        <v>4721</v>
      </c>
      <c r="G2319" t="s">
        <v>4722</v>
      </c>
      <c r="J2319">
        <v>5.8462906840000004</v>
      </c>
      <c r="K2319">
        <v>0.60615847</v>
      </c>
      <c r="L2319">
        <v>0.28550877299999999</v>
      </c>
      <c r="M2319" s="21">
        <v>-1.31045908</v>
      </c>
      <c r="N2319">
        <v>-0.49317407000000002</v>
      </c>
    </row>
    <row r="2320" spans="1:14" x14ac:dyDescent="0.2">
      <c r="A2320" t="s">
        <v>1137</v>
      </c>
      <c r="B2320">
        <v>251440</v>
      </c>
      <c r="C2320" t="s">
        <v>14</v>
      </c>
      <c r="D2320" t="s">
        <v>1137</v>
      </c>
      <c r="E2320" t="s">
        <v>4723</v>
      </c>
      <c r="G2320" t="s">
        <v>4724</v>
      </c>
      <c r="J2320">
        <v>6.7484204910000001</v>
      </c>
      <c r="K2320">
        <v>0.48629166299999999</v>
      </c>
      <c r="L2320">
        <v>0.375053939</v>
      </c>
      <c r="M2320" s="21">
        <v>-1.310472914</v>
      </c>
      <c r="N2320">
        <v>-0.493245139</v>
      </c>
    </row>
    <row r="2321" spans="1:14" x14ac:dyDescent="0.2">
      <c r="A2321" t="s">
        <v>1055</v>
      </c>
      <c r="B2321">
        <v>42680</v>
      </c>
      <c r="C2321" t="s">
        <v>28</v>
      </c>
      <c r="D2321" t="s">
        <v>1055</v>
      </c>
      <c r="E2321" t="s">
        <v>4725</v>
      </c>
      <c r="G2321" t="s">
        <v>4726</v>
      </c>
      <c r="J2321">
        <v>5.8462906840000004</v>
      </c>
      <c r="K2321">
        <v>0.60615847</v>
      </c>
      <c r="L2321">
        <v>0.28550877299999999</v>
      </c>
      <c r="M2321" s="21">
        <v>-1.3104951929999999</v>
      </c>
      <c r="N2321">
        <v>-0.49335959299999999</v>
      </c>
    </row>
    <row r="2322" spans="1:14" x14ac:dyDescent="0.2">
      <c r="A2322" t="s">
        <v>2080</v>
      </c>
      <c r="B2322">
        <v>221320</v>
      </c>
      <c r="C2322" t="s">
        <v>149</v>
      </c>
      <c r="D2322" t="s">
        <v>2080</v>
      </c>
      <c r="E2322" t="s">
        <v>4727</v>
      </c>
      <c r="G2322" t="s">
        <v>4728</v>
      </c>
      <c r="J2322">
        <v>5.0381074159999999</v>
      </c>
      <c r="K2322">
        <v>0.81312368999999995</v>
      </c>
      <c r="L2322">
        <v>0.16969141800000001</v>
      </c>
      <c r="M2322" s="21">
        <v>-1.310689486</v>
      </c>
      <c r="N2322">
        <v>-0.49435775300000001</v>
      </c>
    </row>
    <row r="2323" spans="1:14" x14ac:dyDescent="0.2">
      <c r="A2323" t="s">
        <v>2040</v>
      </c>
      <c r="B2323">
        <v>42280</v>
      </c>
      <c r="C2323" t="s">
        <v>28</v>
      </c>
      <c r="D2323" t="s">
        <v>2040</v>
      </c>
      <c r="E2323" t="s">
        <v>4729</v>
      </c>
      <c r="G2323" t="s">
        <v>4730</v>
      </c>
      <c r="J2323">
        <v>5.8462906840000004</v>
      </c>
      <c r="K2323">
        <v>0.60615847</v>
      </c>
      <c r="L2323">
        <v>0.28550877299999999</v>
      </c>
      <c r="M2323" s="21">
        <v>-1.310856317</v>
      </c>
      <c r="N2323">
        <v>-0.49521482700000002</v>
      </c>
    </row>
    <row r="2324" spans="1:14" x14ac:dyDescent="0.2">
      <c r="A2324" t="s">
        <v>1773</v>
      </c>
      <c r="B2324">
        <v>206600</v>
      </c>
      <c r="C2324" t="s">
        <v>58</v>
      </c>
      <c r="D2324" t="s">
        <v>1773</v>
      </c>
      <c r="E2324" t="s">
        <v>4731</v>
      </c>
      <c r="G2324" t="s">
        <v>4732</v>
      </c>
      <c r="J2324">
        <v>4.5363847230000003</v>
      </c>
      <c r="K2324">
        <v>0.245646371</v>
      </c>
      <c r="L2324">
        <v>7.5242279999999995E-2</v>
      </c>
      <c r="M2324" s="21">
        <v>-1.3111280649999999</v>
      </c>
      <c r="N2324">
        <v>-0.49661089600000002</v>
      </c>
    </row>
    <row r="2325" spans="1:14" x14ac:dyDescent="0.2">
      <c r="A2325" t="s">
        <v>2149</v>
      </c>
      <c r="B2325">
        <v>150280</v>
      </c>
      <c r="C2325" t="s">
        <v>130</v>
      </c>
      <c r="D2325" t="s">
        <v>2149</v>
      </c>
      <c r="E2325" t="s">
        <v>4733</v>
      </c>
      <c r="G2325" t="s">
        <v>4734</v>
      </c>
      <c r="J2325">
        <v>5.1222566499999997</v>
      </c>
      <c r="K2325">
        <v>0.21422175600000001</v>
      </c>
      <c r="L2325">
        <v>0.25354511400000002</v>
      </c>
      <c r="M2325" s="21">
        <v>-1.311217222</v>
      </c>
      <c r="N2325">
        <v>-0.49706892800000002</v>
      </c>
    </row>
    <row r="2326" spans="1:14" x14ac:dyDescent="0.2">
      <c r="A2326" t="s">
        <v>1736</v>
      </c>
      <c r="B2326">
        <v>207840</v>
      </c>
      <c r="C2326" t="s">
        <v>100</v>
      </c>
      <c r="D2326" t="s">
        <v>1736</v>
      </c>
      <c r="E2326" t="s">
        <v>4735</v>
      </c>
      <c r="G2326" t="s">
        <v>4736</v>
      </c>
      <c r="J2326">
        <v>5.9110743220000002</v>
      </c>
      <c r="K2326">
        <v>0.71598987199999997</v>
      </c>
      <c r="L2326">
        <v>0.29077365599999999</v>
      </c>
      <c r="M2326" s="21">
        <v>-1.3112752400000001</v>
      </c>
      <c r="N2326">
        <v>-0.49736698800000001</v>
      </c>
    </row>
    <row r="2327" spans="1:14" x14ac:dyDescent="0.2">
      <c r="A2327" t="s">
        <v>116</v>
      </c>
      <c r="B2327">
        <v>206440</v>
      </c>
      <c r="C2327" t="s">
        <v>58</v>
      </c>
      <c r="D2327" t="s">
        <v>117</v>
      </c>
      <c r="E2327" t="s">
        <v>4737</v>
      </c>
      <c r="G2327" t="s">
        <v>4738</v>
      </c>
      <c r="J2327">
        <v>4.5363847230000003</v>
      </c>
      <c r="K2327">
        <v>0.245646371</v>
      </c>
      <c r="L2327">
        <v>7.5242279999999995E-2</v>
      </c>
      <c r="M2327" s="21">
        <v>-1.3112825809999999</v>
      </c>
      <c r="N2327">
        <v>-0.49740470399999998</v>
      </c>
    </row>
    <row r="2328" spans="1:14" x14ac:dyDescent="0.2">
      <c r="A2328" t="s">
        <v>1010</v>
      </c>
      <c r="B2328">
        <v>41520</v>
      </c>
      <c r="C2328" t="s">
        <v>28</v>
      </c>
      <c r="D2328" t="s">
        <v>1010</v>
      </c>
      <c r="E2328" t="s">
        <v>4739</v>
      </c>
      <c r="G2328" t="s">
        <v>4740</v>
      </c>
      <c r="J2328">
        <v>5.8462906840000004</v>
      </c>
      <c r="K2328">
        <v>0.60615847</v>
      </c>
      <c r="L2328">
        <v>0.28550877299999999</v>
      </c>
      <c r="M2328" s="21">
        <v>-1.3115424550000001</v>
      </c>
      <c r="N2328">
        <v>-0.498739771</v>
      </c>
    </row>
    <row r="2329" spans="1:14" x14ac:dyDescent="0.2">
      <c r="A2329" t="s">
        <v>1413</v>
      </c>
      <c r="B2329">
        <v>41400</v>
      </c>
      <c r="C2329" t="s">
        <v>28</v>
      </c>
      <c r="D2329" t="s">
        <v>1413</v>
      </c>
      <c r="E2329" t="s">
        <v>4741</v>
      </c>
      <c r="G2329" t="s">
        <v>4742</v>
      </c>
      <c r="J2329">
        <v>5.8462906840000004</v>
      </c>
      <c r="K2329">
        <v>0.60615847</v>
      </c>
      <c r="L2329">
        <v>0.28550877299999999</v>
      </c>
      <c r="M2329" s="21">
        <v>-1.311650792</v>
      </c>
      <c r="N2329">
        <v>-0.49929634099999998</v>
      </c>
    </row>
    <row r="2330" spans="1:14" x14ac:dyDescent="0.2">
      <c r="A2330" t="s">
        <v>2902</v>
      </c>
      <c r="B2330">
        <v>250360</v>
      </c>
      <c r="C2330" t="s">
        <v>14</v>
      </c>
      <c r="D2330" t="s">
        <v>2903</v>
      </c>
      <c r="E2330" t="s">
        <v>4743</v>
      </c>
      <c r="G2330" t="s">
        <v>4744</v>
      </c>
      <c r="J2330">
        <v>6.7484204910000001</v>
      </c>
      <c r="K2330">
        <v>0.48629166299999999</v>
      </c>
      <c r="L2330">
        <v>0.375053939</v>
      </c>
      <c r="M2330" s="21">
        <v>-1.3116562940000001</v>
      </c>
      <c r="N2330">
        <v>-0.49932460499999998</v>
      </c>
    </row>
    <row r="2331" spans="1:14" x14ac:dyDescent="0.2">
      <c r="A2331" t="s">
        <v>1335</v>
      </c>
      <c r="B2331">
        <v>41360</v>
      </c>
      <c r="C2331" t="s">
        <v>28</v>
      </c>
      <c r="D2331" t="s">
        <v>1335</v>
      </c>
      <c r="E2331" t="s">
        <v>4745</v>
      </c>
      <c r="G2331" t="s">
        <v>4746</v>
      </c>
      <c r="J2331">
        <v>5.8462906840000004</v>
      </c>
      <c r="K2331">
        <v>0.60615847</v>
      </c>
      <c r="L2331">
        <v>0.28550877299999999</v>
      </c>
      <c r="M2331" s="21">
        <v>-1.311686905</v>
      </c>
      <c r="N2331">
        <v>-0.49948186500000002</v>
      </c>
    </row>
    <row r="2332" spans="1:14" x14ac:dyDescent="0.2">
      <c r="A2332" t="s">
        <v>1013</v>
      </c>
      <c r="B2332">
        <v>205840</v>
      </c>
      <c r="C2332" t="s">
        <v>58</v>
      </c>
      <c r="D2332" t="s">
        <v>1014</v>
      </c>
      <c r="E2332" t="s">
        <v>4747</v>
      </c>
      <c r="G2332" t="s">
        <v>4748</v>
      </c>
      <c r="J2332">
        <v>4.5363847230000003</v>
      </c>
      <c r="K2332">
        <v>0.245646371</v>
      </c>
      <c r="L2332">
        <v>7.5242279999999995E-2</v>
      </c>
      <c r="M2332" s="21">
        <v>-1.3118620169999999</v>
      </c>
      <c r="N2332">
        <v>-0.50038148199999999</v>
      </c>
    </row>
    <row r="2333" spans="1:14" x14ac:dyDescent="0.2">
      <c r="A2333" t="s">
        <v>1318</v>
      </c>
      <c r="B2333">
        <v>41160</v>
      </c>
      <c r="C2333" t="s">
        <v>28</v>
      </c>
      <c r="D2333" t="s">
        <v>1318</v>
      </c>
      <c r="E2333" t="s">
        <v>4749</v>
      </c>
      <c r="G2333" t="s">
        <v>4750</v>
      </c>
      <c r="J2333">
        <v>5.8462906840000004</v>
      </c>
      <c r="K2333">
        <v>0.60615847</v>
      </c>
      <c r="L2333">
        <v>0.28550877299999999</v>
      </c>
      <c r="M2333" s="21">
        <v>-1.3118674669999999</v>
      </c>
      <c r="N2333">
        <v>-0.50040948200000002</v>
      </c>
    </row>
    <row r="2334" spans="1:14" x14ac:dyDescent="0.2">
      <c r="A2334" t="s">
        <v>572</v>
      </c>
      <c r="B2334">
        <v>205480</v>
      </c>
      <c r="C2334" t="s">
        <v>58</v>
      </c>
      <c r="D2334" t="s">
        <v>572</v>
      </c>
      <c r="E2334" t="s">
        <v>4751</v>
      </c>
      <c r="G2334" t="s">
        <v>4752</v>
      </c>
      <c r="J2334">
        <v>4.5363847230000003</v>
      </c>
      <c r="K2334">
        <v>0.245646371</v>
      </c>
      <c r="L2334">
        <v>7.5242279999999995E-2</v>
      </c>
      <c r="M2334" s="21">
        <v>-1.312209679</v>
      </c>
      <c r="N2334">
        <v>-0.50216755000000002</v>
      </c>
    </row>
    <row r="2335" spans="1:14" x14ac:dyDescent="0.2">
      <c r="A2335" t="s">
        <v>293</v>
      </c>
      <c r="B2335">
        <v>206880</v>
      </c>
      <c r="C2335" t="s">
        <v>100</v>
      </c>
      <c r="D2335" t="s">
        <v>293</v>
      </c>
      <c r="E2335" t="s">
        <v>4753</v>
      </c>
      <c r="G2335" t="s">
        <v>4754</v>
      </c>
      <c r="J2335">
        <v>5.9110743220000002</v>
      </c>
      <c r="K2335">
        <v>0.71598987199999997</v>
      </c>
      <c r="L2335">
        <v>0.29077365599999999</v>
      </c>
      <c r="M2335" s="21">
        <v>-1.312228245</v>
      </c>
      <c r="N2335">
        <v>-0.50226293099999997</v>
      </c>
    </row>
    <row r="2336" spans="1:14" x14ac:dyDescent="0.2">
      <c r="A2336" t="s">
        <v>709</v>
      </c>
      <c r="B2336">
        <v>148880</v>
      </c>
      <c r="C2336" t="s">
        <v>130</v>
      </c>
      <c r="D2336" t="s">
        <v>709</v>
      </c>
      <c r="E2336" t="s">
        <v>4755</v>
      </c>
      <c r="G2336" t="s">
        <v>4756</v>
      </c>
      <c r="J2336">
        <v>5.1222566499999997</v>
      </c>
      <c r="K2336">
        <v>0.21422175600000001</v>
      </c>
      <c r="L2336">
        <v>0.25354511400000002</v>
      </c>
      <c r="M2336" s="21">
        <v>-1.3123313839999999</v>
      </c>
      <c r="N2336">
        <v>-0.50279279399999999</v>
      </c>
    </row>
    <row r="2337" spans="1:14" x14ac:dyDescent="0.2">
      <c r="A2337" t="s">
        <v>759</v>
      </c>
      <c r="B2337">
        <v>40640</v>
      </c>
      <c r="C2337" t="s">
        <v>28</v>
      </c>
      <c r="D2337" t="s">
        <v>760</v>
      </c>
      <c r="E2337" t="s">
        <v>4757</v>
      </c>
      <c r="G2337" t="s">
        <v>4758</v>
      </c>
      <c r="J2337">
        <v>5.8462906840000004</v>
      </c>
      <c r="K2337">
        <v>0.60615847</v>
      </c>
      <c r="L2337">
        <v>0.28550877299999999</v>
      </c>
      <c r="M2337" s="21">
        <v>-1.3123369300000001</v>
      </c>
      <c r="N2337">
        <v>-0.50282128599999998</v>
      </c>
    </row>
    <row r="2338" spans="1:14" x14ac:dyDescent="0.2">
      <c r="A2338" t="s">
        <v>1055</v>
      </c>
      <c r="B2338">
        <v>205000</v>
      </c>
      <c r="C2338" t="s">
        <v>58</v>
      </c>
      <c r="D2338" t="s">
        <v>1055</v>
      </c>
      <c r="E2338" t="s">
        <v>4759</v>
      </c>
      <c r="G2338" t="s">
        <v>4760</v>
      </c>
      <c r="J2338">
        <v>4.5363847230000003</v>
      </c>
      <c r="K2338">
        <v>0.245646371</v>
      </c>
      <c r="L2338">
        <v>7.5242279999999995E-2</v>
      </c>
      <c r="M2338" s="21">
        <v>-1.3126732270000001</v>
      </c>
      <c r="N2338">
        <v>-0.50454897200000004</v>
      </c>
    </row>
    <row r="2339" spans="1:14" x14ac:dyDescent="0.2">
      <c r="A2339" t="s">
        <v>519</v>
      </c>
      <c r="B2339">
        <v>147880</v>
      </c>
      <c r="C2339" t="s">
        <v>130</v>
      </c>
      <c r="D2339" t="s">
        <v>519</v>
      </c>
      <c r="E2339" t="s">
        <v>4761</v>
      </c>
      <c r="G2339" t="s">
        <v>4762</v>
      </c>
      <c r="J2339">
        <v>5.1222566499999997</v>
      </c>
      <c r="K2339">
        <v>0.21422175600000001</v>
      </c>
      <c r="L2339">
        <v>0.25354511400000002</v>
      </c>
      <c r="M2339" s="21">
        <v>-1.313127213</v>
      </c>
      <c r="N2339">
        <v>-0.50688127000000005</v>
      </c>
    </row>
    <row r="2340" spans="1:14" x14ac:dyDescent="0.2">
      <c r="A2340" t="s">
        <v>1989</v>
      </c>
      <c r="B2340">
        <v>39640</v>
      </c>
      <c r="C2340" t="s">
        <v>28</v>
      </c>
      <c r="D2340" t="s">
        <v>1990</v>
      </c>
      <c r="E2340" t="s">
        <v>4763</v>
      </c>
      <c r="G2340" t="s">
        <v>4764</v>
      </c>
      <c r="J2340">
        <v>5.8462906840000004</v>
      </c>
      <c r="K2340">
        <v>0.60615847</v>
      </c>
      <c r="L2340">
        <v>0.28550877299999999</v>
      </c>
      <c r="M2340" s="21">
        <v>-1.3132397419999999</v>
      </c>
      <c r="N2340">
        <v>-0.50745936999999997</v>
      </c>
    </row>
    <row r="2341" spans="1:14" x14ac:dyDescent="0.2">
      <c r="A2341" t="s">
        <v>1275</v>
      </c>
      <c r="B2341">
        <v>248800</v>
      </c>
      <c r="C2341" t="s">
        <v>14</v>
      </c>
      <c r="D2341" t="s">
        <v>1276</v>
      </c>
      <c r="E2341" t="s">
        <v>4765</v>
      </c>
      <c r="G2341" t="s">
        <v>4766</v>
      </c>
      <c r="J2341">
        <v>6.7484204910000001</v>
      </c>
      <c r="K2341">
        <v>0.48629166299999999</v>
      </c>
      <c r="L2341">
        <v>0.375053939</v>
      </c>
      <c r="M2341" s="21">
        <v>-1.313365621</v>
      </c>
      <c r="N2341">
        <v>-0.508106057</v>
      </c>
    </row>
    <row r="2342" spans="1:14" x14ac:dyDescent="0.2">
      <c r="A2342" t="s">
        <v>222</v>
      </c>
      <c r="B2342">
        <v>204240</v>
      </c>
      <c r="C2342" t="s">
        <v>58</v>
      </c>
      <c r="D2342" t="s">
        <v>222</v>
      </c>
      <c r="E2342" t="s">
        <v>4767</v>
      </c>
      <c r="G2342" t="s">
        <v>4768</v>
      </c>
      <c r="J2342">
        <v>4.5363847230000003</v>
      </c>
      <c r="K2342">
        <v>0.245646371</v>
      </c>
      <c r="L2342">
        <v>7.5242279999999995E-2</v>
      </c>
      <c r="M2342" s="21">
        <v>-1.3134071789999999</v>
      </c>
      <c r="N2342">
        <v>-0.50831955900000003</v>
      </c>
    </row>
    <row r="2343" spans="1:14" x14ac:dyDescent="0.2">
      <c r="A2343" t="s">
        <v>2080</v>
      </c>
      <c r="B2343">
        <v>39320</v>
      </c>
      <c r="C2343" t="s">
        <v>28</v>
      </c>
      <c r="D2343" t="s">
        <v>2080</v>
      </c>
      <c r="E2343" t="s">
        <v>4769</v>
      </c>
      <c r="G2343" t="s">
        <v>4770</v>
      </c>
      <c r="J2343">
        <v>5.8462906840000004</v>
      </c>
      <c r="K2343">
        <v>0.60615847</v>
      </c>
      <c r="L2343">
        <v>0.28550877299999999</v>
      </c>
      <c r="M2343" s="21">
        <v>-1.3135286420000001</v>
      </c>
      <c r="N2343">
        <v>-0.50894355700000005</v>
      </c>
    </row>
    <row r="2344" spans="1:14" x14ac:dyDescent="0.2">
      <c r="A2344" t="s">
        <v>1739</v>
      </c>
      <c r="B2344">
        <v>218200</v>
      </c>
      <c r="C2344" t="s">
        <v>149</v>
      </c>
      <c r="D2344" t="s">
        <v>1739</v>
      </c>
      <c r="E2344" t="s">
        <v>4771</v>
      </c>
      <c r="G2344" t="s">
        <v>4772</v>
      </c>
      <c r="J2344">
        <v>5.0381074159999999</v>
      </c>
      <c r="K2344">
        <v>0.81312368999999995</v>
      </c>
      <c r="L2344">
        <v>0.16969141800000001</v>
      </c>
      <c r="M2344" s="21">
        <v>-1.3135742880000001</v>
      </c>
      <c r="N2344">
        <v>-0.50917806099999996</v>
      </c>
    </row>
    <row r="2345" spans="1:14" x14ac:dyDescent="0.2">
      <c r="A2345" t="s">
        <v>2028</v>
      </c>
      <c r="B2345">
        <v>39120</v>
      </c>
      <c r="C2345" t="s">
        <v>28</v>
      </c>
      <c r="D2345" t="s">
        <v>2028</v>
      </c>
      <c r="E2345" t="s">
        <v>4773</v>
      </c>
      <c r="G2345" t="s">
        <v>4774</v>
      </c>
      <c r="J2345">
        <v>5.8462906840000004</v>
      </c>
      <c r="K2345">
        <v>0.60615847</v>
      </c>
      <c r="L2345">
        <v>0.28550877299999999</v>
      </c>
      <c r="M2345" s="21">
        <v>-1.313709204</v>
      </c>
      <c r="N2345">
        <v>-0.50987117400000004</v>
      </c>
    </row>
    <row r="2346" spans="1:14" x14ac:dyDescent="0.2">
      <c r="A2346" t="s">
        <v>232</v>
      </c>
      <c r="B2346">
        <v>39080</v>
      </c>
      <c r="C2346" t="s">
        <v>28</v>
      </c>
      <c r="D2346" t="s">
        <v>233</v>
      </c>
      <c r="E2346" t="s">
        <v>4775</v>
      </c>
      <c r="G2346" t="s">
        <v>4776</v>
      </c>
      <c r="J2346">
        <v>5.8462906840000004</v>
      </c>
      <c r="K2346">
        <v>0.60615847</v>
      </c>
      <c r="L2346">
        <v>0.28550877299999999</v>
      </c>
      <c r="M2346" s="21">
        <v>-1.313745317</v>
      </c>
      <c r="N2346">
        <v>-0.51005669799999998</v>
      </c>
    </row>
    <row r="2347" spans="1:14" x14ac:dyDescent="0.2">
      <c r="A2347" t="s">
        <v>1436</v>
      </c>
      <c r="B2347">
        <v>203800</v>
      </c>
      <c r="C2347" t="s">
        <v>58</v>
      </c>
      <c r="D2347" t="s">
        <v>1437</v>
      </c>
      <c r="E2347" t="s">
        <v>4777</v>
      </c>
      <c r="G2347" t="s">
        <v>4778</v>
      </c>
      <c r="J2347">
        <v>4.5363847230000003</v>
      </c>
      <c r="K2347">
        <v>0.245646371</v>
      </c>
      <c r="L2347">
        <v>7.5242279999999995E-2</v>
      </c>
      <c r="M2347" s="21">
        <v>-1.3138320990000001</v>
      </c>
      <c r="N2347">
        <v>-0.51050253000000001</v>
      </c>
    </row>
    <row r="2348" spans="1:14" x14ac:dyDescent="0.2">
      <c r="A2348" t="s">
        <v>1073</v>
      </c>
      <c r="B2348">
        <v>203800</v>
      </c>
      <c r="C2348" t="s">
        <v>58</v>
      </c>
      <c r="D2348" t="s">
        <v>1073</v>
      </c>
      <c r="E2348" t="s">
        <v>4779</v>
      </c>
      <c r="G2348" t="s">
        <v>4780</v>
      </c>
      <c r="J2348">
        <v>4.5363847230000003</v>
      </c>
      <c r="K2348">
        <v>0.245646371</v>
      </c>
      <c r="L2348">
        <v>7.5242279999999995E-2</v>
      </c>
      <c r="M2348" s="21">
        <v>-1.3138320990000001</v>
      </c>
      <c r="N2348">
        <v>-0.51050253000000001</v>
      </c>
    </row>
    <row r="2349" spans="1:14" x14ac:dyDescent="0.2">
      <c r="A2349" t="s">
        <v>709</v>
      </c>
      <c r="B2349">
        <v>217800</v>
      </c>
      <c r="C2349" t="s">
        <v>149</v>
      </c>
      <c r="D2349" t="s">
        <v>709</v>
      </c>
      <c r="E2349" t="s">
        <v>4781</v>
      </c>
      <c r="G2349" t="s">
        <v>4782</v>
      </c>
      <c r="J2349">
        <v>5.0381074159999999</v>
      </c>
      <c r="K2349">
        <v>0.81312368999999995</v>
      </c>
      <c r="L2349">
        <v>0.16969141800000001</v>
      </c>
      <c r="M2349" s="21">
        <v>-1.3139441350000001</v>
      </c>
      <c r="N2349">
        <v>-0.51107809999999998</v>
      </c>
    </row>
    <row r="2350" spans="1:14" x14ac:dyDescent="0.2">
      <c r="A2350" t="s">
        <v>985</v>
      </c>
      <c r="B2350">
        <v>217560</v>
      </c>
      <c r="C2350" t="s">
        <v>149</v>
      </c>
      <c r="D2350" t="s">
        <v>985</v>
      </c>
      <c r="E2350" t="s">
        <v>4783</v>
      </c>
      <c r="G2350" t="s">
        <v>4784</v>
      </c>
      <c r="J2350">
        <v>5.0381074159999999</v>
      </c>
      <c r="K2350">
        <v>0.81312368999999995</v>
      </c>
      <c r="L2350">
        <v>0.16969141800000001</v>
      </c>
      <c r="M2350" s="21">
        <v>-1.314166043</v>
      </c>
      <c r="N2350">
        <v>-0.512218124</v>
      </c>
    </row>
    <row r="2351" spans="1:14" x14ac:dyDescent="0.2">
      <c r="A2351" t="s">
        <v>1986</v>
      </c>
      <c r="B2351">
        <v>248040</v>
      </c>
      <c r="C2351" t="s">
        <v>14</v>
      </c>
      <c r="D2351" t="s">
        <v>1986</v>
      </c>
      <c r="E2351" t="s">
        <v>4785</v>
      </c>
      <c r="G2351" t="s">
        <v>4786</v>
      </c>
      <c r="J2351">
        <v>6.7484204910000001</v>
      </c>
      <c r="K2351">
        <v>0.48629166299999999</v>
      </c>
      <c r="L2351">
        <v>0.375053939</v>
      </c>
      <c r="M2351" s="21">
        <v>-1.3141983699999999</v>
      </c>
      <c r="N2351">
        <v>-0.51238419999999996</v>
      </c>
    </row>
    <row r="2352" spans="1:14" x14ac:dyDescent="0.2">
      <c r="A2352" t="s">
        <v>1491</v>
      </c>
      <c r="B2352">
        <v>38520</v>
      </c>
      <c r="C2352" t="s">
        <v>28</v>
      </c>
      <c r="D2352" t="s">
        <v>1491</v>
      </c>
      <c r="E2352" t="s">
        <v>4787</v>
      </c>
      <c r="G2352" t="s">
        <v>4788</v>
      </c>
      <c r="J2352">
        <v>5.8462906840000004</v>
      </c>
      <c r="K2352">
        <v>0.60615847</v>
      </c>
      <c r="L2352">
        <v>0.28550877299999999</v>
      </c>
      <c r="M2352" s="21">
        <v>-1.314250892</v>
      </c>
      <c r="N2352">
        <v>-0.51265402500000001</v>
      </c>
    </row>
    <row r="2353" spans="1:14" x14ac:dyDescent="0.2">
      <c r="A2353" t="s">
        <v>1954</v>
      </c>
      <c r="B2353">
        <v>38400</v>
      </c>
      <c r="C2353" t="s">
        <v>28</v>
      </c>
      <c r="D2353" t="s">
        <v>1955</v>
      </c>
      <c r="E2353" t="s">
        <v>4789</v>
      </c>
      <c r="G2353" t="s">
        <v>4790</v>
      </c>
      <c r="J2353">
        <v>5.8462906840000004</v>
      </c>
      <c r="K2353">
        <v>0.60615847</v>
      </c>
      <c r="L2353">
        <v>0.28550877299999999</v>
      </c>
      <c r="M2353" s="21">
        <v>-1.3143592289999999</v>
      </c>
      <c r="N2353">
        <v>-0.51321059499999999</v>
      </c>
    </row>
    <row r="2354" spans="1:14" x14ac:dyDescent="0.2">
      <c r="A2354" t="s">
        <v>671</v>
      </c>
      <c r="B2354">
        <v>38080</v>
      </c>
      <c r="C2354" t="s">
        <v>28</v>
      </c>
      <c r="D2354" t="s">
        <v>672</v>
      </c>
      <c r="E2354" t="s">
        <v>4791</v>
      </c>
      <c r="G2354" t="s">
        <v>4792</v>
      </c>
      <c r="J2354">
        <v>5.8462906840000004</v>
      </c>
      <c r="K2354">
        <v>0.60615847</v>
      </c>
      <c r="L2354">
        <v>0.28550877299999999</v>
      </c>
      <c r="M2354" s="21">
        <v>-1.3146481290000001</v>
      </c>
      <c r="N2354">
        <v>-0.51469478199999996</v>
      </c>
    </row>
    <row r="2355" spans="1:14" x14ac:dyDescent="0.2">
      <c r="A2355" t="s">
        <v>607</v>
      </c>
      <c r="B2355">
        <v>202840</v>
      </c>
      <c r="C2355" t="s">
        <v>58</v>
      </c>
      <c r="D2355" t="s">
        <v>607</v>
      </c>
      <c r="E2355" t="s">
        <v>4793</v>
      </c>
      <c r="G2355" t="s">
        <v>4794</v>
      </c>
      <c r="J2355">
        <v>4.5363847230000003</v>
      </c>
      <c r="K2355">
        <v>0.245646371</v>
      </c>
      <c r="L2355">
        <v>7.5242279999999995E-2</v>
      </c>
      <c r="M2355" s="21">
        <v>-1.314759196</v>
      </c>
      <c r="N2355">
        <v>-0.515265376</v>
      </c>
    </row>
    <row r="2356" spans="1:14" x14ac:dyDescent="0.2">
      <c r="A2356" t="s">
        <v>995</v>
      </c>
      <c r="B2356">
        <v>203800</v>
      </c>
      <c r="C2356" t="s">
        <v>100</v>
      </c>
      <c r="D2356" t="s">
        <v>995</v>
      </c>
      <c r="E2356" t="s">
        <v>4795</v>
      </c>
      <c r="G2356" t="s">
        <v>4796</v>
      </c>
      <c r="J2356">
        <v>5.9110743220000002</v>
      </c>
      <c r="K2356">
        <v>0.71598987199999997</v>
      </c>
      <c r="L2356">
        <v>0.29077365599999999</v>
      </c>
      <c r="M2356" s="21">
        <v>-1.315285802</v>
      </c>
      <c r="N2356">
        <v>-0.51797074799999998</v>
      </c>
    </row>
    <row r="2357" spans="1:14" x14ac:dyDescent="0.2">
      <c r="A2357" t="s">
        <v>392</v>
      </c>
      <c r="B2357">
        <v>37360</v>
      </c>
      <c r="C2357" t="s">
        <v>28</v>
      </c>
      <c r="D2357" t="s">
        <v>392</v>
      </c>
      <c r="E2357" t="s">
        <v>4797</v>
      </c>
      <c r="G2357" t="s">
        <v>4798</v>
      </c>
      <c r="J2357">
        <v>5.8462906840000004</v>
      </c>
      <c r="K2357">
        <v>0.60615847</v>
      </c>
      <c r="L2357">
        <v>0.28550877299999999</v>
      </c>
      <c r="M2357" s="21">
        <v>-1.3152981539999999</v>
      </c>
      <c r="N2357">
        <v>-0.51803420300000003</v>
      </c>
    </row>
    <row r="2358" spans="1:14" x14ac:dyDescent="0.2">
      <c r="A2358" t="s">
        <v>153</v>
      </c>
      <c r="B2358">
        <v>36840</v>
      </c>
      <c r="C2358" t="s">
        <v>28</v>
      </c>
      <c r="D2358" t="s">
        <v>153</v>
      </c>
      <c r="E2358" t="s">
        <v>4799</v>
      </c>
      <c r="G2358" t="s">
        <v>4800</v>
      </c>
      <c r="J2358">
        <v>5.8462906840000004</v>
      </c>
      <c r="K2358">
        <v>0.60615847</v>
      </c>
      <c r="L2358">
        <v>0.28550877299999999</v>
      </c>
      <c r="M2358" s="21">
        <v>-1.315767616</v>
      </c>
      <c r="N2358">
        <v>-0.52044600699999999</v>
      </c>
    </row>
    <row r="2359" spans="1:14" x14ac:dyDescent="0.2">
      <c r="A2359" t="s">
        <v>1126</v>
      </c>
      <c r="B2359">
        <v>201640</v>
      </c>
      <c r="C2359" t="s">
        <v>58</v>
      </c>
      <c r="D2359" t="s">
        <v>1126</v>
      </c>
      <c r="E2359" t="s">
        <v>4801</v>
      </c>
      <c r="G2359" t="s">
        <v>4802</v>
      </c>
      <c r="J2359">
        <v>4.5363847230000003</v>
      </c>
      <c r="K2359">
        <v>0.245646371</v>
      </c>
      <c r="L2359">
        <v>7.5242279999999995E-2</v>
      </c>
      <c r="M2359" s="21">
        <v>-1.315918068</v>
      </c>
      <c r="N2359">
        <v>-0.521218933</v>
      </c>
    </row>
    <row r="2360" spans="1:14" x14ac:dyDescent="0.2">
      <c r="A2360" t="s">
        <v>106</v>
      </c>
      <c r="B2360">
        <v>215600</v>
      </c>
      <c r="C2360" t="s">
        <v>149</v>
      </c>
      <c r="D2360" t="s">
        <v>107</v>
      </c>
      <c r="E2360" t="s">
        <v>4803</v>
      </c>
      <c r="G2360" t="s">
        <v>4804</v>
      </c>
      <c r="J2360">
        <v>5.0381074159999999</v>
      </c>
      <c r="K2360">
        <v>0.81312368999999995</v>
      </c>
      <c r="L2360">
        <v>0.16969141800000001</v>
      </c>
      <c r="M2360" s="21">
        <v>-1.3159782900000001</v>
      </c>
      <c r="N2360">
        <v>-0.52152831700000002</v>
      </c>
    </row>
    <row r="2361" spans="1:14" x14ac:dyDescent="0.2">
      <c r="A2361" t="s">
        <v>746</v>
      </c>
      <c r="B2361">
        <v>36560</v>
      </c>
      <c r="C2361" t="s">
        <v>28</v>
      </c>
      <c r="D2361" t="s">
        <v>746</v>
      </c>
      <c r="E2361" t="s">
        <v>4805</v>
      </c>
      <c r="G2361" t="s">
        <v>4806</v>
      </c>
      <c r="J2361">
        <v>5.8462906840000004</v>
      </c>
      <c r="K2361">
        <v>0.60615847</v>
      </c>
      <c r="L2361">
        <v>0.28550877299999999</v>
      </c>
      <c r="M2361" s="21">
        <v>-1.3160204040000001</v>
      </c>
      <c r="N2361">
        <v>-0.52174467099999999</v>
      </c>
    </row>
    <row r="2362" spans="1:14" x14ac:dyDescent="0.2">
      <c r="A2362" t="s">
        <v>415</v>
      </c>
      <c r="B2362">
        <v>203040</v>
      </c>
      <c r="C2362" t="s">
        <v>100</v>
      </c>
      <c r="D2362" t="s">
        <v>415</v>
      </c>
      <c r="E2362" t="s">
        <v>4807</v>
      </c>
      <c r="G2362" t="s">
        <v>4808</v>
      </c>
      <c r="J2362">
        <v>5.9110743220000002</v>
      </c>
      <c r="K2362">
        <v>0.71598987199999997</v>
      </c>
      <c r="L2362">
        <v>0.29077365599999999</v>
      </c>
      <c r="M2362" s="21">
        <v>-1.316040264</v>
      </c>
      <c r="N2362">
        <v>-0.52184670300000002</v>
      </c>
    </row>
    <row r="2363" spans="1:14" x14ac:dyDescent="0.2">
      <c r="A2363" t="s">
        <v>2167</v>
      </c>
      <c r="B2363">
        <v>36440</v>
      </c>
      <c r="C2363" t="s">
        <v>28</v>
      </c>
      <c r="D2363" t="s">
        <v>2168</v>
      </c>
      <c r="E2363" t="s">
        <v>4809</v>
      </c>
      <c r="G2363" t="s">
        <v>4810</v>
      </c>
      <c r="J2363">
        <v>5.8462906840000004</v>
      </c>
      <c r="K2363">
        <v>0.60615847</v>
      </c>
      <c r="L2363">
        <v>0.28550877299999999</v>
      </c>
      <c r="M2363" s="21">
        <v>-1.316128741</v>
      </c>
      <c r="N2363">
        <v>-0.52230124099999997</v>
      </c>
    </row>
    <row r="2364" spans="1:14" x14ac:dyDescent="0.2">
      <c r="A2364" t="s">
        <v>779</v>
      </c>
      <c r="B2364">
        <v>35720</v>
      </c>
      <c r="C2364" t="s">
        <v>28</v>
      </c>
      <c r="D2364" t="s">
        <v>780</v>
      </c>
      <c r="E2364" t="s">
        <v>4811</v>
      </c>
      <c r="G2364" t="s">
        <v>4812</v>
      </c>
      <c r="J2364">
        <v>5.8462906840000004</v>
      </c>
      <c r="K2364">
        <v>0.60615847</v>
      </c>
      <c r="L2364">
        <v>0.28550877299999999</v>
      </c>
      <c r="M2364" s="21">
        <v>-1.3167787660000001</v>
      </c>
      <c r="N2364">
        <v>-0.52564066099999995</v>
      </c>
    </row>
    <row r="2365" spans="1:14" x14ac:dyDescent="0.2">
      <c r="A2365" t="s">
        <v>2443</v>
      </c>
      <c r="B2365">
        <v>35400</v>
      </c>
      <c r="C2365" t="s">
        <v>28</v>
      </c>
      <c r="D2365" t="s">
        <v>2444</v>
      </c>
      <c r="E2365" t="s">
        <v>4813</v>
      </c>
      <c r="G2365" t="s">
        <v>4814</v>
      </c>
      <c r="J2365">
        <v>5.8462906840000004</v>
      </c>
      <c r="K2365">
        <v>0.60615847</v>
      </c>
      <c r="L2365">
        <v>0.28550877299999999</v>
      </c>
      <c r="M2365" s="21">
        <v>-1.317067666</v>
      </c>
      <c r="N2365">
        <v>-0.52712484900000001</v>
      </c>
    </row>
    <row r="2366" spans="1:14" x14ac:dyDescent="0.2">
      <c r="A2366" t="s">
        <v>1783</v>
      </c>
      <c r="B2366">
        <v>214280</v>
      </c>
      <c r="C2366" t="s">
        <v>149</v>
      </c>
      <c r="D2366" t="s">
        <v>1783</v>
      </c>
      <c r="E2366" t="s">
        <v>4815</v>
      </c>
      <c r="G2366" t="s">
        <v>4816</v>
      </c>
      <c r="J2366">
        <v>5.0381074159999999</v>
      </c>
      <c r="K2366">
        <v>0.81312368999999995</v>
      </c>
      <c r="L2366">
        <v>0.16969141800000001</v>
      </c>
      <c r="M2366" s="21">
        <v>-1.317198783</v>
      </c>
      <c r="N2366">
        <v>-0.52779844799999998</v>
      </c>
    </row>
    <row r="2367" spans="1:14" x14ac:dyDescent="0.2">
      <c r="A2367" t="s">
        <v>1897</v>
      </c>
      <c r="B2367">
        <v>35160</v>
      </c>
      <c r="C2367" t="s">
        <v>28</v>
      </c>
      <c r="D2367" t="s">
        <v>1897</v>
      </c>
      <c r="E2367" t="s">
        <v>4817</v>
      </c>
      <c r="G2367" t="s">
        <v>4818</v>
      </c>
      <c r="J2367">
        <v>5.8462906840000004</v>
      </c>
      <c r="K2367">
        <v>0.60615847</v>
      </c>
      <c r="L2367">
        <v>0.28550877299999999</v>
      </c>
      <c r="M2367" s="21">
        <v>-1.3172843409999999</v>
      </c>
      <c r="N2367">
        <v>-0.52823798899999996</v>
      </c>
    </row>
    <row r="2368" spans="1:14" x14ac:dyDescent="0.2">
      <c r="A2368" t="s">
        <v>522</v>
      </c>
      <c r="B2368">
        <v>35120</v>
      </c>
      <c r="C2368" t="s">
        <v>28</v>
      </c>
      <c r="D2368" t="s">
        <v>522</v>
      </c>
      <c r="E2368" t="s">
        <v>4819</v>
      </c>
      <c r="G2368" t="s">
        <v>4820</v>
      </c>
      <c r="J2368">
        <v>5.8462906840000004</v>
      </c>
      <c r="K2368">
        <v>0.60615847</v>
      </c>
      <c r="L2368">
        <v>0.28550877299999999</v>
      </c>
      <c r="M2368" s="21">
        <v>-1.317320453</v>
      </c>
      <c r="N2368">
        <v>-0.52842351200000004</v>
      </c>
    </row>
    <row r="2369" spans="1:14" x14ac:dyDescent="0.2">
      <c r="A2369" t="s">
        <v>482</v>
      </c>
      <c r="B2369">
        <v>201720</v>
      </c>
      <c r="C2369" t="s">
        <v>100</v>
      </c>
      <c r="D2369" t="s">
        <v>482</v>
      </c>
      <c r="E2369" t="s">
        <v>4821</v>
      </c>
      <c r="G2369" t="s">
        <v>4822</v>
      </c>
      <c r="J2369">
        <v>5.9110743220000002</v>
      </c>
      <c r="K2369">
        <v>0.71598987199999997</v>
      </c>
      <c r="L2369">
        <v>0.29077365599999999</v>
      </c>
      <c r="M2369" s="21">
        <v>-1.317350646</v>
      </c>
      <c r="N2369">
        <v>-0.52857862499999997</v>
      </c>
    </row>
    <row r="2370" spans="1:14" x14ac:dyDescent="0.2">
      <c r="A2370" t="s">
        <v>293</v>
      </c>
      <c r="B2370">
        <v>35000</v>
      </c>
      <c r="C2370" t="s">
        <v>28</v>
      </c>
      <c r="D2370" t="s">
        <v>293</v>
      </c>
      <c r="E2370" t="s">
        <v>4823</v>
      </c>
      <c r="G2370" t="s">
        <v>4824</v>
      </c>
      <c r="J2370">
        <v>5.8462906840000004</v>
      </c>
      <c r="K2370">
        <v>0.60615847</v>
      </c>
      <c r="L2370">
        <v>0.28550877299999999</v>
      </c>
      <c r="M2370" s="21">
        <v>-1.317428791</v>
      </c>
      <c r="N2370">
        <v>-0.52898008200000002</v>
      </c>
    </row>
    <row r="2371" spans="1:14" x14ac:dyDescent="0.2">
      <c r="A2371" t="s">
        <v>772</v>
      </c>
      <c r="B2371">
        <v>199960</v>
      </c>
      <c r="C2371" t="s">
        <v>58</v>
      </c>
      <c r="D2371" t="s">
        <v>772</v>
      </c>
      <c r="E2371" t="s">
        <v>4825</v>
      </c>
      <c r="G2371" t="s">
        <v>4826</v>
      </c>
      <c r="J2371">
        <v>4.5363847230000003</v>
      </c>
      <c r="K2371">
        <v>0.245646371</v>
      </c>
      <c r="L2371">
        <v>7.5242279999999995E-2</v>
      </c>
      <c r="M2371" s="21">
        <v>-1.3175404879999999</v>
      </c>
      <c r="N2371">
        <v>-0.52955391399999996</v>
      </c>
    </row>
    <row r="2372" spans="1:14" x14ac:dyDescent="0.2">
      <c r="A2372" t="s">
        <v>448</v>
      </c>
      <c r="B2372">
        <v>244880</v>
      </c>
      <c r="C2372" t="s">
        <v>14</v>
      </c>
      <c r="D2372" t="s">
        <v>448</v>
      </c>
      <c r="E2372" t="s">
        <v>4827</v>
      </c>
      <c r="G2372" t="s">
        <v>4828</v>
      </c>
      <c r="J2372">
        <v>6.7484204910000001</v>
      </c>
      <c r="K2372">
        <v>0.48629166299999999</v>
      </c>
      <c r="L2372">
        <v>0.375053939</v>
      </c>
      <c r="M2372" s="21">
        <v>-1.3176608519999999</v>
      </c>
      <c r="N2372">
        <v>-0.53017226799999995</v>
      </c>
    </row>
    <row r="2373" spans="1:14" x14ac:dyDescent="0.2">
      <c r="A2373" t="s">
        <v>663</v>
      </c>
      <c r="B2373">
        <v>141800</v>
      </c>
      <c r="C2373" t="s">
        <v>130</v>
      </c>
      <c r="D2373" t="s">
        <v>663</v>
      </c>
      <c r="E2373" t="s">
        <v>4829</v>
      </c>
      <c r="G2373" t="s">
        <v>4830</v>
      </c>
      <c r="J2373">
        <v>5.1222566499999997</v>
      </c>
      <c r="K2373">
        <v>0.21422175600000001</v>
      </c>
      <c r="L2373">
        <v>0.25354511400000002</v>
      </c>
      <c r="M2373" s="21">
        <v>-1.3179658590000001</v>
      </c>
      <c r="N2373">
        <v>-0.53173920299999999</v>
      </c>
    </row>
    <row r="2374" spans="1:14" x14ac:dyDescent="0.2">
      <c r="A2374" t="s">
        <v>1167</v>
      </c>
      <c r="B2374">
        <v>244480</v>
      </c>
      <c r="C2374" t="s">
        <v>14</v>
      </c>
      <c r="D2374" t="s">
        <v>1168</v>
      </c>
      <c r="E2374" t="s">
        <v>4831</v>
      </c>
      <c r="G2374" t="s">
        <v>4832</v>
      </c>
      <c r="J2374">
        <v>6.7484204910000001</v>
      </c>
      <c r="K2374">
        <v>0.48629166299999999</v>
      </c>
      <c r="L2374">
        <v>0.375053939</v>
      </c>
      <c r="M2374" s="21">
        <v>-1.318099141</v>
      </c>
      <c r="N2374">
        <v>-0.53242392299999997</v>
      </c>
    </row>
    <row r="2375" spans="1:14" x14ac:dyDescent="0.2">
      <c r="A2375" t="s">
        <v>2077</v>
      </c>
      <c r="B2375">
        <v>244240</v>
      </c>
      <c r="C2375" t="s">
        <v>14</v>
      </c>
      <c r="D2375" t="s">
        <v>2077</v>
      </c>
      <c r="E2375" t="s">
        <v>4833</v>
      </c>
      <c r="G2375" t="s">
        <v>4834</v>
      </c>
      <c r="J2375">
        <v>6.7484204910000001</v>
      </c>
      <c r="K2375">
        <v>0.48629166299999999</v>
      </c>
      <c r="L2375">
        <v>0.375053939</v>
      </c>
      <c r="M2375" s="21">
        <v>-1.3183621139999999</v>
      </c>
      <c r="N2375">
        <v>-0.53377491499999996</v>
      </c>
    </row>
    <row r="2376" spans="1:14" x14ac:dyDescent="0.2">
      <c r="A2376" t="s">
        <v>2341</v>
      </c>
      <c r="B2376">
        <v>33760</v>
      </c>
      <c r="C2376" t="s">
        <v>28</v>
      </c>
      <c r="D2376" t="s">
        <v>2341</v>
      </c>
      <c r="E2376" t="s">
        <v>4835</v>
      </c>
      <c r="G2376" t="s">
        <v>4836</v>
      </c>
      <c r="J2376">
        <v>5.8462906840000004</v>
      </c>
      <c r="K2376">
        <v>0.60615847</v>
      </c>
      <c r="L2376">
        <v>0.28550877299999999</v>
      </c>
      <c r="M2376" s="21">
        <v>-1.318548278</v>
      </c>
      <c r="N2376">
        <v>-0.53473130700000004</v>
      </c>
    </row>
    <row r="2377" spans="1:14" x14ac:dyDescent="0.2">
      <c r="A2377" t="s">
        <v>67</v>
      </c>
      <c r="B2377">
        <v>198760</v>
      </c>
      <c r="C2377" t="s">
        <v>58</v>
      </c>
      <c r="D2377" t="s">
        <v>69</v>
      </c>
      <c r="E2377" t="s">
        <v>4837</v>
      </c>
      <c r="G2377" t="s">
        <v>4838</v>
      </c>
      <c r="J2377">
        <v>4.5363847230000003</v>
      </c>
      <c r="K2377">
        <v>0.245646371</v>
      </c>
      <c r="L2377">
        <v>7.5242279999999995E-2</v>
      </c>
      <c r="M2377" s="21">
        <v>-1.3186993600000001</v>
      </c>
      <c r="N2377">
        <v>-0.53550747099999996</v>
      </c>
    </row>
    <row r="2378" spans="1:14" x14ac:dyDescent="0.2">
      <c r="A2378" t="s">
        <v>2077</v>
      </c>
      <c r="B2378">
        <v>198720</v>
      </c>
      <c r="C2378" t="s">
        <v>58</v>
      </c>
      <c r="D2378" t="s">
        <v>2077</v>
      </c>
      <c r="E2378" t="s">
        <v>4839</v>
      </c>
      <c r="G2378" t="s">
        <v>4840</v>
      </c>
      <c r="J2378">
        <v>4.5363847230000003</v>
      </c>
      <c r="K2378">
        <v>0.245646371</v>
      </c>
      <c r="L2378">
        <v>7.5242279999999995E-2</v>
      </c>
      <c r="M2378" s="21">
        <v>-1.3187379889999999</v>
      </c>
      <c r="N2378">
        <v>-0.53570592299999997</v>
      </c>
    </row>
    <row r="2379" spans="1:14" x14ac:dyDescent="0.2">
      <c r="A2379" t="s">
        <v>2089</v>
      </c>
      <c r="B2379">
        <v>33400</v>
      </c>
      <c r="C2379" t="s">
        <v>28</v>
      </c>
      <c r="D2379" t="s">
        <v>2090</v>
      </c>
      <c r="E2379" t="s">
        <v>4841</v>
      </c>
      <c r="G2379" t="s">
        <v>4842</v>
      </c>
      <c r="J2379">
        <v>5.8462906840000004</v>
      </c>
      <c r="K2379">
        <v>0.60615847</v>
      </c>
      <c r="L2379">
        <v>0.28550877299999999</v>
      </c>
      <c r="M2379" s="21">
        <v>-1.31887329</v>
      </c>
      <c r="N2379">
        <v>-0.53640101799999995</v>
      </c>
    </row>
    <row r="2380" spans="1:14" x14ac:dyDescent="0.2">
      <c r="A2380" t="s">
        <v>663</v>
      </c>
      <c r="B2380">
        <v>33280</v>
      </c>
      <c r="C2380" t="s">
        <v>28</v>
      </c>
      <c r="D2380" t="s">
        <v>663</v>
      </c>
      <c r="E2380" t="s">
        <v>4843</v>
      </c>
      <c r="G2380" t="s">
        <v>4844</v>
      </c>
      <c r="J2380">
        <v>5.8462906840000004</v>
      </c>
      <c r="K2380">
        <v>0.60615847</v>
      </c>
      <c r="L2380">
        <v>0.28550877299999999</v>
      </c>
      <c r="M2380" s="21">
        <v>-1.318981628</v>
      </c>
      <c r="N2380">
        <v>-0.53695758800000004</v>
      </c>
    </row>
    <row r="2381" spans="1:14" x14ac:dyDescent="0.2">
      <c r="A2381" t="s">
        <v>2960</v>
      </c>
      <c r="B2381">
        <v>33280</v>
      </c>
      <c r="C2381" t="s">
        <v>28</v>
      </c>
      <c r="D2381" t="s">
        <v>2961</v>
      </c>
      <c r="E2381" t="s">
        <v>4845</v>
      </c>
      <c r="G2381" t="s">
        <v>4846</v>
      </c>
      <c r="J2381">
        <v>5.8462906840000004</v>
      </c>
      <c r="K2381">
        <v>0.60615847</v>
      </c>
      <c r="L2381">
        <v>0.28550877299999999</v>
      </c>
      <c r="M2381" s="21">
        <v>-1.318981628</v>
      </c>
      <c r="N2381">
        <v>-0.53695758800000004</v>
      </c>
    </row>
    <row r="2382" spans="1:14" x14ac:dyDescent="0.2">
      <c r="A2382" t="s">
        <v>1939</v>
      </c>
      <c r="B2382">
        <v>33040</v>
      </c>
      <c r="C2382" t="s">
        <v>28</v>
      </c>
      <c r="D2382" t="s">
        <v>1939</v>
      </c>
      <c r="E2382" t="s">
        <v>4847</v>
      </c>
      <c r="G2382" t="s">
        <v>4848</v>
      </c>
      <c r="J2382">
        <v>5.8462906840000004</v>
      </c>
      <c r="K2382">
        <v>0.60615847</v>
      </c>
      <c r="L2382">
        <v>0.28550877299999999</v>
      </c>
      <c r="M2382" s="21">
        <v>-1.3191983030000001</v>
      </c>
      <c r="N2382">
        <v>-0.538070728</v>
      </c>
    </row>
    <row r="2383" spans="1:14" x14ac:dyDescent="0.2">
      <c r="A2383" t="s">
        <v>1174</v>
      </c>
      <c r="B2383">
        <v>198240</v>
      </c>
      <c r="C2383" t="s">
        <v>58</v>
      </c>
      <c r="D2383" t="s">
        <v>1174</v>
      </c>
      <c r="E2383" t="s">
        <v>4849</v>
      </c>
      <c r="G2383" t="s">
        <v>4850</v>
      </c>
      <c r="J2383">
        <v>4.5363847230000003</v>
      </c>
      <c r="K2383">
        <v>0.245646371</v>
      </c>
      <c r="L2383">
        <v>7.5242279999999995E-2</v>
      </c>
      <c r="M2383" s="21">
        <v>-1.3192015370000001</v>
      </c>
      <c r="N2383">
        <v>-0.53808734599999997</v>
      </c>
    </row>
    <row r="2384" spans="1:14" x14ac:dyDescent="0.2">
      <c r="A2384" t="s">
        <v>1668</v>
      </c>
      <c r="B2384">
        <v>32800</v>
      </c>
      <c r="C2384" t="s">
        <v>28</v>
      </c>
      <c r="D2384" t="s">
        <v>1668</v>
      </c>
      <c r="E2384" t="s">
        <v>4851</v>
      </c>
      <c r="G2384" t="s">
        <v>4852</v>
      </c>
      <c r="J2384">
        <v>5.8462906840000004</v>
      </c>
      <c r="K2384">
        <v>0.60615847</v>
      </c>
      <c r="L2384">
        <v>0.28550877299999999</v>
      </c>
      <c r="M2384" s="21">
        <v>-1.319414978</v>
      </c>
      <c r="N2384">
        <v>-0.53918386799999996</v>
      </c>
    </row>
    <row r="2385" spans="1:14" x14ac:dyDescent="0.2">
      <c r="A2385" t="s">
        <v>1058</v>
      </c>
      <c r="B2385">
        <v>32600</v>
      </c>
      <c r="C2385" t="s">
        <v>28</v>
      </c>
      <c r="D2385" t="s">
        <v>1059</v>
      </c>
      <c r="E2385" t="s">
        <v>4853</v>
      </c>
      <c r="G2385" t="s">
        <v>4854</v>
      </c>
      <c r="J2385">
        <v>5.8462906840000004</v>
      </c>
      <c r="K2385">
        <v>0.60615847</v>
      </c>
      <c r="L2385">
        <v>0.28550877299999999</v>
      </c>
      <c r="M2385" s="21">
        <v>-1.3195955399999999</v>
      </c>
      <c r="N2385">
        <v>-0.54011148499999995</v>
      </c>
    </row>
    <row r="2386" spans="1:14" x14ac:dyDescent="0.2">
      <c r="A2386" t="s">
        <v>2335</v>
      </c>
      <c r="B2386">
        <v>32520</v>
      </c>
      <c r="C2386" t="s">
        <v>28</v>
      </c>
      <c r="D2386" t="s">
        <v>2335</v>
      </c>
      <c r="E2386" t="s">
        <v>4855</v>
      </c>
      <c r="G2386" t="s">
        <v>4856</v>
      </c>
      <c r="J2386">
        <v>5.8462906840000004</v>
      </c>
      <c r="K2386">
        <v>0.60615847</v>
      </c>
      <c r="L2386">
        <v>0.28550877299999999</v>
      </c>
      <c r="M2386" s="21">
        <v>-1.3196677649999999</v>
      </c>
      <c r="N2386">
        <v>-0.54048253199999996</v>
      </c>
    </row>
    <row r="2387" spans="1:14" x14ac:dyDescent="0.2">
      <c r="A2387" t="s">
        <v>1484</v>
      </c>
      <c r="B2387">
        <v>243000</v>
      </c>
      <c r="C2387" t="s">
        <v>14</v>
      </c>
      <c r="D2387" t="s">
        <v>1484</v>
      </c>
      <c r="E2387" t="s">
        <v>4857</v>
      </c>
      <c r="G2387" t="s">
        <v>4858</v>
      </c>
      <c r="J2387">
        <v>6.7484204910000001</v>
      </c>
      <c r="K2387">
        <v>0.48629166299999999</v>
      </c>
      <c r="L2387">
        <v>0.375053939</v>
      </c>
      <c r="M2387" s="21">
        <v>-1.31972081</v>
      </c>
      <c r="N2387">
        <v>-0.54075504299999999</v>
      </c>
    </row>
    <row r="2388" spans="1:14" x14ac:dyDescent="0.2">
      <c r="A2388" t="s">
        <v>1269</v>
      </c>
      <c r="B2388">
        <v>31840</v>
      </c>
      <c r="C2388" t="s">
        <v>28</v>
      </c>
      <c r="D2388" t="s">
        <v>1269</v>
      </c>
      <c r="E2388" t="s">
        <v>4859</v>
      </c>
      <c r="G2388" t="s">
        <v>4860</v>
      </c>
      <c r="J2388">
        <v>5.8462906840000004</v>
      </c>
      <c r="K2388">
        <v>0.60615847</v>
      </c>
      <c r="L2388">
        <v>0.28550877299999999</v>
      </c>
      <c r="M2388" s="21">
        <v>-1.3202816770000001</v>
      </c>
      <c r="N2388">
        <v>-0.54363642899999998</v>
      </c>
    </row>
    <row r="2389" spans="1:14" x14ac:dyDescent="0.2">
      <c r="A2389" t="s">
        <v>909</v>
      </c>
      <c r="B2389">
        <v>31840</v>
      </c>
      <c r="C2389" t="s">
        <v>28</v>
      </c>
      <c r="D2389" t="s">
        <v>909</v>
      </c>
      <c r="E2389" t="s">
        <v>4861</v>
      </c>
      <c r="G2389" t="s">
        <v>4862</v>
      </c>
      <c r="J2389">
        <v>5.8462906840000004</v>
      </c>
      <c r="K2389">
        <v>0.60615847</v>
      </c>
      <c r="L2389">
        <v>0.28550877299999999</v>
      </c>
      <c r="M2389" s="21">
        <v>-1.3202816770000001</v>
      </c>
      <c r="N2389">
        <v>-0.54363642899999998</v>
      </c>
    </row>
    <row r="2390" spans="1:14" x14ac:dyDescent="0.2">
      <c r="A2390" t="s">
        <v>889</v>
      </c>
      <c r="B2390">
        <v>210920</v>
      </c>
      <c r="C2390" t="s">
        <v>149</v>
      </c>
      <c r="D2390" t="s">
        <v>889</v>
      </c>
      <c r="E2390" t="s">
        <v>4863</v>
      </c>
      <c r="G2390" t="s">
        <v>4864</v>
      </c>
      <c r="J2390">
        <v>5.0381074159999999</v>
      </c>
      <c r="K2390">
        <v>0.81312368999999995</v>
      </c>
      <c r="L2390">
        <v>0.16969141800000001</v>
      </c>
      <c r="M2390" s="21">
        <v>-1.320305493</v>
      </c>
      <c r="N2390">
        <v>-0.54375878</v>
      </c>
    </row>
    <row r="2391" spans="1:14" x14ac:dyDescent="0.2">
      <c r="A2391" t="s">
        <v>775</v>
      </c>
      <c r="B2391">
        <v>31640</v>
      </c>
      <c r="C2391" t="s">
        <v>28</v>
      </c>
      <c r="D2391" t="s">
        <v>776</v>
      </c>
      <c r="E2391" t="s">
        <v>4865</v>
      </c>
      <c r="G2391" t="s">
        <v>4866</v>
      </c>
      <c r="J2391">
        <v>5.8462906840000004</v>
      </c>
      <c r="K2391">
        <v>0.60615847</v>
      </c>
      <c r="L2391">
        <v>0.28550877299999999</v>
      </c>
      <c r="M2391" s="21">
        <v>-1.3204622399999999</v>
      </c>
      <c r="N2391">
        <v>-0.54456404599999997</v>
      </c>
    </row>
    <row r="2392" spans="1:14" x14ac:dyDescent="0.2">
      <c r="A2392" t="s">
        <v>185</v>
      </c>
      <c r="B2392">
        <v>31440</v>
      </c>
      <c r="C2392" t="s">
        <v>28</v>
      </c>
      <c r="D2392" t="s">
        <v>185</v>
      </c>
      <c r="E2392" t="s">
        <v>4867</v>
      </c>
      <c r="G2392" t="s">
        <v>4868</v>
      </c>
      <c r="J2392">
        <v>5.8462906840000004</v>
      </c>
      <c r="K2392">
        <v>0.60615847</v>
      </c>
      <c r="L2392">
        <v>0.28550877299999999</v>
      </c>
      <c r="M2392" s="21">
        <v>-1.3206428020000001</v>
      </c>
      <c r="N2392">
        <v>-0.54549166299999996</v>
      </c>
    </row>
    <row r="2393" spans="1:14" x14ac:dyDescent="0.2">
      <c r="A2393" t="s">
        <v>2412</v>
      </c>
      <c r="B2393">
        <v>196400</v>
      </c>
      <c r="C2393" t="s">
        <v>58</v>
      </c>
      <c r="D2393" t="s">
        <v>2412</v>
      </c>
      <c r="E2393" t="s">
        <v>4869</v>
      </c>
      <c r="G2393" t="s">
        <v>4870</v>
      </c>
      <c r="J2393">
        <v>4.5363847230000003</v>
      </c>
      <c r="K2393">
        <v>0.245646371</v>
      </c>
      <c r="L2393">
        <v>7.5242279999999995E-2</v>
      </c>
      <c r="M2393" s="21">
        <v>-1.3209784739999999</v>
      </c>
      <c r="N2393">
        <v>-0.54721613400000002</v>
      </c>
    </row>
    <row r="2394" spans="1:14" x14ac:dyDescent="0.2">
      <c r="A2394" t="s">
        <v>314</v>
      </c>
      <c r="B2394">
        <v>196360</v>
      </c>
      <c r="C2394" t="s">
        <v>58</v>
      </c>
      <c r="D2394" t="s">
        <v>315</v>
      </c>
      <c r="E2394" t="s">
        <v>4871</v>
      </c>
      <c r="G2394" t="s">
        <v>4872</v>
      </c>
      <c r="J2394">
        <v>4.5363847230000003</v>
      </c>
      <c r="K2394">
        <v>0.245646371</v>
      </c>
      <c r="L2394">
        <v>7.5242279999999995E-2</v>
      </c>
      <c r="M2394" s="21">
        <v>-1.321017103</v>
      </c>
      <c r="N2394">
        <v>-0.54741458600000004</v>
      </c>
    </row>
    <row r="2395" spans="1:14" x14ac:dyDescent="0.2">
      <c r="A2395" t="s">
        <v>1065</v>
      </c>
      <c r="B2395">
        <v>97280</v>
      </c>
      <c r="C2395" t="s">
        <v>68</v>
      </c>
      <c r="D2395" t="s">
        <v>1066</v>
      </c>
      <c r="E2395" t="s">
        <v>4873</v>
      </c>
      <c r="G2395" t="s">
        <v>4874</v>
      </c>
      <c r="J2395">
        <v>6.4561903559999996</v>
      </c>
      <c r="K2395">
        <v>0.47291064100000002</v>
      </c>
      <c r="L2395">
        <v>0.34414126499999997</v>
      </c>
      <c r="M2395" s="21">
        <v>-1.3211097890000001</v>
      </c>
      <c r="N2395">
        <v>-0.54789075099999995</v>
      </c>
    </row>
    <row r="2396" spans="1:14" x14ac:dyDescent="0.2">
      <c r="A2396" t="s">
        <v>792</v>
      </c>
      <c r="B2396">
        <v>30880</v>
      </c>
      <c r="C2396" t="s">
        <v>28</v>
      </c>
      <c r="D2396" t="s">
        <v>793</v>
      </c>
      <c r="E2396" t="s">
        <v>4875</v>
      </c>
      <c r="G2396" t="s">
        <v>4876</v>
      </c>
      <c r="J2396">
        <v>5.8462906840000004</v>
      </c>
      <c r="K2396">
        <v>0.60615847</v>
      </c>
      <c r="L2396">
        <v>0.28550877299999999</v>
      </c>
      <c r="M2396" s="21">
        <v>-1.3211483770000001</v>
      </c>
      <c r="N2396">
        <v>-0.54808899099999997</v>
      </c>
    </row>
    <row r="2397" spans="1:14" x14ac:dyDescent="0.2">
      <c r="A2397" t="s">
        <v>74</v>
      </c>
      <c r="B2397">
        <v>30280</v>
      </c>
      <c r="C2397" t="s">
        <v>28</v>
      </c>
      <c r="D2397" t="s">
        <v>75</v>
      </c>
      <c r="E2397" t="s">
        <v>4877</v>
      </c>
      <c r="G2397" t="s">
        <v>4878</v>
      </c>
      <c r="J2397">
        <v>5.8462906840000004</v>
      </c>
      <c r="K2397">
        <v>0.60615847</v>
      </c>
      <c r="L2397">
        <v>0.28550877299999999</v>
      </c>
      <c r="M2397" s="21">
        <v>-1.3216900650000001</v>
      </c>
      <c r="N2397">
        <v>-0.55087184099999997</v>
      </c>
    </row>
    <row r="2398" spans="1:14" x14ac:dyDescent="0.2">
      <c r="A2398" t="s">
        <v>1049</v>
      </c>
      <c r="B2398">
        <v>30240</v>
      </c>
      <c r="C2398" t="s">
        <v>28</v>
      </c>
      <c r="D2398" t="s">
        <v>1049</v>
      </c>
      <c r="E2398" t="s">
        <v>4879</v>
      </c>
      <c r="G2398" t="s">
        <v>4880</v>
      </c>
      <c r="J2398">
        <v>5.8462906840000004</v>
      </c>
      <c r="K2398">
        <v>0.60615847</v>
      </c>
      <c r="L2398">
        <v>0.28550877299999999</v>
      </c>
      <c r="M2398" s="21">
        <v>-1.3217261769999999</v>
      </c>
      <c r="N2398">
        <v>-0.55105736500000002</v>
      </c>
    </row>
    <row r="2399" spans="1:14" x14ac:dyDescent="0.2">
      <c r="A2399" t="s">
        <v>2319</v>
      </c>
      <c r="B2399">
        <v>209320</v>
      </c>
      <c r="C2399" t="s">
        <v>149</v>
      </c>
      <c r="D2399" t="s">
        <v>2320</v>
      </c>
      <c r="E2399" t="s">
        <v>4881</v>
      </c>
      <c r="G2399" t="s">
        <v>4882</v>
      </c>
      <c r="J2399">
        <v>5.0381074159999999</v>
      </c>
      <c r="K2399">
        <v>0.81312368999999995</v>
      </c>
      <c r="L2399">
        <v>0.16969141800000001</v>
      </c>
      <c r="M2399" s="21">
        <v>-1.321784879</v>
      </c>
      <c r="N2399">
        <v>-0.55135893800000002</v>
      </c>
    </row>
    <row r="2400" spans="1:14" x14ac:dyDescent="0.2">
      <c r="A2400" t="s">
        <v>1703</v>
      </c>
      <c r="B2400">
        <v>30040</v>
      </c>
      <c r="C2400" t="s">
        <v>28</v>
      </c>
      <c r="D2400" t="s">
        <v>1703</v>
      </c>
      <c r="E2400" t="s">
        <v>4883</v>
      </c>
      <c r="G2400" t="s">
        <v>4884</v>
      </c>
      <c r="J2400">
        <v>5.8462906840000004</v>
      </c>
      <c r="K2400">
        <v>0.60615847</v>
      </c>
      <c r="L2400">
        <v>0.28550877299999999</v>
      </c>
      <c r="M2400" s="21">
        <v>-1.3219067390000001</v>
      </c>
      <c r="N2400">
        <v>-0.55198498200000001</v>
      </c>
    </row>
    <row r="2401" spans="1:14" x14ac:dyDescent="0.2">
      <c r="A2401" t="s">
        <v>972</v>
      </c>
      <c r="B2401">
        <v>209080</v>
      </c>
      <c r="C2401" t="s">
        <v>149</v>
      </c>
      <c r="D2401" t="s">
        <v>972</v>
      </c>
      <c r="E2401" t="s">
        <v>4885</v>
      </c>
      <c r="G2401" t="s">
        <v>4886</v>
      </c>
      <c r="J2401">
        <v>5.0381074159999999</v>
      </c>
      <c r="K2401">
        <v>0.81312368999999995</v>
      </c>
      <c r="L2401">
        <v>0.16969141800000001</v>
      </c>
      <c r="M2401" s="21">
        <v>-1.3220067870000001</v>
      </c>
      <c r="N2401">
        <v>-0.55249896099999996</v>
      </c>
    </row>
    <row r="2402" spans="1:14" x14ac:dyDescent="0.2">
      <c r="A2402" t="s">
        <v>300</v>
      </c>
      <c r="B2402">
        <v>29560</v>
      </c>
      <c r="C2402" t="s">
        <v>28</v>
      </c>
      <c r="D2402" t="s">
        <v>300</v>
      </c>
      <c r="E2402" t="s">
        <v>4887</v>
      </c>
      <c r="G2402" t="s">
        <v>4888</v>
      </c>
      <c r="J2402">
        <v>5.8462906840000004</v>
      </c>
      <c r="K2402">
        <v>0.60615847</v>
      </c>
      <c r="L2402">
        <v>0.28550877299999999</v>
      </c>
      <c r="M2402" s="21">
        <v>-1.3223400890000001</v>
      </c>
      <c r="N2402">
        <v>-0.55421126200000004</v>
      </c>
    </row>
    <row r="2403" spans="1:14" x14ac:dyDescent="0.2">
      <c r="A2403" t="s">
        <v>749</v>
      </c>
      <c r="B2403">
        <v>29200</v>
      </c>
      <c r="C2403" t="s">
        <v>28</v>
      </c>
      <c r="D2403" t="s">
        <v>749</v>
      </c>
      <c r="E2403" t="s">
        <v>4889</v>
      </c>
      <c r="G2403" t="s">
        <v>4890</v>
      </c>
      <c r="J2403">
        <v>5.8462906840000004</v>
      </c>
      <c r="K2403">
        <v>0.60615847</v>
      </c>
      <c r="L2403">
        <v>0.28550877299999999</v>
      </c>
      <c r="M2403" s="21">
        <v>-1.322665102</v>
      </c>
      <c r="N2403">
        <v>-0.55588097299999994</v>
      </c>
    </row>
    <row r="2404" spans="1:14" x14ac:dyDescent="0.2">
      <c r="A2404" t="s">
        <v>3235</v>
      </c>
      <c r="B2404">
        <v>29120</v>
      </c>
      <c r="C2404" t="s">
        <v>28</v>
      </c>
      <c r="D2404" t="s">
        <v>3236</v>
      </c>
      <c r="E2404" t="s">
        <v>4891</v>
      </c>
      <c r="G2404" t="s">
        <v>4892</v>
      </c>
      <c r="J2404">
        <v>5.8462906840000004</v>
      </c>
      <c r="K2404">
        <v>0.60615847</v>
      </c>
      <c r="L2404">
        <v>0.28550877299999999</v>
      </c>
      <c r="M2404" s="21">
        <v>-1.322737327</v>
      </c>
      <c r="N2404">
        <v>-0.55625201899999999</v>
      </c>
    </row>
    <row r="2405" spans="1:14" x14ac:dyDescent="0.2">
      <c r="A2405" t="s">
        <v>2319</v>
      </c>
      <c r="B2405">
        <v>29040</v>
      </c>
      <c r="C2405" t="s">
        <v>28</v>
      </c>
      <c r="D2405" t="s">
        <v>2320</v>
      </c>
      <c r="E2405" t="s">
        <v>4893</v>
      </c>
      <c r="G2405" t="s">
        <v>4894</v>
      </c>
      <c r="J2405">
        <v>5.8462906840000004</v>
      </c>
      <c r="K2405">
        <v>0.60615847</v>
      </c>
      <c r="L2405">
        <v>0.28550877299999999</v>
      </c>
      <c r="M2405" s="21">
        <v>-1.3228095520000001</v>
      </c>
      <c r="N2405">
        <v>-0.556623066</v>
      </c>
    </row>
    <row r="2406" spans="1:14" x14ac:dyDescent="0.2">
      <c r="A2406" t="s">
        <v>111</v>
      </c>
      <c r="B2406">
        <v>195800</v>
      </c>
      <c r="C2406" t="s">
        <v>100</v>
      </c>
      <c r="D2406" t="s">
        <v>112</v>
      </c>
      <c r="E2406" t="s">
        <v>4895</v>
      </c>
      <c r="G2406" t="s">
        <v>4896</v>
      </c>
      <c r="J2406">
        <v>5.9110743220000002</v>
      </c>
      <c r="K2406">
        <v>0.71598987199999997</v>
      </c>
      <c r="L2406">
        <v>0.29077365599999999</v>
      </c>
      <c r="M2406" s="21">
        <v>-1.3232275099999999</v>
      </c>
      <c r="N2406">
        <v>-0.55877027400000001</v>
      </c>
    </row>
    <row r="2407" spans="1:14" x14ac:dyDescent="0.2">
      <c r="A2407" t="s">
        <v>714</v>
      </c>
      <c r="B2407">
        <v>28560</v>
      </c>
      <c r="C2407" t="s">
        <v>28</v>
      </c>
      <c r="D2407" t="s">
        <v>715</v>
      </c>
      <c r="E2407" t="s">
        <v>4897</v>
      </c>
      <c r="G2407" t="s">
        <v>4898</v>
      </c>
      <c r="J2407">
        <v>5.8462906840000004</v>
      </c>
      <c r="K2407">
        <v>0.60615847</v>
      </c>
      <c r="L2407">
        <v>0.28550877299999999</v>
      </c>
      <c r="M2407" s="21">
        <v>-1.3232429020000001</v>
      </c>
      <c r="N2407">
        <v>-0.558849347</v>
      </c>
    </row>
    <row r="2408" spans="1:14" x14ac:dyDescent="0.2">
      <c r="A2408" t="s">
        <v>603</v>
      </c>
      <c r="B2408">
        <v>28320</v>
      </c>
      <c r="C2408" t="s">
        <v>28</v>
      </c>
      <c r="D2408" t="s">
        <v>604</v>
      </c>
      <c r="E2408" t="s">
        <v>4899</v>
      </c>
      <c r="G2408" t="s">
        <v>4900</v>
      </c>
      <c r="J2408">
        <v>5.8462906840000004</v>
      </c>
      <c r="K2408">
        <v>0.60615847</v>
      </c>
      <c r="L2408">
        <v>0.28550877299999999</v>
      </c>
      <c r="M2408" s="21">
        <v>-1.3234595769999999</v>
      </c>
      <c r="N2408">
        <v>-0.55996248699999995</v>
      </c>
    </row>
    <row r="2409" spans="1:14" x14ac:dyDescent="0.2">
      <c r="A2409" t="s">
        <v>2421</v>
      </c>
      <c r="B2409">
        <v>239480</v>
      </c>
      <c r="C2409" t="s">
        <v>14</v>
      </c>
      <c r="D2409" t="s">
        <v>2422</v>
      </c>
      <c r="E2409" t="s">
        <v>4901</v>
      </c>
      <c r="G2409" t="s">
        <v>4902</v>
      </c>
      <c r="J2409">
        <v>6.7484204910000001</v>
      </c>
      <c r="K2409">
        <v>0.48629166299999999</v>
      </c>
      <c r="L2409">
        <v>0.375053939</v>
      </c>
      <c r="M2409" s="21">
        <v>-1.3235777520000001</v>
      </c>
      <c r="N2409">
        <v>-0.56056960099999997</v>
      </c>
    </row>
    <row r="2410" spans="1:14" x14ac:dyDescent="0.2">
      <c r="A2410" t="s">
        <v>2453</v>
      </c>
      <c r="B2410">
        <v>28000</v>
      </c>
      <c r="C2410" t="s">
        <v>28</v>
      </c>
      <c r="D2410" t="s">
        <v>2454</v>
      </c>
      <c r="E2410" t="s">
        <v>4903</v>
      </c>
      <c r="G2410" t="s">
        <v>4904</v>
      </c>
      <c r="J2410">
        <v>5.8462906840000004</v>
      </c>
      <c r="K2410">
        <v>0.60615847</v>
      </c>
      <c r="L2410">
        <v>0.28550877299999999</v>
      </c>
      <c r="M2410" s="21">
        <v>-1.3237484770000001</v>
      </c>
      <c r="N2410">
        <v>-0.56144667400000003</v>
      </c>
    </row>
    <row r="2411" spans="1:14" x14ac:dyDescent="0.2">
      <c r="A2411" t="s">
        <v>765</v>
      </c>
      <c r="B2411">
        <v>27960</v>
      </c>
      <c r="C2411" t="s">
        <v>28</v>
      </c>
      <c r="D2411" t="s">
        <v>766</v>
      </c>
      <c r="E2411" t="s">
        <v>4905</v>
      </c>
      <c r="G2411" t="s">
        <v>4906</v>
      </c>
      <c r="J2411">
        <v>5.8462906840000004</v>
      </c>
      <c r="K2411">
        <v>0.60615847</v>
      </c>
      <c r="L2411">
        <v>0.28550877299999999</v>
      </c>
      <c r="M2411" s="21">
        <v>-1.323784589</v>
      </c>
      <c r="N2411">
        <v>-0.561632197</v>
      </c>
    </row>
    <row r="2412" spans="1:14" x14ac:dyDescent="0.2">
      <c r="A2412" t="s">
        <v>1811</v>
      </c>
      <c r="B2412">
        <v>134160</v>
      </c>
      <c r="C2412" t="s">
        <v>130</v>
      </c>
      <c r="D2412" t="s">
        <v>1811</v>
      </c>
      <c r="E2412" t="s">
        <v>4907</v>
      </c>
      <c r="G2412" t="s">
        <v>4908</v>
      </c>
      <c r="J2412">
        <v>5.1222566499999997</v>
      </c>
      <c r="K2412">
        <v>0.21422175600000001</v>
      </c>
      <c r="L2412">
        <v>0.25354511400000002</v>
      </c>
      <c r="M2412" s="21">
        <v>-1.324045999</v>
      </c>
      <c r="N2412">
        <v>-0.56297515799999998</v>
      </c>
    </row>
    <row r="2413" spans="1:14" x14ac:dyDescent="0.2">
      <c r="A2413" t="s">
        <v>1013</v>
      </c>
      <c r="B2413">
        <v>27600</v>
      </c>
      <c r="C2413" t="s">
        <v>28</v>
      </c>
      <c r="D2413" t="s">
        <v>1014</v>
      </c>
      <c r="E2413" t="s">
        <v>4909</v>
      </c>
      <c r="G2413" t="s">
        <v>4910</v>
      </c>
      <c r="J2413">
        <v>5.8462906840000004</v>
      </c>
      <c r="K2413">
        <v>0.60615847</v>
      </c>
      <c r="L2413">
        <v>0.28550877299999999</v>
      </c>
      <c r="M2413" s="21">
        <v>-1.324109601</v>
      </c>
      <c r="N2413">
        <v>-0.56330190800000002</v>
      </c>
    </row>
    <row r="2414" spans="1:14" x14ac:dyDescent="0.2">
      <c r="A2414" t="s">
        <v>703</v>
      </c>
      <c r="B2414">
        <v>27520</v>
      </c>
      <c r="C2414" t="s">
        <v>28</v>
      </c>
      <c r="D2414" t="s">
        <v>704</v>
      </c>
      <c r="E2414" t="s">
        <v>4911</v>
      </c>
      <c r="G2414" t="s">
        <v>4912</v>
      </c>
      <c r="J2414">
        <v>5.8462906840000004</v>
      </c>
      <c r="K2414">
        <v>0.60615847</v>
      </c>
      <c r="L2414">
        <v>0.28550877299999999</v>
      </c>
      <c r="M2414" s="21">
        <v>-1.324181826</v>
      </c>
      <c r="N2414">
        <v>-0.56367295500000003</v>
      </c>
    </row>
    <row r="2415" spans="1:14" x14ac:dyDescent="0.2">
      <c r="A2415" t="s">
        <v>1140</v>
      </c>
      <c r="B2415">
        <v>27440</v>
      </c>
      <c r="C2415" t="s">
        <v>28</v>
      </c>
      <c r="D2415" t="s">
        <v>1141</v>
      </c>
      <c r="E2415" t="s">
        <v>4913</v>
      </c>
      <c r="G2415" t="s">
        <v>4914</v>
      </c>
      <c r="J2415">
        <v>5.8462906840000004</v>
      </c>
      <c r="K2415">
        <v>0.60615847</v>
      </c>
      <c r="L2415">
        <v>0.28550877299999999</v>
      </c>
      <c r="M2415" s="21">
        <v>-1.324254051</v>
      </c>
      <c r="N2415">
        <v>-0.56404400099999996</v>
      </c>
    </row>
    <row r="2416" spans="1:14" x14ac:dyDescent="0.2">
      <c r="A2416" t="s">
        <v>1104</v>
      </c>
      <c r="B2416">
        <v>27320</v>
      </c>
      <c r="C2416" t="s">
        <v>28</v>
      </c>
      <c r="D2416" t="s">
        <v>1105</v>
      </c>
      <c r="E2416" t="s">
        <v>4915</v>
      </c>
      <c r="G2416" t="s">
        <v>4916</v>
      </c>
      <c r="J2416">
        <v>5.8462906840000004</v>
      </c>
      <c r="K2416">
        <v>0.60615847</v>
      </c>
      <c r="L2416">
        <v>0.28550877299999999</v>
      </c>
      <c r="M2416" s="21">
        <v>-1.324362389</v>
      </c>
      <c r="N2416">
        <v>-0.56460057100000005</v>
      </c>
    </row>
    <row r="2417" spans="1:14" x14ac:dyDescent="0.2">
      <c r="A2417" t="s">
        <v>143</v>
      </c>
      <c r="B2417">
        <v>133360</v>
      </c>
      <c r="C2417" t="s">
        <v>130</v>
      </c>
      <c r="D2417" t="s">
        <v>144</v>
      </c>
      <c r="E2417" t="s">
        <v>4917</v>
      </c>
      <c r="G2417" t="s">
        <v>4918</v>
      </c>
      <c r="J2417">
        <v>5.1222566499999997</v>
      </c>
      <c r="K2417">
        <v>0.21422175600000001</v>
      </c>
      <c r="L2417">
        <v>0.25354511400000002</v>
      </c>
      <c r="M2417" s="21">
        <v>-1.3246826629999999</v>
      </c>
      <c r="N2417">
        <v>-0.56624593899999998</v>
      </c>
    </row>
    <row r="2418" spans="1:14" x14ac:dyDescent="0.2">
      <c r="A2418" t="s">
        <v>42</v>
      </c>
      <c r="B2418">
        <v>93560</v>
      </c>
      <c r="C2418" t="s">
        <v>68</v>
      </c>
      <c r="D2418" t="s">
        <v>42</v>
      </c>
      <c r="E2418" t="s">
        <v>4919</v>
      </c>
      <c r="G2418" t="s">
        <v>4920</v>
      </c>
      <c r="J2418">
        <v>6.4561903559999996</v>
      </c>
      <c r="K2418">
        <v>0.47291064100000002</v>
      </c>
      <c r="L2418">
        <v>0.34414126499999997</v>
      </c>
      <c r="M2418" s="21">
        <v>-1.324707225</v>
      </c>
      <c r="N2418">
        <v>-0.56637212299999995</v>
      </c>
    </row>
    <row r="2419" spans="1:14" x14ac:dyDescent="0.2">
      <c r="A2419" t="s">
        <v>1498</v>
      </c>
      <c r="B2419">
        <v>238400</v>
      </c>
      <c r="C2419" t="s">
        <v>14</v>
      </c>
      <c r="D2419" t="s">
        <v>1498</v>
      </c>
      <c r="E2419" t="s">
        <v>4921</v>
      </c>
      <c r="G2419" t="s">
        <v>4922</v>
      </c>
      <c r="J2419">
        <v>6.7484204910000001</v>
      </c>
      <c r="K2419">
        <v>0.48629166299999999</v>
      </c>
      <c r="L2419">
        <v>0.375053939</v>
      </c>
      <c r="M2419" s="21">
        <v>-1.324761133</v>
      </c>
      <c r="N2419">
        <v>-0.56664906699999995</v>
      </c>
    </row>
    <row r="2420" spans="1:14" x14ac:dyDescent="0.2">
      <c r="A2420" t="s">
        <v>1112</v>
      </c>
      <c r="B2420">
        <v>26760</v>
      </c>
      <c r="C2420" t="s">
        <v>28</v>
      </c>
      <c r="D2420" t="s">
        <v>1112</v>
      </c>
      <c r="E2420" t="s">
        <v>4923</v>
      </c>
      <c r="G2420" t="s">
        <v>4924</v>
      </c>
      <c r="J2420">
        <v>5.8462906840000004</v>
      </c>
      <c r="K2420">
        <v>0.60615847</v>
      </c>
      <c r="L2420">
        <v>0.28550877299999999</v>
      </c>
      <c r="M2420" s="21">
        <v>-1.3248679640000001</v>
      </c>
      <c r="N2420">
        <v>-0.56719789899999995</v>
      </c>
    </row>
    <row r="2421" spans="1:14" x14ac:dyDescent="0.2">
      <c r="A2421" t="s">
        <v>2412</v>
      </c>
      <c r="B2421">
        <v>26680</v>
      </c>
      <c r="C2421" t="s">
        <v>28</v>
      </c>
      <c r="D2421" t="s">
        <v>2412</v>
      </c>
      <c r="E2421" t="s">
        <v>4925</v>
      </c>
      <c r="G2421" t="s">
        <v>4926</v>
      </c>
      <c r="J2421">
        <v>5.8462906840000004</v>
      </c>
      <c r="K2421">
        <v>0.60615847</v>
      </c>
      <c r="L2421">
        <v>0.28550877299999999</v>
      </c>
      <c r="M2421" s="21">
        <v>-1.3249401890000001</v>
      </c>
      <c r="N2421">
        <v>-0.56756894599999996</v>
      </c>
    </row>
    <row r="2422" spans="1:14" x14ac:dyDescent="0.2">
      <c r="A2422" t="s">
        <v>2077</v>
      </c>
      <c r="B2422">
        <v>205840</v>
      </c>
      <c r="C2422" t="s">
        <v>149</v>
      </c>
      <c r="D2422" t="s">
        <v>2077</v>
      </c>
      <c r="E2422" t="s">
        <v>4927</v>
      </c>
      <c r="G2422" t="s">
        <v>4928</v>
      </c>
      <c r="J2422">
        <v>5.0381074159999999</v>
      </c>
      <c r="K2422">
        <v>0.81312368999999995</v>
      </c>
      <c r="L2422">
        <v>0.16969141800000001</v>
      </c>
      <c r="M2422" s="21">
        <v>-1.3250025430000001</v>
      </c>
      <c r="N2422">
        <v>-0.56788928100000002</v>
      </c>
    </row>
    <row r="2423" spans="1:14" x14ac:dyDescent="0.2">
      <c r="A2423" t="s">
        <v>1118</v>
      </c>
      <c r="B2423">
        <v>26560</v>
      </c>
      <c r="C2423" t="s">
        <v>28</v>
      </c>
      <c r="D2423" t="s">
        <v>1118</v>
      </c>
      <c r="E2423" t="s">
        <v>4929</v>
      </c>
      <c r="G2423" t="s">
        <v>4930</v>
      </c>
      <c r="J2423">
        <v>5.8462906840000004</v>
      </c>
      <c r="K2423">
        <v>0.60615847</v>
      </c>
      <c r="L2423">
        <v>0.28550877299999999</v>
      </c>
      <c r="M2423" s="21">
        <v>-1.325048526</v>
      </c>
      <c r="N2423">
        <v>-0.56812551600000005</v>
      </c>
    </row>
    <row r="2424" spans="1:14" x14ac:dyDescent="0.2">
      <c r="A2424" t="s">
        <v>1659</v>
      </c>
      <c r="B2424">
        <v>26560</v>
      </c>
      <c r="C2424" t="s">
        <v>28</v>
      </c>
      <c r="D2424" t="s">
        <v>1660</v>
      </c>
      <c r="E2424" t="s">
        <v>4931</v>
      </c>
      <c r="G2424" t="s">
        <v>4932</v>
      </c>
      <c r="J2424">
        <v>5.8462906840000004</v>
      </c>
      <c r="K2424">
        <v>0.60615847</v>
      </c>
      <c r="L2424">
        <v>0.28550877299999999</v>
      </c>
      <c r="M2424" s="21">
        <v>-1.325048526</v>
      </c>
      <c r="N2424">
        <v>-0.56812551600000005</v>
      </c>
    </row>
    <row r="2425" spans="1:14" x14ac:dyDescent="0.2">
      <c r="A2425" t="s">
        <v>995</v>
      </c>
      <c r="B2425">
        <v>26520</v>
      </c>
      <c r="C2425" t="s">
        <v>28</v>
      </c>
      <c r="D2425" t="s">
        <v>995</v>
      </c>
      <c r="E2425" t="s">
        <v>4933</v>
      </c>
      <c r="G2425" t="s">
        <v>4934</v>
      </c>
      <c r="J2425">
        <v>5.8462906840000004</v>
      </c>
      <c r="K2425">
        <v>0.60615847</v>
      </c>
      <c r="L2425">
        <v>0.28550877299999999</v>
      </c>
      <c r="M2425" s="21">
        <v>-1.325084639</v>
      </c>
      <c r="N2425">
        <v>-0.56831103900000002</v>
      </c>
    </row>
    <row r="2426" spans="1:14" x14ac:dyDescent="0.2">
      <c r="A2426" t="s">
        <v>1309</v>
      </c>
      <c r="B2426">
        <v>92760</v>
      </c>
      <c r="C2426" t="s">
        <v>68</v>
      </c>
      <c r="D2426" t="s">
        <v>1309</v>
      </c>
      <c r="E2426" t="s">
        <v>4935</v>
      </c>
      <c r="G2426" t="s">
        <v>4936</v>
      </c>
      <c r="J2426">
        <v>6.4561903559999996</v>
      </c>
      <c r="K2426">
        <v>0.47291064100000002</v>
      </c>
      <c r="L2426">
        <v>0.34414126499999997</v>
      </c>
      <c r="M2426" s="21">
        <v>-1.325480867</v>
      </c>
      <c r="N2426">
        <v>-0.57034661200000003</v>
      </c>
    </row>
    <row r="2427" spans="1:14" x14ac:dyDescent="0.2">
      <c r="A2427" t="s">
        <v>451</v>
      </c>
      <c r="B2427">
        <v>26040</v>
      </c>
      <c r="C2427" t="s">
        <v>28</v>
      </c>
      <c r="D2427" t="s">
        <v>452</v>
      </c>
      <c r="E2427" t="s">
        <v>4937</v>
      </c>
      <c r="G2427" t="s">
        <v>4938</v>
      </c>
      <c r="J2427">
        <v>5.8462906840000004</v>
      </c>
      <c r="K2427">
        <v>0.60615847</v>
      </c>
      <c r="L2427">
        <v>0.28550877299999999</v>
      </c>
      <c r="M2427" s="21">
        <v>-1.325517989</v>
      </c>
      <c r="N2427">
        <v>-0.57053732000000001</v>
      </c>
    </row>
    <row r="2428" spans="1:14" x14ac:dyDescent="0.2">
      <c r="A2428" t="s">
        <v>1593</v>
      </c>
      <c r="B2428">
        <v>132280</v>
      </c>
      <c r="C2428" t="s">
        <v>130</v>
      </c>
      <c r="D2428" t="s">
        <v>1593</v>
      </c>
      <c r="E2428" t="s">
        <v>4939</v>
      </c>
      <c r="G2428" t="s">
        <v>4940</v>
      </c>
      <c r="J2428">
        <v>5.1222566499999997</v>
      </c>
      <c r="K2428">
        <v>0.21422175600000001</v>
      </c>
      <c r="L2428">
        <v>0.25354511400000002</v>
      </c>
      <c r="M2428" s="21">
        <v>-1.3255421590000001</v>
      </c>
      <c r="N2428">
        <v>-0.57066149300000002</v>
      </c>
    </row>
    <row r="2429" spans="1:14" x14ac:dyDescent="0.2">
      <c r="A2429" t="s">
        <v>172</v>
      </c>
      <c r="B2429">
        <v>26000</v>
      </c>
      <c r="C2429" t="s">
        <v>28</v>
      </c>
      <c r="D2429" t="s">
        <v>172</v>
      </c>
      <c r="E2429" t="s">
        <v>4941</v>
      </c>
      <c r="G2429" t="s">
        <v>4942</v>
      </c>
      <c r="J2429">
        <v>5.8462906840000004</v>
      </c>
      <c r="K2429">
        <v>0.60615847</v>
      </c>
      <c r="L2429">
        <v>0.28550877299999999</v>
      </c>
      <c r="M2429" s="21">
        <v>-1.325554101</v>
      </c>
      <c r="N2429">
        <v>-0.57072284299999998</v>
      </c>
    </row>
    <row r="2430" spans="1:14" x14ac:dyDescent="0.2">
      <c r="A2430" t="s">
        <v>2080</v>
      </c>
      <c r="B2430">
        <v>193400</v>
      </c>
      <c r="C2430" t="s">
        <v>100</v>
      </c>
      <c r="D2430" t="s">
        <v>2080</v>
      </c>
      <c r="E2430" t="s">
        <v>4943</v>
      </c>
      <c r="G2430" t="s">
        <v>4944</v>
      </c>
      <c r="J2430">
        <v>5.9110743220000002</v>
      </c>
      <c r="K2430">
        <v>0.71598987199999997</v>
      </c>
      <c r="L2430">
        <v>0.29077365599999999</v>
      </c>
      <c r="M2430" s="21">
        <v>-1.325610022</v>
      </c>
      <c r="N2430">
        <v>-0.57101013199999995</v>
      </c>
    </row>
    <row r="2431" spans="1:14" x14ac:dyDescent="0.2">
      <c r="A2431" t="s">
        <v>2341</v>
      </c>
      <c r="B2431">
        <v>191240</v>
      </c>
      <c r="C2431" t="s">
        <v>58</v>
      </c>
      <c r="D2431" t="s">
        <v>2341</v>
      </c>
      <c r="E2431" t="s">
        <v>4945</v>
      </c>
      <c r="G2431" t="s">
        <v>4946</v>
      </c>
      <c r="J2431">
        <v>4.5363847230000003</v>
      </c>
      <c r="K2431">
        <v>0.245646371</v>
      </c>
      <c r="L2431">
        <v>7.5242279999999995E-2</v>
      </c>
      <c r="M2431" s="21">
        <v>-1.3259616219999999</v>
      </c>
      <c r="N2431">
        <v>-0.57281643100000001</v>
      </c>
    </row>
    <row r="2432" spans="1:14" x14ac:dyDescent="0.2">
      <c r="A2432" t="s">
        <v>397</v>
      </c>
      <c r="B2432">
        <v>25320</v>
      </c>
      <c r="C2432" t="s">
        <v>28</v>
      </c>
      <c r="D2432" t="s">
        <v>397</v>
      </c>
      <c r="E2432" t="s">
        <v>4947</v>
      </c>
      <c r="G2432" t="s">
        <v>4948</v>
      </c>
      <c r="J2432">
        <v>5.8462906840000004</v>
      </c>
      <c r="K2432">
        <v>0.60615847</v>
      </c>
      <c r="L2432">
        <v>0.28550877299999999</v>
      </c>
      <c r="M2432" s="21">
        <v>-1.326168013</v>
      </c>
      <c r="N2432">
        <v>-0.57387674</v>
      </c>
    </row>
    <row r="2433" spans="1:14" x14ac:dyDescent="0.2">
      <c r="A2433" t="s">
        <v>1190</v>
      </c>
      <c r="B2433">
        <v>131480</v>
      </c>
      <c r="C2433" t="s">
        <v>130</v>
      </c>
      <c r="D2433" t="s">
        <v>1190</v>
      </c>
      <c r="E2433" t="s">
        <v>4949</v>
      </c>
      <c r="G2433" t="s">
        <v>4950</v>
      </c>
      <c r="J2433">
        <v>5.1222566499999997</v>
      </c>
      <c r="K2433">
        <v>0.21422175600000001</v>
      </c>
      <c r="L2433">
        <v>0.25354511400000002</v>
      </c>
      <c r="M2433" s="21">
        <v>-1.326178823</v>
      </c>
      <c r="N2433">
        <v>-0.57393227300000005</v>
      </c>
    </row>
    <row r="2434" spans="1:14" x14ac:dyDescent="0.2">
      <c r="A2434" t="s">
        <v>924</v>
      </c>
      <c r="B2434">
        <v>191000</v>
      </c>
      <c r="C2434" t="s">
        <v>58</v>
      </c>
      <c r="D2434" t="s">
        <v>924</v>
      </c>
      <c r="E2434" t="s">
        <v>4951</v>
      </c>
      <c r="G2434" t="s">
        <v>4952</v>
      </c>
      <c r="J2434">
        <v>4.5363847230000003</v>
      </c>
      <c r="K2434">
        <v>0.245646371</v>
      </c>
      <c r="L2434">
        <v>7.5242279999999995E-2</v>
      </c>
      <c r="M2434" s="21">
        <v>-1.3261933960000001</v>
      </c>
      <c r="N2434">
        <v>-0.57400714200000003</v>
      </c>
    </row>
    <row r="2435" spans="1:14" x14ac:dyDescent="0.2">
      <c r="A2435" t="s">
        <v>361</v>
      </c>
      <c r="B2435">
        <v>25080</v>
      </c>
      <c r="C2435" t="s">
        <v>28</v>
      </c>
      <c r="D2435" t="s">
        <v>361</v>
      </c>
      <c r="E2435" t="s">
        <v>4953</v>
      </c>
      <c r="G2435" t="s">
        <v>4954</v>
      </c>
      <c r="J2435">
        <v>5.8462906840000004</v>
      </c>
      <c r="K2435">
        <v>0.60615847</v>
      </c>
      <c r="L2435">
        <v>0.28550877299999999</v>
      </c>
      <c r="M2435" s="21">
        <v>-1.3263846880000001</v>
      </c>
      <c r="N2435">
        <v>-0.57498988100000004</v>
      </c>
    </row>
    <row r="2436" spans="1:14" x14ac:dyDescent="0.2">
      <c r="A2436" t="s">
        <v>1963</v>
      </c>
      <c r="B2436">
        <v>24840</v>
      </c>
      <c r="C2436" t="s">
        <v>28</v>
      </c>
      <c r="D2436" t="s">
        <v>1963</v>
      </c>
      <c r="E2436" t="s">
        <v>4955</v>
      </c>
      <c r="G2436" t="s">
        <v>4956</v>
      </c>
      <c r="J2436">
        <v>5.8462906840000004</v>
      </c>
      <c r="K2436">
        <v>0.60615847</v>
      </c>
      <c r="L2436">
        <v>0.28550877299999999</v>
      </c>
      <c r="M2436" s="21">
        <v>-1.326601363</v>
      </c>
      <c r="N2436">
        <v>-0.57610302099999999</v>
      </c>
    </row>
    <row r="2437" spans="1:14" x14ac:dyDescent="0.2">
      <c r="A2437" t="s">
        <v>650</v>
      </c>
      <c r="B2437">
        <v>204040</v>
      </c>
      <c r="C2437" t="s">
        <v>149</v>
      </c>
      <c r="D2437" t="s">
        <v>651</v>
      </c>
      <c r="E2437" t="s">
        <v>4957</v>
      </c>
      <c r="G2437" t="s">
        <v>4958</v>
      </c>
      <c r="J2437">
        <v>5.0381074159999999</v>
      </c>
      <c r="K2437">
        <v>0.81312368999999995</v>
      </c>
      <c r="L2437">
        <v>0.16969141800000001</v>
      </c>
      <c r="M2437" s="21">
        <v>-1.326666852</v>
      </c>
      <c r="N2437">
        <v>-0.57643945900000004</v>
      </c>
    </row>
    <row r="2438" spans="1:14" x14ac:dyDescent="0.2">
      <c r="A2438" t="s">
        <v>385</v>
      </c>
      <c r="B2438">
        <v>130720</v>
      </c>
      <c r="C2438" t="s">
        <v>130</v>
      </c>
      <c r="D2438" t="s">
        <v>386</v>
      </c>
      <c r="E2438" t="s">
        <v>4959</v>
      </c>
      <c r="G2438" t="s">
        <v>4960</v>
      </c>
      <c r="J2438">
        <v>5.1222566499999997</v>
      </c>
      <c r="K2438">
        <v>0.21422175600000001</v>
      </c>
      <c r="L2438">
        <v>0.25354511400000002</v>
      </c>
      <c r="M2438" s="21">
        <v>-1.326783654</v>
      </c>
      <c r="N2438">
        <v>-0.57703951499999995</v>
      </c>
    </row>
    <row r="2439" spans="1:14" x14ac:dyDescent="0.2">
      <c r="A2439" t="s">
        <v>63</v>
      </c>
      <c r="B2439">
        <v>23960</v>
      </c>
      <c r="C2439" t="s">
        <v>28</v>
      </c>
      <c r="D2439" t="s">
        <v>63</v>
      </c>
      <c r="E2439" t="s">
        <v>4961</v>
      </c>
      <c r="G2439" t="s">
        <v>4962</v>
      </c>
      <c r="J2439">
        <v>5.8462906840000004</v>
      </c>
      <c r="K2439">
        <v>0.60615847</v>
      </c>
      <c r="L2439">
        <v>0.28550877299999999</v>
      </c>
      <c r="M2439" s="21">
        <v>-1.3273958379999999</v>
      </c>
      <c r="N2439">
        <v>-0.580184535</v>
      </c>
    </row>
    <row r="2440" spans="1:14" x14ac:dyDescent="0.2">
      <c r="A2440" t="s">
        <v>94</v>
      </c>
      <c r="B2440">
        <v>23680</v>
      </c>
      <c r="C2440" t="s">
        <v>28</v>
      </c>
      <c r="D2440" t="s">
        <v>95</v>
      </c>
      <c r="E2440" t="s">
        <v>4963</v>
      </c>
      <c r="G2440" t="s">
        <v>4964</v>
      </c>
      <c r="J2440">
        <v>5.8462906840000004</v>
      </c>
      <c r="K2440">
        <v>0.60615847</v>
      </c>
      <c r="L2440">
        <v>0.28550877299999999</v>
      </c>
      <c r="M2440" s="21">
        <v>-1.3276486249999999</v>
      </c>
      <c r="N2440">
        <v>-0.58148319900000001</v>
      </c>
    </row>
    <row r="2441" spans="1:14" x14ac:dyDescent="0.2">
      <c r="A2441" t="s">
        <v>2139</v>
      </c>
      <c r="B2441">
        <v>235760</v>
      </c>
      <c r="C2441" t="s">
        <v>14</v>
      </c>
      <c r="D2441" t="s">
        <v>2140</v>
      </c>
      <c r="E2441" t="s">
        <v>4965</v>
      </c>
      <c r="G2441" t="s">
        <v>4966</v>
      </c>
      <c r="J2441">
        <v>6.7484204910000001</v>
      </c>
      <c r="K2441">
        <v>0.48629166299999999</v>
      </c>
      <c r="L2441">
        <v>0.375053939</v>
      </c>
      <c r="M2441" s="21">
        <v>-1.3276538389999999</v>
      </c>
      <c r="N2441">
        <v>-0.58150998499999995</v>
      </c>
    </row>
    <row r="2442" spans="1:14" x14ac:dyDescent="0.2">
      <c r="A2442" t="s">
        <v>644</v>
      </c>
      <c r="B2442">
        <v>191200</v>
      </c>
      <c r="C2442" t="s">
        <v>100</v>
      </c>
      <c r="D2442" t="s">
        <v>644</v>
      </c>
      <c r="E2442" t="s">
        <v>4967</v>
      </c>
      <c r="G2442" t="s">
        <v>4968</v>
      </c>
      <c r="J2442">
        <v>5.9110743220000002</v>
      </c>
      <c r="K2442">
        <v>0.71598987199999997</v>
      </c>
      <c r="L2442">
        <v>0.29077365599999999</v>
      </c>
      <c r="M2442" s="21">
        <v>-1.3277939919999999</v>
      </c>
      <c r="N2442">
        <v>-0.58223000199999997</v>
      </c>
    </row>
    <row r="2443" spans="1:14" x14ac:dyDescent="0.2">
      <c r="A2443" t="s">
        <v>415</v>
      </c>
      <c r="B2443">
        <v>235320</v>
      </c>
      <c r="C2443" t="s">
        <v>14</v>
      </c>
      <c r="D2443" t="s">
        <v>415</v>
      </c>
      <c r="E2443" t="s">
        <v>4969</v>
      </c>
      <c r="G2443" t="s">
        <v>4970</v>
      </c>
      <c r="J2443">
        <v>6.7484204910000001</v>
      </c>
      <c r="K2443">
        <v>0.48629166299999999</v>
      </c>
      <c r="L2443">
        <v>0.375053939</v>
      </c>
      <c r="M2443" s="21">
        <v>-1.328135957</v>
      </c>
      <c r="N2443">
        <v>-0.583986805</v>
      </c>
    </row>
    <row r="2444" spans="1:14" x14ac:dyDescent="0.2">
      <c r="A2444" t="s">
        <v>519</v>
      </c>
      <c r="B2444">
        <v>89640</v>
      </c>
      <c r="C2444" t="s">
        <v>68</v>
      </c>
      <c r="D2444" t="s">
        <v>519</v>
      </c>
      <c r="E2444" t="s">
        <v>4971</v>
      </c>
      <c r="G2444" t="s">
        <v>4972</v>
      </c>
      <c r="J2444">
        <v>6.4561903559999996</v>
      </c>
      <c r="K2444">
        <v>0.47291064100000002</v>
      </c>
      <c r="L2444">
        <v>0.34414126499999997</v>
      </c>
      <c r="M2444" s="21">
        <v>-1.3284980710000001</v>
      </c>
      <c r="N2444">
        <v>-0.58584711700000003</v>
      </c>
    </row>
    <row r="2445" spans="1:14" x14ac:dyDescent="0.2">
      <c r="A2445" t="s">
        <v>320</v>
      </c>
      <c r="B2445">
        <v>128280</v>
      </c>
      <c r="C2445" t="s">
        <v>130</v>
      </c>
      <c r="D2445" t="s">
        <v>320</v>
      </c>
      <c r="E2445" t="s">
        <v>4973</v>
      </c>
      <c r="G2445" t="s">
        <v>4974</v>
      </c>
      <c r="J2445">
        <v>5.1222566499999997</v>
      </c>
      <c r="K2445">
        <v>0.21422175600000001</v>
      </c>
      <c r="L2445">
        <v>0.25354511400000002</v>
      </c>
      <c r="M2445" s="21">
        <v>-1.328725478</v>
      </c>
      <c r="N2445">
        <v>-0.58701539599999997</v>
      </c>
    </row>
    <row r="2446" spans="1:14" x14ac:dyDescent="0.2">
      <c r="A2446" t="s">
        <v>438</v>
      </c>
      <c r="B2446">
        <v>128200</v>
      </c>
      <c r="C2446" t="s">
        <v>130</v>
      </c>
      <c r="D2446" t="s">
        <v>438</v>
      </c>
      <c r="E2446" t="s">
        <v>4975</v>
      </c>
      <c r="G2446" t="s">
        <v>4976</v>
      </c>
      <c r="J2446">
        <v>5.1222566499999997</v>
      </c>
      <c r="K2446">
        <v>0.21422175600000001</v>
      </c>
      <c r="L2446">
        <v>0.25354511400000002</v>
      </c>
      <c r="M2446" s="21">
        <v>-1.328789145</v>
      </c>
      <c r="N2446">
        <v>-0.58734247399999995</v>
      </c>
    </row>
    <row r="2447" spans="1:14" x14ac:dyDescent="0.2">
      <c r="A2447" t="s">
        <v>1544</v>
      </c>
      <c r="B2447">
        <v>127880</v>
      </c>
      <c r="C2447" t="s">
        <v>130</v>
      </c>
      <c r="D2447" t="s">
        <v>1545</v>
      </c>
      <c r="E2447" t="s">
        <v>4977</v>
      </c>
      <c r="G2447" t="s">
        <v>4978</v>
      </c>
      <c r="J2447">
        <v>5.1222566499999997</v>
      </c>
      <c r="K2447">
        <v>0.21422175600000001</v>
      </c>
      <c r="L2447">
        <v>0.25354511400000002</v>
      </c>
      <c r="M2447" s="21">
        <v>-1.3290438099999999</v>
      </c>
      <c r="N2447">
        <v>-0.58865078699999995</v>
      </c>
    </row>
    <row r="2448" spans="1:14" x14ac:dyDescent="0.2">
      <c r="A2448" t="s">
        <v>1140</v>
      </c>
      <c r="B2448">
        <v>234360</v>
      </c>
      <c r="C2448" t="s">
        <v>14</v>
      </c>
      <c r="D2448" t="s">
        <v>1141</v>
      </c>
      <c r="E2448" t="s">
        <v>4979</v>
      </c>
      <c r="G2448" t="s">
        <v>4980</v>
      </c>
      <c r="J2448">
        <v>6.7484204910000001</v>
      </c>
      <c r="K2448">
        <v>0.48629166299999999</v>
      </c>
      <c r="L2448">
        <v>0.375053939</v>
      </c>
      <c r="M2448" s="21">
        <v>-1.3291878509999999</v>
      </c>
      <c r="N2448">
        <v>-0.58939077500000003</v>
      </c>
    </row>
    <row r="2449" spans="1:14" x14ac:dyDescent="0.2">
      <c r="A2449" t="s">
        <v>1383</v>
      </c>
      <c r="B2449">
        <v>187840</v>
      </c>
      <c r="C2449" t="s">
        <v>58</v>
      </c>
      <c r="D2449" t="s">
        <v>1384</v>
      </c>
      <c r="E2449" t="s">
        <v>4981</v>
      </c>
      <c r="G2449" t="s">
        <v>4982</v>
      </c>
      <c r="J2449">
        <v>4.5363847230000003</v>
      </c>
      <c r="K2449">
        <v>0.245646371</v>
      </c>
      <c r="L2449">
        <v>7.5242279999999995E-2</v>
      </c>
      <c r="M2449" s="21">
        <v>-1.3292450920000001</v>
      </c>
      <c r="N2449">
        <v>-0.58968484399999999</v>
      </c>
    </row>
    <row r="2450" spans="1:14" x14ac:dyDescent="0.2">
      <c r="A2450" t="s">
        <v>901</v>
      </c>
      <c r="B2450">
        <v>21640</v>
      </c>
      <c r="C2450" t="s">
        <v>28</v>
      </c>
      <c r="D2450" t="s">
        <v>902</v>
      </c>
      <c r="E2450" t="s">
        <v>4983</v>
      </c>
      <c r="G2450" t="s">
        <v>4984</v>
      </c>
      <c r="J2450">
        <v>5.8462906840000004</v>
      </c>
      <c r="K2450">
        <v>0.60615847</v>
      </c>
      <c r="L2450">
        <v>0.28550877299999999</v>
      </c>
      <c r="M2450" s="21">
        <v>-1.329490362</v>
      </c>
      <c r="N2450">
        <v>-0.590944892</v>
      </c>
    </row>
    <row r="2451" spans="1:14" x14ac:dyDescent="0.2">
      <c r="A2451" t="s">
        <v>2421</v>
      </c>
      <c r="B2451">
        <v>88560</v>
      </c>
      <c r="C2451" t="s">
        <v>68</v>
      </c>
      <c r="D2451" t="s">
        <v>2422</v>
      </c>
      <c r="E2451" t="s">
        <v>4985</v>
      </c>
      <c r="G2451" t="s">
        <v>4986</v>
      </c>
      <c r="J2451">
        <v>6.4561903559999996</v>
      </c>
      <c r="K2451">
        <v>0.47291064100000002</v>
      </c>
      <c r="L2451">
        <v>0.34414126499999997</v>
      </c>
      <c r="M2451" s="21">
        <v>-1.3295424870000001</v>
      </c>
      <c r="N2451">
        <v>-0.59121267700000002</v>
      </c>
    </row>
    <row r="2452" spans="1:14" x14ac:dyDescent="0.2">
      <c r="A2452" t="s">
        <v>42</v>
      </c>
      <c r="B2452">
        <v>21560</v>
      </c>
      <c r="C2452" t="s">
        <v>28</v>
      </c>
      <c r="D2452" t="s">
        <v>42</v>
      </c>
      <c r="E2452" t="s">
        <v>4987</v>
      </c>
      <c r="G2452" t="s">
        <v>4988</v>
      </c>
      <c r="J2452">
        <v>5.8462906840000004</v>
      </c>
      <c r="K2452">
        <v>0.60615847</v>
      </c>
      <c r="L2452">
        <v>0.28550877299999999</v>
      </c>
      <c r="M2452" s="21">
        <v>-1.3295625870000001</v>
      </c>
      <c r="N2452">
        <v>-0.59131593800000004</v>
      </c>
    </row>
    <row r="2453" spans="1:14" x14ac:dyDescent="0.2">
      <c r="A2453" t="s">
        <v>577</v>
      </c>
      <c r="B2453">
        <v>233920</v>
      </c>
      <c r="C2453" t="s">
        <v>14</v>
      </c>
      <c r="D2453" t="s">
        <v>578</v>
      </c>
      <c r="E2453" t="s">
        <v>4989</v>
      </c>
      <c r="G2453" t="s">
        <v>4990</v>
      </c>
      <c r="J2453">
        <v>6.7484204910000001</v>
      </c>
      <c r="K2453">
        <v>0.48629166299999999</v>
      </c>
      <c r="L2453">
        <v>0.375053939</v>
      </c>
      <c r="M2453" s="21">
        <v>-1.3296699679999999</v>
      </c>
      <c r="N2453">
        <v>-0.59186759499999997</v>
      </c>
    </row>
    <row r="2454" spans="1:14" x14ac:dyDescent="0.2">
      <c r="A2454" t="s">
        <v>1092</v>
      </c>
      <c r="B2454">
        <v>189000</v>
      </c>
      <c r="C2454" t="s">
        <v>100</v>
      </c>
      <c r="D2454" t="s">
        <v>1092</v>
      </c>
      <c r="E2454" t="s">
        <v>4991</v>
      </c>
      <c r="G2454" t="s">
        <v>4992</v>
      </c>
      <c r="J2454">
        <v>5.9110743220000002</v>
      </c>
      <c r="K2454">
        <v>0.71598987199999997</v>
      </c>
      <c r="L2454">
        <v>0.29077365599999999</v>
      </c>
      <c r="M2454" s="21">
        <v>-1.3299779620000001</v>
      </c>
      <c r="N2454">
        <v>-0.59344987199999999</v>
      </c>
    </row>
    <row r="2455" spans="1:14" x14ac:dyDescent="0.2">
      <c r="A2455" t="s">
        <v>1126</v>
      </c>
      <c r="B2455">
        <v>233160</v>
      </c>
      <c r="C2455" t="s">
        <v>14</v>
      </c>
      <c r="D2455" t="s">
        <v>1126</v>
      </c>
      <c r="E2455" t="s">
        <v>4993</v>
      </c>
      <c r="G2455" t="s">
        <v>4994</v>
      </c>
      <c r="J2455">
        <v>6.7484204910000001</v>
      </c>
      <c r="K2455">
        <v>0.48629166299999999</v>
      </c>
      <c r="L2455">
        <v>0.375053939</v>
      </c>
      <c r="M2455" s="21">
        <v>-1.3305027169999999</v>
      </c>
      <c r="N2455">
        <v>-0.59614573800000004</v>
      </c>
    </row>
    <row r="2456" spans="1:14" x14ac:dyDescent="0.2">
      <c r="A2456" t="s">
        <v>311</v>
      </c>
      <c r="B2456">
        <v>188400</v>
      </c>
      <c r="C2456" t="s">
        <v>100</v>
      </c>
      <c r="D2456" t="s">
        <v>311</v>
      </c>
      <c r="E2456" t="s">
        <v>4995</v>
      </c>
      <c r="G2456" t="s">
        <v>4996</v>
      </c>
      <c r="J2456">
        <v>5.9110743220000002</v>
      </c>
      <c r="K2456">
        <v>0.71598987199999997</v>
      </c>
      <c r="L2456">
        <v>0.29077365599999999</v>
      </c>
      <c r="M2456" s="21">
        <v>-1.33057359</v>
      </c>
      <c r="N2456">
        <v>-0.59650983599999996</v>
      </c>
    </row>
    <row r="2457" spans="1:14" x14ac:dyDescent="0.2">
      <c r="A2457" t="s">
        <v>749</v>
      </c>
      <c r="B2457">
        <v>186440</v>
      </c>
      <c r="C2457" t="s">
        <v>58</v>
      </c>
      <c r="D2457" t="s">
        <v>749</v>
      </c>
      <c r="E2457" t="s">
        <v>4997</v>
      </c>
      <c r="G2457" t="s">
        <v>4998</v>
      </c>
      <c r="J2457">
        <v>4.5363847230000003</v>
      </c>
      <c r="K2457">
        <v>0.245646371</v>
      </c>
      <c r="L2457">
        <v>7.5242279999999995E-2</v>
      </c>
      <c r="M2457" s="21">
        <v>-1.3305971089999999</v>
      </c>
      <c r="N2457">
        <v>-0.59663066099999995</v>
      </c>
    </row>
    <row r="2458" spans="1:14" x14ac:dyDescent="0.2">
      <c r="A2458" t="s">
        <v>2499</v>
      </c>
      <c r="B2458">
        <v>20120</v>
      </c>
      <c r="C2458" t="s">
        <v>28</v>
      </c>
      <c r="D2458" t="s">
        <v>2500</v>
      </c>
      <c r="E2458" t="s">
        <v>4999</v>
      </c>
      <c r="G2458" t="s">
        <v>5000</v>
      </c>
      <c r="J2458">
        <v>5.8462906840000004</v>
      </c>
      <c r="K2458">
        <v>0.60615847</v>
      </c>
      <c r="L2458">
        <v>0.28550877299999999</v>
      </c>
      <c r="M2458" s="21">
        <v>-1.3308626370000001</v>
      </c>
      <c r="N2458">
        <v>-0.59799477999999995</v>
      </c>
    </row>
    <row r="2459" spans="1:14" x14ac:dyDescent="0.2">
      <c r="A2459" t="s">
        <v>703</v>
      </c>
      <c r="B2459">
        <v>188000</v>
      </c>
      <c r="C2459" t="s">
        <v>100</v>
      </c>
      <c r="D2459" t="s">
        <v>704</v>
      </c>
      <c r="E2459" t="s">
        <v>5001</v>
      </c>
      <c r="G2459" t="s">
        <v>5002</v>
      </c>
      <c r="J2459">
        <v>5.9110743220000002</v>
      </c>
      <c r="K2459">
        <v>0.71598987199999997</v>
      </c>
      <c r="L2459">
        <v>0.29077365599999999</v>
      </c>
      <c r="M2459" s="21">
        <v>-1.3309706750000001</v>
      </c>
      <c r="N2459">
        <v>-0.59854981200000001</v>
      </c>
    </row>
    <row r="2460" spans="1:14" x14ac:dyDescent="0.2">
      <c r="A2460" t="s">
        <v>2028</v>
      </c>
      <c r="B2460">
        <v>232640</v>
      </c>
      <c r="C2460" t="s">
        <v>14</v>
      </c>
      <c r="D2460" t="s">
        <v>2028</v>
      </c>
      <c r="E2460" t="s">
        <v>5003</v>
      </c>
      <c r="G2460" t="s">
        <v>5004</v>
      </c>
      <c r="J2460">
        <v>6.7484204910000001</v>
      </c>
      <c r="K2460">
        <v>0.48629166299999999</v>
      </c>
      <c r="L2460">
        <v>0.375053939</v>
      </c>
      <c r="M2460" s="21">
        <v>-1.331072493</v>
      </c>
      <c r="N2460">
        <v>-0.59907288800000003</v>
      </c>
    </row>
    <row r="2461" spans="1:14" x14ac:dyDescent="0.2">
      <c r="A2461" t="s">
        <v>1688</v>
      </c>
      <c r="B2461">
        <v>185840</v>
      </c>
      <c r="C2461" t="s">
        <v>58</v>
      </c>
      <c r="D2461" t="s">
        <v>1688</v>
      </c>
      <c r="E2461" t="s">
        <v>5005</v>
      </c>
      <c r="G2461" t="s">
        <v>5006</v>
      </c>
      <c r="J2461">
        <v>4.5363847230000003</v>
      </c>
      <c r="K2461">
        <v>0.245646371</v>
      </c>
      <c r="L2461">
        <v>7.5242279999999995E-2</v>
      </c>
      <c r="M2461" s="21">
        <v>-1.3311765440000001</v>
      </c>
      <c r="N2461">
        <v>-0.59960743900000002</v>
      </c>
    </row>
    <row r="2462" spans="1:14" x14ac:dyDescent="0.2">
      <c r="A2462" t="s">
        <v>894</v>
      </c>
      <c r="B2462">
        <v>19520</v>
      </c>
      <c r="C2462" t="s">
        <v>28</v>
      </c>
      <c r="D2462" t="s">
        <v>894</v>
      </c>
      <c r="E2462" t="s">
        <v>5007</v>
      </c>
      <c r="G2462" t="s">
        <v>5008</v>
      </c>
      <c r="J2462">
        <v>5.8462906840000004</v>
      </c>
      <c r="K2462">
        <v>0.60615847</v>
      </c>
      <c r="L2462">
        <v>0.28550877299999999</v>
      </c>
      <c r="M2462" s="21">
        <v>-1.331404324</v>
      </c>
      <c r="N2462">
        <v>-0.60077763100000003</v>
      </c>
    </row>
    <row r="2463" spans="1:14" x14ac:dyDescent="0.2">
      <c r="A2463" t="s">
        <v>607</v>
      </c>
      <c r="B2463">
        <v>187240</v>
      </c>
      <c r="C2463" t="s">
        <v>100</v>
      </c>
      <c r="D2463" t="s">
        <v>607</v>
      </c>
      <c r="E2463" t="s">
        <v>5009</v>
      </c>
      <c r="G2463" t="s">
        <v>5010</v>
      </c>
      <c r="J2463">
        <v>5.9110743220000002</v>
      </c>
      <c r="K2463">
        <v>0.71598987199999997</v>
      </c>
      <c r="L2463">
        <v>0.29077365599999999</v>
      </c>
      <c r="M2463" s="21">
        <v>-1.3317251370000001</v>
      </c>
      <c r="N2463">
        <v>-0.60242576699999995</v>
      </c>
    </row>
    <row r="2464" spans="1:14" x14ac:dyDescent="0.2">
      <c r="A2464" t="s">
        <v>485</v>
      </c>
      <c r="B2464">
        <v>86240</v>
      </c>
      <c r="C2464" t="s">
        <v>68</v>
      </c>
      <c r="D2464" t="s">
        <v>486</v>
      </c>
      <c r="E2464" t="s">
        <v>5011</v>
      </c>
      <c r="G2464" t="s">
        <v>5012</v>
      </c>
      <c r="J2464">
        <v>6.4561903559999996</v>
      </c>
      <c r="K2464">
        <v>0.47291064100000002</v>
      </c>
      <c r="L2464">
        <v>0.34414126499999997</v>
      </c>
      <c r="M2464" s="21">
        <v>-1.331786049</v>
      </c>
      <c r="N2464">
        <v>-0.60273869400000002</v>
      </c>
    </row>
    <row r="2465" spans="1:14" x14ac:dyDescent="0.2">
      <c r="A2465" t="s">
        <v>311</v>
      </c>
      <c r="B2465">
        <v>18400</v>
      </c>
      <c r="C2465" t="s">
        <v>28</v>
      </c>
      <c r="D2465" t="s">
        <v>311</v>
      </c>
      <c r="E2465" t="s">
        <v>5013</v>
      </c>
      <c r="G2465" t="s">
        <v>5014</v>
      </c>
      <c r="J2465">
        <v>5.8462906840000004</v>
      </c>
      <c r="K2465">
        <v>0.60615847</v>
      </c>
      <c r="L2465">
        <v>0.28550877299999999</v>
      </c>
      <c r="M2465" s="21">
        <v>-1.332415474</v>
      </c>
      <c r="N2465">
        <v>-0.605972285</v>
      </c>
    </row>
    <row r="2466" spans="1:14" x14ac:dyDescent="0.2">
      <c r="A2466" t="s">
        <v>956</v>
      </c>
      <c r="B2466">
        <v>123320</v>
      </c>
      <c r="C2466" t="s">
        <v>130</v>
      </c>
      <c r="D2466" t="s">
        <v>956</v>
      </c>
      <c r="E2466" t="s">
        <v>5015</v>
      </c>
      <c r="G2466" t="s">
        <v>5016</v>
      </c>
      <c r="J2466">
        <v>5.1222566499999997</v>
      </c>
      <c r="K2466">
        <v>0.21422175600000001</v>
      </c>
      <c r="L2466">
        <v>0.25354511400000002</v>
      </c>
      <c r="M2466" s="21">
        <v>-1.3326727949999999</v>
      </c>
      <c r="N2466">
        <v>-0.60729423599999999</v>
      </c>
    </row>
    <row r="2467" spans="1:14" x14ac:dyDescent="0.2">
      <c r="A2467" t="s">
        <v>583</v>
      </c>
      <c r="B2467">
        <v>197440</v>
      </c>
      <c r="C2467" t="s">
        <v>149</v>
      </c>
      <c r="D2467" t="s">
        <v>583</v>
      </c>
      <c r="E2467" t="s">
        <v>5017</v>
      </c>
      <c r="G2467" t="s">
        <v>5018</v>
      </c>
      <c r="J2467">
        <v>5.0381074159999999</v>
      </c>
      <c r="K2467">
        <v>0.81312368999999995</v>
      </c>
      <c r="L2467">
        <v>0.16969141800000001</v>
      </c>
      <c r="M2467" s="21">
        <v>-1.332769318</v>
      </c>
      <c r="N2467">
        <v>-0.60779011100000002</v>
      </c>
    </row>
    <row r="2468" spans="1:14" x14ac:dyDescent="0.2">
      <c r="A2468" t="s">
        <v>3164</v>
      </c>
      <c r="B2468">
        <v>17360</v>
      </c>
      <c r="C2468" t="s">
        <v>28</v>
      </c>
      <c r="D2468" t="s">
        <v>3165</v>
      </c>
      <c r="E2468" t="s">
        <v>5019</v>
      </c>
      <c r="G2468" t="s">
        <v>5020</v>
      </c>
      <c r="J2468">
        <v>5.8462906840000004</v>
      </c>
      <c r="K2468">
        <v>0.60615847</v>
      </c>
      <c r="L2468">
        <v>0.28550877299999999</v>
      </c>
      <c r="M2468" s="21">
        <v>-1.3333543990000001</v>
      </c>
      <c r="N2468">
        <v>-0.61079589300000003</v>
      </c>
    </row>
    <row r="2469" spans="1:14" x14ac:dyDescent="0.2">
      <c r="A2469" t="s">
        <v>33</v>
      </c>
      <c r="B2469">
        <v>17200</v>
      </c>
      <c r="C2469" t="s">
        <v>28</v>
      </c>
      <c r="D2469" t="s">
        <v>33</v>
      </c>
      <c r="E2469" t="s">
        <v>5021</v>
      </c>
      <c r="G2469" t="s">
        <v>5022</v>
      </c>
      <c r="J2469">
        <v>5.8462906840000004</v>
      </c>
      <c r="K2469">
        <v>0.60615847</v>
      </c>
      <c r="L2469">
        <v>0.28550877299999999</v>
      </c>
      <c r="M2469" s="21">
        <v>-1.3334988489999999</v>
      </c>
      <c r="N2469">
        <v>-0.61153798699999995</v>
      </c>
    </row>
    <row r="2470" spans="1:14" x14ac:dyDescent="0.2">
      <c r="A2470" t="s">
        <v>1163</v>
      </c>
      <c r="B2470">
        <v>17160</v>
      </c>
      <c r="C2470" t="s">
        <v>28</v>
      </c>
      <c r="D2470" t="s">
        <v>1164</v>
      </c>
      <c r="E2470" t="s">
        <v>5023</v>
      </c>
      <c r="G2470" t="s">
        <v>5024</v>
      </c>
      <c r="J2470">
        <v>5.8462906840000004</v>
      </c>
      <c r="K2470">
        <v>0.60615847</v>
      </c>
      <c r="L2470">
        <v>0.28550877299999999</v>
      </c>
      <c r="M2470" s="21">
        <v>-1.333534961</v>
      </c>
      <c r="N2470">
        <v>-0.61172351000000003</v>
      </c>
    </row>
    <row r="2471" spans="1:14" x14ac:dyDescent="0.2">
      <c r="A2471" t="s">
        <v>175</v>
      </c>
      <c r="B2471">
        <v>17040</v>
      </c>
      <c r="C2471" t="s">
        <v>28</v>
      </c>
      <c r="D2471" t="s">
        <v>175</v>
      </c>
      <c r="E2471" t="s">
        <v>5025</v>
      </c>
      <c r="G2471" t="s">
        <v>5026</v>
      </c>
      <c r="J2471">
        <v>5.8462906840000004</v>
      </c>
      <c r="K2471">
        <v>0.60615847</v>
      </c>
      <c r="L2471">
        <v>0.28550877299999999</v>
      </c>
      <c r="M2471" s="21">
        <v>-1.333643299</v>
      </c>
      <c r="N2471">
        <v>-0.61228008</v>
      </c>
    </row>
    <row r="2472" spans="1:14" x14ac:dyDescent="0.2">
      <c r="A2472" t="s">
        <v>2348</v>
      </c>
      <c r="B2472">
        <v>83040</v>
      </c>
      <c r="C2472" t="s">
        <v>68</v>
      </c>
      <c r="D2472" t="s">
        <v>2348</v>
      </c>
      <c r="E2472" t="s">
        <v>5027</v>
      </c>
      <c r="G2472" t="s">
        <v>5028</v>
      </c>
      <c r="J2472">
        <v>6.4561903559999996</v>
      </c>
      <c r="K2472">
        <v>0.47291064100000002</v>
      </c>
      <c r="L2472">
        <v>0.34414126499999997</v>
      </c>
      <c r="M2472" s="21">
        <v>-1.334880617</v>
      </c>
      <c r="N2472">
        <v>-0.61863664900000004</v>
      </c>
    </row>
    <row r="2473" spans="1:14" x14ac:dyDescent="0.2">
      <c r="A2473" t="s">
        <v>1989</v>
      </c>
      <c r="B2473">
        <v>184000</v>
      </c>
      <c r="C2473" t="s">
        <v>100</v>
      </c>
      <c r="D2473" t="s">
        <v>1990</v>
      </c>
      <c r="E2473" t="s">
        <v>5029</v>
      </c>
      <c r="G2473" t="s">
        <v>5030</v>
      </c>
      <c r="J2473">
        <v>5.9110743220000002</v>
      </c>
      <c r="K2473">
        <v>0.71598987199999997</v>
      </c>
      <c r="L2473">
        <v>0.29077365599999999</v>
      </c>
      <c r="M2473" s="21">
        <v>-1.334941529</v>
      </c>
      <c r="N2473">
        <v>-0.61894957500000003</v>
      </c>
    </row>
    <row r="2474" spans="1:14" x14ac:dyDescent="0.2">
      <c r="A2474" t="s">
        <v>1260</v>
      </c>
      <c r="B2474">
        <v>183960</v>
      </c>
      <c r="C2474" t="s">
        <v>100</v>
      </c>
      <c r="D2474" t="s">
        <v>1260</v>
      </c>
      <c r="E2474" t="s">
        <v>5031</v>
      </c>
      <c r="G2474" t="s">
        <v>5032</v>
      </c>
      <c r="J2474">
        <v>5.9110743220000002</v>
      </c>
      <c r="K2474">
        <v>0.71598987199999997</v>
      </c>
      <c r="L2474">
        <v>0.29077365599999999</v>
      </c>
      <c r="M2474" s="21">
        <v>-1.3349812379999999</v>
      </c>
      <c r="N2474">
        <v>-0.61915357299999996</v>
      </c>
    </row>
    <row r="2475" spans="1:14" x14ac:dyDescent="0.2">
      <c r="A2475" t="s">
        <v>1461</v>
      </c>
      <c r="B2475">
        <v>15120</v>
      </c>
      <c r="C2475" t="s">
        <v>28</v>
      </c>
      <c r="D2475" t="s">
        <v>1461</v>
      </c>
      <c r="E2475" t="s">
        <v>5033</v>
      </c>
      <c r="G2475" t="s">
        <v>5034</v>
      </c>
      <c r="J2475">
        <v>5.8462906840000004</v>
      </c>
      <c r="K2475">
        <v>0.60615847</v>
      </c>
      <c r="L2475">
        <v>0.28550877299999999</v>
      </c>
      <c r="M2475" s="21">
        <v>-1.3353766979999999</v>
      </c>
      <c r="N2475">
        <v>-0.62118520300000002</v>
      </c>
    </row>
    <row r="2476" spans="1:14" x14ac:dyDescent="0.2">
      <c r="A2476" t="s">
        <v>796</v>
      </c>
      <c r="B2476">
        <v>14520</v>
      </c>
      <c r="C2476" t="s">
        <v>28</v>
      </c>
      <c r="D2476" t="s">
        <v>796</v>
      </c>
      <c r="E2476" t="s">
        <v>5035</v>
      </c>
      <c r="G2476" t="s">
        <v>5036</v>
      </c>
      <c r="J2476">
        <v>5.8462906840000004</v>
      </c>
      <c r="K2476">
        <v>0.60615847</v>
      </c>
      <c r="L2476">
        <v>0.28550877299999999</v>
      </c>
      <c r="M2476" s="21">
        <v>-1.3359183859999999</v>
      </c>
      <c r="N2476">
        <v>-0.62396805300000002</v>
      </c>
    </row>
    <row r="2477" spans="1:14" x14ac:dyDescent="0.2">
      <c r="A2477" t="s">
        <v>408</v>
      </c>
      <c r="B2477">
        <v>14240</v>
      </c>
      <c r="C2477" t="s">
        <v>28</v>
      </c>
      <c r="D2477" t="s">
        <v>408</v>
      </c>
      <c r="E2477" t="s">
        <v>5037</v>
      </c>
      <c r="G2477" t="s">
        <v>5038</v>
      </c>
      <c r="J2477">
        <v>5.8462906840000004</v>
      </c>
      <c r="K2477">
        <v>0.60615847</v>
      </c>
      <c r="L2477">
        <v>0.28550877299999999</v>
      </c>
      <c r="M2477" s="21">
        <v>-1.3361711730000001</v>
      </c>
      <c r="N2477">
        <v>-0.62526671700000003</v>
      </c>
    </row>
    <row r="2478" spans="1:14" x14ac:dyDescent="0.2">
      <c r="A2478" t="s">
        <v>2257</v>
      </c>
      <c r="B2478">
        <v>118400</v>
      </c>
      <c r="C2478" t="s">
        <v>130</v>
      </c>
      <c r="D2478" t="s">
        <v>2257</v>
      </c>
      <c r="E2478" t="s">
        <v>5039</v>
      </c>
      <c r="G2478" t="s">
        <v>5040</v>
      </c>
      <c r="J2478">
        <v>5.1222566499999997</v>
      </c>
      <c r="K2478">
        <v>0.21422175600000001</v>
      </c>
      <c r="L2478">
        <v>0.25354511400000002</v>
      </c>
      <c r="M2478" s="21">
        <v>-1.3365882769999999</v>
      </c>
      <c r="N2478">
        <v>-0.62740953700000002</v>
      </c>
    </row>
    <row r="2479" spans="1:14" x14ac:dyDescent="0.2">
      <c r="A2479" t="s">
        <v>178</v>
      </c>
      <c r="B2479">
        <v>118040</v>
      </c>
      <c r="C2479" t="s">
        <v>130</v>
      </c>
      <c r="D2479" t="s">
        <v>178</v>
      </c>
      <c r="E2479" t="s">
        <v>5041</v>
      </c>
      <c r="G2479" t="s">
        <v>5042</v>
      </c>
      <c r="J2479">
        <v>5.1222566499999997</v>
      </c>
      <c r="K2479">
        <v>0.21422175600000001</v>
      </c>
      <c r="L2479">
        <v>0.25354511400000002</v>
      </c>
      <c r="M2479" s="21">
        <v>-1.3368747759999999</v>
      </c>
      <c r="N2479">
        <v>-0.62888138900000001</v>
      </c>
    </row>
    <row r="2480" spans="1:14" x14ac:dyDescent="0.2">
      <c r="A2480" t="s">
        <v>435</v>
      </c>
      <c r="B2480">
        <v>179880</v>
      </c>
      <c r="C2480" t="s">
        <v>58</v>
      </c>
      <c r="D2480" t="s">
        <v>435</v>
      </c>
      <c r="E2480" t="s">
        <v>5043</v>
      </c>
      <c r="G2480" t="s">
        <v>5044</v>
      </c>
      <c r="J2480">
        <v>4.5363847230000003</v>
      </c>
      <c r="K2480">
        <v>0.245646371</v>
      </c>
      <c r="L2480">
        <v>7.5242279999999995E-2</v>
      </c>
      <c r="M2480" s="21">
        <v>-1.336932274</v>
      </c>
      <c r="N2480">
        <v>-0.62917677500000002</v>
      </c>
    </row>
    <row r="2481" spans="1:14" x14ac:dyDescent="0.2">
      <c r="A2481" t="s">
        <v>1373</v>
      </c>
      <c r="B2481">
        <v>181560</v>
      </c>
      <c r="C2481" t="s">
        <v>100</v>
      </c>
      <c r="D2481" t="s">
        <v>1373</v>
      </c>
      <c r="E2481" t="s">
        <v>5045</v>
      </c>
      <c r="G2481" t="s">
        <v>5046</v>
      </c>
      <c r="J2481">
        <v>5.9110743220000002</v>
      </c>
      <c r="K2481">
        <v>0.71598987199999997</v>
      </c>
      <c r="L2481">
        <v>0.29077365599999999</v>
      </c>
      <c r="M2481" s="21">
        <v>-1.33736375</v>
      </c>
      <c r="N2481">
        <v>-0.631393431</v>
      </c>
    </row>
    <row r="2482" spans="1:14" x14ac:dyDescent="0.2">
      <c r="A2482" t="s">
        <v>507</v>
      </c>
      <c r="B2482">
        <v>179080</v>
      </c>
      <c r="C2482" t="s">
        <v>58</v>
      </c>
      <c r="D2482" t="s">
        <v>508</v>
      </c>
      <c r="E2482" t="s">
        <v>5047</v>
      </c>
      <c r="G2482" t="s">
        <v>5048</v>
      </c>
      <c r="J2482">
        <v>4.5363847230000003</v>
      </c>
      <c r="K2482">
        <v>0.245646371</v>
      </c>
      <c r="L2482">
        <v>7.5242279999999995E-2</v>
      </c>
      <c r="M2482" s="21">
        <v>-1.3377048549999999</v>
      </c>
      <c r="N2482">
        <v>-0.63314581299999995</v>
      </c>
    </row>
    <row r="2483" spans="1:14" x14ac:dyDescent="0.2">
      <c r="A2483" t="s">
        <v>1431</v>
      </c>
      <c r="B2483">
        <v>177920</v>
      </c>
      <c r="C2483" t="s">
        <v>58</v>
      </c>
      <c r="D2483" t="s">
        <v>1431</v>
      </c>
      <c r="E2483" t="s">
        <v>5049</v>
      </c>
      <c r="G2483" t="s">
        <v>5050</v>
      </c>
      <c r="J2483">
        <v>4.5363847230000003</v>
      </c>
      <c r="K2483">
        <v>0.245646371</v>
      </c>
      <c r="L2483">
        <v>7.5242279999999995E-2</v>
      </c>
      <c r="M2483" s="21">
        <v>-1.338825097</v>
      </c>
      <c r="N2483">
        <v>-0.63890091800000004</v>
      </c>
    </row>
    <row r="2484" spans="1:14" x14ac:dyDescent="0.2">
      <c r="A2484" t="s">
        <v>1788</v>
      </c>
      <c r="B2484">
        <v>184680</v>
      </c>
      <c r="C2484" t="s">
        <v>84</v>
      </c>
      <c r="D2484" t="s">
        <v>1788</v>
      </c>
      <c r="E2484" t="s">
        <v>5051</v>
      </c>
      <c r="J2484">
        <v>3.600219579</v>
      </c>
      <c r="K2484">
        <v>-0.293098474</v>
      </c>
      <c r="L2484">
        <v>-0.153917466</v>
      </c>
      <c r="M2484" s="21">
        <v>-1.339166514</v>
      </c>
      <c r="N2484">
        <v>-0.64065490400000003</v>
      </c>
    </row>
    <row r="2485" spans="1:14" x14ac:dyDescent="0.2">
      <c r="A2485" t="s">
        <v>462</v>
      </c>
      <c r="B2485">
        <v>78000</v>
      </c>
      <c r="C2485" t="s">
        <v>68</v>
      </c>
      <c r="D2485" t="s">
        <v>462</v>
      </c>
      <c r="E2485" t="s">
        <v>5052</v>
      </c>
      <c r="G2485" t="s">
        <v>5053</v>
      </c>
      <c r="J2485">
        <v>6.4561903559999996</v>
      </c>
      <c r="K2485">
        <v>0.47291064100000002</v>
      </c>
      <c r="L2485">
        <v>0.34414126499999997</v>
      </c>
      <c r="M2485" s="21">
        <v>-1.339754562</v>
      </c>
      <c r="N2485">
        <v>-0.64367592699999998</v>
      </c>
    </row>
    <row r="2486" spans="1:14" x14ac:dyDescent="0.2">
      <c r="A2486" t="s">
        <v>52</v>
      </c>
      <c r="B2486">
        <v>224240</v>
      </c>
      <c r="C2486" t="s">
        <v>14</v>
      </c>
      <c r="D2486" t="s">
        <v>53</v>
      </c>
      <c r="E2486" t="s">
        <v>5054</v>
      </c>
      <c r="G2486" t="s">
        <v>5055</v>
      </c>
      <c r="J2486">
        <v>6.7484204910000001</v>
      </c>
      <c r="K2486">
        <v>0.48629166299999999</v>
      </c>
      <c r="L2486">
        <v>0.375053939</v>
      </c>
      <c r="M2486" s="21">
        <v>-1.34027656</v>
      </c>
      <c r="N2486">
        <v>-0.64635762699999999</v>
      </c>
    </row>
    <row r="2487" spans="1:14" x14ac:dyDescent="0.2">
      <c r="A2487" t="s">
        <v>2453</v>
      </c>
      <c r="B2487">
        <v>188600</v>
      </c>
      <c r="C2487" t="s">
        <v>149</v>
      </c>
      <c r="D2487" t="s">
        <v>2454</v>
      </c>
      <c r="E2487" t="s">
        <v>5056</v>
      </c>
      <c r="G2487" t="s">
        <v>5057</v>
      </c>
      <c r="J2487">
        <v>5.0381074159999999</v>
      </c>
      <c r="K2487">
        <v>0.81312368999999995</v>
      </c>
      <c r="L2487">
        <v>0.16969141800000001</v>
      </c>
      <c r="M2487" s="21">
        <v>-1.3409429230000001</v>
      </c>
      <c r="N2487">
        <v>-0.64978098399999995</v>
      </c>
    </row>
    <row r="2488" spans="1:14" x14ac:dyDescent="0.2">
      <c r="A2488" t="s">
        <v>1788</v>
      </c>
      <c r="B2488">
        <v>112760</v>
      </c>
      <c r="C2488" t="s">
        <v>130</v>
      </c>
      <c r="D2488" t="s">
        <v>1788</v>
      </c>
      <c r="E2488" t="s">
        <v>5058</v>
      </c>
      <c r="G2488" t="s">
        <v>5059</v>
      </c>
      <c r="J2488">
        <v>5.1222566499999997</v>
      </c>
      <c r="K2488">
        <v>0.21422175600000001</v>
      </c>
      <c r="L2488">
        <v>0.25354511400000002</v>
      </c>
      <c r="M2488" s="21">
        <v>-1.341076758</v>
      </c>
      <c r="N2488">
        <v>-0.65046854099999996</v>
      </c>
    </row>
    <row r="2489" spans="1:14" x14ac:dyDescent="0.2">
      <c r="A2489" t="s">
        <v>1309</v>
      </c>
      <c r="B2489">
        <v>177720</v>
      </c>
      <c r="C2489" t="s">
        <v>100</v>
      </c>
      <c r="D2489" t="s">
        <v>1309</v>
      </c>
      <c r="E2489" t="s">
        <v>5060</v>
      </c>
      <c r="G2489" t="s">
        <v>5061</v>
      </c>
      <c r="J2489">
        <v>5.9110743220000002</v>
      </c>
      <c r="K2489">
        <v>0.71598987199999997</v>
      </c>
      <c r="L2489">
        <v>0.29077365599999999</v>
      </c>
      <c r="M2489" s="21">
        <v>-1.34117577</v>
      </c>
      <c r="N2489">
        <v>-0.65097720299999995</v>
      </c>
    </row>
    <row r="2490" spans="1:14" x14ac:dyDescent="0.2">
      <c r="A2490" t="s">
        <v>203</v>
      </c>
      <c r="B2490">
        <v>187240</v>
      </c>
      <c r="C2490" t="s">
        <v>149</v>
      </c>
      <c r="D2490" t="s">
        <v>204</v>
      </c>
      <c r="E2490" t="s">
        <v>5062</v>
      </c>
      <c r="G2490" t="s">
        <v>5063</v>
      </c>
      <c r="J2490">
        <v>5.0381074159999999</v>
      </c>
      <c r="K2490">
        <v>0.81312368999999995</v>
      </c>
      <c r="L2490">
        <v>0.16969141800000001</v>
      </c>
      <c r="M2490" s="21">
        <v>-1.3422004009999999</v>
      </c>
      <c r="N2490">
        <v>-0.65624111799999996</v>
      </c>
    </row>
    <row r="2491" spans="1:14" x14ac:dyDescent="0.2">
      <c r="A2491" t="s">
        <v>1055</v>
      </c>
      <c r="B2491">
        <v>222360</v>
      </c>
      <c r="C2491" t="s">
        <v>14</v>
      </c>
      <c r="D2491" t="s">
        <v>1055</v>
      </c>
      <c r="E2491" t="s">
        <v>5064</v>
      </c>
      <c r="G2491" t="s">
        <v>5065</v>
      </c>
      <c r="J2491">
        <v>6.7484204910000001</v>
      </c>
      <c r="K2491">
        <v>0.48629166299999999</v>
      </c>
      <c r="L2491">
        <v>0.375053939</v>
      </c>
      <c r="M2491" s="21">
        <v>-1.342336518</v>
      </c>
      <c r="N2491">
        <v>-0.65694040200000003</v>
      </c>
    </row>
    <row r="2492" spans="1:14" x14ac:dyDescent="0.2">
      <c r="A2492" t="s">
        <v>1198</v>
      </c>
      <c r="B2492">
        <v>186680</v>
      </c>
      <c r="C2492" t="s">
        <v>149</v>
      </c>
      <c r="D2492" t="s">
        <v>1199</v>
      </c>
      <c r="E2492" t="s">
        <v>5066</v>
      </c>
      <c r="G2492" t="s">
        <v>5067</v>
      </c>
      <c r="J2492">
        <v>5.0381074159999999</v>
      </c>
      <c r="K2492">
        <v>0.81312368999999995</v>
      </c>
      <c r="L2492">
        <v>0.16969141800000001</v>
      </c>
      <c r="M2492" s="21">
        <v>-1.3427181859999999</v>
      </c>
      <c r="N2492">
        <v>-0.65890117400000003</v>
      </c>
    </row>
    <row r="2493" spans="1:14" x14ac:dyDescent="0.2">
      <c r="A2493" t="s">
        <v>2035</v>
      </c>
      <c r="B2493">
        <v>186680</v>
      </c>
      <c r="C2493" t="s">
        <v>149</v>
      </c>
      <c r="D2493" t="s">
        <v>2035</v>
      </c>
      <c r="E2493" t="s">
        <v>5068</v>
      </c>
      <c r="G2493" t="s">
        <v>5069</v>
      </c>
      <c r="J2493">
        <v>5.0381074159999999</v>
      </c>
      <c r="K2493">
        <v>0.81312368999999995</v>
      </c>
      <c r="L2493">
        <v>0.16969141800000001</v>
      </c>
      <c r="M2493" s="21">
        <v>-1.3427181859999999</v>
      </c>
      <c r="N2493">
        <v>-0.65890117400000003</v>
      </c>
    </row>
    <row r="2494" spans="1:14" x14ac:dyDescent="0.2">
      <c r="A2494" t="s">
        <v>491</v>
      </c>
      <c r="B2494">
        <v>74640</v>
      </c>
      <c r="C2494" t="s">
        <v>68</v>
      </c>
      <c r="D2494" t="s">
        <v>491</v>
      </c>
      <c r="E2494" t="s">
        <v>5070</v>
      </c>
      <c r="G2494" t="s">
        <v>5071</v>
      </c>
      <c r="J2494">
        <v>6.4561903559999996</v>
      </c>
      <c r="K2494">
        <v>0.47291064100000002</v>
      </c>
      <c r="L2494">
        <v>0.34414126499999997</v>
      </c>
      <c r="M2494" s="21">
        <v>-1.343003859</v>
      </c>
      <c r="N2494">
        <v>-0.66036877900000002</v>
      </c>
    </row>
    <row r="2495" spans="1:14" x14ac:dyDescent="0.2">
      <c r="A2495" t="s">
        <v>198</v>
      </c>
      <c r="B2495">
        <v>74320</v>
      </c>
      <c r="C2495" t="s">
        <v>68</v>
      </c>
      <c r="D2495" t="s">
        <v>199</v>
      </c>
      <c r="E2495" t="s">
        <v>5072</v>
      </c>
      <c r="G2495" t="s">
        <v>5073</v>
      </c>
      <c r="J2495">
        <v>6.4561903559999996</v>
      </c>
      <c r="K2495">
        <v>0.47291064100000002</v>
      </c>
      <c r="L2495">
        <v>0.34414126499999997</v>
      </c>
      <c r="M2495" s="21">
        <v>-1.3433133150000001</v>
      </c>
      <c r="N2495">
        <v>-0.66195857499999999</v>
      </c>
    </row>
    <row r="2496" spans="1:14" x14ac:dyDescent="0.2">
      <c r="A2496" t="s">
        <v>3235</v>
      </c>
      <c r="B2496">
        <v>185040</v>
      </c>
      <c r="C2496" t="s">
        <v>149</v>
      </c>
      <c r="D2496" t="s">
        <v>3236</v>
      </c>
      <c r="E2496" t="s">
        <v>5074</v>
      </c>
      <c r="G2496" t="s">
        <v>5075</v>
      </c>
      <c r="J2496">
        <v>5.0381074159999999</v>
      </c>
      <c r="K2496">
        <v>0.81312368999999995</v>
      </c>
      <c r="L2496">
        <v>0.16969141800000001</v>
      </c>
      <c r="M2496" s="21">
        <v>-1.3442345570000001</v>
      </c>
      <c r="N2496">
        <v>-0.66669133599999997</v>
      </c>
    </row>
    <row r="2497" spans="1:14" x14ac:dyDescent="0.2">
      <c r="A2497" t="s">
        <v>329</v>
      </c>
      <c r="B2497">
        <v>174280</v>
      </c>
      <c r="C2497" t="s">
        <v>100</v>
      </c>
      <c r="D2497" t="s">
        <v>329</v>
      </c>
      <c r="E2497" t="s">
        <v>5076</v>
      </c>
      <c r="G2497" t="s">
        <v>5077</v>
      </c>
      <c r="J2497">
        <v>5.9110743220000002</v>
      </c>
      <c r="K2497">
        <v>0.71598987199999997</v>
      </c>
      <c r="L2497">
        <v>0.29077365599999999</v>
      </c>
      <c r="M2497" s="21">
        <v>-1.344590704</v>
      </c>
      <c r="N2497">
        <v>-0.66852099899999995</v>
      </c>
    </row>
    <row r="2498" spans="1:14" x14ac:dyDescent="0.2">
      <c r="A2498" t="s">
        <v>1069</v>
      </c>
      <c r="B2498">
        <v>219920</v>
      </c>
      <c r="C2498" t="s">
        <v>14</v>
      </c>
      <c r="D2498" t="s">
        <v>1070</v>
      </c>
      <c r="E2498" t="s">
        <v>5078</v>
      </c>
      <c r="G2498" t="s">
        <v>5079</v>
      </c>
      <c r="J2498">
        <v>6.7484204910000001</v>
      </c>
      <c r="K2498">
        <v>0.48629166299999999</v>
      </c>
      <c r="L2498">
        <v>0.375053939</v>
      </c>
      <c r="M2498" s="21">
        <v>-1.3450100810000001</v>
      </c>
      <c r="N2498">
        <v>-0.67067549299999996</v>
      </c>
    </row>
    <row r="2499" spans="1:14" x14ac:dyDescent="0.2">
      <c r="A2499" t="s">
        <v>2457</v>
      </c>
      <c r="B2499">
        <v>173640</v>
      </c>
      <c r="C2499" t="s">
        <v>100</v>
      </c>
      <c r="D2499" t="s">
        <v>2458</v>
      </c>
      <c r="E2499" t="s">
        <v>5080</v>
      </c>
      <c r="G2499" t="s">
        <v>5081</v>
      </c>
      <c r="J2499">
        <v>5.9110743220000002</v>
      </c>
      <c r="K2499">
        <v>0.71598987199999997</v>
      </c>
      <c r="L2499">
        <v>0.29077365599999999</v>
      </c>
      <c r="M2499" s="21">
        <v>-1.3452260410000001</v>
      </c>
      <c r="N2499">
        <v>-0.67178496099999996</v>
      </c>
    </row>
    <row r="2500" spans="1:14" x14ac:dyDescent="0.2">
      <c r="A2500" t="s">
        <v>1126</v>
      </c>
      <c r="B2500">
        <v>107480</v>
      </c>
      <c r="C2500" t="s">
        <v>130</v>
      </c>
      <c r="D2500" t="s">
        <v>1126</v>
      </c>
      <c r="E2500" t="s">
        <v>5082</v>
      </c>
      <c r="G2500" t="s">
        <v>5083</v>
      </c>
      <c r="J2500">
        <v>5.1222566499999997</v>
      </c>
      <c r="K2500">
        <v>0.21422175600000001</v>
      </c>
      <c r="L2500">
        <v>0.25354511400000002</v>
      </c>
      <c r="M2500" s="21">
        <v>-1.3452787390000001</v>
      </c>
      <c r="N2500">
        <v>-0.67205569399999998</v>
      </c>
    </row>
    <row r="2501" spans="1:14" x14ac:dyDescent="0.2">
      <c r="A2501" t="s">
        <v>801</v>
      </c>
      <c r="B2501">
        <v>219640</v>
      </c>
      <c r="C2501" t="s">
        <v>14</v>
      </c>
      <c r="D2501" t="s">
        <v>801</v>
      </c>
      <c r="E2501" t="s">
        <v>5084</v>
      </c>
      <c r="G2501" t="s">
        <v>5085</v>
      </c>
      <c r="J2501">
        <v>6.7484204910000001</v>
      </c>
      <c r="K2501">
        <v>0.48629166299999999</v>
      </c>
      <c r="L2501">
        <v>0.375053939</v>
      </c>
      <c r="M2501" s="21">
        <v>-1.345316883</v>
      </c>
      <c r="N2501">
        <v>-0.67225165099999995</v>
      </c>
    </row>
    <row r="2502" spans="1:14" x14ac:dyDescent="0.2">
      <c r="A2502" t="s">
        <v>375</v>
      </c>
      <c r="B2502">
        <v>171000</v>
      </c>
      <c r="C2502" t="s">
        <v>58</v>
      </c>
      <c r="D2502" t="s">
        <v>375</v>
      </c>
      <c r="E2502" t="s">
        <v>5086</v>
      </c>
      <c r="G2502" t="s">
        <v>5087</v>
      </c>
      <c r="J2502">
        <v>4.5363847230000003</v>
      </c>
      <c r="K2502">
        <v>0.245646371</v>
      </c>
      <c r="L2502">
        <v>7.5242279999999995E-2</v>
      </c>
      <c r="M2502" s="21">
        <v>-1.3455079240000001</v>
      </c>
      <c r="N2502">
        <v>-0.67323310000000003</v>
      </c>
    </row>
    <row r="2503" spans="1:14" x14ac:dyDescent="0.2">
      <c r="A2503" t="s">
        <v>1144</v>
      </c>
      <c r="B2503">
        <v>71800</v>
      </c>
      <c r="C2503" t="s">
        <v>68</v>
      </c>
      <c r="D2503" t="s">
        <v>1145</v>
      </c>
      <c r="E2503" t="s">
        <v>5088</v>
      </c>
      <c r="G2503" t="s">
        <v>5089</v>
      </c>
      <c r="J2503">
        <v>6.4561903559999996</v>
      </c>
      <c r="K2503">
        <v>0.47291064100000002</v>
      </c>
      <c r="L2503">
        <v>0.34414126499999997</v>
      </c>
      <c r="M2503" s="21">
        <v>-1.3457502880000001</v>
      </c>
      <c r="N2503">
        <v>-0.67447821399999996</v>
      </c>
    </row>
    <row r="2504" spans="1:14" x14ac:dyDescent="0.2">
      <c r="A2504" t="s">
        <v>1989</v>
      </c>
      <c r="B2504">
        <v>219240</v>
      </c>
      <c r="C2504" t="s">
        <v>14</v>
      </c>
      <c r="D2504" t="s">
        <v>1990</v>
      </c>
      <c r="E2504" t="s">
        <v>5090</v>
      </c>
      <c r="G2504" t="s">
        <v>5091</v>
      </c>
      <c r="J2504">
        <v>6.7484204910000001</v>
      </c>
      <c r="K2504">
        <v>0.48629166299999999</v>
      </c>
      <c r="L2504">
        <v>0.375053939</v>
      </c>
      <c r="M2504" s="21">
        <v>-1.3457551720000001</v>
      </c>
      <c r="N2504">
        <v>-0.674503305</v>
      </c>
    </row>
    <row r="2505" spans="1:14" x14ac:dyDescent="0.2">
      <c r="A2505" t="s">
        <v>759</v>
      </c>
      <c r="B2505">
        <v>181840</v>
      </c>
      <c r="C2505" t="s">
        <v>149</v>
      </c>
      <c r="D2505" t="s">
        <v>760</v>
      </c>
      <c r="E2505" t="s">
        <v>5092</v>
      </c>
      <c r="G2505" t="s">
        <v>5093</v>
      </c>
      <c r="J2505">
        <v>5.0381074159999999</v>
      </c>
      <c r="K2505">
        <v>0.81312368999999995</v>
      </c>
      <c r="L2505">
        <v>0.16969141800000001</v>
      </c>
      <c r="M2505" s="21">
        <v>-1.3471933279999999</v>
      </c>
      <c r="N2505">
        <v>-0.68189165200000001</v>
      </c>
    </row>
    <row r="2506" spans="1:14" x14ac:dyDescent="0.2">
      <c r="A2506" t="s">
        <v>1794</v>
      </c>
      <c r="B2506">
        <v>180120</v>
      </c>
      <c r="C2506" t="s">
        <v>149</v>
      </c>
      <c r="D2506" t="s">
        <v>1794</v>
      </c>
      <c r="E2506" t="s">
        <v>5094</v>
      </c>
      <c r="G2506" t="s">
        <v>5095</v>
      </c>
      <c r="J2506">
        <v>5.0381074159999999</v>
      </c>
      <c r="K2506">
        <v>0.81312368999999995</v>
      </c>
      <c r="L2506">
        <v>0.16969141800000001</v>
      </c>
      <c r="M2506" s="21">
        <v>-1.348783668</v>
      </c>
      <c r="N2506">
        <v>-0.69006182199999999</v>
      </c>
    </row>
    <row r="2507" spans="1:14" x14ac:dyDescent="0.2">
      <c r="A2507" t="s">
        <v>2139</v>
      </c>
      <c r="B2507">
        <v>169880</v>
      </c>
      <c r="C2507" t="s">
        <v>100</v>
      </c>
      <c r="D2507" t="s">
        <v>2140</v>
      </c>
      <c r="E2507" t="s">
        <v>5096</v>
      </c>
      <c r="G2507" t="s">
        <v>5097</v>
      </c>
      <c r="J2507">
        <v>5.9110743220000002</v>
      </c>
      <c r="K2507">
        <v>0.71598987199999997</v>
      </c>
      <c r="L2507">
        <v>0.29077365599999999</v>
      </c>
      <c r="M2507" s="21">
        <v>-1.3489586440000001</v>
      </c>
      <c r="N2507">
        <v>-0.69096073899999999</v>
      </c>
    </row>
    <row r="2508" spans="1:14" x14ac:dyDescent="0.2">
      <c r="A2508" t="s">
        <v>2080</v>
      </c>
      <c r="B2508">
        <v>102840</v>
      </c>
      <c r="C2508" t="s">
        <v>130</v>
      </c>
      <c r="D2508" t="s">
        <v>2080</v>
      </c>
      <c r="E2508" t="s">
        <v>5098</v>
      </c>
      <c r="G2508" t="s">
        <v>5099</v>
      </c>
      <c r="J2508">
        <v>5.1222566499999997</v>
      </c>
      <c r="K2508">
        <v>0.21422175600000001</v>
      </c>
      <c r="L2508">
        <v>0.25354511400000002</v>
      </c>
      <c r="M2508" s="21">
        <v>-1.34897139</v>
      </c>
      <c r="N2508">
        <v>-0.69102622199999997</v>
      </c>
    </row>
    <row r="2509" spans="1:14" x14ac:dyDescent="0.2">
      <c r="A2509" t="s">
        <v>812</v>
      </c>
      <c r="B2509">
        <v>216080</v>
      </c>
      <c r="C2509" t="s">
        <v>14</v>
      </c>
      <c r="D2509" t="s">
        <v>813</v>
      </c>
      <c r="E2509" t="s">
        <v>5100</v>
      </c>
      <c r="G2509" t="s">
        <v>5101</v>
      </c>
      <c r="J2509">
        <v>6.7484204910000001</v>
      </c>
      <c r="K2509">
        <v>0.48629166299999999</v>
      </c>
      <c r="L2509">
        <v>0.375053939</v>
      </c>
      <c r="M2509" s="21">
        <v>-1.349217654</v>
      </c>
      <c r="N2509">
        <v>-0.69229137399999996</v>
      </c>
    </row>
    <row r="2510" spans="1:14" x14ac:dyDescent="0.2">
      <c r="A2510" t="s">
        <v>1620</v>
      </c>
      <c r="B2510">
        <v>166960</v>
      </c>
      <c r="C2510" t="s">
        <v>58</v>
      </c>
      <c r="D2510" t="s">
        <v>1620</v>
      </c>
      <c r="E2510" t="s">
        <v>5102</v>
      </c>
      <c r="G2510" t="s">
        <v>5103</v>
      </c>
      <c r="J2510">
        <v>4.5363847230000003</v>
      </c>
      <c r="K2510">
        <v>0.245646371</v>
      </c>
      <c r="L2510">
        <v>7.5242279999999995E-2</v>
      </c>
      <c r="M2510" s="21">
        <v>-1.349409458</v>
      </c>
      <c r="N2510">
        <v>-0.69327674299999997</v>
      </c>
    </row>
    <row r="2511" spans="1:14" x14ac:dyDescent="0.2">
      <c r="A2511" t="s">
        <v>522</v>
      </c>
      <c r="B2511">
        <v>101400</v>
      </c>
      <c r="C2511" t="s">
        <v>130</v>
      </c>
      <c r="D2511" t="s">
        <v>522</v>
      </c>
      <c r="E2511" t="s">
        <v>5104</v>
      </c>
      <c r="G2511" t="s">
        <v>5105</v>
      </c>
      <c r="J2511">
        <v>5.1222566499999997</v>
      </c>
      <c r="K2511">
        <v>0.21422175600000001</v>
      </c>
      <c r="L2511">
        <v>0.25354511400000002</v>
      </c>
      <c r="M2511" s="21">
        <v>-1.3501173849999999</v>
      </c>
      <c r="N2511">
        <v>-0.69691362700000004</v>
      </c>
    </row>
    <row r="2512" spans="1:14" x14ac:dyDescent="0.2">
      <c r="A2512" t="s">
        <v>736</v>
      </c>
      <c r="B2512">
        <v>178440</v>
      </c>
      <c r="C2512" t="s">
        <v>149</v>
      </c>
      <c r="D2512" t="s">
        <v>736</v>
      </c>
      <c r="E2512" t="s">
        <v>5106</v>
      </c>
      <c r="G2512" t="s">
        <v>5107</v>
      </c>
      <c r="J2512">
        <v>5.0381074159999999</v>
      </c>
      <c r="K2512">
        <v>0.81312368999999995</v>
      </c>
      <c r="L2512">
        <v>0.16969141800000001</v>
      </c>
      <c r="M2512" s="21">
        <v>-1.350337023</v>
      </c>
      <c r="N2512">
        <v>-0.69804198799999995</v>
      </c>
    </row>
    <row r="2513" spans="1:14" x14ac:dyDescent="0.2">
      <c r="A2513" t="s">
        <v>1703</v>
      </c>
      <c r="B2513">
        <v>178040</v>
      </c>
      <c r="C2513" t="s">
        <v>149</v>
      </c>
      <c r="D2513" t="s">
        <v>1703</v>
      </c>
      <c r="E2513" t="s">
        <v>5108</v>
      </c>
      <c r="G2513" t="s">
        <v>5109</v>
      </c>
      <c r="J2513">
        <v>5.0381074159999999</v>
      </c>
      <c r="K2513">
        <v>0.81312368999999995</v>
      </c>
      <c r="L2513">
        <v>0.16969141800000001</v>
      </c>
      <c r="M2513" s="21">
        <v>-1.3507068689999999</v>
      </c>
      <c r="N2513">
        <v>-0.69994202699999997</v>
      </c>
    </row>
    <row r="2514" spans="1:14" x14ac:dyDescent="0.2">
      <c r="A2514" t="s">
        <v>218</v>
      </c>
      <c r="B2514">
        <v>165200</v>
      </c>
      <c r="C2514" t="s">
        <v>58</v>
      </c>
      <c r="D2514" t="s">
        <v>218</v>
      </c>
      <c r="E2514" t="s">
        <v>5110</v>
      </c>
      <c r="G2514" t="s">
        <v>5111</v>
      </c>
      <c r="J2514">
        <v>4.5363847230000003</v>
      </c>
      <c r="K2514">
        <v>0.245646371</v>
      </c>
      <c r="L2514">
        <v>7.5242279999999995E-2</v>
      </c>
      <c r="M2514" s="21">
        <v>-1.3511091369999999</v>
      </c>
      <c r="N2514">
        <v>-0.702008627</v>
      </c>
    </row>
    <row r="2515" spans="1:14" x14ac:dyDescent="0.2">
      <c r="A2515" t="s">
        <v>1415</v>
      </c>
      <c r="B2515">
        <v>165200</v>
      </c>
      <c r="C2515" t="s">
        <v>58</v>
      </c>
      <c r="D2515" t="s">
        <v>1415</v>
      </c>
      <c r="E2515" t="s">
        <v>5112</v>
      </c>
      <c r="G2515" t="s">
        <v>5113</v>
      </c>
      <c r="J2515">
        <v>4.5363847230000003</v>
      </c>
      <c r="K2515">
        <v>0.245646371</v>
      </c>
      <c r="L2515">
        <v>7.5242279999999995E-2</v>
      </c>
      <c r="M2515" s="21">
        <v>-1.3511091369999999</v>
      </c>
      <c r="N2515">
        <v>-0.702008627</v>
      </c>
    </row>
    <row r="2516" spans="1:14" x14ac:dyDescent="0.2">
      <c r="A2516" t="s">
        <v>947</v>
      </c>
      <c r="B2516">
        <v>214080</v>
      </c>
      <c r="C2516" t="s">
        <v>14</v>
      </c>
      <c r="D2516" t="s">
        <v>948</v>
      </c>
      <c r="E2516" t="s">
        <v>5114</v>
      </c>
      <c r="G2516" t="s">
        <v>5115</v>
      </c>
      <c r="J2516">
        <v>6.7484204910000001</v>
      </c>
      <c r="K2516">
        <v>0.48629166299999999</v>
      </c>
      <c r="L2516">
        <v>0.375053939</v>
      </c>
      <c r="M2516" s="21">
        <v>-1.3514090990000001</v>
      </c>
      <c r="N2516">
        <v>-0.70354964499999995</v>
      </c>
    </row>
    <row r="2517" spans="1:14" x14ac:dyDescent="0.2">
      <c r="A2517" t="s">
        <v>203</v>
      </c>
      <c r="B2517">
        <v>175240</v>
      </c>
      <c r="C2517" t="s">
        <v>84</v>
      </c>
      <c r="D2517" t="s">
        <v>204</v>
      </c>
      <c r="E2517" t="s">
        <v>5116</v>
      </c>
      <c r="G2517" t="s">
        <v>5117</v>
      </c>
      <c r="J2517">
        <v>3.600219579</v>
      </c>
      <c r="K2517">
        <v>-0.293098474</v>
      </c>
      <c r="L2517">
        <v>-0.153917466</v>
      </c>
      <c r="M2517" s="21">
        <v>-1.351522211</v>
      </c>
      <c r="N2517">
        <v>-0.704130747</v>
      </c>
    </row>
    <row r="2518" spans="1:14" x14ac:dyDescent="0.2">
      <c r="A2518" t="s">
        <v>1989</v>
      </c>
      <c r="B2518">
        <v>164720</v>
      </c>
      <c r="C2518" t="s">
        <v>58</v>
      </c>
      <c r="D2518" t="s">
        <v>1990</v>
      </c>
      <c r="E2518" t="s">
        <v>5118</v>
      </c>
      <c r="G2518" t="s">
        <v>5119</v>
      </c>
      <c r="J2518">
        <v>4.5363847230000003</v>
      </c>
      <c r="K2518">
        <v>0.245646371</v>
      </c>
      <c r="L2518">
        <v>7.5242279999999995E-2</v>
      </c>
      <c r="M2518" s="21">
        <v>-1.3515726850000001</v>
      </c>
      <c r="N2518">
        <v>-0.70439004999999999</v>
      </c>
    </row>
    <row r="2519" spans="1:14" x14ac:dyDescent="0.2">
      <c r="A2519" t="s">
        <v>932</v>
      </c>
      <c r="B2519">
        <v>65040</v>
      </c>
      <c r="C2519" t="s">
        <v>68</v>
      </c>
      <c r="D2519" t="s">
        <v>932</v>
      </c>
      <c r="E2519" t="s">
        <v>5120</v>
      </c>
      <c r="G2519" t="s">
        <v>5121</v>
      </c>
      <c r="J2519">
        <v>6.4561903559999996</v>
      </c>
      <c r="K2519">
        <v>0.47291064100000002</v>
      </c>
      <c r="L2519">
        <v>0.34414126499999997</v>
      </c>
      <c r="M2519" s="21">
        <v>-1.352287563</v>
      </c>
      <c r="N2519">
        <v>-0.70806264299999999</v>
      </c>
    </row>
    <row r="2520" spans="1:14" x14ac:dyDescent="0.2">
      <c r="A2520" t="s">
        <v>2230</v>
      </c>
      <c r="B2520">
        <v>98360</v>
      </c>
      <c r="C2520" t="s">
        <v>130</v>
      </c>
      <c r="D2520" t="s">
        <v>2231</v>
      </c>
      <c r="E2520" t="s">
        <v>5122</v>
      </c>
      <c r="G2520" t="s">
        <v>5123</v>
      </c>
      <c r="J2520">
        <v>5.1222566499999997</v>
      </c>
      <c r="K2520">
        <v>0.21422175600000001</v>
      </c>
      <c r="L2520">
        <v>0.25354511400000002</v>
      </c>
      <c r="M2520" s="21">
        <v>-1.3525367079999999</v>
      </c>
      <c r="N2520">
        <v>-0.70934259300000002</v>
      </c>
    </row>
    <row r="2521" spans="1:14" x14ac:dyDescent="0.2">
      <c r="A2521" t="s">
        <v>157</v>
      </c>
      <c r="B2521">
        <v>64720</v>
      </c>
      <c r="C2521" t="s">
        <v>68</v>
      </c>
      <c r="D2521" t="s">
        <v>157</v>
      </c>
      <c r="E2521" t="s">
        <v>5124</v>
      </c>
      <c r="G2521" t="s">
        <v>5125</v>
      </c>
      <c r="J2521">
        <v>6.4561903559999996</v>
      </c>
      <c r="K2521">
        <v>0.47291064100000002</v>
      </c>
      <c r="L2521">
        <v>0.34414126499999997</v>
      </c>
      <c r="M2521" s="21">
        <v>-1.3525970199999999</v>
      </c>
      <c r="N2521">
        <v>-0.709652438</v>
      </c>
    </row>
    <row r="2522" spans="1:14" x14ac:dyDescent="0.2">
      <c r="A2522" t="s">
        <v>889</v>
      </c>
      <c r="B2522">
        <v>165520</v>
      </c>
      <c r="C2522" t="s">
        <v>100</v>
      </c>
      <c r="D2522" t="s">
        <v>889</v>
      </c>
      <c r="E2522" t="s">
        <v>5126</v>
      </c>
      <c r="G2522" t="s">
        <v>5127</v>
      </c>
      <c r="J2522">
        <v>5.9110743220000002</v>
      </c>
      <c r="K2522">
        <v>0.71598987199999997</v>
      </c>
      <c r="L2522">
        <v>0.29077365599999999</v>
      </c>
      <c r="M2522" s="21">
        <v>-1.3532868739999999</v>
      </c>
      <c r="N2522">
        <v>-0.71319648000000002</v>
      </c>
    </row>
    <row r="2523" spans="1:14" x14ac:dyDescent="0.2">
      <c r="A2523" t="s">
        <v>2443</v>
      </c>
      <c r="B2523">
        <v>165240</v>
      </c>
      <c r="C2523" t="s">
        <v>100</v>
      </c>
      <c r="D2523" t="s">
        <v>2444</v>
      </c>
      <c r="E2523" t="s">
        <v>5128</v>
      </c>
      <c r="G2523" t="s">
        <v>5129</v>
      </c>
      <c r="J2523">
        <v>5.9110743220000002</v>
      </c>
      <c r="K2523">
        <v>0.71598987199999997</v>
      </c>
      <c r="L2523">
        <v>0.29077365599999999</v>
      </c>
      <c r="M2523" s="21">
        <v>-1.3535648339999999</v>
      </c>
      <c r="N2523">
        <v>-0.71462446400000001</v>
      </c>
    </row>
    <row r="2524" spans="1:14" x14ac:dyDescent="0.2">
      <c r="A2524" t="s">
        <v>894</v>
      </c>
      <c r="B2524">
        <v>174880</v>
      </c>
      <c r="C2524" t="s">
        <v>149</v>
      </c>
      <c r="D2524" t="s">
        <v>894</v>
      </c>
      <c r="E2524" t="s">
        <v>5130</v>
      </c>
      <c r="G2524" t="s">
        <v>5131</v>
      </c>
      <c r="J2524">
        <v>5.0381074159999999</v>
      </c>
      <c r="K2524">
        <v>0.81312368999999995</v>
      </c>
      <c r="L2524">
        <v>0.16969141800000001</v>
      </c>
      <c r="M2524" s="21">
        <v>-1.3536286559999999</v>
      </c>
      <c r="N2524">
        <v>-0.71495233899999999</v>
      </c>
    </row>
    <row r="2525" spans="1:14" x14ac:dyDescent="0.2">
      <c r="A2525" t="s">
        <v>1989</v>
      </c>
      <c r="B2525">
        <v>63560</v>
      </c>
      <c r="C2525" t="s">
        <v>68</v>
      </c>
      <c r="D2525" t="s">
        <v>1990</v>
      </c>
      <c r="E2525" t="s">
        <v>5132</v>
      </c>
      <c r="G2525" t="s">
        <v>5133</v>
      </c>
      <c r="J2525">
        <v>6.4561903559999996</v>
      </c>
      <c r="K2525">
        <v>0.47291064100000002</v>
      </c>
      <c r="L2525">
        <v>0.34414126499999997</v>
      </c>
      <c r="M2525" s="21">
        <v>-1.3537188</v>
      </c>
      <c r="N2525">
        <v>-0.71541544700000004</v>
      </c>
    </row>
    <row r="2526" spans="1:14" x14ac:dyDescent="0.2">
      <c r="A2526" t="s">
        <v>2188</v>
      </c>
      <c r="B2526">
        <v>162280</v>
      </c>
      <c r="C2526" t="s">
        <v>58</v>
      </c>
      <c r="D2526" t="s">
        <v>2188</v>
      </c>
      <c r="E2526" t="s">
        <v>5134</v>
      </c>
      <c r="G2526" t="s">
        <v>5135</v>
      </c>
      <c r="J2526">
        <v>4.5363847230000003</v>
      </c>
      <c r="K2526">
        <v>0.245646371</v>
      </c>
      <c r="L2526">
        <v>7.5242279999999995E-2</v>
      </c>
      <c r="M2526" s="21">
        <v>-1.3539290580000001</v>
      </c>
      <c r="N2526">
        <v>-0.71649561699999997</v>
      </c>
    </row>
    <row r="2527" spans="1:14" x14ac:dyDescent="0.2">
      <c r="A2527" t="s">
        <v>511</v>
      </c>
      <c r="B2527">
        <v>211520</v>
      </c>
      <c r="C2527" t="s">
        <v>14</v>
      </c>
      <c r="D2527" t="s">
        <v>511</v>
      </c>
      <c r="E2527" t="s">
        <v>5136</v>
      </c>
      <c r="G2527" t="s">
        <v>5137</v>
      </c>
      <c r="J2527">
        <v>6.7484204910000001</v>
      </c>
      <c r="K2527">
        <v>0.48629166299999999</v>
      </c>
      <c r="L2527">
        <v>0.375053939</v>
      </c>
      <c r="M2527" s="21">
        <v>-1.3542141480000001</v>
      </c>
      <c r="N2527">
        <v>-0.71796023200000003</v>
      </c>
    </row>
    <row r="2528" spans="1:14" x14ac:dyDescent="0.2">
      <c r="A2528" t="s">
        <v>947</v>
      </c>
      <c r="B2528">
        <v>174080</v>
      </c>
      <c r="C2528" t="s">
        <v>149</v>
      </c>
      <c r="D2528" t="s">
        <v>948</v>
      </c>
      <c r="E2528" t="s">
        <v>5138</v>
      </c>
      <c r="G2528" t="s">
        <v>5139</v>
      </c>
      <c r="J2528">
        <v>5.0381074159999999</v>
      </c>
      <c r="K2528">
        <v>0.81312368999999995</v>
      </c>
      <c r="L2528">
        <v>0.16969141800000001</v>
      </c>
      <c r="M2528" s="21">
        <v>-1.354368349</v>
      </c>
      <c r="N2528">
        <v>-0.718752418</v>
      </c>
    </row>
    <row r="2529" spans="1:14" x14ac:dyDescent="0.2">
      <c r="A2529" t="s">
        <v>2657</v>
      </c>
      <c r="B2529">
        <v>210880</v>
      </c>
      <c r="C2529" t="s">
        <v>14</v>
      </c>
      <c r="D2529" t="s">
        <v>2658</v>
      </c>
      <c r="E2529" t="s">
        <v>5140</v>
      </c>
      <c r="G2529" t="s">
        <v>5141</v>
      </c>
      <c r="J2529">
        <v>6.7484204910000001</v>
      </c>
      <c r="K2529">
        <v>0.48629166299999999</v>
      </c>
      <c r="L2529">
        <v>0.375053939</v>
      </c>
      <c r="M2529" s="21">
        <v>-1.35491541</v>
      </c>
      <c r="N2529">
        <v>-0.72156287900000005</v>
      </c>
    </row>
    <row r="2530" spans="1:14" x14ac:dyDescent="0.2">
      <c r="A2530" t="s">
        <v>1383</v>
      </c>
      <c r="B2530">
        <v>173360</v>
      </c>
      <c r="C2530" t="s">
        <v>149</v>
      </c>
      <c r="D2530" t="s">
        <v>1384</v>
      </c>
      <c r="E2530" t="s">
        <v>5142</v>
      </c>
      <c r="G2530" t="s">
        <v>5143</v>
      </c>
      <c r="J2530">
        <v>5.0381074159999999</v>
      </c>
      <c r="K2530">
        <v>0.81312368999999995</v>
      </c>
      <c r="L2530">
        <v>0.16969141800000001</v>
      </c>
      <c r="M2530" s="21">
        <v>-1.355034072</v>
      </c>
      <c r="N2530">
        <v>-0.72217248899999997</v>
      </c>
    </row>
    <row r="2531" spans="1:14" x14ac:dyDescent="0.2">
      <c r="A2531" t="s">
        <v>236</v>
      </c>
      <c r="B2531">
        <v>61960</v>
      </c>
      <c r="C2531" t="s">
        <v>68</v>
      </c>
      <c r="D2531" t="s">
        <v>236</v>
      </c>
      <c r="E2531" t="s">
        <v>5144</v>
      </c>
      <c r="G2531" t="s">
        <v>5145</v>
      </c>
      <c r="J2531">
        <v>6.4561903559999996</v>
      </c>
      <c r="K2531">
        <v>0.47291064100000002</v>
      </c>
      <c r="L2531">
        <v>0.34414126499999997</v>
      </c>
      <c r="M2531" s="21">
        <v>-1.355266085</v>
      </c>
      <c r="N2531">
        <v>-0.72336442400000001</v>
      </c>
    </row>
    <row r="2532" spans="1:14" x14ac:dyDescent="0.2">
      <c r="A2532" t="s">
        <v>2315</v>
      </c>
      <c r="B2532">
        <v>160400</v>
      </c>
      <c r="C2532" t="s">
        <v>58</v>
      </c>
      <c r="D2532" t="s">
        <v>2316</v>
      </c>
      <c r="E2532" t="s">
        <v>5146</v>
      </c>
      <c r="G2532" t="s">
        <v>5147</v>
      </c>
      <c r="J2532">
        <v>4.5363847230000003</v>
      </c>
      <c r="K2532">
        <v>0.245646371</v>
      </c>
      <c r="L2532">
        <v>7.5242279999999995E-2</v>
      </c>
      <c r="M2532" s="21">
        <v>-1.3557446230000001</v>
      </c>
      <c r="N2532">
        <v>-0.72582285700000004</v>
      </c>
    </row>
    <row r="2533" spans="1:14" x14ac:dyDescent="0.2">
      <c r="A2533" t="s">
        <v>1123</v>
      </c>
      <c r="B2533">
        <v>172000</v>
      </c>
      <c r="C2533" t="s">
        <v>149</v>
      </c>
      <c r="D2533" t="s">
        <v>1123</v>
      </c>
      <c r="E2533" t="s">
        <v>5148</v>
      </c>
      <c r="G2533" t="s">
        <v>5149</v>
      </c>
      <c r="J2533">
        <v>5.0381074159999999</v>
      </c>
      <c r="K2533">
        <v>0.81312368999999995</v>
      </c>
      <c r="L2533">
        <v>0.16969141800000001</v>
      </c>
      <c r="M2533" s="21">
        <v>-1.3562915499999999</v>
      </c>
      <c r="N2533">
        <v>-0.72863262399999995</v>
      </c>
    </row>
    <row r="2534" spans="1:14" x14ac:dyDescent="0.2">
      <c r="A2534" t="s">
        <v>2054</v>
      </c>
      <c r="B2534">
        <v>162320</v>
      </c>
      <c r="C2534" t="s">
        <v>100</v>
      </c>
      <c r="D2534" t="s">
        <v>2054</v>
      </c>
      <c r="E2534" t="s">
        <v>5150</v>
      </c>
      <c r="G2534" t="s">
        <v>5151</v>
      </c>
      <c r="J2534">
        <v>5.9110743220000002</v>
      </c>
      <c r="K2534">
        <v>0.71598987199999997</v>
      </c>
      <c r="L2534">
        <v>0.29077365599999999</v>
      </c>
      <c r="M2534" s="21">
        <v>-1.3564635570000001</v>
      </c>
      <c r="N2534">
        <v>-0.72951629100000004</v>
      </c>
    </row>
    <row r="2535" spans="1:14" x14ac:dyDescent="0.2">
      <c r="A2535" t="s">
        <v>1698</v>
      </c>
      <c r="B2535">
        <v>159440</v>
      </c>
      <c r="C2535" t="s">
        <v>58</v>
      </c>
      <c r="D2535" t="s">
        <v>1698</v>
      </c>
      <c r="E2535" t="s">
        <v>5152</v>
      </c>
      <c r="G2535" t="s">
        <v>5153</v>
      </c>
      <c r="J2535">
        <v>4.5363847230000003</v>
      </c>
      <c r="K2535">
        <v>0.245646371</v>
      </c>
      <c r="L2535">
        <v>7.5242279999999995E-2</v>
      </c>
      <c r="M2535" s="21">
        <v>-1.3566717210000001</v>
      </c>
      <c r="N2535">
        <v>-0.73058570300000003</v>
      </c>
    </row>
    <row r="2536" spans="1:14" x14ac:dyDescent="0.2">
      <c r="A2536" t="s">
        <v>1620</v>
      </c>
      <c r="B2536">
        <v>161800</v>
      </c>
      <c r="C2536" t="s">
        <v>100</v>
      </c>
      <c r="D2536" t="s">
        <v>1620</v>
      </c>
      <c r="E2536" t="s">
        <v>5154</v>
      </c>
      <c r="G2536" t="s">
        <v>5155</v>
      </c>
      <c r="J2536">
        <v>5.9110743220000002</v>
      </c>
      <c r="K2536">
        <v>0.71598987199999997</v>
      </c>
      <c r="L2536">
        <v>0.29077365599999999</v>
      </c>
      <c r="M2536" s="21">
        <v>-1.356979768</v>
      </c>
      <c r="N2536">
        <v>-0.73216826000000002</v>
      </c>
    </row>
    <row r="2537" spans="1:14" x14ac:dyDescent="0.2">
      <c r="A2537" t="s">
        <v>1092</v>
      </c>
      <c r="B2537">
        <v>208160</v>
      </c>
      <c r="C2537" t="s">
        <v>14</v>
      </c>
      <c r="D2537" t="s">
        <v>1092</v>
      </c>
      <c r="E2537" t="s">
        <v>5156</v>
      </c>
      <c r="G2537" t="s">
        <v>5157</v>
      </c>
      <c r="J2537">
        <v>6.7484204910000001</v>
      </c>
      <c r="K2537">
        <v>0.48629166299999999</v>
      </c>
      <c r="L2537">
        <v>0.375053939</v>
      </c>
      <c r="M2537" s="21">
        <v>-1.357895775</v>
      </c>
      <c r="N2537">
        <v>-0.73687412799999996</v>
      </c>
    </row>
    <row r="2538" spans="1:14" x14ac:dyDescent="0.2">
      <c r="A2538" t="s">
        <v>1052</v>
      </c>
      <c r="B2538">
        <v>91320</v>
      </c>
      <c r="C2538" t="s">
        <v>130</v>
      </c>
      <c r="D2538" t="s">
        <v>1052</v>
      </c>
      <c r="E2538" t="s">
        <v>5158</v>
      </c>
      <c r="G2538" t="s">
        <v>5159</v>
      </c>
      <c r="J2538">
        <v>5.1222566499999997</v>
      </c>
      <c r="K2538">
        <v>0.21422175600000001</v>
      </c>
      <c r="L2538">
        <v>0.25354511400000002</v>
      </c>
      <c r="M2538" s="21">
        <v>-1.3581393500000001</v>
      </c>
      <c r="N2538">
        <v>-0.73812546300000004</v>
      </c>
    </row>
    <row r="2539" spans="1:14" x14ac:dyDescent="0.2">
      <c r="A2539" t="s">
        <v>804</v>
      </c>
      <c r="B2539">
        <v>207720</v>
      </c>
      <c r="C2539" t="s">
        <v>14</v>
      </c>
      <c r="D2539" t="s">
        <v>804</v>
      </c>
      <c r="E2539" t="s">
        <v>5160</v>
      </c>
      <c r="G2539" t="s">
        <v>5161</v>
      </c>
      <c r="J2539">
        <v>6.7484204910000001</v>
      </c>
      <c r="K2539">
        <v>0.48629166299999999</v>
      </c>
      <c r="L2539">
        <v>0.375053939</v>
      </c>
      <c r="M2539" s="21">
        <v>-1.3583778929999999</v>
      </c>
      <c r="N2539">
        <v>-0.73935094700000004</v>
      </c>
    </row>
    <row r="2540" spans="1:14" x14ac:dyDescent="0.2">
      <c r="A2540" t="s">
        <v>2035</v>
      </c>
      <c r="B2540">
        <v>207680</v>
      </c>
      <c r="C2540" t="s">
        <v>14</v>
      </c>
      <c r="D2540" t="s">
        <v>2035</v>
      </c>
      <c r="E2540" t="s">
        <v>5162</v>
      </c>
      <c r="G2540" t="s">
        <v>5163</v>
      </c>
      <c r="J2540">
        <v>6.7484204910000001</v>
      </c>
      <c r="K2540">
        <v>0.48629166299999999</v>
      </c>
      <c r="L2540">
        <v>0.375053939</v>
      </c>
      <c r="M2540" s="21">
        <v>-1.3584217220000001</v>
      </c>
      <c r="N2540">
        <v>-0.73957611300000003</v>
      </c>
    </row>
    <row r="2541" spans="1:14" x14ac:dyDescent="0.2">
      <c r="A2541" t="s">
        <v>1269</v>
      </c>
      <c r="B2541">
        <v>90720</v>
      </c>
      <c r="C2541" t="s">
        <v>130</v>
      </c>
      <c r="D2541" t="s">
        <v>1269</v>
      </c>
      <c r="E2541" t="s">
        <v>5164</v>
      </c>
      <c r="G2541" t="s">
        <v>5165</v>
      </c>
      <c r="J2541">
        <v>5.1222566499999997</v>
      </c>
      <c r="K2541">
        <v>0.21422175600000001</v>
      </c>
      <c r="L2541">
        <v>0.25354511400000002</v>
      </c>
      <c r="M2541" s="21">
        <v>-1.358616848</v>
      </c>
      <c r="N2541">
        <v>-0.74057854899999997</v>
      </c>
    </row>
    <row r="2542" spans="1:14" x14ac:dyDescent="0.2">
      <c r="A2542" t="s">
        <v>1535</v>
      </c>
      <c r="B2542">
        <v>207480</v>
      </c>
      <c r="C2542" t="s">
        <v>14</v>
      </c>
      <c r="D2542" t="s">
        <v>1535</v>
      </c>
      <c r="E2542" t="s">
        <v>5166</v>
      </c>
      <c r="G2542" t="s">
        <v>5167</v>
      </c>
      <c r="J2542">
        <v>6.7484204910000001</v>
      </c>
      <c r="K2542">
        <v>0.48629166299999999</v>
      </c>
      <c r="L2542">
        <v>0.375053939</v>
      </c>
      <c r="M2542" s="21">
        <v>-1.358640866</v>
      </c>
      <c r="N2542">
        <v>-0.74070194</v>
      </c>
    </row>
    <row r="2543" spans="1:14" x14ac:dyDescent="0.2">
      <c r="A2543" t="s">
        <v>796</v>
      </c>
      <c r="B2543">
        <v>156400</v>
      </c>
      <c r="C2543" t="s">
        <v>58</v>
      </c>
      <c r="D2543" t="s">
        <v>796</v>
      </c>
      <c r="E2543" t="s">
        <v>5168</v>
      </c>
      <c r="G2543" t="s">
        <v>5169</v>
      </c>
      <c r="J2543">
        <v>4.5363847230000003</v>
      </c>
      <c r="K2543">
        <v>0.245646371</v>
      </c>
      <c r="L2543">
        <v>7.5242279999999995E-2</v>
      </c>
      <c r="M2543" s="21">
        <v>-1.359607529</v>
      </c>
      <c r="N2543">
        <v>-0.74566804799999997</v>
      </c>
    </row>
    <row r="2544" spans="1:14" x14ac:dyDescent="0.2">
      <c r="A2544" t="s">
        <v>507</v>
      </c>
      <c r="B2544">
        <v>57440</v>
      </c>
      <c r="C2544" t="s">
        <v>68</v>
      </c>
      <c r="D2544" t="s">
        <v>508</v>
      </c>
      <c r="E2544" t="s">
        <v>5170</v>
      </c>
      <c r="G2544" t="s">
        <v>5171</v>
      </c>
      <c r="J2544">
        <v>6.4561903559999996</v>
      </c>
      <c r="K2544">
        <v>0.47291064100000002</v>
      </c>
      <c r="L2544">
        <v>0.34414126499999997</v>
      </c>
      <c r="M2544" s="21">
        <v>-1.3596371620000001</v>
      </c>
      <c r="N2544">
        <v>-0.74582028499999997</v>
      </c>
    </row>
    <row r="2545" spans="1:14" x14ac:dyDescent="0.2">
      <c r="A2545" t="s">
        <v>616</v>
      </c>
      <c r="B2545">
        <v>155800</v>
      </c>
      <c r="C2545" t="s">
        <v>58</v>
      </c>
      <c r="D2545" t="s">
        <v>616</v>
      </c>
      <c r="E2545" t="s">
        <v>5172</v>
      </c>
      <c r="G2545" t="s">
        <v>5173</v>
      </c>
      <c r="J2545">
        <v>4.5363847230000003</v>
      </c>
      <c r="K2545">
        <v>0.245646371</v>
      </c>
      <c r="L2545">
        <v>7.5242279999999995E-2</v>
      </c>
      <c r="M2545" s="21">
        <v>-1.360186965</v>
      </c>
      <c r="N2545">
        <v>-0.74864482700000001</v>
      </c>
    </row>
    <row r="2546" spans="1:14" x14ac:dyDescent="0.2">
      <c r="A2546" t="s">
        <v>769</v>
      </c>
      <c r="B2546">
        <v>56840</v>
      </c>
      <c r="C2546" t="s">
        <v>68</v>
      </c>
      <c r="D2546" t="s">
        <v>769</v>
      </c>
      <c r="E2546" t="s">
        <v>5174</v>
      </c>
      <c r="G2546" t="s">
        <v>5175</v>
      </c>
      <c r="J2546">
        <v>6.4561903559999996</v>
      </c>
      <c r="K2546">
        <v>0.47291064100000002</v>
      </c>
      <c r="L2546">
        <v>0.34414126499999997</v>
      </c>
      <c r="M2546" s="21">
        <v>-1.3602173930000001</v>
      </c>
      <c r="N2546">
        <v>-0.748801151</v>
      </c>
    </row>
    <row r="2547" spans="1:14" x14ac:dyDescent="0.2">
      <c r="A2547" t="s">
        <v>1688</v>
      </c>
      <c r="B2547">
        <v>166560</v>
      </c>
      <c r="C2547" t="s">
        <v>149</v>
      </c>
      <c r="D2547" t="s">
        <v>1688</v>
      </c>
      <c r="E2547" t="s">
        <v>5176</v>
      </c>
      <c r="G2547" t="s">
        <v>5177</v>
      </c>
      <c r="J2547">
        <v>5.0381074159999999</v>
      </c>
      <c r="K2547">
        <v>0.81312368999999995</v>
      </c>
      <c r="L2547">
        <v>0.16969141800000001</v>
      </c>
      <c r="M2547" s="21">
        <v>-1.361321461</v>
      </c>
      <c r="N2547">
        <v>-0.75447316099999995</v>
      </c>
    </row>
    <row r="2548" spans="1:14" x14ac:dyDescent="0.2">
      <c r="A2548" t="s">
        <v>1986</v>
      </c>
      <c r="B2548">
        <v>166520</v>
      </c>
      <c r="C2548" t="s">
        <v>149</v>
      </c>
      <c r="D2548" t="s">
        <v>1986</v>
      </c>
      <c r="E2548" t="s">
        <v>5178</v>
      </c>
      <c r="G2548" t="s">
        <v>5179</v>
      </c>
      <c r="J2548">
        <v>5.0381074159999999</v>
      </c>
      <c r="K2548">
        <v>0.81312368999999995</v>
      </c>
      <c r="L2548">
        <v>0.16969141800000001</v>
      </c>
      <c r="M2548" s="21">
        <v>-1.3613584460000001</v>
      </c>
      <c r="N2548">
        <v>-0.75466316499999997</v>
      </c>
    </row>
    <row r="2549" spans="1:14" x14ac:dyDescent="0.2">
      <c r="A2549" t="s">
        <v>883</v>
      </c>
      <c r="B2549">
        <v>154320</v>
      </c>
      <c r="C2549" t="s">
        <v>58</v>
      </c>
      <c r="D2549" t="s">
        <v>883</v>
      </c>
      <c r="E2549" t="s">
        <v>5180</v>
      </c>
      <c r="G2549" t="s">
        <v>5181</v>
      </c>
      <c r="J2549">
        <v>4.5363847230000003</v>
      </c>
      <c r="K2549">
        <v>0.245646371</v>
      </c>
      <c r="L2549">
        <v>7.5242279999999995E-2</v>
      </c>
      <c r="M2549" s="21">
        <v>-1.36161624</v>
      </c>
      <c r="N2549">
        <v>-0.75598754800000001</v>
      </c>
    </row>
    <row r="2550" spans="1:14" x14ac:dyDescent="0.2">
      <c r="A2550" t="s">
        <v>625</v>
      </c>
      <c r="B2550">
        <v>86880</v>
      </c>
      <c r="C2550" t="s">
        <v>130</v>
      </c>
      <c r="D2550" t="s">
        <v>625</v>
      </c>
      <c r="E2550" t="s">
        <v>5182</v>
      </c>
      <c r="G2550" t="s">
        <v>5183</v>
      </c>
      <c r="J2550">
        <v>5.1222566499999997</v>
      </c>
      <c r="K2550">
        <v>0.21422175600000001</v>
      </c>
      <c r="L2550">
        <v>0.25354511400000002</v>
      </c>
      <c r="M2550" s="21">
        <v>-1.3616728339999999</v>
      </c>
      <c r="N2550">
        <v>-0.75627829599999996</v>
      </c>
    </row>
    <row r="2551" spans="1:14" x14ac:dyDescent="0.2">
      <c r="A2551" t="s">
        <v>574</v>
      </c>
      <c r="B2551">
        <v>154200</v>
      </c>
      <c r="C2551" t="s">
        <v>58</v>
      </c>
      <c r="D2551" t="s">
        <v>574</v>
      </c>
      <c r="E2551" t="s">
        <v>5184</v>
      </c>
      <c r="G2551" t="s">
        <v>5185</v>
      </c>
      <c r="J2551">
        <v>4.5363847230000003</v>
      </c>
      <c r="K2551">
        <v>0.245646371</v>
      </c>
      <c r="L2551">
        <v>7.5242279999999995E-2</v>
      </c>
      <c r="M2551" s="21">
        <v>-1.361732127</v>
      </c>
      <c r="N2551">
        <v>-0.75658290399999995</v>
      </c>
    </row>
    <row r="2552" spans="1:14" x14ac:dyDescent="0.2">
      <c r="A2552" t="s">
        <v>1095</v>
      </c>
      <c r="B2552">
        <v>55160</v>
      </c>
      <c r="C2552" t="s">
        <v>68</v>
      </c>
      <c r="D2552" t="s">
        <v>1096</v>
      </c>
      <c r="E2552" t="s">
        <v>5186</v>
      </c>
      <c r="G2552" t="s">
        <v>5187</v>
      </c>
      <c r="J2552">
        <v>6.4561903559999996</v>
      </c>
      <c r="K2552">
        <v>0.47291064100000002</v>
      </c>
      <c r="L2552">
        <v>0.34414126499999997</v>
      </c>
      <c r="M2552" s="21">
        <v>-1.3618420419999999</v>
      </c>
      <c r="N2552">
        <v>-0.75714757700000002</v>
      </c>
    </row>
    <row r="2553" spans="1:14" x14ac:dyDescent="0.2">
      <c r="A2553" t="s">
        <v>2077</v>
      </c>
      <c r="B2553">
        <v>55040</v>
      </c>
      <c r="C2553" t="s">
        <v>68</v>
      </c>
      <c r="D2553" t="s">
        <v>2077</v>
      </c>
      <c r="E2553" t="s">
        <v>5188</v>
      </c>
      <c r="G2553" t="s">
        <v>5189</v>
      </c>
      <c r="J2553">
        <v>6.4561903559999996</v>
      </c>
      <c r="K2553">
        <v>0.47291064100000002</v>
      </c>
      <c r="L2553">
        <v>0.34414126499999997</v>
      </c>
      <c r="M2553" s="21">
        <v>-1.361958088</v>
      </c>
      <c r="N2553">
        <v>-0.75774375000000005</v>
      </c>
    </row>
    <row r="2554" spans="1:14" x14ac:dyDescent="0.2">
      <c r="A2554" t="s">
        <v>13</v>
      </c>
      <c r="B2554">
        <v>85160</v>
      </c>
      <c r="C2554" t="s">
        <v>130</v>
      </c>
      <c r="D2554" t="s">
        <v>13</v>
      </c>
      <c r="E2554" t="s">
        <v>5190</v>
      </c>
      <c r="G2554" t="s">
        <v>5191</v>
      </c>
      <c r="J2554">
        <v>5.1222566499999997</v>
      </c>
      <c r="K2554">
        <v>0.21422175600000001</v>
      </c>
      <c r="L2554">
        <v>0.25354511400000002</v>
      </c>
      <c r="M2554" s="21">
        <v>-1.3630416620000001</v>
      </c>
      <c r="N2554">
        <v>-0.76331047399999996</v>
      </c>
    </row>
    <row r="2555" spans="1:14" x14ac:dyDescent="0.2">
      <c r="A2555" t="s">
        <v>1330</v>
      </c>
      <c r="B2555">
        <v>53120</v>
      </c>
      <c r="C2555" t="s">
        <v>68</v>
      </c>
      <c r="D2555" t="s">
        <v>1330</v>
      </c>
      <c r="E2555" t="s">
        <v>5192</v>
      </c>
      <c r="G2555" t="s">
        <v>5193</v>
      </c>
      <c r="J2555">
        <v>6.4561903559999996</v>
      </c>
      <c r="K2555">
        <v>0.47291064100000002</v>
      </c>
      <c r="L2555">
        <v>0.34414126499999997</v>
      </c>
      <c r="M2555" s="21">
        <v>-1.3638148290000001</v>
      </c>
      <c r="N2555">
        <v>-0.76728252299999999</v>
      </c>
    </row>
    <row r="2556" spans="1:14" x14ac:dyDescent="0.2">
      <c r="A2556" t="s">
        <v>116</v>
      </c>
      <c r="B2556">
        <v>154080</v>
      </c>
      <c r="C2556" t="s">
        <v>100</v>
      </c>
      <c r="D2556" t="s">
        <v>117</v>
      </c>
      <c r="E2556" t="s">
        <v>5194</v>
      </c>
      <c r="G2556" t="s">
        <v>5195</v>
      </c>
      <c r="J2556">
        <v>5.9110743220000002</v>
      </c>
      <c r="K2556">
        <v>0.71598987199999997</v>
      </c>
      <c r="L2556">
        <v>0.29077365599999999</v>
      </c>
      <c r="M2556" s="21">
        <v>-1.364643517</v>
      </c>
      <c r="N2556">
        <v>-0.77153980300000002</v>
      </c>
    </row>
    <row r="2557" spans="1:14" x14ac:dyDescent="0.2">
      <c r="A2557" t="s">
        <v>392</v>
      </c>
      <c r="B2557">
        <v>52080</v>
      </c>
      <c r="C2557" t="s">
        <v>68</v>
      </c>
      <c r="D2557" t="s">
        <v>392</v>
      </c>
      <c r="E2557" t="s">
        <v>5196</v>
      </c>
      <c r="G2557" t="s">
        <v>5197</v>
      </c>
      <c r="J2557">
        <v>6.4561903559999996</v>
      </c>
      <c r="K2557">
        <v>0.47291064100000002</v>
      </c>
      <c r="L2557">
        <v>0.34414126499999997</v>
      </c>
      <c r="M2557" s="21">
        <v>-1.3648205630000001</v>
      </c>
      <c r="N2557">
        <v>-0.77244935800000003</v>
      </c>
    </row>
    <row r="2558" spans="1:14" x14ac:dyDescent="0.2">
      <c r="A2558" t="s">
        <v>681</v>
      </c>
      <c r="B2558">
        <v>201720</v>
      </c>
      <c r="C2558" t="s">
        <v>14</v>
      </c>
      <c r="D2558" t="s">
        <v>682</v>
      </c>
      <c r="E2558" t="s">
        <v>5198</v>
      </c>
      <c r="G2558" t="s">
        <v>5199</v>
      </c>
      <c r="J2558">
        <v>6.7484204910000001</v>
      </c>
      <c r="K2558">
        <v>0.48629166299999999</v>
      </c>
      <c r="L2558">
        <v>0.375053939</v>
      </c>
      <c r="M2558" s="21">
        <v>-1.3649522270000001</v>
      </c>
      <c r="N2558">
        <v>-0.77312576099999997</v>
      </c>
    </row>
    <row r="2559" spans="1:14" x14ac:dyDescent="0.2">
      <c r="A2559" t="s">
        <v>944</v>
      </c>
      <c r="B2559">
        <v>153680</v>
      </c>
      <c r="C2559" t="s">
        <v>100</v>
      </c>
      <c r="D2559" t="s">
        <v>944</v>
      </c>
      <c r="E2559" t="s">
        <v>5200</v>
      </c>
      <c r="G2559" t="s">
        <v>5201</v>
      </c>
      <c r="J2559">
        <v>5.9110743220000002</v>
      </c>
      <c r="K2559">
        <v>0.71598987199999997</v>
      </c>
      <c r="L2559">
        <v>0.29077365599999999</v>
      </c>
      <c r="M2559" s="21">
        <v>-1.3650406020000001</v>
      </c>
      <c r="N2559">
        <v>-0.77357977899999997</v>
      </c>
    </row>
    <row r="2560" spans="1:14" x14ac:dyDescent="0.2">
      <c r="A2560" t="s">
        <v>465</v>
      </c>
      <c r="B2560">
        <v>161480</v>
      </c>
      <c r="C2560" t="s">
        <v>149</v>
      </c>
      <c r="D2560" t="s">
        <v>466</v>
      </c>
      <c r="E2560" t="s">
        <v>5202</v>
      </c>
      <c r="G2560" t="s">
        <v>5203</v>
      </c>
      <c r="J2560">
        <v>5.0381074159999999</v>
      </c>
      <c r="K2560">
        <v>0.81312368999999995</v>
      </c>
      <c r="L2560">
        <v>0.16969141800000001</v>
      </c>
      <c r="M2560" s="21">
        <v>-1.366018511</v>
      </c>
      <c r="N2560">
        <v>-0.77860366299999995</v>
      </c>
    </row>
    <row r="2561" spans="1:14" x14ac:dyDescent="0.2">
      <c r="A2561" t="s">
        <v>1963</v>
      </c>
      <c r="B2561">
        <v>152600</v>
      </c>
      <c r="C2561" t="s">
        <v>100</v>
      </c>
      <c r="D2561" t="s">
        <v>1963</v>
      </c>
      <c r="E2561" t="s">
        <v>5204</v>
      </c>
      <c r="G2561" t="s">
        <v>5205</v>
      </c>
      <c r="J2561">
        <v>5.9110743220000002</v>
      </c>
      <c r="K2561">
        <v>0.71598987199999997</v>
      </c>
      <c r="L2561">
        <v>0.29077365599999999</v>
      </c>
      <c r="M2561" s="21">
        <v>-1.366112733</v>
      </c>
      <c r="N2561">
        <v>-0.77908771499999996</v>
      </c>
    </row>
    <row r="2562" spans="1:14" x14ac:dyDescent="0.2">
      <c r="A2562" t="s">
        <v>511</v>
      </c>
      <c r="B2562">
        <v>152240</v>
      </c>
      <c r="C2562" t="s">
        <v>100</v>
      </c>
      <c r="D2562" t="s">
        <v>511</v>
      </c>
      <c r="E2562" t="s">
        <v>5206</v>
      </c>
      <c r="G2562" t="s">
        <v>5207</v>
      </c>
      <c r="J2562">
        <v>5.9110743220000002</v>
      </c>
      <c r="K2562">
        <v>0.71598987199999997</v>
      </c>
      <c r="L2562">
        <v>0.29077365599999999</v>
      </c>
      <c r="M2562" s="21">
        <v>-1.366470109</v>
      </c>
      <c r="N2562">
        <v>-0.78092369399999995</v>
      </c>
    </row>
    <row r="2563" spans="1:14" x14ac:dyDescent="0.2">
      <c r="A2563" t="s">
        <v>1031</v>
      </c>
      <c r="B2563">
        <v>50160</v>
      </c>
      <c r="C2563" t="s">
        <v>68</v>
      </c>
      <c r="D2563" t="s">
        <v>1031</v>
      </c>
      <c r="E2563" t="s">
        <v>5208</v>
      </c>
      <c r="G2563" t="s">
        <v>5209</v>
      </c>
      <c r="J2563">
        <v>6.4561903559999996</v>
      </c>
      <c r="K2563">
        <v>0.47291064100000002</v>
      </c>
      <c r="L2563">
        <v>0.34414126499999997</v>
      </c>
      <c r="M2563" s="21">
        <v>-1.366677304</v>
      </c>
      <c r="N2563">
        <v>-0.78198813099999998</v>
      </c>
    </row>
    <row r="2564" spans="1:14" x14ac:dyDescent="0.2">
      <c r="A2564" t="s">
        <v>1739</v>
      </c>
      <c r="B2564">
        <v>148960</v>
      </c>
      <c r="C2564" t="s">
        <v>58</v>
      </c>
      <c r="D2564" t="s">
        <v>1739</v>
      </c>
      <c r="E2564" t="s">
        <v>5210</v>
      </c>
      <c r="G2564" t="s">
        <v>5211</v>
      </c>
      <c r="J2564">
        <v>4.5363847230000003</v>
      </c>
      <c r="K2564">
        <v>0.245646371</v>
      </c>
      <c r="L2564">
        <v>7.5242279999999995E-2</v>
      </c>
      <c r="M2564" s="21">
        <v>-1.3667925329999999</v>
      </c>
      <c r="N2564">
        <v>-0.782580104</v>
      </c>
    </row>
    <row r="2565" spans="1:14" x14ac:dyDescent="0.2">
      <c r="A2565" t="s">
        <v>190</v>
      </c>
      <c r="B2565">
        <v>199920</v>
      </c>
      <c r="C2565" t="s">
        <v>14</v>
      </c>
      <c r="D2565" t="s">
        <v>190</v>
      </c>
      <c r="E2565" t="s">
        <v>5212</v>
      </c>
      <c r="G2565" t="s">
        <v>5213</v>
      </c>
      <c r="J2565">
        <v>6.7484204910000001</v>
      </c>
      <c r="K2565">
        <v>0.48629166299999999</v>
      </c>
      <c r="L2565">
        <v>0.375053939</v>
      </c>
      <c r="M2565" s="21">
        <v>-1.3669245269999999</v>
      </c>
      <c r="N2565">
        <v>-0.78325820499999999</v>
      </c>
    </row>
    <row r="2566" spans="1:14" x14ac:dyDescent="0.2">
      <c r="A2566" t="s">
        <v>47</v>
      </c>
      <c r="B2566">
        <v>49600</v>
      </c>
      <c r="C2566" t="s">
        <v>68</v>
      </c>
      <c r="D2566" t="s">
        <v>48</v>
      </c>
      <c r="E2566" t="s">
        <v>5214</v>
      </c>
      <c r="G2566" t="s">
        <v>5215</v>
      </c>
      <c r="J2566">
        <v>6.4561903559999996</v>
      </c>
      <c r="K2566">
        <v>0.47291064100000002</v>
      </c>
      <c r="L2566">
        <v>0.34414126499999997</v>
      </c>
      <c r="M2566" s="21">
        <v>-1.3672188540000001</v>
      </c>
      <c r="N2566">
        <v>-0.78477027300000002</v>
      </c>
    </row>
    <row r="2567" spans="1:14" x14ac:dyDescent="0.2">
      <c r="A2567" t="s">
        <v>1882</v>
      </c>
      <c r="B2567">
        <v>148400</v>
      </c>
      <c r="C2567" t="s">
        <v>58</v>
      </c>
      <c r="D2567" t="s">
        <v>1882</v>
      </c>
      <c r="E2567" t="s">
        <v>5216</v>
      </c>
      <c r="G2567" t="s">
        <v>5217</v>
      </c>
      <c r="J2567">
        <v>4.5363847230000003</v>
      </c>
      <c r="K2567">
        <v>0.245646371</v>
      </c>
      <c r="L2567">
        <v>7.5242279999999995E-2</v>
      </c>
      <c r="M2567" s="21">
        <v>-1.3673333400000001</v>
      </c>
      <c r="N2567">
        <v>-0.78535843100000002</v>
      </c>
    </row>
    <row r="2568" spans="1:14" x14ac:dyDescent="0.2">
      <c r="A2568" t="s">
        <v>1368</v>
      </c>
      <c r="B2568">
        <v>199520</v>
      </c>
      <c r="C2568" t="s">
        <v>14</v>
      </c>
      <c r="D2568" t="s">
        <v>1368</v>
      </c>
      <c r="E2568" t="s">
        <v>5218</v>
      </c>
      <c r="G2568" t="s">
        <v>5219</v>
      </c>
      <c r="J2568">
        <v>6.7484204910000001</v>
      </c>
      <c r="K2568">
        <v>0.48629166299999999</v>
      </c>
      <c r="L2568">
        <v>0.375053939</v>
      </c>
      <c r="M2568" s="21">
        <v>-1.367362816</v>
      </c>
      <c r="N2568">
        <v>-0.78550985900000003</v>
      </c>
    </row>
    <row r="2569" spans="1:14" x14ac:dyDescent="0.2">
      <c r="A2569" t="s">
        <v>598</v>
      </c>
      <c r="B2569">
        <v>79520</v>
      </c>
      <c r="C2569" t="s">
        <v>130</v>
      </c>
      <c r="D2569" t="s">
        <v>598</v>
      </c>
      <c r="E2569" t="s">
        <v>5220</v>
      </c>
      <c r="G2569" t="s">
        <v>5221</v>
      </c>
      <c r="J2569">
        <v>5.1222566499999997</v>
      </c>
      <c r="K2569">
        <v>0.21422175600000001</v>
      </c>
      <c r="L2569">
        <v>0.25354511400000002</v>
      </c>
      <c r="M2569" s="21">
        <v>-1.3675301419999999</v>
      </c>
      <c r="N2569">
        <v>-0.78636947800000001</v>
      </c>
    </row>
    <row r="2570" spans="1:14" x14ac:dyDescent="0.2">
      <c r="A2570" t="s">
        <v>951</v>
      </c>
      <c r="B2570">
        <v>151000</v>
      </c>
      <c r="C2570" t="s">
        <v>100</v>
      </c>
      <c r="D2570" t="s">
        <v>951</v>
      </c>
      <c r="E2570" t="s">
        <v>5222</v>
      </c>
      <c r="G2570" t="s">
        <v>5223</v>
      </c>
      <c r="J2570">
        <v>5.9110743220000002</v>
      </c>
      <c r="K2570">
        <v>0.71598987199999997</v>
      </c>
      <c r="L2570">
        <v>0.29077365599999999</v>
      </c>
      <c r="M2570" s="21">
        <v>-1.367701074</v>
      </c>
      <c r="N2570">
        <v>-0.78724762000000004</v>
      </c>
    </row>
    <row r="2571" spans="1:14" x14ac:dyDescent="0.2">
      <c r="A2571" t="s">
        <v>756</v>
      </c>
      <c r="B2571">
        <v>49080</v>
      </c>
      <c r="C2571" t="s">
        <v>68</v>
      </c>
      <c r="D2571" t="s">
        <v>756</v>
      </c>
      <c r="E2571" t="s">
        <v>5224</v>
      </c>
      <c r="G2571" t="s">
        <v>5225</v>
      </c>
      <c r="J2571">
        <v>6.4561903559999996</v>
      </c>
      <c r="K2571">
        <v>0.47291064100000002</v>
      </c>
      <c r="L2571">
        <v>0.34414126499999997</v>
      </c>
      <c r="M2571" s="21">
        <v>-1.3677217209999999</v>
      </c>
      <c r="N2571">
        <v>-0.78735369099999997</v>
      </c>
    </row>
    <row r="2572" spans="1:14" x14ac:dyDescent="0.2">
      <c r="A2572" t="s">
        <v>289</v>
      </c>
      <c r="B2572">
        <v>48880</v>
      </c>
      <c r="C2572" t="s">
        <v>68</v>
      </c>
      <c r="D2572" t="s">
        <v>290</v>
      </c>
      <c r="E2572" t="s">
        <v>5226</v>
      </c>
      <c r="G2572" t="s">
        <v>5227</v>
      </c>
      <c r="J2572">
        <v>6.4561903559999996</v>
      </c>
      <c r="K2572">
        <v>0.47291064100000002</v>
      </c>
      <c r="L2572">
        <v>0.34414126499999997</v>
      </c>
      <c r="M2572" s="21">
        <v>-1.367915131</v>
      </c>
      <c r="N2572">
        <v>-0.78834731300000005</v>
      </c>
    </row>
    <row r="2573" spans="1:14" x14ac:dyDescent="0.2">
      <c r="A2573" t="s">
        <v>2073</v>
      </c>
      <c r="B2573">
        <v>150600</v>
      </c>
      <c r="C2573" t="s">
        <v>100</v>
      </c>
      <c r="D2573" t="s">
        <v>2074</v>
      </c>
      <c r="E2573" t="s">
        <v>5228</v>
      </c>
      <c r="G2573" t="s">
        <v>5229</v>
      </c>
      <c r="J2573">
        <v>5.9110743220000002</v>
      </c>
      <c r="K2573">
        <v>0.71598987199999997</v>
      </c>
      <c r="L2573">
        <v>0.29077365599999999</v>
      </c>
      <c r="M2573" s="21">
        <v>-1.36809816</v>
      </c>
      <c r="N2573">
        <v>-0.78928759599999998</v>
      </c>
    </row>
    <row r="2574" spans="1:14" x14ac:dyDescent="0.2">
      <c r="A2574" t="s">
        <v>2315</v>
      </c>
      <c r="B2574">
        <v>198840</v>
      </c>
      <c r="C2574" t="s">
        <v>14</v>
      </c>
      <c r="D2574" t="s">
        <v>2316</v>
      </c>
      <c r="E2574" t="s">
        <v>5230</v>
      </c>
      <c r="G2574" t="s">
        <v>5231</v>
      </c>
      <c r="J2574">
        <v>6.7484204910000001</v>
      </c>
      <c r="K2574">
        <v>0.48629166299999999</v>
      </c>
      <c r="L2574">
        <v>0.375053939</v>
      </c>
      <c r="M2574" s="21">
        <v>-1.368107907</v>
      </c>
      <c r="N2574">
        <v>-0.78933767200000005</v>
      </c>
    </row>
    <row r="2575" spans="1:14" x14ac:dyDescent="0.2">
      <c r="A2575" t="s">
        <v>431</v>
      </c>
      <c r="B2575">
        <v>48360</v>
      </c>
      <c r="C2575" t="s">
        <v>68</v>
      </c>
      <c r="D2575" t="s">
        <v>432</v>
      </c>
      <c r="E2575" t="s">
        <v>5232</v>
      </c>
      <c r="G2575" t="s">
        <v>5233</v>
      </c>
      <c r="J2575">
        <v>6.4561903559999996</v>
      </c>
      <c r="K2575">
        <v>0.47291064100000002</v>
      </c>
      <c r="L2575">
        <v>0.34414126499999997</v>
      </c>
      <c r="M2575" s="21">
        <v>-1.3684179990000001</v>
      </c>
      <c r="N2575">
        <v>-0.79093073000000003</v>
      </c>
    </row>
    <row r="2576" spans="1:14" x14ac:dyDescent="0.2">
      <c r="A2576" t="s">
        <v>2073</v>
      </c>
      <c r="B2576">
        <v>198440</v>
      </c>
      <c r="C2576" t="s">
        <v>14</v>
      </c>
      <c r="D2576" t="s">
        <v>2074</v>
      </c>
      <c r="E2576" t="s">
        <v>5234</v>
      </c>
      <c r="G2576" t="s">
        <v>5235</v>
      </c>
      <c r="J2576">
        <v>6.7484204910000001</v>
      </c>
      <c r="K2576">
        <v>0.48629166299999999</v>
      </c>
      <c r="L2576">
        <v>0.375053939</v>
      </c>
      <c r="M2576" s="21">
        <v>-1.368546196</v>
      </c>
      <c r="N2576">
        <v>-0.79158932599999998</v>
      </c>
    </row>
    <row r="2577" spans="1:14" x14ac:dyDescent="0.2">
      <c r="A2577" t="s">
        <v>507</v>
      </c>
      <c r="B2577">
        <v>78000</v>
      </c>
      <c r="C2577" t="s">
        <v>130</v>
      </c>
      <c r="D2577" t="s">
        <v>508</v>
      </c>
      <c r="E2577" t="s">
        <v>5236</v>
      </c>
      <c r="G2577" t="s">
        <v>5237</v>
      </c>
      <c r="J2577">
        <v>5.1222566499999997</v>
      </c>
      <c r="K2577">
        <v>0.21422175600000001</v>
      </c>
      <c r="L2577">
        <v>0.25354511400000002</v>
      </c>
      <c r="M2577" s="21">
        <v>-1.368739803</v>
      </c>
      <c r="N2577">
        <v>-0.79258396099999995</v>
      </c>
    </row>
    <row r="2578" spans="1:14" x14ac:dyDescent="0.2">
      <c r="A2578" t="s">
        <v>1155</v>
      </c>
      <c r="B2578">
        <v>77680</v>
      </c>
      <c r="C2578" t="s">
        <v>130</v>
      </c>
      <c r="D2578" t="s">
        <v>1156</v>
      </c>
      <c r="E2578" t="s">
        <v>5238</v>
      </c>
      <c r="G2578" t="s">
        <v>5239</v>
      </c>
      <c r="J2578">
        <v>5.1222566499999997</v>
      </c>
      <c r="K2578">
        <v>0.21422175600000001</v>
      </c>
      <c r="L2578">
        <v>0.25354511400000002</v>
      </c>
      <c r="M2578" s="21">
        <v>-1.368994469</v>
      </c>
      <c r="N2578">
        <v>-0.79389227399999995</v>
      </c>
    </row>
    <row r="2579" spans="1:14" x14ac:dyDescent="0.2">
      <c r="A2579" t="s">
        <v>1356</v>
      </c>
      <c r="B2579">
        <v>157440</v>
      </c>
      <c r="C2579" t="s">
        <v>149</v>
      </c>
      <c r="D2579" t="s">
        <v>1356</v>
      </c>
      <c r="E2579" t="s">
        <v>5240</v>
      </c>
      <c r="G2579" t="s">
        <v>5241</v>
      </c>
      <c r="J2579">
        <v>5.0381074159999999</v>
      </c>
      <c r="K2579">
        <v>0.81312368999999995</v>
      </c>
      <c r="L2579">
        <v>0.16969141800000001</v>
      </c>
      <c r="M2579" s="21">
        <v>-1.3697539599999999</v>
      </c>
      <c r="N2579">
        <v>-0.79779406200000003</v>
      </c>
    </row>
    <row r="2580" spans="1:14" x14ac:dyDescent="0.2">
      <c r="A2580" t="s">
        <v>671</v>
      </c>
      <c r="B2580">
        <v>46840</v>
      </c>
      <c r="C2580" t="s">
        <v>68</v>
      </c>
      <c r="D2580" t="s">
        <v>672</v>
      </c>
      <c r="E2580" t="s">
        <v>5242</v>
      </c>
      <c r="G2580" t="s">
        <v>5243</v>
      </c>
      <c r="J2580">
        <v>6.4561903559999996</v>
      </c>
      <c r="K2580">
        <v>0.47291064100000002</v>
      </c>
      <c r="L2580">
        <v>0.34414126499999997</v>
      </c>
      <c r="M2580" s="21">
        <v>-1.369887919</v>
      </c>
      <c r="N2580">
        <v>-0.79848225900000003</v>
      </c>
    </row>
    <row r="2581" spans="1:14" x14ac:dyDescent="0.2">
      <c r="A2581" t="s">
        <v>1897</v>
      </c>
      <c r="B2581">
        <v>46680</v>
      </c>
      <c r="C2581" t="s">
        <v>68</v>
      </c>
      <c r="D2581" t="s">
        <v>1897</v>
      </c>
      <c r="E2581" t="s">
        <v>5244</v>
      </c>
      <c r="G2581" t="s">
        <v>5245</v>
      </c>
      <c r="J2581">
        <v>6.4561903559999996</v>
      </c>
      <c r="K2581">
        <v>0.47291064100000002</v>
      </c>
      <c r="L2581">
        <v>0.34414126499999997</v>
      </c>
      <c r="M2581" s="21">
        <v>-1.370042647</v>
      </c>
      <c r="N2581">
        <v>-0.79927715700000002</v>
      </c>
    </row>
    <row r="2582" spans="1:14" x14ac:dyDescent="0.2">
      <c r="A2582" t="s">
        <v>3164</v>
      </c>
      <c r="B2582">
        <v>46040</v>
      </c>
      <c r="C2582" t="s">
        <v>68</v>
      </c>
      <c r="D2582" t="s">
        <v>3165</v>
      </c>
      <c r="E2582" t="s">
        <v>5246</v>
      </c>
      <c r="G2582" t="s">
        <v>5247</v>
      </c>
      <c r="J2582">
        <v>6.4561903559999996</v>
      </c>
      <c r="K2582">
        <v>0.47291064100000002</v>
      </c>
      <c r="L2582">
        <v>0.34414126499999997</v>
      </c>
      <c r="M2582" s="21">
        <v>-1.3706615609999999</v>
      </c>
      <c r="N2582">
        <v>-0.80245674700000003</v>
      </c>
    </row>
    <row r="2583" spans="1:14" x14ac:dyDescent="0.2">
      <c r="A2583" t="s">
        <v>963</v>
      </c>
      <c r="B2583">
        <v>45960</v>
      </c>
      <c r="C2583" t="s">
        <v>68</v>
      </c>
      <c r="D2583" t="s">
        <v>963</v>
      </c>
      <c r="E2583" t="s">
        <v>5248</v>
      </c>
      <c r="G2583" t="s">
        <v>5249</v>
      </c>
      <c r="J2583">
        <v>6.4561903559999996</v>
      </c>
      <c r="K2583">
        <v>0.47291064100000002</v>
      </c>
      <c r="L2583">
        <v>0.34414126499999997</v>
      </c>
      <c r="M2583" s="21">
        <v>-1.3707389249999999</v>
      </c>
      <c r="N2583">
        <v>-0.80285419599999996</v>
      </c>
    </row>
    <row r="2584" spans="1:14" x14ac:dyDescent="0.2">
      <c r="A2584" t="s">
        <v>1368</v>
      </c>
      <c r="B2584">
        <v>144560</v>
      </c>
      <c r="C2584" t="s">
        <v>58</v>
      </c>
      <c r="D2584" t="s">
        <v>1368</v>
      </c>
      <c r="E2584" t="s">
        <v>5250</v>
      </c>
      <c r="G2584" t="s">
        <v>5251</v>
      </c>
      <c r="J2584">
        <v>4.5363847230000003</v>
      </c>
      <c r="K2584">
        <v>0.245646371</v>
      </c>
      <c r="L2584">
        <v>7.5242279999999995E-2</v>
      </c>
      <c r="M2584" s="21">
        <v>-1.3710417290000001</v>
      </c>
      <c r="N2584">
        <v>-0.80440981499999997</v>
      </c>
    </row>
    <row r="2585" spans="1:14" x14ac:dyDescent="0.2">
      <c r="A2585" t="s">
        <v>500</v>
      </c>
      <c r="B2585">
        <v>45360</v>
      </c>
      <c r="C2585" t="s">
        <v>68</v>
      </c>
      <c r="D2585" t="s">
        <v>501</v>
      </c>
      <c r="E2585" t="s">
        <v>5252</v>
      </c>
      <c r="G2585" t="s">
        <v>5253</v>
      </c>
      <c r="J2585">
        <v>6.4561903559999996</v>
      </c>
      <c r="K2585">
        <v>0.47291064100000002</v>
      </c>
      <c r="L2585">
        <v>0.34414126499999997</v>
      </c>
      <c r="M2585" s="21">
        <v>-1.371319156</v>
      </c>
      <c r="N2585">
        <v>-0.80583506299999996</v>
      </c>
    </row>
    <row r="2586" spans="1:14" x14ac:dyDescent="0.2">
      <c r="A2586" t="s">
        <v>554</v>
      </c>
      <c r="B2586">
        <v>74680</v>
      </c>
      <c r="C2586" t="s">
        <v>130</v>
      </c>
      <c r="D2586" t="s">
        <v>555</v>
      </c>
      <c r="E2586" t="s">
        <v>5254</v>
      </c>
      <c r="G2586" t="s">
        <v>5255</v>
      </c>
      <c r="J2586">
        <v>5.1222566499999997</v>
      </c>
      <c r="K2586">
        <v>0.21422175600000001</v>
      </c>
      <c r="L2586">
        <v>0.25354511400000002</v>
      </c>
      <c r="M2586" s="21">
        <v>-1.371381959</v>
      </c>
      <c r="N2586">
        <v>-0.80615770099999995</v>
      </c>
    </row>
    <row r="2587" spans="1:14" x14ac:dyDescent="0.2">
      <c r="A2587" t="s">
        <v>1365</v>
      </c>
      <c r="B2587">
        <v>44880</v>
      </c>
      <c r="C2587" t="s">
        <v>68</v>
      </c>
      <c r="D2587" t="s">
        <v>1365</v>
      </c>
      <c r="E2587" t="s">
        <v>5256</v>
      </c>
      <c r="G2587" t="s">
        <v>5257</v>
      </c>
      <c r="J2587">
        <v>6.4561903559999996</v>
      </c>
      <c r="K2587">
        <v>0.47291064100000002</v>
      </c>
      <c r="L2587">
        <v>0.34414126499999997</v>
      </c>
      <c r="M2587" s="21">
        <v>-1.3717833420000001</v>
      </c>
      <c r="N2587">
        <v>-0.80821975599999996</v>
      </c>
    </row>
    <row r="2588" spans="1:14" x14ac:dyDescent="0.2">
      <c r="A2588" t="s">
        <v>1773</v>
      </c>
      <c r="B2588">
        <v>44520</v>
      </c>
      <c r="C2588" t="s">
        <v>68</v>
      </c>
      <c r="D2588" t="s">
        <v>1773</v>
      </c>
      <c r="E2588" t="s">
        <v>5258</v>
      </c>
      <c r="G2588" t="s">
        <v>5259</v>
      </c>
      <c r="J2588">
        <v>6.4561903559999996</v>
      </c>
      <c r="K2588">
        <v>0.47291064100000002</v>
      </c>
      <c r="L2588">
        <v>0.34414126499999997</v>
      </c>
      <c r="M2588" s="21">
        <v>-1.37213148</v>
      </c>
      <c r="N2588">
        <v>-0.81000827600000003</v>
      </c>
    </row>
    <row r="2589" spans="1:14" x14ac:dyDescent="0.2">
      <c r="A2589" t="s">
        <v>522</v>
      </c>
      <c r="B2589">
        <v>142880</v>
      </c>
      <c r="C2589" t="s">
        <v>58</v>
      </c>
      <c r="D2589" t="s">
        <v>522</v>
      </c>
      <c r="E2589" t="s">
        <v>5260</v>
      </c>
      <c r="G2589" t="s">
        <v>5261</v>
      </c>
      <c r="J2589">
        <v>4.5363847230000003</v>
      </c>
      <c r="K2589">
        <v>0.245646371</v>
      </c>
      <c r="L2589">
        <v>7.5242279999999995E-2</v>
      </c>
      <c r="M2589" s="21">
        <v>-1.372664149</v>
      </c>
      <c r="N2589">
        <v>-0.81274479499999996</v>
      </c>
    </row>
    <row r="2590" spans="1:14" x14ac:dyDescent="0.2">
      <c r="A2590" t="s">
        <v>1190</v>
      </c>
      <c r="B2590">
        <v>43920</v>
      </c>
      <c r="C2590" t="s">
        <v>68</v>
      </c>
      <c r="D2590" t="s">
        <v>1190</v>
      </c>
      <c r="E2590" t="s">
        <v>5262</v>
      </c>
      <c r="G2590" t="s">
        <v>5263</v>
      </c>
      <c r="J2590">
        <v>6.4561903559999996</v>
      </c>
      <c r="K2590">
        <v>0.47291064100000002</v>
      </c>
      <c r="L2590">
        <v>0.34414126499999997</v>
      </c>
      <c r="M2590" s="21">
        <v>-1.3727117120000001</v>
      </c>
      <c r="N2590">
        <v>-0.81298914200000005</v>
      </c>
    </row>
    <row r="2591" spans="1:14" x14ac:dyDescent="0.2">
      <c r="A2591" t="s">
        <v>1167</v>
      </c>
      <c r="B2591">
        <v>43480</v>
      </c>
      <c r="C2591" t="s">
        <v>68</v>
      </c>
      <c r="D2591" t="s">
        <v>1168</v>
      </c>
      <c r="E2591" t="s">
        <v>5264</v>
      </c>
      <c r="G2591" t="s">
        <v>5265</v>
      </c>
      <c r="J2591">
        <v>6.4561903559999996</v>
      </c>
      <c r="K2591">
        <v>0.47291064100000002</v>
      </c>
      <c r="L2591">
        <v>0.34414126499999997</v>
      </c>
      <c r="M2591" s="21">
        <v>-1.3731372150000001</v>
      </c>
      <c r="N2591">
        <v>-0.81517511099999995</v>
      </c>
    </row>
    <row r="2592" spans="1:14" x14ac:dyDescent="0.2">
      <c r="A2592" t="s">
        <v>1150</v>
      </c>
      <c r="B2592">
        <v>141080</v>
      </c>
      <c r="C2592" t="s">
        <v>58</v>
      </c>
      <c r="D2592" t="s">
        <v>1150</v>
      </c>
      <c r="E2592" t="s">
        <v>5266</v>
      </c>
      <c r="G2592" t="s">
        <v>5267</v>
      </c>
      <c r="J2592">
        <v>4.5363847230000003</v>
      </c>
      <c r="K2592">
        <v>0.245646371</v>
      </c>
      <c r="L2592">
        <v>7.5242279999999995E-2</v>
      </c>
      <c r="M2592" s="21">
        <v>-1.374402457</v>
      </c>
      <c r="N2592">
        <v>-0.821675131</v>
      </c>
    </row>
    <row r="2593" spans="1:14" x14ac:dyDescent="0.2">
      <c r="A2593" t="s">
        <v>547</v>
      </c>
      <c r="B2593">
        <v>70600</v>
      </c>
      <c r="C2593" t="s">
        <v>130</v>
      </c>
      <c r="D2593" t="s">
        <v>548</v>
      </c>
      <c r="E2593" t="s">
        <v>5268</v>
      </c>
      <c r="G2593" t="s">
        <v>5269</v>
      </c>
      <c r="J2593">
        <v>5.1222566499999997</v>
      </c>
      <c r="K2593">
        <v>0.21422175600000001</v>
      </c>
      <c r="L2593">
        <v>0.25354511400000002</v>
      </c>
      <c r="M2593" s="21">
        <v>-1.3746289439999999</v>
      </c>
      <c r="N2593">
        <v>-0.82283868299999996</v>
      </c>
    </row>
    <row r="2594" spans="1:14" x14ac:dyDescent="0.2">
      <c r="A2594" t="s">
        <v>765</v>
      </c>
      <c r="B2594">
        <v>41560</v>
      </c>
      <c r="C2594" t="s">
        <v>68</v>
      </c>
      <c r="D2594" t="s">
        <v>766</v>
      </c>
      <c r="E2594" t="s">
        <v>5270</v>
      </c>
      <c r="G2594" t="s">
        <v>5271</v>
      </c>
      <c r="J2594">
        <v>6.4561903559999996</v>
      </c>
      <c r="K2594">
        <v>0.47291064100000002</v>
      </c>
      <c r="L2594">
        <v>0.34414126499999997</v>
      </c>
      <c r="M2594" s="21">
        <v>-1.374993956</v>
      </c>
      <c r="N2594">
        <v>-0.82471388400000001</v>
      </c>
    </row>
    <row r="2595" spans="1:14" x14ac:dyDescent="0.2">
      <c r="A2595" t="s">
        <v>812</v>
      </c>
      <c r="B2595">
        <v>41400</v>
      </c>
      <c r="C2595" t="s">
        <v>68</v>
      </c>
      <c r="D2595" t="s">
        <v>813</v>
      </c>
      <c r="E2595" t="s">
        <v>5272</v>
      </c>
      <c r="G2595" t="s">
        <v>5273</v>
      </c>
      <c r="J2595">
        <v>6.4561903559999996</v>
      </c>
      <c r="K2595">
        <v>0.47291064100000002</v>
      </c>
      <c r="L2595">
        <v>0.34414126499999997</v>
      </c>
      <c r="M2595" s="21">
        <v>-1.375148684</v>
      </c>
      <c r="N2595">
        <v>-0.825508782</v>
      </c>
    </row>
    <row r="2596" spans="1:14" x14ac:dyDescent="0.2">
      <c r="A2596" t="s">
        <v>458</v>
      </c>
      <c r="B2596">
        <v>41200</v>
      </c>
      <c r="C2596" t="s">
        <v>68</v>
      </c>
      <c r="D2596" t="s">
        <v>459</v>
      </c>
      <c r="E2596" t="s">
        <v>5274</v>
      </c>
      <c r="G2596" t="s">
        <v>5275</v>
      </c>
      <c r="J2596">
        <v>6.4561903559999996</v>
      </c>
      <c r="K2596">
        <v>0.47291064100000002</v>
      </c>
      <c r="L2596">
        <v>0.34414126499999997</v>
      </c>
      <c r="M2596" s="21">
        <v>-1.3753420949999999</v>
      </c>
      <c r="N2596">
        <v>-0.82650240399999997</v>
      </c>
    </row>
    <row r="2597" spans="1:14" x14ac:dyDescent="0.2">
      <c r="A2597" t="s">
        <v>79</v>
      </c>
      <c r="B2597">
        <v>41000</v>
      </c>
      <c r="C2597" t="s">
        <v>68</v>
      </c>
      <c r="D2597" t="s">
        <v>80</v>
      </c>
      <c r="E2597" t="s">
        <v>5276</v>
      </c>
      <c r="G2597" t="s">
        <v>5277</v>
      </c>
      <c r="J2597">
        <v>6.4561903559999996</v>
      </c>
      <c r="K2597">
        <v>0.47291064100000002</v>
      </c>
      <c r="L2597">
        <v>0.34414126499999997</v>
      </c>
      <c r="M2597" s="21">
        <v>-1.375535505</v>
      </c>
      <c r="N2597">
        <v>-0.82749602600000005</v>
      </c>
    </row>
    <row r="2598" spans="1:14" x14ac:dyDescent="0.2">
      <c r="A2598" t="s">
        <v>504</v>
      </c>
      <c r="B2598">
        <v>139880</v>
      </c>
      <c r="C2598" t="s">
        <v>58</v>
      </c>
      <c r="D2598" t="s">
        <v>504</v>
      </c>
      <c r="E2598" t="s">
        <v>5278</v>
      </c>
      <c r="G2598" t="s">
        <v>5279</v>
      </c>
      <c r="J2598">
        <v>4.5363847230000003</v>
      </c>
      <c r="K2598">
        <v>0.245646371</v>
      </c>
      <c r="L2598">
        <v>7.5242279999999995E-2</v>
      </c>
      <c r="M2598" s="21">
        <v>-1.3755613280000001</v>
      </c>
      <c r="N2598">
        <v>-0.82762868899999997</v>
      </c>
    </row>
    <row r="2599" spans="1:14" x14ac:dyDescent="0.2">
      <c r="A2599" t="s">
        <v>592</v>
      </c>
      <c r="B2599">
        <v>40880</v>
      </c>
      <c r="C2599" t="s">
        <v>68</v>
      </c>
      <c r="D2599" t="s">
        <v>593</v>
      </c>
      <c r="E2599" t="s">
        <v>5280</v>
      </c>
      <c r="G2599" t="s">
        <v>5281</v>
      </c>
      <c r="J2599">
        <v>6.4561903559999996</v>
      </c>
      <c r="K2599">
        <v>0.47291064100000002</v>
      </c>
      <c r="L2599">
        <v>0.34414126499999997</v>
      </c>
      <c r="M2599" s="21">
        <v>-1.3756515520000001</v>
      </c>
      <c r="N2599">
        <v>-0.82809219899999997</v>
      </c>
    </row>
    <row r="2600" spans="1:14" x14ac:dyDescent="0.2">
      <c r="A2600" t="s">
        <v>2294</v>
      </c>
      <c r="B2600">
        <v>40520</v>
      </c>
      <c r="C2600" t="s">
        <v>68</v>
      </c>
      <c r="D2600" t="s">
        <v>2294</v>
      </c>
      <c r="E2600" t="s">
        <v>5282</v>
      </c>
      <c r="G2600" t="s">
        <v>5283</v>
      </c>
      <c r="J2600">
        <v>6.4561903559999996</v>
      </c>
      <c r="K2600">
        <v>0.47291064100000002</v>
      </c>
      <c r="L2600">
        <v>0.34414126499999997</v>
      </c>
      <c r="M2600" s="21">
        <v>-1.3759996910000001</v>
      </c>
      <c r="N2600">
        <v>-0.82988071900000004</v>
      </c>
    </row>
    <row r="2601" spans="1:14" x14ac:dyDescent="0.2">
      <c r="A2601" t="s">
        <v>645</v>
      </c>
      <c r="B2601">
        <v>40480</v>
      </c>
      <c r="C2601" t="s">
        <v>68</v>
      </c>
      <c r="D2601" t="s">
        <v>645</v>
      </c>
      <c r="E2601" t="s">
        <v>5284</v>
      </c>
      <c r="G2601" t="s">
        <v>5285</v>
      </c>
      <c r="J2601">
        <v>6.4561903559999996</v>
      </c>
      <c r="K2601">
        <v>0.47291064100000002</v>
      </c>
      <c r="L2601">
        <v>0.34414126499999997</v>
      </c>
      <c r="M2601" s="21">
        <v>-1.3760383730000001</v>
      </c>
      <c r="N2601">
        <v>-0.83007944300000003</v>
      </c>
    </row>
    <row r="2602" spans="1:14" x14ac:dyDescent="0.2">
      <c r="A2602" t="s">
        <v>1073</v>
      </c>
      <c r="B2602">
        <v>40280</v>
      </c>
      <c r="C2602" t="s">
        <v>68</v>
      </c>
      <c r="D2602" t="s">
        <v>1073</v>
      </c>
      <c r="E2602" t="s">
        <v>5286</v>
      </c>
      <c r="G2602" t="s">
        <v>5287</v>
      </c>
      <c r="J2602">
        <v>6.4561903559999996</v>
      </c>
      <c r="K2602">
        <v>0.47291064100000002</v>
      </c>
      <c r="L2602">
        <v>0.34414126499999997</v>
      </c>
      <c r="M2602" s="21">
        <v>-1.3762317829999999</v>
      </c>
      <c r="N2602">
        <v>-0.83107306599999997</v>
      </c>
    </row>
    <row r="2603" spans="1:14" x14ac:dyDescent="0.2">
      <c r="A2603" t="s">
        <v>392</v>
      </c>
      <c r="B2603">
        <v>68520</v>
      </c>
      <c r="C2603" t="s">
        <v>130</v>
      </c>
      <c r="D2603" t="s">
        <v>392</v>
      </c>
      <c r="E2603" t="s">
        <v>5288</v>
      </c>
      <c r="G2603" t="s">
        <v>5289</v>
      </c>
      <c r="J2603">
        <v>5.1222566499999997</v>
      </c>
      <c r="K2603">
        <v>0.21422175600000001</v>
      </c>
      <c r="L2603">
        <v>0.25354511400000002</v>
      </c>
      <c r="M2603" s="21">
        <v>-1.37628427</v>
      </c>
      <c r="N2603">
        <v>-0.83134271199999998</v>
      </c>
    </row>
    <row r="2604" spans="1:14" x14ac:dyDescent="0.2">
      <c r="A2604" t="s">
        <v>2139</v>
      </c>
      <c r="B2604">
        <v>149400</v>
      </c>
      <c r="C2604" t="s">
        <v>149</v>
      </c>
      <c r="D2604" t="s">
        <v>2140</v>
      </c>
      <c r="E2604" t="s">
        <v>5290</v>
      </c>
      <c r="G2604" t="s">
        <v>5291</v>
      </c>
      <c r="J2604">
        <v>5.0381074159999999</v>
      </c>
      <c r="K2604">
        <v>0.81312368999999995</v>
      </c>
      <c r="L2604">
        <v>0.16969141800000001</v>
      </c>
      <c r="M2604" s="21">
        <v>-1.377187873</v>
      </c>
      <c r="N2604">
        <v>-0.83598485600000005</v>
      </c>
    </row>
    <row r="2605" spans="1:14" x14ac:dyDescent="0.2">
      <c r="A2605" t="s">
        <v>1550</v>
      </c>
      <c r="B2605">
        <v>39120</v>
      </c>
      <c r="C2605" t="s">
        <v>68</v>
      </c>
      <c r="D2605" t="s">
        <v>1550</v>
      </c>
      <c r="E2605" t="s">
        <v>5292</v>
      </c>
      <c r="G2605" t="s">
        <v>5293</v>
      </c>
      <c r="J2605">
        <v>6.4561903559999996</v>
      </c>
      <c r="K2605">
        <v>0.47291064100000002</v>
      </c>
      <c r="L2605">
        <v>0.34414126499999997</v>
      </c>
      <c r="M2605" s="21">
        <v>-1.3773535640000001</v>
      </c>
      <c r="N2605">
        <v>-0.83683607400000004</v>
      </c>
    </row>
    <row r="2606" spans="1:14" x14ac:dyDescent="0.2">
      <c r="A2606" t="s">
        <v>554</v>
      </c>
      <c r="B2606">
        <v>39040</v>
      </c>
      <c r="C2606" t="s">
        <v>68</v>
      </c>
      <c r="D2606" t="s">
        <v>555</v>
      </c>
      <c r="E2606" t="s">
        <v>5294</v>
      </c>
      <c r="G2606" t="s">
        <v>5295</v>
      </c>
      <c r="J2606">
        <v>6.4561903559999996</v>
      </c>
      <c r="K2606">
        <v>0.47291064100000002</v>
      </c>
      <c r="L2606">
        <v>0.34414126499999997</v>
      </c>
      <c r="M2606" s="21">
        <v>-1.3774309280000001</v>
      </c>
      <c r="N2606">
        <v>-0.83723352299999998</v>
      </c>
    </row>
    <row r="2607" spans="1:14" x14ac:dyDescent="0.2">
      <c r="A2607" t="s">
        <v>689</v>
      </c>
      <c r="B2607">
        <v>38880</v>
      </c>
      <c r="C2607" t="s">
        <v>68</v>
      </c>
      <c r="D2607" t="s">
        <v>690</v>
      </c>
      <c r="E2607" t="s">
        <v>5296</v>
      </c>
      <c r="G2607" t="s">
        <v>5297</v>
      </c>
      <c r="J2607">
        <v>6.4561903559999996</v>
      </c>
      <c r="K2607">
        <v>0.47291064100000002</v>
      </c>
      <c r="L2607">
        <v>0.34414126499999997</v>
      </c>
      <c r="M2607" s="21">
        <v>-1.377585657</v>
      </c>
      <c r="N2607">
        <v>-0.83802842099999997</v>
      </c>
    </row>
    <row r="2608" spans="1:14" x14ac:dyDescent="0.2">
      <c r="A2608" t="s">
        <v>1773</v>
      </c>
      <c r="B2608">
        <v>148880</v>
      </c>
      <c r="C2608" t="s">
        <v>149</v>
      </c>
      <c r="D2608" t="s">
        <v>1773</v>
      </c>
      <c r="E2608" t="s">
        <v>5298</v>
      </c>
      <c r="G2608" t="s">
        <v>5299</v>
      </c>
      <c r="J2608">
        <v>5.0381074159999999</v>
      </c>
      <c r="K2608">
        <v>0.81312368999999995</v>
      </c>
      <c r="L2608">
        <v>0.16969141800000001</v>
      </c>
      <c r="M2608" s="21">
        <v>-1.3776686730000001</v>
      </c>
      <c r="N2608">
        <v>-0.83845490700000003</v>
      </c>
    </row>
    <row r="2609" spans="1:14" x14ac:dyDescent="0.2">
      <c r="A2609" t="s">
        <v>277</v>
      </c>
      <c r="B2609">
        <v>38560</v>
      </c>
      <c r="C2609" t="s">
        <v>68</v>
      </c>
      <c r="D2609" t="s">
        <v>277</v>
      </c>
      <c r="E2609" t="s">
        <v>5300</v>
      </c>
      <c r="G2609" t="s">
        <v>5301</v>
      </c>
      <c r="J2609">
        <v>6.4561903559999996</v>
      </c>
      <c r="K2609">
        <v>0.47291064100000002</v>
      </c>
      <c r="L2609">
        <v>0.34414126499999997</v>
      </c>
      <c r="M2609" s="21">
        <v>-1.3778951129999999</v>
      </c>
      <c r="N2609">
        <v>-0.83961821599999997</v>
      </c>
    </row>
    <row r="2610" spans="1:14" x14ac:dyDescent="0.2">
      <c r="A2610" t="s">
        <v>746</v>
      </c>
      <c r="B2610">
        <v>38240</v>
      </c>
      <c r="C2610" t="s">
        <v>68</v>
      </c>
      <c r="D2610" t="s">
        <v>746</v>
      </c>
      <c r="E2610" t="s">
        <v>5302</v>
      </c>
      <c r="G2610" t="s">
        <v>5303</v>
      </c>
      <c r="J2610">
        <v>6.4561903559999996</v>
      </c>
      <c r="K2610">
        <v>0.47291064100000002</v>
      </c>
      <c r="L2610">
        <v>0.34414126499999997</v>
      </c>
      <c r="M2610" s="21">
        <v>-1.3782045700000001</v>
      </c>
      <c r="N2610">
        <v>-0.84120801199999995</v>
      </c>
    </row>
    <row r="2611" spans="1:14" x14ac:dyDescent="0.2">
      <c r="A2611" t="s">
        <v>485</v>
      </c>
      <c r="B2611">
        <v>137080</v>
      </c>
      <c r="C2611" t="s">
        <v>58</v>
      </c>
      <c r="D2611" t="s">
        <v>486</v>
      </c>
      <c r="E2611" t="s">
        <v>5304</v>
      </c>
      <c r="G2611" t="s">
        <v>5305</v>
      </c>
      <c r="J2611">
        <v>4.5363847230000003</v>
      </c>
      <c r="K2611">
        <v>0.245646371</v>
      </c>
      <c r="L2611">
        <v>7.5242279999999995E-2</v>
      </c>
      <c r="M2611" s="21">
        <v>-1.378265362</v>
      </c>
      <c r="N2611">
        <v>-0.84152032300000001</v>
      </c>
    </row>
    <row r="2612" spans="1:14" x14ac:dyDescent="0.2">
      <c r="A2612" t="s">
        <v>2188</v>
      </c>
      <c r="B2612">
        <v>38080</v>
      </c>
      <c r="C2612" t="s">
        <v>68</v>
      </c>
      <c r="D2612" t="s">
        <v>2188</v>
      </c>
      <c r="E2612" t="s">
        <v>5306</v>
      </c>
      <c r="G2612" t="s">
        <v>5307</v>
      </c>
      <c r="J2612">
        <v>6.4561903559999996</v>
      </c>
      <c r="K2612">
        <v>0.47291064100000002</v>
      </c>
      <c r="L2612">
        <v>0.34414126499999997</v>
      </c>
      <c r="M2612" s="21">
        <v>-1.378359299</v>
      </c>
      <c r="N2612">
        <v>-0.84200290899999997</v>
      </c>
    </row>
    <row r="2613" spans="1:14" x14ac:dyDescent="0.2">
      <c r="A2613" t="s">
        <v>985</v>
      </c>
      <c r="B2613">
        <v>37600</v>
      </c>
      <c r="C2613" t="s">
        <v>68</v>
      </c>
      <c r="D2613" t="s">
        <v>985</v>
      </c>
      <c r="E2613" t="s">
        <v>5308</v>
      </c>
      <c r="G2613" t="s">
        <v>5309</v>
      </c>
      <c r="J2613">
        <v>6.4561903559999996</v>
      </c>
      <c r="K2613">
        <v>0.47291064100000002</v>
      </c>
      <c r="L2613">
        <v>0.34414126499999997</v>
      </c>
      <c r="M2613" s="21">
        <v>-1.378823484</v>
      </c>
      <c r="N2613">
        <v>-0.84438760199999996</v>
      </c>
    </row>
    <row r="2614" spans="1:14" x14ac:dyDescent="0.2">
      <c r="A2614" t="s">
        <v>1494</v>
      </c>
      <c r="B2614">
        <v>136480</v>
      </c>
      <c r="C2614" t="s">
        <v>58</v>
      </c>
      <c r="D2614" t="s">
        <v>1494</v>
      </c>
      <c r="E2614" t="s">
        <v>5310</v>
      </c>
      <c r="G2614" t="s">
        <v>5311</v>
      </c>
      <c r="J2614">
        <v>4.5363847230000003</v>
      </c>
      <c r="K2614">
        <v>0.245646371</v>
      </c>
      <c r="L2614">
        <v>7.5242279999999995E-2</v>
      </c>
      <c r="M2614" s="21">
        <v>-1.378844798</v>
      </c>
      <c r="N2614">
        <v>-0.84449710200000005</v>
      </c>
    </row>
    <row r="2615" spans="1:14" x14ac:dyDescent="0.2">
      <c r="A2615" t="s">
        <v>263</v>
      </c>
      <c r="B2615">
        <v>147560</v>
      </c>
      <c r="C2615" t="s">
        <v>149</v>
      </c>
      <c r="D2615" t="s">
        <v>264</v>
      </c>
      <c r="E2615" t="s">
        <v>5312</v>
      </c>
      <c r="G2615" t="s">
        <v>5313</v>
      </c>
      <c r="J2615">
        <v>5.0381074159999999</v>
      </c>
      <c r="K2615">
        <v>0.81312368999999995</v>
      </c>
      <c r="L2615">
        <v>0.16969141800000001</v>
      </c>
      <c r="M2615" s="21">
        <v>-1.378889166</v>
      </c>
      <c r="N2615">
        <v>-0.84472503700000001</v>
      </c>
    </row>
    <row r="2616" spans="1:14" x14ac:dyDescent="0.2">
      <c r="A2616" t="s">
        <v>741</v>
      </c>
      <c r="B2616">
        <v>37440</v>
      </c>
      <c r="C2616" t="s">
        <v>68</v>
      </c>
      <c r="D2616" t="s">
        <v>741</v>
      </c>
      <c r="E2616" t="s">
        <v>5314</v>
      </c>
      <c r="G2616" t="s">
        <v>5315</v>
      </c>
      <c r="J2616">
        <v>6.4561903559999996</v>
      </c>
      <c r="K2616">
        <v>0.47291064100000002</v>
      </c>
      <c r="L2616">
        <v>0.34414126499999997</v>
      </c>
      <c r="M2616" s="21">
        <v>-1.378978212</v>
      </c>
      <c r="N2616">
        <v>-0.84518249999999995</v>
      </c>
    </row>
    <row r="2617" spans="1:14" x14ac:dyDescent="0.2">
      <c r="A2617" t="s">
        <v>1688</v>
      </c>
      <c r="B2617">
        <v>65000</v>
      </c>
      <c r="C2617" t="s">
        <v>130</v>
      </c>
      <c r="D2617" t="s">
        <v>1688</v>
      </c>
      <c r="E2617" t="s">
        <v>5316</v>
      </c>
      <c r="G2617" t="s">
        <v>5317</v>
      </c>
      <c r="J2617">
        <v>5.1222566499999997</v>
      </c>
      <c r="K2617">
        <v>0.21422175600000001</v>
      </c>
      <c r="L2617">
        <v>0.25354511400000002</v>
      </c>
      <c r="M2617" s="21">
        <v>-1.379085592</v>
      </c>
      <c r="N2617">
        <v>-0.84573414700000005</v>
      </c>
    </row>
    <row r="2618" spans="1:14" x14ac:dyDescent="0.2">
      <c r="A2618" t="s">
        <v>709</v>
      </c>
      <c r="B2618">
        <v>36960</v>
      </c>
      <c r="C2618" t="s">
        <v>68</v>
      </c>
      <c r="D2618" t="s">
        <v>709</v>
      </c>
      <c r="E2618" t="s">
        <v>5318</v>
      </c>
      <c r="G2618" t="s">
        <v>5319</v>
      </c>
      <c r="J2618">
        <v>6.4561903559999996</v>
      </c>
      <c r="K2618">
        <v>0.47291064100000002</v>
      </c>
      <c r="L2618">
        <v>0.34414126499999997</v>
      </c>
      <c r="M2618" s="21">
        <v>-1.3794423979999999</v>
      </c>
      <c r="N2618">
        <v>-0.84756719300000005</v>
      </c>
    </row>
    <row r="2619" spans="1:14" x14ac:dyDescent="0.2">
      <c r="A2619" t="s">
        <v>951</v>
      </c>
      <c r="B2619">
        <v>36200</v>
      </c>
      <c r="C2619" t="s">
        <v>68</v>
      </c>
      <c r="D2619" t="s">
        <v>951</v>
      </c>
      <c r="E2619" t="s">
        <v>5320</v>
      </c>
      <c r="G2619" t="s">
        <v>5321</v>
      </c>
      <c r="J2619">
        <v>6.4561903559999996</v>
      </c>
      <c r="K2619">
        <v>0.47291064100000002</v>
      </c>
      <c r="L2619">
        <v>0.34414126499999997</v>
      </c>
      <c r="M2619" s="21">
        <v>-1.380177357</v>
      </c>
      <c r="N2619">
        <v>-0.85134295800000004</v>
      </c>
    </row>
    <row r="2620" spans="1:14" x14ac:dyDescent="0.2">
      <c r="A2620" t="s">
        <v>1069</v>
      </c>
      <c r="B2620">
        <v>36160</v>
      </c>
      <c r="C2620" t="s">
        <v>68</v>
      </c>
      <c r="D2620" t="s">
        <v>1070</v>
      </c>
      <c r="E2620" t="s">
        <v>5322</v>
      </c>
      <c r="G2620" t="s">
        <v>5323</v>
      </c>
      <c r="J2620">
        <v>6.4561903559999996</v>
      </c>
      <c r="K2620">
        <v>0.47291064100000002</v>
      </c>
      <c r="L2620">
        <v>0.34414126499999997</v>
      </c>
      <c r="M2620" s="21">
        <v>-1.3802160400000001</v>
      </c>
      <c r="N2620">
        <v>-0.85154168200000002</v>
      </c>
    </row>
    <row r="2621" spans="1:14" x14ac:dyDescent="0.2">
      <c r="A2621" t="s">
        <v>1055</v>
      </c>
      <c r="B2621">
        <v>63120</v>
      </c>
      <c r="C2621" t="s">
        <v>130</v>
      </c>
      <c r="D2621" t="s">
        <v>1055</v>
      </c>
      <c r="E2621" t="s">
        <v>5324</v>
      </c>
      <c r="G2621" t="s">
        <v>5325</v>
      </c>
      <c r="J2621">
        <v>5.1222566499999997</v>
      </c>
      <c r="K2621">
        <v>0.21422175600000001</v>
      </c>
      <c r="L2621">
        <v>0.25354511400000002</v>
      </c>
      <c r="M2621" s="21">
        <v>-1.3805817520000001</v>
      </c>
      <c r="N2621">
        <v>-0.85342048199999998</v>
      </c>
    </row>
    <row r="2622" spans="1:14" x14ac:dyDescent="0.2">
      <c r="A2622" t="s">
        <v>333</v>
      </c>
      <c r="B2622">
        <v>35440</v>
      </c>
      <c r="C2622" t="s">
        <v>68</v>
      </c>
      <c r="D2622" t="s">
        <v>334</v>
      </c>
      <c r="E2622" t="s">
        <v>5326</v>
      </c>
      <c r="G2622" t="s">
        <v>5327</v>
      </c>
      <c r="J2622">
        <v>6.4561903559999996</v>
      </c>
      <c r="K2622">
        <v>0.47291064100000002</v>
      </c>
      <c r="L2622">
        <v>0.34414126499999997</v>
      </c>
      <c r="M2622" s="21">
        <v>-1.3809123169999999</v>
      </c>
      <c r="N2622">
        <v>-0.85511872200000005</v>
      </c>
    </row>
    <row r="2623" spans="1:14" x14ac:dyDescent="0.2">
      <c r="A2623" t="s">
        <v>1133</v>
      </c>
      <c r="B2623">
        <v>134000</v>
      </c>
      <c r="C2623" t="s">
        <v>58</v>
      </c>
      <c r="D2623" t="s">
        <v>1134</v>
      </c>
      <c r="E2623" t="s">
        <v>5328</v>
      </c>
      <c r="G2623" t="s">
        <v>5329</v>
      </c>
      <c r="J2623">
        <v>4.5363847230000003</v>
      </c>
      <c r="K2623">
        <v>0.245646371</v>
      </c>
      <c r="L2623">
        <v>7.5242279999999995E-2</v>
      </c>
      <c r="M2623" s="21">
        <v>-1.3812397999999999</v>
      </c>
      <c r="N2623">
        <v>-0.85680111999999997</v>
      </c>
    </row>
    <row r="2624" spans="1:14" x14ac:dyDescent="0.2">
      <c r="A2624" t="s">
        <v>239</v>
      </c>
      <c r="B2624">
        <v>34760</v>
      </c>
      <c r="C2624" t="s">
        <v>68</v>
      </c>
      <c r="D2624" t="s">
        <v>240</v>
      </c>
      <c r="E2624" t="s">
        <v>5330</v>
      </c>
      <c r="G2624" t="s">
        <v>5331</v>
      </c>
      <c r="J2624">
        <v>6.4561903559999996</v>
      </c>
      <c r="K2624">
        <v>0.47291064100000002</v>
      </c>
      <c r="L2624">
        <v>0.34414126499999997</v>
      </c>
      <c r="M2624" s="21">
        <v>-1.3815699130000001</v>
      </c>
      <c r="N2624">
        <v>-0.85849703700000002</v>
      </c>
    </row>
    <row r="2625" spans="1:14" x14ac:dyDescent="0.2">
      <c r="A2625" t="s">
        <v>195</v>
      </c>
      <c r="B2625">
        <v>136200</v>
      </c>
      <c r="C2625" t="s">
        <v>100</v>
      </c>
      <c r="D2625" t="s">
        <v>195</v>
      </c>
      <c r="E2625" t="s">
        <v>5332</v>
      </c>
      <c r="G2625" t="s">
        <v>5333</v>
      </c>
      <c r="J2625">
        <v>5.9110743220000002</v>
      </c>
      <c r="K2625">
        <v>0.71598987199999997</v>
      </c>
      <c r="L2625">
        <v>0.29077365599999999</v>
      </c>
      <c r="M2625" s="21">
        <v>-1.382393234</v>
      </c>
      <c r="N2625">
        <v>-0.86272674299999996</v>
      </c>
    </row>
    <row r="2626" spans="1:14" x14ac:dyDescent="0.2">
      <c r="A2626" t="s">
        <v>2257</v>
      </c>
      <c r="B2626">
        <v>33880</v>
      </c>
      <c r="C2626" t="s">
        <v>68</v>
      </c>
      <c r="D2626" t="s">
        <v>2257</v>
      </c>
      <c r="E2626" t="s">
        <v>5334</v>
      </c>
      <c r="G2626" t="s">
        <v>5335</v>
      </c>
      <c r="J2626">
        <v>6.4561903559999996</v>
      </c>
      <c r="K2626">
        <v>0.47291064100000002</v>
      </c>
      <c r="L2626">
        <v>0.34414126499999997</v>
      </c>
      <c r="M2626" s="21">
        <v>-1.3824209190000001</v>
      </c>
      <c r="N2626">
        <v>-0.86286897500000004</v>
      </c>
    </row>
    <row r="2627" spans="1:14" x14ac:dyDescent="0.2">
      <c r="A2627" t="s">
        <v>2252</v>
      </c>
      <c r="B2627">
        <v>33680</v>
      </c>
      <c r="C2627" t="s">
        <v>68</v>
      </c>
      <c r="D2627" t="s">
        <v>2253</v>
      </c>
      <c r="E2627" t="s">
        <v>5336</v>
      </c>
      <c r="G2627" t="s">
        <v>5337</v>
      </c>
      <c r="J2627">
        <v>6.4561903559999996</v>
      </c>
      <c r="K2627">
        <v>0.47291064100000002</v>
      </c>
      <c r="L2627">
        <v>0.34414126499999997</v>
      </c>
      <c r="M2627" s="21">
        <v>-1.38261433</v>
      </c>
      <c r="N2627">
        <v>-0.86386259700000001</v>
      </c>
    </row>
    <row r="2628" spans="1:14" x14ac:dyDescent="0.2">
      <c r="A2628" t="s">
        <v>968</v>
      </c>
      <c r="B2628">
        <v>33680</v>
      </c>
      <c r="C2628" t="s">
        <v>68</v>
      </c>
      <c r="D2628" t="s">
        <v>969</v>
      </c>
      <c r="E2628" t="s">
        <v>5338</v>
      </c>
      <c r="G2628" t="s">
        <v>5339</v>
      </c>
      <c r="J2628">
        <v>6.4561903559999996</v>
      </c>
      <c r="K2628">
        <v>0.47291064100000002</v>
      </c>
      <c r="L2628">
        <v>0.34414126499999997</v>
      </c>
      <c r="M2628" s="21">
        <v>-1.38261433</v>
      </c>
      <c r="N2628">
        <v>-0.86386259700000001</v>
      </c>
    </row>
    <row r="2629" spans="1:14" x14ac:dyDescent="0.2">
      <c r="A2629" t="s">
        <v>178</v>
      </c>
      <c r="B2629">
        <v>32880</v>
      </c>
      <c r="C2629" t="s">
        <v>68</v>
      </c>
      <c r="D2629" t="s">
        <v>178</v>
      </c>
      <c r="E2629" t="s">
        <v>5340</v>
      </c>
      <c r="G2629" t="s">
        <v>5341</v>
      </c>
      <c r="J2629">
        <v>6.4561903559999996</v>
      </c>
      <c r="K2629">
        <v>0.47291064100000002</v>
      </c>
      <c r="L2629">
        <v>0.34414126499999997</v>
      </c>
      <c r="M2629" s="21">
        <v>-1.383387972</v>
      </c>
      <c r="N2629">
        <v>-0.86783708500000001</v>
      </c>
    </row>
    <row r="2630" spans="1:14" x14ac:dyDescent="0.2">
      <c r="A2630" t="s">
        <v>148</v>
      </c>
      <c r="B2630">
        <v>32840</v>
      </c>
      <c r="C2630" t="s">
        <v>68</v>
      </c>
      <c r="D2630" t="s">
        <v>148</v>
      </c>
      <c r="E2630" t="s">
        <v>5342</v>
      </c>
      <c r="G2630" t="s">
        <v>5343</v>
      </c>
      <c r="J2630">
        <v>6.4561903559999996</v>
      </c>
      <c r="K2630">
        <v>0.47291064100000002</v>
      </c>
      <c r="L2630">
        <v>0.34414126499999997</v>
      </c>
      <c r="M2630" s="21">
        <v>-1.383426654</v>
      </c>
      <c r="N2630">
        <v>-0.86803580999999996</v>
      </c>
    </row>
    <row r="2631" spans="1:14" x14ac:dyDescent="0.2">
      <c r="A2631" t="s">
        <v>389</v>
      </c>
      <c r="B2631">
        <v>32600</v>
      </c>
      <c r="C2631" t="s">
        <v>68</v>
      </c>
      <c r="D2631" t="s">
        <v>389</v>
      </c>
      <c r="E2631" t="s">
        <v>5344</v>
      </c>
      <c r="G2631" t="s">
        <v>5345</v>
      </c>
      <c r="J2631">
        <v>6.4561903559999996</v>
      </c>
      <c r="K2631">
        <v>0.47291064100000002</v>
      </c>
      <c r="L2631">
        <v>0.34414126499999997</v>
      </c>
      <c r="M2631" s="21">
        <v>-1.3836587469999999</v>
      </c>
      <c r="N2631">
        <v>-0.86922815600000003</v>
      </c>
    </row>
    <row r="2632" spans="1:14" x14ac:dyDescent="0.2">
      <c r="A2632" t="s">
        <v>820</v>
      </c>
      <c r="B2632">
        <v>134880</v>
      </c>
      <c r="C2632" t="s">
        <v>100</v>
      </c>
      <c r="D2632" t="s">
        <v>820</v>
      </c>
      <c r="E2632" t="s">
        <v>5346</v>
      </c>
      <c r="G2632" t="s">
        <v>5347</v>
      </c>
      <c r="J2632">
        <v>5.9110743220000002</v>
      </c>
      <c r="K2632">
        <v>0.71598987199999997</v>
      </c>
      <c r="L2632">
        <v>0.29077365599999999</v>
      </c>
      <c r="M2632" s="21">
        <v>-1.3837036149999999</v>
      </c>
      <c r="N2632">
        <v>-0.86945866500000002</v>
      </c>
    </row>
    <row r="2633" spans="1:14" x14ac:dyDescent="0.2">
      <c r="A2633" t="s">
        <v>1383</v>
      </c>
      <c r="B2633">
        <v>134440</v>
      </c>
      <c r="C2633" t="s">
        <v>100</v>
      </c>
      <c r="D2633" t="s">
        <v>1384</v>
      </c>
      <c r="E2633" t="s">
        <v>5348</v>
      </c>
      <c r="G2633" t="s">
        <v>5349</v>
      </c>
      <c r="J2633">
        <v>5.9110743220000002</v>
      </c>
      <c r="K2633">
        <v>0.71598987199999997</v>
      </c>
      <c r="L2633">
        <v>0.29077365599999999</v>
      </c>
      <c r="M2633" s="21">
        <v>-1.384140409</v>
      </c>
      <c r="N2633">
        <v>-0.871702639</v>
      </c>
    </row>
    <row r="2634" spans="1:14" x14ac:dyDescent="0.2">
      <c r="A2634" t="s">
        <v>2791</v>
      </c>
      <c r="B2634">
        <v>58640</v>
      </c>
      <c r="C2634" t="s">
        <v>130</v>
      </c>
      <c r="D2634" t="s">
        <v>2792</v>
      </c>
      <c r="E2634" t="s">
        <v>5350</v>
      </c>
      <c r="G2634" t="s">
        <v>5351</v>
      </c>
      <c r="J2634">
        <v>5.1222566499999997</v>
      </c>
      <c r="K2634">
        <v>0.21422175600000001</v>
      </c>
      <c r="L2634">
        <v>0.25354511400000002</v>
      </c>
      <c r="M2634" s="21">
        <v>-1.384147069</v>
      </c>
      <c r="N2634">
        <v>-0.87173685400000001</v>
      </c>
    </row>
    <row r="2635" spans="1:14" x14ac:dyDescent="0.2">
      <c r="A2635" t="s">
        <v>583</v>
      </c>
      <c r="B2635">
        <v>32040</v>
      </c>
      <c r="C2635" t="s">
        <v>68</v>
      </c>
      <c r="D2635" t="s">
        <v>583</v>
      </c>
      <c r="E2635" t="s">
        <v>5352</v>
      </c>
      <c r="G2635" t="s">
        <v>5353</v>
      </c>
      <c r="J2635">
        <v>6.4561903559999996</v>
      </c>
      <c r="K2635">
        <v>0.47291064100000002</v>
      </c>
      <c r="L2635">
        <v>0.34414126499999997</v>
      </c>
      <c r="M2635" s="21">
        <v>-1.3842002959999999</v>
      </c>
      <c r="N2635">
        <v>-0.87201029799999996</v>
      </c>
    </row>
    <row r="2636" spans="1:14" x14ac:dyDescent="0.2">
      <c r="A2636" t="s">
        <v>1811</v>
      </c>
      <c r="B2636">
        <v>32040</v>
      </c>
      <c r="C2636" t="s">
        <v>68</v>
      </c>
      <c r="D2636" t="s">
        <v>1811</v>
      </c>
      <c r="E2636" t="s">
        <v>5354</v>
      </c>
      <c r="G2636" t="s">
        <v>5355</v>
      </c>
      <c r="J2636">
        <v>6.4561903559999996</v>
      </c>
      <c r="K2636">
        <v>0.47291064100000002</v>
      </c>
      <c r="L2636">
        <v>0.34414126499999997</v>
      </c>
      <c r="M2636" s="21">
        <v>-1.3842002959999999</v>
      </c>
      <c r="N2636">
        <v>-0.87201029799999996</v>
      </c>
    </row>
    <row r="2637" spans="1:14" x14ac:dyDescent="0.2">
      <c r="A2637" t="s">
        <v>668</v>
      </c>
      <c r="B2637">
        <v>32000</v>
      </c>
      <c r="C2637" t="s">
        <v>68</v>
      </c>
      <c r="D2637" t="s">
        <v>668</v>
      </c>
      <c r="E2637" t="s">
        <v>5356</v>
      </c>
      <c r="G2637" t="s">
        <v>5357</v>
      </c>
      <c r="J2637">
        <v>6.4561903559999996</v>
      </c>
      <c r="K2637">
        <v>0.47291064100000002</v>
      </c>
      <c r="L2637">
        <v>0.34414126499999997</v>
      </c>
      <c r="M2637" s="21">
        <v>-1.384238978</v>
      </c>
      <c r="N2637">
        <v>-0.87220902300000003</v>
      </c>
    </row>
    <row r="2638" spans="1:14" x14ac:dyDescent="0.2">
      <c r="A2638" t="s">
        <v>2791</v>
      </c>
      <c r="B2638">
        <v>31920</v>
      </c>
      <c r="C2638" t="s">
        <v>68</v>
      </c>
      <c r="D2638" t="s">
        <v>2792</v>
      </c>
      <c r="E2638" t="s">
        <v>5358</v>
      </c>
      <c r="G2638" t="s">
        <v>5359</v>
      </c>
      <c r="J2638">
        <v>6.4561903559999996</v>
      </c>
      <c r="K2638">
        <v>0.47291064100000002</v>
      </c>
      <c r="L2638">
        <v>0.34414126499999997</v>
      </c>
      <c r="M2638" s="21">
        <v>-1.384316342</v>
      </c>
      <c r="N2638">
        <v>-0.87260647199999997</v>
      </c>
    </row>
    <row r="2639" spans="1:14" x14ac:dyDescent="0.2">
      <c r="A2639" t="s">
        <v>1882</v>
      </c>
      <c r="B2639">
        <v>58400</v>
      </c>
      <c r="C2639" t="s">
        <v>130</v>
      </c>
      <c r="D2639" t="s">
        <v>1882</v>
      </c>
      <c r="E2639" t="s">
        <v>5360</v>
      </c>
      <c r="G2639" t="s">
        <v>5361</v>
      </c>
      <c r="J2639">
        <v>5.1222566499999997</v>
      </c>
      <c r="K2639">
        <v>0.21422175600000001</v>
      </c>
      <c r="L2639">
        <v>0.25354511400000002</v>
      </c>
      <c r="M2639" s="21">
        <v>-1.384338069</v>
      </c>
      <c r="N2639">
        <v>-0.87271808799999995</v>
      </c>
    </row>
    <row r="2640" spans="1:14" x14ac:dyDescent="0.2">
      <c r="A2640" t="s">
        <v>1794</v>
      </c>
      <c r="B2640">
        <v>184000</v>
      </c>
      <c r="C2640" t="s">
        <v>14</v>
      </c>
      <c r="D2640" t="s">
        <v>1794</v>
      </c>
      <c r="E2640" t="s">
        <v>5362</v>
      </c>
      <c r="G2640" t="s">
        <v>5363</v>
      </c>
      <c r="J2640">
        <v>6.7484204910000001</v>
      </c>
      <c r="K2640">
        <v>0.48629166299999999</v>
      </c>
      <c r="L2640">
        <v>0.375053939</v>
      </c>
      <c r="M2640" s="21">
        <v>-1.384368426</v>
      </c>
      <c r="N2640">
        <v>-0.87287404400000002</v>
      </c>
    </row>
    <row r="2641" spans="1:14" x14ac:dyDescent="0.2">
      <c r="A2641" t="s">
        <v>2911</v>
      </c>
      <c r="B2641">
        <v>31840</v>
      </c>
      <c r="C2641" t="s">
        <v>68</v>
      </c>
      <c r="D2641" t="s">
        <v>2912</v>
      </c>
      <c r="E2641" t="s">
        <v>5364</v>
      </c>
      <c r="G2641" t="s">
        <v>5365</v>
      </c>
      <c r="J2641">
        <v>6.4561903559999996</v>
      </c>
      <c r="K2641">
        <v>0.47291064100000002</v>
      </c>
      <c r="L2641">
        <v>0.34414126499999997</v>
      </c>
      <c r="M2641" s="21">
        <v>-1.384393706</v>
      </c>
      <c r="N2641">
        <v>-0.87300392100000002</v>
      </c>
    </row>
    <row r="2642" spans="1:14" x14ac:dyDescent="0.2">
      <c r="A2642" t="s">
        <v>1598</v>
      </c>
      <c r="B2642">
        <v>31800</v>
      </c>
      <c r="C2642" t="s">
        <v>68</v>
      </c>
      <c r="D2642" t="s">
        <v>1598</v>
      </c>
      <c r="E2642" t="s">
        <v>5366</v>
      </c>
      <c r="G2642" t="s">
        <v>5367</v>
      </c>
      <c r="J2642">
        <v>6.4561903559999996</v>
      </c>
      <c r="K2642">
        <v>0.47291064100000002</v>
      </c>
      <c r="L2642">
        <v>0.34414126499999997</v>
      </c>
      <c r="M2642" s="21">
        <v>-1.3844323890000001</v>
      </c>
      <c r="N2642">
        <v>-0.873202645</v>
      </c>
    </row>
    <row r="2643" spans="1:14" x14ac:dyDescent="0.2">
      <c r="A2643" t="s">
        <v>749</v>
      </c>
      <c r="B2643">
        <v>57880</v>
      </c>
      <c r="C2643" t="s">
        <v>130</v>
      </c>
      <c r="D2643" t="s">
        <v>749</v>
      </c>
      <c r="E2643" t="s">
        <v>5368</v>
      </c>
      <c r="G2643" t="s">
        <v>5369</v>
      </c>
      <c r="J2643">
        <v>5.1222566499999997</v>
      </c>
      <c r="K2643">
        <v>0.21422175600000001</v>
      </c>
      <c r="L2643">
        <v>0.25354511400000002</v>
      </c>
      <c r="M2643" s="21">
        <v>-1.3847518999999999</v>
      </c>
      <c r="N2643">
        <v>-0.87484409500000004</v>
      </c>
    </row>
    <row r="2644" spans="1:14" x14ac:dyDescent="0.2">
      <c r="A2644" t="s">
        <v>2239</v>
      </c>
      <c r="B2644">
        <v>57760</v>
      </c>
      <c r="C2644" t="s">
        <v>130</v>
      </c>
      <c r="D2644" t="s">
        <v>2240</v>
      </c>
      <c r="E2644" t="s">
        <v>5370</v>
      </c>
      <c r="G2644" t="s">
        <v>5371</v>
      </c>
      <c r="J2644">
        <v>5.1222566499999997</v>
      </c>
      <c r="K2644">
        <v>0.21422175600000001</v>
      </c>
      <c r="L2644">
        <v>0.25354511400000002</v>
      </c>
      <c r="M2644" s="21">
        <v>-1.3848474</v>
      </c>
      <c r="N2644">
        <v>-0.87533471200000001</v>
      </c>
    </row>
    <row r="2645" spans="1:14" x14ac:dyDescent="0.2">
      <c r="A2645" t="s">
        <v>972</v>
      </c>
      <c r="B2645">
        <v>31360</v>
      </c>
      <c r="C2645" t="s">
        <v>68</v>
      </c>
      <c r="D2645" t="s">
        <v>972</v>
      </c>
      <c r="E2645" t="s">
        <v>5372</v>
      </c>
      <c r="G2645" t="s">
        <v>5373</v>
      </c>
      <c r="J2645">
        <v>6.4561903559999996</v>
      </c>
      <c r="K2645">
        <v>0.47291064100000002</v>
      </c>
      <c r="L2645">
        <v>0.34414126499999997</v>
      </c>
      <c r="M2645" s="21">
        <v>-1.3848578920000001</v>
      </c>
      <c r="N2645">
        <v>-0.87538861400000001</v>
      </c>
    </row>
    <row r="2646" spans="1:14" x14ac:dyDescent="0.2">
      <c r="A2646" t="s">
        <v>2252</v>
      </c>
      <c r="B2646">
        <v>57680</v>
      </c>
      <c r="C2646" t="s">
        <v>130</v>
      </c>
      <c r="D2646" t="s">
        <v>2253</v>
      </c>
      <c r="E2646" t="s">
        <v>5374</v>
      </c>
      <c r="G2646" t="s">
        <v>5375</v>
      </c>
      <c r="J2646">
        <v>5.1222566499999997</v>
      </c>
      <c r="K2646">
        <v>0.21422175600000001</v>
      </c>
      <c r="L2646">
        <v>0.25354511400000002</v>
      </c>
      <c r="M2646" s="21">
        <v>-1.3849110659999999</v>
      </c>
      <c r="N2646">
        <v>-0.87566179</v>
      </c>
    </row>
    <row r="2647" spans="1:14" x14ac:dyDescent="0.2">
      <c r="A2647" t="s">
        <v>2457</v>
      </c>
      <c r="B2647">
        <v>31160</v>
      </c>
      <c r="C2647" t="s">
        <v>68</v>
      </c>
      <c r="D2647" t="s">
        <v>2458</v>
      </c>
      <c r="E2647" t="s">
        <v>5376</v>
      </c>
      <c r="G2647" t="s">
        <v>5377</v>
      </c>
      <c r="J2647">
        <v>6.4561903559999996</v>
      </c>
      <c r="K2647">
        <v>0.47291064100000002</v>
      </c>
      <c r="L2647">
        <v>0.34414126499999997</v>
      </c>
      <c r="M2647" s="21">
        <v>-1.3850513019999999</v>
      </c>
      <c r="N2647">
        <v>-0.87638223599999998</v>
      </c>
    </row>
    <row r="2648" spans="1:14" x14ac:dyDescent="0.2">
      <c r="A2648" t="s">
        <v>909</v>
      </c>
      <c r="B2648">
        <v>30800</v>
      </c>
      <c r="C2648" t="s">
        <v>68</v>
      </c>
      <c r="D2648" t="s">
        <v>909</v>
      </c>
      <c r="E2648" t="s">
        <v>5378</v>
      </c>
      <c r="G2648" t="s">
        <v>5379</v>
      </c>
      <c r="J2648">
        <v>6.4561903559999996</v>
      </c>
      <c r="K2648">
        <v>0.47291064100000002</v>
      </c>
      <c r="L2648">
        <v>0.34414126499999997</v>
      </c>
      <c r="M2648" s="21">
        <v>-1.3853994409999999</v>
      </c>
      <c r="N2648">
        <v>-0.87817075600000005</v>
      </c>
    </row>
    <row r="2649" spans="1:14" x14ac:dyDescent="0.2">
      <c r="A2649" t="s">
        <v>541</v>
      </c>
      <c r="B2649">
        <v>30480</v>
      </c>
      <c r="C2649" t="s">
        <v>68</v>
      </c>
      <c r="D2649" t="s">
        <v>542</v>
      </c>
      <c r="E2649" t="s">
        <v>5380</v>
      </c>
      <c r="G2649" t="s">
        <v>5381</v>
      </c>
      <c r="J2649">
        <v>6.4561903559999996</v>
      </c>
      <c r="K2649">
        <v>0.47291064100000002</v>
      </c>
      <c r="L2649">
        <v>0.34414126499999997</v>
      </c>
      <c r="M2649" s="21">
        <v>-1.3857088980000001</v>
      </c>
      <c r="N2649">
        <v>-0.87976055099999995</v>
      </c>
    </row>
    <row r="2650" spans="1:14" x14ac:dyDescent="0.2">
      <c r="A2650" t="s">
        <v>1222</v>
      </c>
      <c r="B2650">
        <v>30400</v>
      </c>
      <c r="C2650" t="s">
        <v>68</v>
      </c>
      <c r="D2650" t="s">
        <v>1223</v>
      </c>
      <c r="E2650" t="s">
        <v>5382</v>
      </c>
      <c r="G2650" t="s">
        <v>5383</v>
      </c>
      <c r="J2650">
        <v>6.4561903559999996</v>
      </c>
      <c r="K2650">
        <v>0.47291064100000002</v>
      </c>
      <c r="L2650">
        <v>0.34414126499999997</v>
      </c>
      <c r="M2650" s="21">
        <v>-1.3857862620000001</v>
      </c>
      <c r="N2650">
        <v>-0.880158</v>
      </c>
    </row>
    <row r="2651" spans="1:14" x14ac:dyDescent="0.2">
      <c r="A2651" t="s">
        <v>577</v>
      </c>
      <c r="B2651">
        <v>140040</v>
      </c>
      <c r="C2651" t="s">
        <v>149</v>
      </c>
      <c r="D2651" t="s">
        <v>578</v>
      </c>
      <c r="E2651" t="s">
        <v>5384</v>
      </c>
      <c r="G2651" t="s">
        <v>5385</v>
      </c>
      <c r="J2651">
        <v>5.0381074159999999</v>
      </c>
      <c r="K2651">
        <v>0.81312368999999995</v>
      </c>
      <c r="L2651">
        <v>0.16969141800000001</v>
      </c>
      <c r="M2651" s="21">
        <v>-1.385842279</v>
      </c>
      <c r="N2651">
        <v>-0.88044577999999996</v>
      </c>
    </row>
    <row r="2652" spans="1:14" x14ac:dyDescent="0.2">
      <c r="A2652" t="s">
        <v>2118</v>
      </c>
      <c r="B2652">
        <v>30040</v>
      </c>
      <c r="C2652" t="s">
        <v>68</v>
      </c>
      <c r="D2652" t="s">
        <v>2119</v>
      </c>
      <c r="E2652" t="s">
        <v>5386</v>
      </c>
      <c r="G2652" t="s">
        <v>5387</v>
      </c>
      <c r="J2652">
        <v>6.4561903559999996</v>
      </c>
      <c r="K2652">
        <v>0.47291064100000002</v>
      </c>
      <c r="L2652">
        <v>0.34414126499999997</v>
      </c>
      <c r="M2652" s="21">
        <v>-1.3861344010000001</v>
      </c>
      <c r="N2652">
        <v>-0.88194651999999996</v>
      </c>
    </row>
    <row r="2653" spans="1:14" x14ac:dyDescent="0.2">
      <c r="A2653" t="s">
        <v>1511</v>
      </c>
      <c r="B2653">
        <v>182360</v>
      </c>
      <c r="C2653" t="s">
        <v>14</v>
      </c>
      <c r="D2653" t="s">
        <v>1512</v>
      </c>
      <c r="E2653" t="s">
        <v>5388</v>
      </c>
      <c r="G2653" t="s">
        <v>5389</v>
      </c>
      <c r="J2653">
        <v>6.7484204910000001</v>
      </c>
      <c r="K2653">
        <v>0.48629166299999999</v>
      </c>
      <c r="L2653">
        <v>0.375053939</v>
      </c>
      <c r="M2653" s="21">
        <v>-1.38616541</v>
      </c>
      <c r="N2653">
        <v>-0.88210582599999998</v>
      </c>
    </row>
    <row r="2654" spans="1:14" x14ac:dyDescent="0.2">
      <c r="A2654" t="s">
        <v>352</v>
      </c>
      <c r="B2654">
        <v>29960</v>
      </c>
      <c r="C2654" t="s">
        <v>68</v>
      </c>
      <c r="D2654" t="s">
        <v>352</v>
      </c>
      <c r="E2654" t="s">
        <v>5390</v>
      </c>
      <c r="G2654" t="s">
        <v>5391</v>
      </c>
      <c r="J2654">
        <v>6.4561903559999996</v>
      </c>
      <c r="K2654">
        <v>0.47291064100000002</v>
      </c>
      <c r="L2654">
        <v>0.34414126499999997</v>
      </c>
      <c r="M2654" s="21">
        <v>-1.3862117650000001</v>
      </c>
      <c r="N2654">
        <v>-0.88234396900000001</v>
      </c>
    </row>
    <row r="2655" spans="1:14" x14ac:dyDescent="0.2">
      <c r="A2655" t="s">
        <v>718</v>
      </c>
      <c r="B2655">
        <v>128760</v>
      </c>
      <c r="C2655" t="s">
        <v>58</v>
      </c>
      <c r="D2655" t="s">
        <v>718</v>
      </c>
      <c r="E2655" t="s">
        <v>5392</v>
      </c>
      <c r="G2655" t="s">
        <v>5393</v>
      </c>
      <c r="J2655">
        <v>4.5363847230000003</v>
      </c>
      <c r="K2655">
        <v>0.245646371</v>
      </c>
      <c r="L2655">
        <v>7.5242279999999995E-2</v>
      </c>
      <c r="M2655" s="21">
        <v>-1.386300206</v>
      </c>
      <c r="N2655">
        <v>-0.882798321</v>
      </c>
    </row>
    <row r="2656" spans="1:14" x14ac:dyDescent="0.2">
      <c r="A2656" t="s">
        <v>2315</v>
      </c>
      <c r="B2656">
        <v>139440</v>
      </c>
      <c r="C2656" t="s">
        <v>149</v>
      </c>
      <c r="D2656" t="s">
        <v>2316</v>
      </c>
      <c r="E2656" t="s">
        <v>5394</v>
      </c>
      <c r="G2656" t="s">
        <v>5395</v>
      </c>
      <c r="J2656">
        <v>5.0381074159999999</v>
      </c>
      <c r="K2656">
        <v>0.81312368999999995</v>
      </c>
      <c r="L2656">
        <v>0.16969141800000001</v>
      </c>
      <c r="M2656" s="21">
        <v>-1.3863970489999999</v>
      </c>
      <c r="N2656">
        <v>-0.88329583899999997</v>
      </c>
    </row>
    <row r="2657" spans="1:14" x14ac:dyDescent="0.2">
      <c r="A2657" t="s">
        <v>853</v>
      </c>
      <c r="B2657">
        <v>29560</v>
      </c>
      <c r="C2657" t="s">
        <v>68</v>
      </c>
      <c r="D2657" t="s">
        <v>854</v>
      </c>
      <c r="E2657" t="s">
        <v>5396</v>
      </c>
      <c r="G2657" t="s">
        <v>5397</v>
      </c>
      <c r="J2657">
        <v>6.4561903559999996</v>
      </c>
      <c r="K2657">
        <v>0.47291064100000002</v>
      </c>
      <c r="L2657">
        <v>0.34414126499999997</v>
      </c>
      <c r="M2657" s="21">
        <v>-1.3865985860000001</v>
      </c>
      <c r="N2657">
        <v>-0.88433121299999995</v>
      </c>
    </row>
    <row r="2658" spans="1:14" x14ac:dyDescent="0.2">
      <c r="A2658" t="s">
        <v>1825</v>
      </c>
      <c r="B2658">
        <v>29480</v>
      </c>
      <c r="C2658" t="s">
        <v>68</v>
      </c>
      <c r="D2658" t="s">
        <v>1826</v>
      </c>
      <c r="E2658" t="s">
        <v>5398</v>
      </c>
      <c r="G2658" t="s">
        <v>5399</v>
      </c>
      <c r="J2658">
        <v>6.4561903559999996</v>
      </c>
      <c r="K2658">
        <v>0.47291064100000002</v>
      </c>
      <c r="L2658">
        <v>0.34414126499999997</v>
      </c>
      <c r="M2658" s="21">
        <v>-1.3866759500000001</v>
      </c>
      <c r="N2658">
        <v>-0.884728662</v>
      </c>
    </row>
    <row r="2659" spans="1:14" x14ac:dyDescent="0.2">
      <c r="A2659" t="s">
        <v>1736</v>
      </c>
      <c r="B2659">
        <v>29360</v>
      </c>
      <c r="C2659" t="s">
        <v>68</v>
      </c>
      <c r="D2659" t="s">
        <v>1736</v>
      </c>
      <c r="E2659" t="s">
        <v>5400</v>
      </c>
      <c r="G2659" t="s">
        <v>5401</v>
      </c>
      <c r="J2659">
        <v>6.4561903559999996</v>
      </c>
      <c r="K2659">
        <v>0.47291064100000002</v>
      </c>
      <c r="L2659">
        <v>0.34414126499999997</v>
      </c>
      <c r="M2659" s="21">
        <v>-1.386791997</v>
      </c>
      <c r="N2659">
        <v>-0.88532483500000003</v>
      </c>
    </row>
    <row r="2660" spans="1:14" x14ac:dyDescent="0.2">
      <c r="A2660" t="s">
        <v>1986</v>
      </c>
      <c r="B2660">
        <v>54720</v>
      </c>
      <c r="C2660" t="s">
        <v>130</v>
      </c>
      <c r="D2660" t="s">
        <v>1986</v>
      </c>
      <c r="E2660" t="s">
        <v>5402</v>
      </c>
      <c r="G2660" t="s">
        <v>5403</v>
      </c>
      <c r="J2660">
        <v>5.1222566499999997</v>
      </c>
      <c r="K2660">
        <v>0.21422175600000001</v>
      </c>
      <c r="L2660">
        <v>0.25354511400000002</v>
      </c>
      <c r="M2660" s="21">
        <v>-1.3872667219999999</v>
      </c>
      <c r="N2660">
        <v>-0.88776367899999997</v>
      </c>
    </row>
    <row r="2661" spans="1:14" x14ac:dyDescent="0.2">
      <c r="A2661" t="s">
        <v>572</v>
      </c>
      <c r="B2661">
        <v>131000</v>
      </c>
      <c r="C2661" t="s">
        <v>100</v>
      </c>
      <c r="D2661" t="s">
        <v>572</v>
      </c>
      <c r="E2661" t="s">
        <v>5404</v>
      </c>
      <c r="G2661" t="s">
        <v>5405</v>
      </c>
      <c r="J2661">
        <v>5.9110743220000002</v>
      </c>
      <c r="K2661">
        <v>0.71598987199999997</v>
      </c>
      <c r="L2661">
        <v>0.29077365599999999</v>
      </c>
      <c r="M2661" s="21">
        <v>-1.3875553439999999</v>
      </c>
      <c r="N2661">
        <v>-0.889246435</v>
      </c>
    </row>
    <row r="2662" spans="1:14" x14ac:dyDescent="0.2">
      <c r="A2662" t="s">
        <v>470</v>
      </c>
      <c r="B2662">
        <v>138080</v>
      </c>
      <c r="C2662" t="s">
        <v>149</v>
      </c>
      <c r="D2662" t="s">
        <v>470</v>
      </c>
      <c r="E2662" t="s">
        <v>5406</v>
      </c>
      <c r="G2662" t="s">
        <v>5407</v>
      </c>
      <c r="J2662">
        <v>5.0381074159999999</v>
      </c>
      <c r="K2662">
        <v>0.81312368999999995</v>
      </c>
      <c r="L2662">
        <v>0.16969141800000001</v>
      </c>
      <c r="M2662" s="21">
        <v>-1.3876545259999999</v>
      </c>
      <c r="N2662">
        <v>-0.88975597399999995</v>
      </c>
    </row>
    <row r="2663" spans="1:14" x14ac:dyDescent="0.2">
      <c r="A2663" t="s">
        <v>1426</v>
      </c>
      <c r="B2663">
        <v>137920</v>
      </c>
      <c r="C2663" t="s">
        <v>149</v>
      </c>
      <c r="D2663" t="s">
        <v>1426</v>
      </c>
      <c r="E2663" t="s">
        <v>5408</v>
      </c>
      <c r="G2663" t="s">
        <v>5409</v>
      </c>
      <c r="J2663">
        <v>5.0381074159999999</v>
      </c>
      <c r="K2663">
        <v>0.81312368999999995</v>
      </c>
      <c r="L2663">
        <v>0.16969141800000001</v>
      </c>
      <c r="M2663" s="21">
        <v>-1.387802465</v>
      </c>
      <c r="N2663">
        <v>-0.89051598899999995</v>
      </c>
    </row>
    <row r="2664" spans="1:14" x14ac:dyDescent="0.2">
      <c r="A2664" t="s">
        <v>1714</v>
      </c>
      <c r="B2664">
        <v>28280</v>
      </c>
      <c r="C2664" t="s">
        <v>68</v>
      </c>
      <c r="D2664" t="s">
        <v>1715</v>
      </c>
      <c r="E2664" t="s">
        <v>5410</v>
      </c>
      <c r="G2664" t="s">
        <v>5411</v>
      </c>
      <c r="J2664">
        <v>6.4561903559999996</v>
      </c>
      <c r="K2664">
        <v>0.47291064100000002</v>
      </c>
      <c r="L2664">
        <v>0.34414126499999997</v>
      </c>
      <c r="M2664" s="21">
        <v>-1.387836413</v>
      </c>
      <c r="N2664">
        <v>-0.89069039500000002</v>
      </c>
    </row>
    <row r="2665" spans="1:14" x14ac:dyDescent="0.2">
      <c r="A2665" t="s">
        <v>1620</v>
      </c>
      <c r="B2665">
        <v>28120</v>
      </c>
      <c r="C2665" t="s">
        <v>68</v>
      </c>
      <c r="D2665" t="s">
        <v>1620</v>
      </c>
      <c r="E2665" t="s">
        <v>5412</v>
      </c>
      <c r="G2665" t="s">
        <v>5413</v>
      </c>
      <c r="J2665">
        <v>6.4561903559999996</v>
      </c>
      <c r="K2665">
        <v>0.47291064100000002</v>
      </c>
      <c r="L2665">
        <v>0.34414126499999997</v>
      </c>
      <c r="M2665" s="21">
        <v>-1.387991142</v>
      </c>
      <c r="N2665">
        <v>-0.89148529300000001</v>
      </c>
    </row>
    <row r="2666" spans="1:14" x14ac:dyDescent="0.2">
      <c r="A2666" t="s">
        <v>907</v>
      </c>
      <c r="B2666">
        <v>180400</v>
      </c>
      <c r="C2666" t="s">
        <v>14</v>
      </c>
      <c r="D2666" t="s">
        <v>907</v>
      </c>
      <c r="E2666" t="s">
        <v>5414</v>
      </c>
      <c r="G2666" t="s">
        <v>5415</v>
      </c>
      <c r="J2666">
        <v>6.7484204910000001</v>
      </c>
      <c r="K2666">
        <v>0.48629166299999999</v>
      </c>
      <c r="L2666">
        <v>0.375053939</v>
      </c>
      <c r="M2666" s="21">
        <v>-1.3883130260000001</v>
      </c>
      <c r="N2666">
        <v>-0.89313893200000005</v>
      </c>
    </row>
    <row r="2667" spans="1:14" x14ac:dyDescent="0.2">
      <c r="A2667" t="s">
        <v>267</v>
      </c>
      <c r="B2667">
        <v>180400</v>
      </c>
      <c r="C2667" t="s">
        <v>14</v>
      </c>
      <c r="D2667" t="s">
        <v>268</v>
      </c>
      <c r="E2667" t="s">
        <v>5416</v>
      </c>
      <c r="G2667" t="s">
        <v>5417</v>
      </c>
      <c r="J2667">
        <v>6.7484204910000001</v>
      </c>
      <c r="K2667">
        <v>0.48629166299999999</v>
      </c>
      <c r="L2667">
        <v>0.375053939</v>
      </c>
      <c r="M2667" s="21">
        <v>-1.3883130260000001</v>
      </c>
      <c r="N2667">
        <v>-0.89313893200000005</v>
      </c>
    </row>
    <row r="2668" spans="1:14" x14ac:dyDescent="0.2">
      <c r="A2668" t="s">
        <v>1747</v>
      </c>
      <c r="B2668">
        <v>27680</v>
      </c>
      <c r="C2668" t="s">
        <v>68</v>
      </c>
      <c r="D2668" t="s">
        <v>1747</v>
      </c>
      <c r="E2668" t="s">
        <v>5418</v>
      </c>
      <c r="G2668" t="s">
        <v>5419</v>
      </c>
      <c r="J2668">
        <v>6.4561903559999996</v>
      </c>
      <c r="K2668">
        <v>0.47291064100000002</v>
      </c>
      <c r="L2668">
        <v>0.34414126499999997</v>
      </c>
      <c r="M2668" s="21">
        <v>-1.3884166449999999</v>
      </c>
      <c r="N2668">
        <v>-0.89367126100000005</v>
      </c>
    </row>
    <row r="2669" spans="1:14" x14ac:dyDescent="0.2">
      <c r="A2669" t="s">
        <v>924</v>
      </c>
      <c r="B2669">
        <v>27480</v>
      </c>
      <c r="C2669" t="s">
        <v>68</v>
      </c>
      <c r="D2669" t="s">
        <v>924</v>
      </c>
      <c r="E2669" t="s">
        <v>5420</v>
      </c>
      <c r="G2669" t="s">
        <v>5421</v>
      </c>
      <c r="J2669">
        <v>6.4561903559999996</v>
      </c>
      <c r="K2669">
        <v>0.47291064100000002</v>
      </c>
      <c r="L2669">
        <v>0.34414126499999997</v>
      </c>
      <c r="M2669" s="21">
        <v>-1.388610055</v>
      </c>
      <c r="N2669">
        <v>-0.89466488399999999</v>
      </c>
    </row>
    <row r="2670" spans="1:14" x14ac:dyDescent="0.2">
      <c r="A2670" t="s">
        <v>1263</v>
      </c>
      <c r="B2670">
        <v>27480</v>
      </c>
      <c r="C2670" t="s">
        <v>68</v>
      </c>
      <c r="D2670" t="s">
        <v>1264</v>
      </c>
      <c r="E2670" t="s">
        <v>5422</v>
      </c>
      <c r="G2670" t="s">
        <v>5423</v>
      </c>
      <c r="J2670">
        <v>6.4561903559999996</v>
      </c>
      <c r="K2670">
        <v>0.47291064100000002</v>
      </c>
      <c r="L2670">
        <v>0.34414126499999997</v>
      </c>
      <c r="M2670" s="21">
        <v>-1.388610055</v>
      </c>
      <c r="N2670">
        <v>-0.89466488399999999</v>
      </c>
    </row>
    <row r="2671" spans="1:14" x14ac:dyDescent="0.2">
      <c r="A2671" t="s">
        <v>2885</v>
      </c>
      <c r="B2671">
        <v>27440</v>
      </c>
      <c r="C2671" t="s">
        <v>68</v>
      </c>
      <c r="D2671" t="s">
        <v>2885</v>
      </c>
      <c r="E2671" t="s">
        <v>5424</v>
      </c>
      <c r="G2671" t="s">
        <v>5425</v>
      </c>
      <c r="J2671">
        <v>6.4561903559999996</v>
      </c>
      <c r="K2671">
        <v>0.47291064100000002</v>
      </c>
      <c r="L2671">
        <v>0.34414126499999997</v>
      </c>
      <c r="M2671" s="21">
        <v>-1.3886487380000001</v>
      </c>
      <c r="N2671">
        <v>-0.89486360799999998</v>
      </c>
    </row>
    <row r="2672" spans="1:14" x14ac:dyDescent="0.2">
      <c r="A2672" t="s">
        <v>749</v>
      </c>
      <c r="B2672">
        <v>180080</v>
      </c>
      <c r="C2672" t="s">
        <v>14</v>
      </c>
      <c r="D2672" t="s">
        <v>749</v>
      </c>
      <c r="E2672" t="s">
        <v>5426</v>
      </c>
      <c r="G2672" t="s">
        <v>5427</v>
      </c>
      <c r="J2672">
        <v>6.7484204910000001</v>
      </c>
      <c r="K2672">
        <v>0.48629166299999999</v>
      </c>
      <c r="L2672">
        <v>0.375053939</v>
      </c>
      <c r="M2672" s="21">
        <v>-1.3886636569999999</v>
      </c>
      <c r="N2672">
        <v>-0.89494025499999996</v>
      </c>
    </row>
    <row r="2673" spans="1:14" x14ac:dyDescent="0.2">
      <c r="A2673" t="s">
        <v>1343</v>
      </c>
      <c r="B2673">
        <v>27400</v>
      </c>
      <c r="C2673" t="s">
        <v>68</v>
      </c>
      <c r="D2673" t="s">
        <v>1344</v>
      </c>
      <c r="E2673" t="s">
        <v>5428</v>
      </c>
      <c r="G2673" t="s">
        <v>5429</v>
      </c>
      <c r="J2673">
        <v>6.4561903559999996</v>
      </c>
      <c r="K2673">
        <v>0.47291064100000002</v>
      </c>
      <c r="L2673">
        <v>0.34414126499999997</v>
      </c>
      <c r="M2673" s="21">
        <v>-1.3886874199999999</v>
      </c>
      <c r="N2673">
        <v>-0.89506233199999996</v>
      </c>
    </row>
    <row r="2674" spans="1:14" x14ac:dyDescent="0.2">
      <c r="A2674" t="s">
        <v>632</v>
      </c>
      <c r="B2674">
        <v>26920</v>
      </c>
      <c r="C2674" t="s">
        <v>68</v>
      </c>
      <c r="D2674" t="s">
        <v>632</v>
      </c>
      <c r="E2674" t="s">
        <v>5430</v>
      </c>
      <c r="G2674" t="s">
        <v>5431</v>
      </c>
      <c r="J2674">
        <v>6.4561903559999996</v>
      </c>
      <c r="K2674">
        <v>0.47291064100000002</v>
      </c>
      <c r="L2674">
        <v>0.34414126499999997</v>
      </c>
      <c r="M2674" s="21">
        <v>-1.3891516049999999</v>
      </c>
      <c r="N2674">
        <v>-0.89744702600000004</v>
      </c>
    </row>
    <row r="2675" spans="1:14" x14ac:dyDescent="0.2">
      <c r="A2675" t="s">
        <v>607</v>
      </c>
      <c r="B2675">
        <v>26880</v>
      </c>
      <c r="C2675" t="s">
        <v>68</v>
      </c>
      <c r="D2675" t="s">
        <v>607</v>
      </c>
      <c r="E2675" t="s">
        <v>5432</v>
      </c>
      <c r="G2675" t="s">
        <v>5433</v>
      </c>
      <c r="J2675">
        <v>6.4561903559999996</v>
      </c>
      <c r="K2675">
        <v>0.47291064100000002</v>
      </c>
      <c r="L2675">
        <v>0.34414126499999997</v>
      </c>
      <c r="M2675" s="21">
        <v>-1.3891902869999999</v>
      </c>
      <c r="N2675">
        <v>-0.89764575000000002</v>
      </c>
    </row>
    <row r="2676" spans="1:14" x14ac:dyDescent="0.2">
      <c r="A2676" t="s">
        <v>2118</v>
      </c>
      <c r="B2676">
        <v>136200</v>
      </c>
      <c r="C2676" t="s">
        <v>149</v>
      </c>
      <c r="D2676" t="s">
        <v>2119</v>
      </c>
      <c r="E2676" t="s">
        <v>5434</v>
      </c>
      <c r="G2676" t="s">
        <v>5435</v>
      </c>
      <c r="J2676">
        <v>5.0381074159999999</v>
      </c>
      <c r="K2676">
        <v>0.81312368999999995</v>
      </c>
      <c r="L2676">
        <v>0.16969141800000001</v>
      </c>
      <c r="M2676" s="21">
        <v>-1.389392805</v>
      </c>
      <c r="N2676">
        <v>-0.89868615900000004</v>
      </c>
    </row>
    <row r="2677" spans="1:14" x14ac:dyDescent="0.2">
      <c r="A2677" t="s">
        <v>650</v>
      </c>
      <c r="B2677">
        <v>26600</v>
      </c>
      <c r="C2677" t="s">
        <v>68</v>
      </c>
      <c r="D2677" t="s">
        <v>651</v>
      </c>
      <c r="E2677" t="s">
        <v>5436</v>
      </c>
      <c r="G2677" t="s">
        <v>5437</v>
      </c>
      <c r="J2677">
        <v>6.4561903559999996</v>
      </c>
      <c r="K2677">
        <v>0.47291064100000002</v>
      </c>
      <c r="L2677">
        <v>0.34414126499999997</v>
      </c>
      <c r="M2677" s="21">
        <v>-1.3894610620000001</v>
      </c>
      <c r="N2677">
        <v>-0.89903682100000004</v>
      </c>
    </row>
    <row r="2678" spans="1:14" x14ac:dyDescent="0.2">
      <c r="A2678" t="s">
        <v>645</v>
      </c>
      <c r="B2678">
        <v>135880</v>
      </c>
      <c r="C2678" t="s">
        <v>149</v>
      </c>
      <c r="D2678" t="s">
        <v>645</v>
      </c>
      <c r="E2678" t="s">
        <v>5438</v>
      </c>
      <c r="G2678" t="s">
        <v>5439</v>
      </c>
      <c r="J2678">
        <v>5.0381074159999999</v>
      </c>
      <c r="K2678">
        <v>0.81312368999999995</v>
      </c>
      <c r="L2678">
        <v>0.16969141800000001</v>
      </c>
      <c r="M2678" s="21">
        <v>-1.3896886820000001</v>
      </c>
      <c r="N2678">
        <v>-0.90020619099999999</v>
      </c>
    </row>
    <row r="2679" spans="1:14" x14ac:dyDescent="0.2">
      <c r="A2679" t="s">
        <v>2188</v>
      </c>
      <c r="B2679">
        <v>51560</v>
      </c>
      <c r="C2679" t="s">
        <v>130</v>
      </c>
      <c r="D2679" t="s">
        <v>2188</v>
      </c>
      <c r="E2679" t="s">
        <v>5440</v>
      </c>
      <c r="G2679" t="s">
        <v>5441</v>
      </c>
      <c r="J2679">
        <v>5.1222566499999997</v>
      </c>
      <c r="K2679">
        <v>0.21422175600000001</v>
      </c>
      <c r="L2679">
        <v>0.25354511400000002</v>
      </c>
      <c r="M2679" s="21">
        <v>-1.389781545</v>
      </c>
      <c r="N2679">
        <v>-0.90068326300000001</v>
      </c>
    </row>
    <row r="2680" spans="1:14" x14ac:dyDescent="0.2">
      <c r="A2680" t="s">
        <v>1511</v>
      </c>
      <c r="B2680">
        <v>26240</v>
      </c>
      <c r="C2680" t="s">
        <v>68</v>
      </c>
      <c r="D2680" t="s">
        <v>1512</v>
      </c>
      <c r="E2680" t="s">
        <v>5442</v>
      </c>
      <c r="G2680" t="s">
        <v>5443</v>
      </c>
      <c r="J2680">
        <v>6.4561903559999996</v>
      </c>
      <c r="K2680">
        <v>0.47291064100000002</v>
      </c>
      <c r="L2680">
        <v>0.34414126499999997</v>
      </c>
      <c r="M2680" s="21">
        <v>-1.389809201</v>
      </c>
      <c r="N2680">
        <v>-0.900825341</v>
      </c>
    </row>
    <row r="2681" spans="1:14" x14ac:dyDescent="0.2">
      <c r="A2681" t="s">
        <v>956</v>
      </c>
      <c r="B2681">
        <v>135720</v>
      </c>
      <c r="C2681" t="s">
        <v>149</v>
      </c>
      <c r="D2681" t="s">
        <v>956</v>
      </c>
      <c r="E2681" t="s">
        <v>5444</v>
      </c>
      <c r="G2681" t="s">
        <v>5445</v>
      </c>
      <c r="J2681">
        <v>5.0381074159999999</v>
      </c>
      <c r="K2681">
        <v>0.81312368999999995</v>
      </c>
      <c r="L2681">
        <v>0.16969141800000001</v>
      </c>
      <c r="M2681" s="21">
        <v>-1.3898366200000001</v>
      </c>
      <c r="N2681">
        <v>-0.90096620699999996</v>
      </c>
    </row>
    <row r="2682" spans="1:14" x14ac:dyDescent="0.2">
      <c r="A2682" t="s">
        <v>225</v>
      </c>
      <c r="B2682">
        <v>25840</v>
      </c>
      <c r="C2682" t="s">
        <v>68</v>
      </c>
      <c r="D2682" t="s">
        <v>225</v>
      </c>
      <c r="E2682" t="s">
        <v>5446</v>
      </c>
      <c r="G2682" t="s">
        <v>5447</v>
      </c>
      <c r="J2682">
        <v>6.4561903559999996</v>
      </c>
      <c r="K2682">
        <v>0.47291064100000002</v>
      </c>
      <c r="L2682">
        <v>0.34414126499999997</v>
      </c>
      <c r="M2682" s="21">
        <v>-1.390196022</v>
      </c>
      <c r="N2682">
        <v>-0.90281258499999995</v>
      </c>
    </row>
    <row r="2683" spans="1:14" x14ac:dyDescent="0.2">
      <c r="A2683" t="s">
        <v>1986</v>
      </c>
      <c r="B2683">
        <v>25480</v>
      </c>
      <c r="C2683" t="s">
        <v>68</v>
      </c>
      <c r="D2683" t="s">
        <v>1986</v>
      </c>
      <c r="E2683" t="s">
        <v>5448</v>
      </c>
      <c r="G2683" t="s">
        <v>5449</v>
      </c>
      <c r="J2683">
        <v>6.4561903559999996</v>
      </c>
      <c r="K2683">
        <v>0.47291064100000002</v>
      </c>
      <c r="L2683">
        <v>0.34414126499999997</v>
      </c>
      <c r="M2683" s="21">
        <v>-1.3905441599999999</v>
      </c>
      <c r="N2683">
        <v>-0.90460110500000002</v>
      </c>
    </row>
    <row r="2684" spans="1:14" x14ac:dyDescent="0.2">
      <c r="A2684" t="s">
        <v>2871</v>
      </c>
      <c r="B2684">
        <v>25440</v>
      </c>
      <c r="C2684" t="s">
        <v>68</v>
      </c>
      <c r="D2684" t="s">
        <v>2871</v>
      </c>
      <c r="E2684" t="s">
        <v>5450</v>
      </c>
      <c r="G2684" t="s">
        <v>5451</v>
      </c>
      <c r="J2684">
        <v>6.4561903559999996</v>
      </c>
      <c r="K2684">
        <v>0.47291064100000002</v>
      </c>
      <c r="L2684">
        <v>0.34414126499999997</v>
      </c>
      <c r="M2684" s="21">
        <v>-1.390582843</v>
      </c>
      <c r="N2684">
        <v>-0.90479982999999997</v>
      </c>
    </row>
    <row r="2685" spans="1:14" x14ac:dyDescent="0.2">
      <c r="A2685" t="s">
        <v>13</v>
      </c>
      <c r="B2685">
        <v>25120</v>
      </c>
      <c r="C2685" t="s">
        <v>68</v>
      </c>
      <c r="D2685" t="s">
        <v>13</v>
      </c>
      <c r="E2685" t="s">
        <v>5452</v>
      </c>
      <c r="G2685" t="s">
        <v>5453</v>
      </c>
      <c r="J2685">
        <v>6.4561903559999996</v>
      </c>
      <c r="K2685">
        <v>0.47291064100000002</v>
      </c>
      <c r="L2685">
        <v>0.34414126499999997</v>
      </c>
      <c r="M2685" s="21">
        <v>-1.3908922990000001</v>
      </c>
      <c r="N2685">
        <v>-0.90638962499999998</v>
      </c>
    </row>
    <row r="2686" spans="1:14" x14ac:dyDescent="0.2">
      <c r="A2686" t="s">
        <v>547</v>
      </c>
      <c r="B2686">
        <v>24480</v>
      </c>
      <c r="C2686" t="s">
        <v>68</v>
      </c>
      <c r="D2686" t="s">
        <v>548</v>
      </c>
      <c r="E2686" t="s">
        <v>5454</v>
      </c>
      <c r="G2686" t="s">
        <v>5455</v>
      </c>
      <c r="J2686">
        <v>6.4561903559999996</v>
      </c>
      <c r="K2686">
        <v>0.47291064100000002</v>
      </c>
      <c r="L2686">
        <v>0.34414126499999997</v>
      </c>
      <c r="M2686" s="21">
        <v>-1.391511213</v>
      </c>
      <c r="N2686">
        <v>-0.90956921599999996</v>
      </c>
    </row>
    <row r="2687" spans="1:14" x14ac:dyDescent="0.2">
      <c r="A2687" t="s">
        <v>2040</v>
      </c>
      <c r="B2687">
        <v>24240</v>
      </c>
      <c r="C2687" t="s">
        <v>68</v>
      </c>
      <c r="D2687" t="s">
        <v>2040</v>
      </c>
      <c r="E2687" t="s">
        <v>5456</v>
      </c>
      <c r="G2687" t="s">
        <v>5457</v>
      </c>
      <c r="J2687">
        <v>6.4561903559999996</v>
      </c>
      <c r="K2687">
        <v>0.47291064100000002</v>
      </c>
      <c r="L2687">
        <v>0.34414126499999997</v>
      </c>
      <c r="M2687" s="21">
        <v>-1.391743306</v>
      </c>
      <c r="N2687">
        <v>-0.910761563</v>
      </c>
    </row>
    <row r="2688" spans="1:14" x14ac:dyDescent="0.2">
      <c r="A2688" t="s">
        <v>2764</v>
      </c>
      <c r="B2688">
        <v>49040</v>
      </c>
      <c r="C2688" t="s">
        <v>130</v>
      </c>
      <c r="D2688" t="s">
        <v>2764</v>
      </c>
      <c r="E2688" t="s">
        <v>5458</v>
      </c>
      <c r="G2688" t="s">
        <v>5459</v>
      </c>
      <c r="J2688">
        <v>5.1222566499999997</v>
      </c>
      <c r="K2688">
        <v>0.21422175600000001</v>
      </c>
      <c r="L2688">
        <v>0.25354511400000002</v>
      </c>
      <c r="M2688" s="21">
        <v>-1.391787036</v>
      </c>
      <c r="N2688">
        <v>-0.91098622200000001</v>
      </c>
    </row>
    <row r="2689" spans="1:14" x14ac:dyDescent="0.2">
      <c r="A2689" t="s">
        <v>1126</v>
      </c>
      <c r="B2689">
        <v>24160</v>
      </c>
      <c r="C2689" t="s">
        <v>68</v>
      </c>
      <c r="D2689" t="s">
        <v>1126</v>
      </c>
      <c r="E2689" t="s">
        <v>5460</v>
      </c>
      <c r="G2689" t="s">
        <v>5461</v>
      </c>
      <c r="J2689">
        <v>6.4561903559999996</v>
      </c>
      <c r="K2689">
        <v>0.47291064100000002</v>
      </c>
      <c r="L2689">
        <v>0.34414126499999997</v>
      </c>
      <c r="M2689" s="21">
        <v>-1.39182067</v>
      </c>
      <c r="N2689">
        <v>-0.91115901099999996</v>
      </c>
    </row>
    <row r="2690" spans="1:14" x14ac:dyDescent="0.2">
      <c r="A2690" t="s">
        <v>1118</v>
      </c>
      <c r="B2690">
        <v>23920</v>
      </c>
      <c r="C2690" t="s">
        <v>68</v>
      </c>
      <c r="D2690" t="s">
        <v>1118</v>
      </c>
      <c r="E2690" t="s">
        <v>5462</v>
      </c>
      <c r="G2690" t="s">
        <v>5463</v>
      </c>
      <c r="J2690">
        <v>6.4561903559999996</v>
      </c>
      <c r="K2690">
        <v>0.47291064100000002</v>
      </c>
      <c r="L2690">
        <v>0.34414126499999997</v>
      </c>
      <c r="M2690" s="21">
        <v>-1.3920527620000001</v>
      </c>
      <c r="N2690">
        <v>-0.912351358</v>
      </c>
    </row>
    <row r="2691" spans="1:14" x14ac:dyDescent="0.2">
      <c r="A2691" t="s">
        <v>912</v>
      </c>
      <c r="B2691">
        <v>48640</v>
      </c>
      <c r="C2691" t="s">
        <v>130</v>
      </c>
      <c r="D2691" t="s">
        <v>912</v>
      </c>
      <c r="E2691" t="s">
        <v>5464</v>
      </c>
      <c r="G2691" t="s">
        <v>5465</v>
      </c>
      <c r="J2691">
        <v>5.1222566499999997</v>
      </c>
      <c r="K2691">
        <v>0.21422175600000001</v>
      </c>
      <c r="L2691">
        <v>0.25354511400000002</v>
      </c>
      <c r="M2691" s="21">
        <v>-1.392105368</v>
      </c>
      <c r="N2691">
        <v>-0.91262161200000003</v>
      </c>
    </row>
    <row r="2692" spans="1:14" x14ac:dyDescent="0.2">
      <c r="A2692" t="s">
        <v>400</v>
      </c>
      <c r="B2692">
        <v>23800</v>
      </c>
      <c r="C2692" t="s">
        <v>68</v>
      </c>
      <c r="D2692" t="s">
        <v>400</v>
      </c>
      <c r="E2692" t="s">
        <v>5466</v>
      </c>
      <c r="G2692" t="s">
        <v>5467</v>
      </c>
      <c r="J2692">
        <v>6.4561903559999996</v>
      </c>
      <c r="K2692">
        <v>0.47291064100000002</v>
      </c>
      <c r="L2692">
        <v>0.34414126499999997</v>
      </c>
      <c r="M2692" s="21">
        <v>-1.392168809</v>
      </c>
      <c r="N2692">
        <v>-0.91294753100000003</v>
      </c>
    </row>
    <row r="2693" spans="1:14" x14ac:dyDescent="0.2">
      <c r="A2693" t="s">
        <v>397</v>
      </c>
      <c r="B2693">
        <v>126240</v>
      </c>
      <c r="C2693" t="s">
        <v>100</v>
      </c>
      <c r="D2693" t="s">
        <v>397</v>
      </c>
      <c r="E2693" t="s">
        <v>5468</v>
      </c>
      <c r="G2693" t="s">
        <v>5469</v>
      </c>
      <c r="J2693">
        <v>5.9110743220000002</v>
      </c>
      <c r="K2693">
        <v>0.71598987199999997</v>
      </c>
      <c r="L2693">
        <v>0.29077365599999999</v>
      </c>
      <c r="M2693" s="21">
        <v>-1.3922806599999999</v>
      </c>
      <c r="N2693">
        <v>-0.91352215299999995</v>
      </c>
    </row>
    <row r="2694" spans="1:14" x14ac:dyDescent="0.2">
      <c r="A2694" t="s">
        <v>2902</v>
      </c>
      <c r="B2694">
        <v>23560</v>
      </c>
      <c r="C2694" t="s">
        <v>68</v>
      </c>
      <c r="D2694" t="s">
        <v>2903</v>
      </c>
      <c r="E2694" t="s">
        <v>5470</v>
      </c>
      <c r="G2694" t="s">
        <v>5471</v>
      </c>
      <c r="J2694">
        <v>6.4561903559999996</v>
      </c>
      <c r="K2694">
        <v>0.47291064100000002</v>
      </c>
      <c r="L2694">
        <v>0.34414126499999997</v>
      </c>
      <c r="M2694" s="21">
        <v>-1.392400901</v>
      </c>
      <c r="N2694">
        <v>-0.91413987799999996</v>
      </c>
    </row>
    <row r="2695" spans="1:14" x14ac:dyDescent="0.2">
      <c r="A2695" t="s">
        <v>807</v>
      </c>
      <c r="B2695">
        <v>23520</v>
      </c>
      <c r="C2695" t="s">
        <v>68</v>
      </c>
      <c r="D2695" t="s">
        <v>807</v>
      </c>
      <c r="E2695" t="s">
        <v>5472</v>
      </c>
      <c r="G2695" t="s">
        <v>5473</v>
      </c>
      <c r="J2695">
        <v>6.4561903559999996</v>
      </c>
      <c r="K2695">
        <v>0.47291064100000002</v>
      </c>
      <c r="L2695">
        <v>0.34414126499999997</v>
      </c>
      <c r="M2695" s="21">
        <v>-1.392439583</v>
      </c>
      <c r="N2695">
        <v>-0.91433860199999994</v>
      </c>
    </row>
    <row r="2696" spans="1:14" x14ac:dyDescent="0.2">
      <c r="A2696" t="s">
        <v>2239</v>
      </c>
      <c r="B2696">
        <v>23320</v>
      </c>
      <c r="C2696" t="s">
        <v>68</v>
      </c>
      <c r="D2696" t="s">
        <v>2240</v>
      </c>
      <c r="E2696" t="s">
        <v>5474</v>
      </c>
      <c r="G2696" t="s">
        <v>5475</v>
      </c>
      <c r="J2696">
        <v>6.4561903559999996</v>
      </c>
      <c r="K2696">
        <v>0.47291064100000002</v>
      </c>
      <c r="L2696">
        <v>0.34414126499999997</v>
      </c>
      <c r="M2696" s="21">
        <v>-1.392632994</v>
      </c>
      <c r="N2696">
        <v>-0.91533222400000003</v>
      </c>
    </row>
    <row r="2697" spans="1:14" x14ac:dyDescent="0.2">
      <c r="A2697" t="s">
        <v>832</v>
      </c>
      <c r="B2697">
        <v>23320</v>
      </c>
      <c r="C2697" t="s">
        <v>68</v>
      </c>
      <c r="D2697" t="s">
        <v>832</v>
      </c>
      <c r="E2697" t="s">
        <v>5476</v>
      </c>
      <c r="G2697" t="s">
        <v>5477</v>
      </c>
      <c r="J2697">
        <v>6.4561903559999996</v>
      </c>
      <c r="K2697">
        <v>0.47291064100000002</v>
      </c>
      <c r="L2697">
        <v>0.34414126499999997</v>
      </c>
      <c r="M2697" s="21">
        <v>-1.392632994</v>
      </c>
      <c r="N2697">
        <v>-0.91533222400000003</v>
      </c>
    </row>
    <row r="2698" spans="1:14" x14ac:dyDescent="0.2">
      <c r="A2698" t="s">
        <v>1269</v>
      </c>
      <c r="B2698">
        <v>23200</v>
      </c>
      <c r="C2698" t="s">
        <v>68</v>
      </c>
      <c r="D2698" t="s">
        <v>1269</v>
      </c>
      <c r="E2698" t="s">
        <v>5478</v>
      </c>
      <c r="G2698" t="s">
        <v>5479</v>
      </c>
      <c r="J2698">
        <v>6.4561903559999996</v>
      </c>
      <c r="K2698">
        <v>0.47291064100000002</v>
      </c>
      <c r="L2698">
        <v>0.34414126499999997</v>
      </c>
      <c r="M2698" s="21">
        <v>-1.39274904</v>
      </c>
      <c r="N2698">
        <v>-0.91592839800000003</v>
      </c>
    </row>
    <row r="2699" spans="1:14" x14ac:dyDescent="0.2">
      <c r="A2699" t="s">
        <v>190</v>
      </c>
      <c r="B2699">
        <v>22960</v>
      </c>
      <c r="C2699" t="s">
        <v>68</v>
      </c>
      <c r="D2699" t="s">
        <v>190</v>
      </c>
      <c r="E2699" t="s">
        <v>5480</v>
      </c>
      <c r="G2699" t="s">
        <v>5481</v>
      </c>
      <c r="J2699">
        <v>6.4561903559999996</v>
      </c>
      <c r="K2699">
        <v>0.47291064100000002</v>
      </c>
      <c r="L2699">
        <v>0.34414126499999997</v>
      </c>
      <c r="M2699" s="21">
        <v>-1.3929811329999999</v>
      </c>
      <c r="N2699">
        <v>-0.91712074399999999</v>
      </c>
    </row>
    <row r="2700" spans="1:14" x14ac:dyDescent="0.2">
      <c r="A2700" t="s">
        <v>2230</v>
      </c>
      <c r="B2700">
        <v>22920</v>
      </c>
      <c r="C2700" t="s">
        <v>68</v>
      </c>
      <c r="D2700" t="s">
        <v>2231</v>
      </c>
      <c r="E2700" t="s">
        <v>5482</v>
      </c>
      <c r="G2700" t="s">
        <v>5483</v>
      </c>
      <c r="J2700">
        <v>6.4561903559999996</v>
      </c>
      <c r="K2700">
        <v>0.47291064100000002</v>
      </c>
      <c r="L2700">
        <v>0.34414126499999997</v>
      </c>
      <c r="M2700" s="21">
        <v>-1.3930198149999999</v>
      </c>
      <c r="N2700">
        <v>-0.91731946900000005</v>
      </c>
    </row>
    <row r="2701" spans="1:14" x14ac:dyDescent="0.2">
      <c r="A2701" t="s">
        <v>325</v>
      </c>
      <c r="B2701">
        <v>22680</v>
      </c>
      <c r="C2701" t="s">
        <v>68</v>
      </c>
      <c r="D2701" t="s">
        <v>326</v>
      </c>
      <c r="E2701" t="s">
        <v>5484</v>
      </c>
      <c r="G2701" t="s">
        <v>5485</v>
      </c>
      <c r="J2701">
        <v>6.4561903559999996</v>
      </c>
      <c r="K2701">
        <v>0.47291064100000002</v>
      </c>
      <c r="L2701">
        <v>0.34414126499999997</v>
      </c>
      <c r="M2701" s="21">
        <v>-1.3932519080000001</v>
      </c>
      <c r="N2701">
        <v>-0.91851181500000001</v>
      </c>
    </row>
    <row r="2702" spans="1:14" x14ac:dyDescent="0.2">
      <c r="A2702" t="s">
        <v>645</v>
      </c>
      <c r="B2702">
        <v>47000</v>
      </c>
      <c r="C2702" t="s">
        <v>130</v>
      </c>
      <c r="D2702" t="s">
        <v>645</v>
      </c>
      <c r="E2702" t="s">
        <v>5486</v>
      </c>
      <c r="G2702" t="s">
        <v>5487</v>
      </c>
      <c r="J2702">
        <v>5.1222566499999997</v>
      </c>
      <c r="K2702">
        <v>0.21422175600000001</v>
      </c>
      <c r="L2702">
        <v>0.25354511400000002</v>
      </c>
      <c r="M2702" s="21">
        <v>-1.3934105290000001</v>
      </c>
      <c r="N2702">
        <v>-0.91932671200000005</v>
      </c>
    </row>
    <row r="2703" spans="1:14" x14ac:dyDescent="0.2">
      <c r="A2703" t="s">
        <v>1198</v>
      </c>
      <c r="B2703">
        <v>22400</v>
      </c>
      <c r="C2703" t="s">
        <v>68</v>
      </c>
      <c r="D2703" t="s">
        <v>1199</v>
      </c>
      <c r="E2703" t="s">
        <v>5488</v>
      </c>
      <c r="G2703" t="s">
        <v>5489</v>
      </c>
      <c r="J2703">
        <v>6.4561903559999996</v>
      </c>
      <c r="K2703">
        <v>0.47291064100000002</v>
      </c>
      <c r="L2703">
        <v>0.34414126499999997</v>
      </c>
      <c r="M2703" s="21">
        <v>-1.393522682</v>
      </c>
      <c r="N2703">
        <v>-0.91990288600000003</v>
      </c>
    </row>
    <row r="2704" spans="1:14" x14ac:dyDescent="0.2">
      <c r="A2704" t="s">
        <v>944</v>
      </c>
      <c r="B2704">
        <v>46120</v>
      </c>
      <c r="C2704" t="s">
        <v>130</v>
      </c>
      <c r="D2704" t="s">
        <v>944</v>
      </c>
      <c r="E2704" t="s">
        <v>5490</v>
      </c>
      <c r="G2704" t="s">
        <v>5491</v>
      </c>
      <c r="J2704">
        <v>5.1222566499999997</v>
      </c>
      <c r="K2704">
        <v>0.21422175600000001</v>
      </c>
      <c r="L2704">
        <v>0.25354511400000002</v>
      </c>
      <c r="M2704" s="21">
        <v>-1.394110859</v>
      </c>
      <c r="N2704">
        <v>-0.92292457100000003</v>
      </c>
    </row>
    <row r="2705" spans="1:14" x14ac:dyDescent="0.2">
      <c r="A2705" t="s">
        <v>2453</v>
      </c>
      <c r="B2705">
        <v>20800</v>
      </c>
      <c r="C2705" t="s">
        <v>68</v>
      </c>
      <c r="D2705" t="s">
        <v>2454</v>
      </c>
      <c r="E2705" t="s">
        <v>5492</v>
      </c>
      <c r="G2705" t="s">
        <v>5493</v>
      </c>
      <c r="J2705">
        <v>6.4561903559999996</v>
      </c>
      <c r="K2705">
        <v>0.47291064100000002</v>
      </c>
      <c r="L2705">
        <v>0.34414126499999997</v>
      </c>
      <c r="M2705" s="21">
        <v>-1.3950699660000001</v>
      </c>
      <c r="N2705">
        <v>-0.92785186399999997</v>
      </c>
    </row>
    <row r="2706" spans="1:14" x14ac:dyDescent="0.2">
      <c r="A2706" t="s">
        <v>1383</v>
      </c>
      <c r="B2706">
        <v>20680</v>
      </c>
      <c r="C2706" t="s">
        <v>68</v>
      </c>
      <c r="D2706" t="s">
        <v>1384</v>
      </c>
      <c r="E2706" t="s">
        <v>5494</v>
      </c>
      <c r="G2706" t="s">
        <v>5495</v>
      </c>
      <c r="J2706">
        <v>6.4561903559999996</v>
      </c>
      <c r="K2706">
        <v>0.47291064100000002</v>
      </c>
      <c r="L2706">
        <v>0.34414126499999997</v>
      </c>
      <c r="M2706" s="21">
        <v>-1.395186013</v>
      </c>
      <c r="N2706">
        <v>-0.928448037</v>
      </c>
    </row>
    <row r="2707" spans="1:14" x14ac:dyDescent="0.2">
      <c r="A2707" t="s">
        <v>529</v>
      </c>
      <c r="B2707">
        <v>44320</v>
      </c>
      <c r="C2707" t="s">
        <v>130</v>
      </c>
      <c r="D2707" t="s">
        <v>529</v>
      </c>
      <c r="E2707" t="s">
        <v>5496</v>
      </c>
      <c r="G2707" t="s">
        <v>5497</v>
      </c>
      <c r="J2707">
        <v>5.1222566499999997</v>
      </c>
      <c r="K2707">
        <v>0.21422175600000001</v>
      </c>
      <c r="L2707">
        <v>0.25354511400000002</v>
      </c>
      <c r="M2707" s="21">
        <v>-1.3955433530000001</v>
      </c>
      <c r="N2707">
        <v>-0.93028382799999998</v>
      </c>
    </row>
    <row r="2708" spans="1:14" x14ac:dyDescent="0.2">
      <c r="A2708" t="s">
        <v>1260</v>
      </c>
      <c r="B2708">
        <v>119120</v>
      </c>
      <c r="C2708" t="s">
        <v>58</v>
      </c>
      <c r="D2708" t="s">
        <v>1260</v>
      </c>
      <c r="E2708" t="s">
        <v>5498</v>
      </c>
      <c r="G2708" t="s">
        <v>5499</v>
      </c>
      <c r="J2708">
        <v>4.5363847230000003</v>
      </c>
      <c r="K2708">
        <v>0.245646371</v>
      </c>
      <c r="L2708">
        <v>7.5242279999999995E-2</v>
      </c>
      <c r="M2708" s="21">
        <v>-1.3956098079999999</v>
      </c>
      <c r="N2708">
        <v>-0.93062523200000002</v>
      </c>
    </row>
    <row r="2709" spans="1:14" x14ac:dyDescent="0.2">
      <c r="A2709" t="s">
        <v>1456</v>
      </c>
      <c r="B2709">
        <v>19520</v>
      </c>
      <c r="C2709" t="s">
        <v>68</v>
      </c>
      <c r="D2709" t="s">
        <v>1457</v>
      </c>
      <c r="E2709" t="s">
        <v>5500</v>
      </c>
      <c r="G2709" t="s">
        <v>5501</v>
      </c>
      <c r="J2709">
        <v>6.4561903559999996</v>
      </c>
      <c r="K2709">
        <v>0.47291064100000002</v>
      </c>
      <c r="L2709">
        <v>0.34414126499999997</v>
      </c>
      <c r="M2709" s="21">
        <v>-1.3963077930000001</v>
      </c>
      <c r="N2709">
        <v>-0.93421104499999996</v>
      </c>
    </row>
    <row r="2710" spans="1:14" x14ac:dyDescent="0.2">
      <c r="A2710" t="s">
        <v>355</v>
      </c>
      <c r="B2710">
        <v>19480</v>
      </c>
      <c r="C2710" t="s">
        <v>68</v>
      </c>
      <c r="D2710" t="s">
        <v>356</v>
      </c>
      <c r="E2710" t="s">
        <v>5502</v>
      </c>
      <c r="G2710" t="s">
        <v>5503</v>
      </c>
      <c r="J2710">
        <v>6.4561903559999996</v>
      </c>
      <c r="K2710">
        <v>0.47291064100000002</v>
      </c>
      <c r="L2710">
        <v>0.34414126499999997</v>
      </c>
      <c r="M2710" s="21">
        <v>-1.3963464759999999</v>
      </c>
      <c r="N2710">
        <v>-0.93440977000000003</v>
      </c>
    </row>
    <row r="2711" spans="1:14" x14ac:dyDescent="0.2">
      <c r="A2711" t="s">
        <v>892</v>
      </c>
      <c r="B2711">
        <v>19440</v>
      </c>
      <c r="C2711" t="s">
        <v>68</v>
      </c>
      <c r="D2711" t="s">
        <v>892</v>
      </c>
      <c r="E2711" t="s">
        <v>5504</v>
      </c>
      <c r="G2711" t="s">
        <v>5505</v>
      </c>
      <c r="J2711">
        <v>6.4561903559999996</v>
      </c>
      <c r="K2711">
        <v>0.47291064100000002</v>
      </c>
      <c r="L2711">
        <v>0.34414126499999997</v>
      </c>
      <c r="M2711" s="21">
        <v>-1.396385158</v>
      </c>
      <c r="N2711">
        <v>-0.93460849400000001</v>
      </c>
    </row>
    <row r="2712" spans="1:14" x14ac:dyDescent="0.2">
      <c r="A2712" t="s">
        <v>232</v>
      </c>
      <c r="B2712">
        <v>19160</v>
      </c>
      <c r="C2712" t="s">
        <v>68</v>
      </c>
      <c r="D2712" t="s">
        <v>233</v>
      </c>
      <c r="E2712" t="s">
        <v>5506</v>
      </c>
      <c r="G2712" t="s">
        <v>5507</v>
      </c>
      <c r="J2712">
        <v>6.4561903559999996</v>
      </c>
      <c r="K2712">
        <v>0.47291064100000002</v>
      </c>
      <c r="L2712">
        <v>0.34414126499999997</v>
      </c>
      <c r="M2712" s="21">
        <v>-1.396655932</v>
      </c>
      <c r="N2712">
        <v>-0.93599956500000003</v>
      </c>
    </row>
    <row r="2713" spans="1:14" x14ac:dyDescent="0.2">
      <c r="A2713" t="s">
        <v>846</v>
      </c>
      <c r="B2713">
        <v>128240</v>
      </c>
      <c r="C2713" t="s">
        <v>149</v>
      </c>
      <c r="D2713" t="s">
        <v>847</v>
      </c>
      <c r="E2713" t="s">
        <v>5508</v>
      </c>
      <c r="G2713" t="s">
        <v>5509</v>
      </c>
      <c r="J2713">
        <v>5.0381074159999999</v>
      </c>
      <c r="K2713">
        <v>0.81312368999999995</v>
      </c>
      <c r="L2713">
        <v>0.16969141800000001</v>
      </c>
      <c r="M2713" s="21">
        <v>-1.3967527479999999</v>
      </c>
      <c r="N2713">
        <v>-0.936496946</v>
      </c>
    </row>
    <row r="2714" spans="1:14" x14ac:dyDescent="0.2">
      <c r="A2714" t="s">
        <v>1456</v>
      </c>
      <c r="B2714">
        <v>42680</v>
      </c>
      <c r="C2714" t="s">
        <v>130</v>
      </c>
      <c r="D2714" t="s">
        <v>1457</v>
      </c>
      <c r="E2714" t="s">
        <v>5510</v>
      </c>
      <c r="G2714" t="s">
        <v>5511</v>
      </c>
      <c r="J2714">
        <v>5.1222566499999997</v>
      </c>
      <c r="K2714">
        <v>0.21422175600000001</v>
      </c>
      <c r="L2714">
        <v>0.25354511400000002</v>
      </c>
      <c r="M2714" s="21">
        <v>-1.396848514</v>
      </c>
      <c r="N2714">
        <v>-0.936988928</v>
      </c>
    </row>
    <row r="2715" spans="1:14" x14ac:dyDescent="0.2">
      <c r="A2715" t="s">
        <v>759</v>
      </c>
      <c r="B2715">
        <v>18880</v>
      </c>
      <c r="C2715" t="s">
        <v>68</v>
      </c>
      <c r="D2715" t="s">
        <v>760</v>
      </c>
      <c r="E2715" t="s">
        <v>5512</v>
      </c>
      <c r="G2715" t="s">
        <v>5513</v>
      </c>
      <c r="J2715">
        <v>6.4561903559999996</v>
      </c>
      <c r="K2715">
        <v>0.47291064100000002</v>
      </c>
      <c r="L2715">
        <v>0.34414126499999997</v>
      </c>
      <c r="M2715" s="21">
        <v>-1.396926707</v>
      </c>
      <c r="N2715">
        <v>-0.93739063600000005</v>
      </c>
    </row>
    <row r="2716" spans="1:14" x14ac:dyDescent="0.2">
      <c r="A2716" t="s">
        <v>293</v>
      </c>
      <c r="B2716">
        <v>18800</v>
      </c>
      <c r="C2716" t="s">
        <v>68</v>
      </c>
      <c r="D2716" t="s">
        <v>293</v>
      </c>
      <c r="E2716" t="s">
        <v>5514</v>
      </c>
      <c r="G2716" t="s">
        <v>5515</v>
      </c>
      <c r="J2716">
        <v>6.4561903559999996</v>
      </c>
      <c r="K2716">
        <v>0.47291064100000002</v>
      </c>
      <c r="L2716">
        <v>0.34414126499999997</v>
      </c>
      <c r="M2716" s="21">
        <v>-1.397004071</v>
      </c>
      <c r="N2716">
        <v>-0.93778808499999999</v>
      </c>
    </row>
    <row r="2717" spans="1:14" x14ac:dyDescent="0.2">
      <c r="A2717" t="s">
        <v>2073</v>
      </c>
      <c r="B2717">
        <v>18680</v>
      </c>
      <c r="C2717" t="s">
        <v>68</v>
      </c>
      <c r="D2717" t="s">
        <v>2074</v>
      </c>
      <c r="E2717" t="s">
        <v>5516</v>
      </c>
      <c r="G2717" t="s">
        <v>5517</v>
      </c>
      <c r="J2717">
        <v>6.4561903559999996</v>
      </c>
      <c r="K2717">
        <v>0.47291064100000002</v>
      </c>
      <c r="L2717">
        <v>0.34414126499999997</v>
      </c>
      <c r="M2717" s="21">
        <v>-1.3971201179999999</v>
      </c>
      <c r="N2717">
        <v>-0.93838425800000003</v>
      </c>
    </row>
    <row r="2718" spans="1:14" x14ac:dyDescent="0.2">
      <c r="A2718" t="s">
        <v>1963</v>
      </c>
      <c r="B2718">
        <v>18640</v>
      </c>
      <c r="C2718" t="s">
        <v>68</v>
      </c>
      <c r="D2718" t="s">
        <v>1963</v>
      </c>
      <c r="E2718" t="s">
        <v>5518</v>
      </c>
      <c r="G2718" t="s">
        <v>5519</v>
      </c>
      <c r="J2718">
        <v>6.4561903559999996</v>
      </c>
      <c r="K2718">
        <v>0.47291064100000002</v>
      </c>
      <c r="L2718">
        <v>0.34414126499999997</v>
      </c>
      <c r="M2718" s="21">
        <v>-1.3971587999999999</v>
      </c>
      <c r="N2718">
        <v>-0.93858298299999998</v>
      </c>
    </row>
    <row r="2719" spans="1:14" x14ac:dyDescent="0.2">
      <c r="A2719" t="s">
        <v>214</v>
      </c>
      <c r="B2719">
        <v>41680</v>
      </c>
      <c r="C2719" t="s">
        <v>130</v>
      </c>
      <c r="D2719" t="s">
        <v>215</v>
      </c>
      <c r="E2719" t="s">
        <v>5520</v>
      </c>
      <c r="G2719" t="s">
        <v>5521</v>
      </c>
      <c r="J2719">
        <v>5.1222566499999997</v>
      </c>
      <c r="K2719">
        <v>0.21422175600000001</v>
      </c>
      <c r="L2719">
        <v>0.25354511400000002</v>
      </c>
      <c r="M2719" s="21">
        <v>-1.3976443439999999</v>
      </c>
      <c r="N2719">
        <v>-0.94107740399999995</v>
      </c>
    </row>
    <row r="2720" spans="1:14" x14ac:dyDescent="0.2">
      <c r="A2720" t="s">
        <v>804</v>
      </c>
      <c r="B2720">
        <v>17440</v>
      </c>
      <c r="C2720" t="s">
        <v>68</v>
      </c>
      <c r="D2720" t="s">
        <v>804</v>
      </c>
      <c r="E2720" t="s">
        <v>5522</v>
      </c>
      <c r="G2720" t="s">
        <v>5523</v>
      </c>
      <c r="J2720">
        <v>6.4561903559999996</v>
      </c>
      <c r="K2720">
        <v>0.47291064100000002</v>
      </c>
      <c r="L2720">
        <v>0.34414126499999997</v>
      </c>
      <c r="M2720" s="21">
        <v>-1.3983192630000001</v>
      </c>
      <c r="N2720">
        <v>-0.94454471600000001</v>
      </c>
    </row>
    <row r="2721" spans="1:14" x14ac:dyDescent="0.2">
      <c r="A2721" t="s">
        <v>207</v>
      </c>
      <c r="B2721">
        <v>17240</v>
      </c>
      <c r="C2721" t="s">
        <v>68</v>
      </c>
      <c r="D2721" t="s">
        <v>207</v>
      </c>
      <c r="E2721" t="s">
        <v>5524</v>
      </c>
      <c r="G2721" t="s">
        <v>5525</v>
      </c>
      <c r="J2721">
        <v>6.4561903559999996</v>
      </c>
      <c r="K2721">
        <v>0.47291064100000002</v>
      </c>
      <c r="L2721">
        <v>0.34414126499999997</v>
      </c>
      <c r="M2721" s="21">
        <v>-1.3985126729999999</v>
      </c>
      <c r="N2721">
        <v>-0.94553833799999998</v>
      </c>
    </row>
    <row r="2722" spans="1:14" x14ac:dyDescent="0.2">
      <c r="A2722" t="s">
        <v>668</v>
      </c>
      <c r="B2722">
        <v>126320</v>
      </c>
      <c r="C2722" t="s">
        <v>149</v>
      </c>
      <c r="D2722" t="s">
        <v>668</v>
      </c>
      <c r="E2722" t="s">
        <v>5526</v>
      </c>
      <c r="G2722" t="s">
        <v>5527</v>
      </c>
      <c r="J2722">
        <v>5.0381074159999999</v>
      </c>
      <c r="K2722">
        <v>0.81312368999999995</v>
      </c>
      <c r="L2722">
        <v>0.16969141800000001</v>
      </c>
      <c r="M2722" s="21">
        <v>-1.398528011</v>
      </c>
      <c r="N2722">
        <v>-0.945617135</v>
      </c>
    </row>
    <row r="2723" spans="1:14" x14ac:dyDescent="0.2">
      <c r="A2723" t="s">
        <v>583</v>
      </c>
      <c r="B2723">
        <v>170040</v>
      </c>
      <c r="C2723" t="s">
        <v>14</v>
      </c>
      <c r="D2723" t="s">
        <v>583</v>
      </c>
      <c r="E2723" t="s">
        <v>5528</v>
      </c>
      <c r="G2723" t="s">
        <v>5529</v>
      </c>
      <c r="J2723">
        <v>6.7484204910000001</v>
      </c>
      <c r="K2723">
        <v>0.48629166299999999</v>
      </c>
      <c r="L2723">
        <v>0.375053939</v>
      </c>
      <c r="M2723" s="21">
        <v>-1.3996647090000001</v>
      </c>
      <c r="N2723">
        <v>-0.95145677699999998</v>
      </c>
    </row>
    <row r="2724" spans="1:14" x14ac:dyDescent="0.2">
      <c r="A2724" t="s">
        <v>1415</v>
      </c>
      <c r="B2724">
        <v>124720</v>
      </c>
      <c r="C2724" t="s">
        <v>149</v>
      </c>
      <c r="D2724" t="s">
        <v>1415</v>
      </c>
      <c r="E2724" t="s">
        <v>5530</v>
      </c>
      <c r="G2724" t="s">
        <v>5531</v>
      </c>
      <c r="J2724">
        <v>5.0381074159999999</v>
      </c>
      <c r="K2724">
        <v>0.81312368999999995</v>
      </c>
      <c r="L2724">
        <v>0.16969141800000001</v>
      </c>
      <c r="M2724" s="21">
        <v>-1.400007397</v>
      </c>
      <c r="N2724">
        <v>-0.95321729300000002</v>
      </c>
    </row>
    <row r="2725" spans="1:14" x14ac:dyDescent="0.2">
      <c r="A2725" t="s">
        <v>1133</v>
      </c>
      <c r="B2725">
        <v>169720</v>
      </c>
      <c r="C2725" t="s">
        <v>14</v>
      </c>
      <c r="D2725" t="s">
        <v>1134</v>
      </c>
      <c r="E2725" t="s">
        <v>5532</v>
      </c>
      <c r="G2725" t="s">
        <v>5533</v>
      </c>
      <c r="J2725">
        <v>6.7484204910000001</v>
      </c>
      <c r="K2725">
        <v>0.48629166299999999</v>
      </c>
      <c r="L2725">
        <v>0.375053939</v>
      </c>
      <c r="M2725" s="21">
        <v>-1.4000153399999999</v>
      </c>
      <c r="N2725">
        <v>-0.9532581</v>
      </c>
    </row>
    <row r="2726" spans="1:14" x14ac:dyDescent="0.2">
      <c r="A2726" t="s">
        <v>400</v>
      </c>
      <c r="B2726">
        <v>124520</v>
      </c>
      <c r="C2726" t="s">
        <v>149</v>
      </c>
      <c r="D2726" t="s">
        <v>400</v>
      </c>
      <c r="E2726" t="s">
        <v>5534</v>
      </c>
      <c r="G2726" t="s">
        <v>5535</v>
      </c>
      <c r="J2726">
        <v>5.0381074159999999</v>
      </c>
      <c r="K2726">
        <v>0.81312368999999995</v>
      </c>
      <c r="L2726">
        <v>0.16969141800000001</v>
      </c>
      <c r="M2726" s="21">
        <v>-1.4001923199999999</v>
      </c>
      <c r="N2726">
        <v>-0.95416731300000002</v>
      </c>
    </row>
    <row r="2727" spans="1:14" x14ac:dyDescent="0.2">
      <c r="A2727" t="s">
        <v>765</v>
      </c>
      <c r="B2727">
        <v>38440</v>
      </c>
      <c r="C2727" t="s">
        <v>130</v>
      </c>
      <c r="D2727" t="s">
        <v>766</v>
      </c>
      <c r="E2727" t="s">
        <v>5536</v>
      </c>
      <c r="G2727" t="s">
        <v>5537</v>
      </c>
      <c r="J2727">
        <v>5.1222566499999997</v>
      </c>
      <c r="K2727">
        <v>0.21422175600000001</v>
      </c>
      <c r="L2727">
        <v>0.25354511400000002</v>
      </c>
      <c r="M2727" s="21">
        <v>-1.4002228320000001</v>
      </c>
      <c r="N2727">
        <v>-0.95432406599999997</v>
      </c>
    </row>
    <row r="2728" spans="1:14" x14ac:dyDescent="0.2">
      <c r="A2728" t="s">
        <v>477</v>
      </c>
      <c r="B2728">
        <v>15280</v>
      </c>
      <c r="C2728" t="s">
        <v>68</v>
      </c>
      <c r="D2728" t="s">
        <v>477</v>
      </c>
      <c r="E2728" t="s">
        <v>5538</v>
      </c>
      <c r="G2728" t="s">
        <v>5539</v>
      </c>
      <c r="J2728">
        <v>6.4561903559999996</v>
      </c>
      <c r="K2728">
        <v>0.47291064100000002</v>
      </c>
      <c r="L2728">
        <v>0.34414126499999997</v>
      </c>
      <c r="M2728" s="21">
        <v>-1.400408096</v>
      </c>
      <c r="N2728">
        <v>-0.95527583500000002</v>
      </c>
    </row>
    <row r="2729" spans="1:14" x14ac:dyDescent="0.2">
      <c r="A2729" t="s">
        <v>63</v>
      </c>
      <c r="B2729">
        <v>13760</v>
      </c>
      <c r="C2729" t="s">
        <v>68</v>
      </c>
      <c r="D2729" t="s">
        <v>63</v>
      </c>
      <c r="E2729" t="s">
        <v>5540</v>
      </c>
      <c r="G2729" t="s">
        <v>5541</v>
      </c>
      <c r="J2729">
        <v>6.4561903559999996</v>
      </c>
      <c r="K2729">
        <v>0.47291064100000002</v>
      </c>
      <c r="L2729">
        <v>0.34414126499999997</v>
      </c>
      <c r="M2729" s="21">
        <v>-1.4018780159999999</v>
      </c>
      <c r="N2729">
        <v>-0.96282736400000002</v>
      </c>
    </row>
    <row r="2730" spans="1:14" x14ac:dyDescent="0.2">
      <c r="A2730" t="s">
        <v>1073</v>
      </c>
      <c r="B2730">
        <v>36200</v>
      </c>
      <c r="C2730" t="s">
        <v>130</v>
      </c>
      <c r="D2730" t="s">
        <v>1073</v>
      </c>
      <c r="E2730" t="s">
        <v>5542</v>
      </c>
      <c r="G2730" t="s">
        <v>5543</v>
      </c>
      <c r="J2730">
        <v>5.1222566499999997</v>
      </c>
      <c r="K2730">
        <v>0.21422175600000001</v>
      </c>
      <c r="L2730">
        <v>0.25354511400000002</v>
      </c>
      <c r="M2730" s="21">
        <v>-1.4020054909999999</v>
      </c>
      <c r="N2730">
        <v>-0.96348225200000004</v>
      </c>
    </row>
    <row r="2731" spans="1:14" x14ac:dyDescent="0.2">
      <c r="A2731" t="s">
        <v>2871</v>
      </c>
      <c r="B2731">
        <v>116440</v>
      </c>
      <c r="C2731" t="s">
        <v>100</v>
      </c>
      <c r="D2731" t="s">
        <v>2871</v>
      </c>
      <c r="E2731" t="s">
        <v>5544</v>
      </c>
      <c r="G2731" t="s">
        <v>5545</v>
      </c>
      <c r="J2731">
        <v>5.9110743220000002</v>
      </c>
      <c r="K2731">
        <v>0.71598987199999997</v>
      </c>
      <c r="L2731">
        <v>0.29077365599999999</v>
      </c>
      <c r="M2731" s="21">
        <v>-1.402009252</v>
      </c>
      <c r="N2731">
        <v>-0.96350157199999997</v>
      </c>
    </row>
    <row r="2732" spans="1:14" x14ac:dyDescent="0.2">
      <c r="A2732" t="s">
        <v>124</v>
      </c>
      <c r="B2732">
        <v>13480</v>
      </c>
      <c r="C2732" t="s">
        <v>68</v>
      </c>
      <c r="D2732" t="s">
        <v>125</v>
      </c>
      <c r="E2732" t="s">
        <v>5546</v>
      </c>
      <c r="G2732" t="s">
        <v>5547</v>
      </c>
      <c r="J2732">
        <v>6.4561903559999996</v>
      </c>
      <c r="K2732">
        <v>0.47291064100000002</v>
      </c>
      <c r="L2732">
        <v>0.34414126499999997</v>
      </c>
      <c r="M2732" s="21">
        <v>-1.4021487909999999</v>
      </c>
      <c r="N2732">
        <v>-0.96421843500000004</v>
      </c>
    </row>
    <row r="2733" spans="1:14" x14ac:dyDescent="0.2">
      <c r="A2733" t="s">
        <v>1295</v>
      </c>
      <c r="B2733">
        <v>122240</v>
      </c>
      <c r="C2733" t="s">
        <v>149</v>
      </c>
      <c r="D2733" t="s">
        <v>1296</v>
      </c>
      <c r="E2733" t="s">
        <v>5548</v>
      </c>
      <c r="G2733" t="s">
        <v>5549</v>
      </c>
      <c r="J2733">
        <v>5.0381074159999999</v>
      </c>
      <c r="K2733">
        <v>0.81312368999999995</v>
      </c>
      <c r="L2733">
        <v>0.16969141800000001</v>
      </c>
      <c r="M2733" s="21">
        <v>-1.4023004450000001</v>
      </c>
      <c r="N2733">
        <v>-0.96499753799999999</v>
      </c>
    </row>
    <row r="2734" spans="1:14" x14ac:dyDescent="0.2">
      <c r="A2734" t="s">
        <v>458</v>
      </c>
      <c r="B2734">
        <v>115760</v>
      </c>
      <c r="C2734" t="s">
        <v>100</v>
      </c>
      <c r="D2734" t="s">
        <v>459</v>
      </c>
      <c r="E2734" t="s">
        <v>5550</v>
      </c>
      <c r="G2734" t="s">
        <v>5551</v>
      </c>
      <c r="J2734">
        <v>5.9110743220000002</v>
      </c>
      <c r="K2734">
        <v>0.71598987199999997</v>
      </c>
      <c r="L2734">
        <v>0.29077365599999999</v>
      </c>
      <c r="M2734" s="21">
        <v>-1.402684297</v>
      </c>
      <c r="N2734">
        <v>-0.96696953200000002</v>
      </c>
    </row>
    <row r="2735" spans="1:14" x14ac:dyDescent="0.2">
      <c r="A2735" t="s">
        <v>1659</v>
      </c>
      <c r="B2735">
        <v>167280</v>
      </c>
      <c r="C2735" t="s">
        <v>14</v>
      </c>
      <c r="D2735" t="s">
        <v>1660</v>
      </c>
      <c r="E2735" t="s">
        <v>5552</v>
      </c>
      <c r="G2735" t="s">
        <v>5553</v>
      </c>
      <c r="J2735">
        <v>6.7484204910000001</v>
      </c>
      <c r="K2735">
        <v>0.48629166299999999</v>
      </c>
      <c r="L2735">
        <v>0.375053939</v>
      </c>
      <c r="M2735" s="21">
        <v>-1.402688903</v>
      </c>
      <c r="N2735">
        <v>-0.96699319100000003</v>
      </c>
    </row>
    <row r="2736" spans="1:14" x14ac:dyDescent="0.2">
      <c r="A2736" t="s">
        <v>23</v>
      </c>
      <c r="B2736">
        <v>34080</v>
      </c>
      <c r="C2736" t="s">
        <v>130</v>
      </c>
      <c r="D2736" t="s">
        <v>23</v>
      </c>
      <c r="E2736" t="s">
        <v>5554</v>
      </c>
      <c r="G2736" t="s">
        <v>5555</v>
      </c>
      <c r="J2736">
        <v>5.1222566499999997</v>
      </c>
      <c r="K2736">
        <v>0.21422175600000001</v>
      </c>
      <c r="L2736">
        <v>0.25354511400000002</v>
      </c>
      <c r="M2736" s="21">
        <v>-1.4036926510000001</v>
      </c>
      <c r="N2736">
        <v>-0.97214982000000005</v>
      </c>
    </row>
    <row r="2737" spans="1:14" x14ac:dyDescent="0.2">
      <c r="A2737" t="s">
        <v>1461</v>
      </c>
      <c r="B2737">
        <v>11160</v>
      </c>
      <c r="C2737" t="s">
        <v>68</v>
      </c>
      <c r="D2737" t="s">
        <v>1461</v>
      </c>
      <c r="E2737" t="s">
        <v>5556</v>
      </c>
      <c r="G2737" t="s">
        <v>5557</v>
      </c>
      <c r="J2737">
        <v>6.4561903559999996</v>
      </c>
      <c r="K2737">
        <v>0.47291064100000002</v>
      </c>
      <c r="L2737">
        <v>0.34414126499999997</v>
      </c>
      <c r="M2737" s="21">
        <v>-1.404392353</v>
      </c>
      <c r="N2737">
        <v>-0.97574445200000004</v>
      </c>
    </row>
    <row r="2738" spans="1:14" x14ac:dyDescent="0.2">
      <c r="A2738" t="s">
        <v>389</v>
      </c>
      <c r="B2738">
        <v>32440</v>
      </c>
      <c r="C2738" t="s">
        <v>130</v>
      </c>
      <c r="D2738" t="s">
        <v>389</v>
      </c>
      <c r="E2738" t="s">
        <v>5558</v>
      </c>
      <c r="G2738" t="s">
        <v>5559</v>
      </c>
      <c r="J2738">
        <v>5.1222566499999997</v>
      </c>
      <c r="K2738">
        <v>0.21422175600000001</v>
      </c>
      <c r="L2738">
        <v>0.25354511400000002</v>
      </c>
      <c r="M2738" s="21">
        <v>-1.4049978110000001</v>
      </c>
      <c r="N2738">
        <v>-0.97885492100000004</v>
      </c>
    </row>
    <row r="2739" spans="1:14" x14ac:dyDescent="0.2">
      <c r="A2739" t="s">
        <v>2239</v>
      </c>
      <c r="B2739">
        <v>164760</v>
      </c>
      <c r="C2739" t="s">
        <v>14</v>
      </c>
      <c r="D2739" t="s">
        <v>2240</v>
      </c>
      <c r="E2739" t="s">
        <v>5560</v>
      </c>
      <c r="G2739" t="s">
        <v>5561</v>
      </c>
      <c r="J2739">
        <v>6.7484204910000001</v>
      </c>
      <c r="K2739">
        <v>0.48629166299999999</v>
      </c>
      <c r="L2739">
        <v>0.375053939</v>
      </c>
      <c r="M2739" s="21">
        <v>-1.4054501230000001</v>
      </c>
      <c r="N2739">
        <v>-0.98117861299999998</v>
      </c>
    </row>
    <row r="2740" spans="1:14" x14ac:dyDescent="0.2">
      <c r="A2740" t="s">
        <v>444</v>
      </c>
      <c r="B2740">
        <v>133640</v>
      </c>
      <c r="C2740" t="s">
        <v>84</v>
      </c>
      <c r="D2740" t="s">
        <v>445</v>
      </c>
      <c r="E2740" t="s">
        <v>5562</v>
      </c>
      <c r="G2740" t="s">
        <v>5563</v>
      </c>
      <c r="J2740">
        <v>3.600219579</v>
      </c>
      <c r="K2740">
        <v>-0.293098474</v>
      </c>
      <c r="L2740">
        <v>-0.153917466</v>
      </c>
      <c r="M2740" s="21">
        <v>-1.4059710480000001</v>
      </c>
      <c r="N2740">
        <v>-0.98385480000000003</v>
      </c>
    </row>
    <row r="2741" spans="1:14" x14ac:dyDescent="0.2">
      <c r="A2741" t="s">
        <v>232</v>
      </c>
      <c r="B2741">
        <v>30080</v>
      </c>
      <c r="C2741" t="s">
        <v>130</v>
      </c>
      <c r="D2741" t="s">
        <v>233</v>
      </c>
      <c r="E2741" t="s">
        <v>5564</v>
      </c>
      <c r="G2741" t="s">
        <v>5565</v>
      </c>
      <c r="J2741">
        <v>5.1222566499999997</v>
      </c>
      <c r="K2741">
        <v>0.21422175600000001</v>
      </c>
      <c r="L2741">
        <v>0.25354511400000002</v>
      </c>
      <c r="M2741" s="21">
        <v>-1.40687597</v>
      </c>
      <c r="N2741">
        <v>-0.98850372399999997</v>
      </c>
    </row>
    <row r="2742" spans="1:14" x14ac:dyDescent="0.2">
      <c r="A2742" t="s">
        <v>2421</v>
      </c>
      <c r="B2742">
        <v>30040</v>
      </c>
      <c r="C2742" t="s">
        <v>130</v>
      </c>
      <c r="D2742" t="s">
        <v>2422</v>
      </c>
      <c r="E2742" t="s">
        <v>5566</v>
      </c>
      <c r="G2742" t="s">
        <v>5567</v>
      </c>
      <c r="J2742">
        <v>5.1222566499999997</v>
      </c>
      <c r="K2742">
        <v>0.21422175600000001</v>
      </c>
      <c r="L2742">
        <v>0.25354511400000002</v>
      </c>
      <c r="M2742" s="21">
        <v>-1.406907803</v>
      </c>
      <c r="N2742">
        <v>-0.98866726299999996</v>
      </c>
    </row>
    <row r="2743" spans="1:14" x14ac:dyDescent="0.2">
      <c r="A2743" t="s">
        <v>1092</v>
      </c>
      <c r="B2743">
        <v>117040</v>
      </c>
      <c r="C2743" t="s">
        <v>149</v>
      </c>
      <c r="D2743" t="s">
        <v>1092</v>
      </c>
      <c r="E2743" t="s">
        <v>5568</v>
      </c>
      <c r="G2743" t="s">
        <v>5569</v>
      </c>
      <c r="J2743">
        <v>5.0381074159999999</v>
      </c>
      <c r="K2743">
        <v>0.81312368999999995</v>
      </c>
      <c r="L2743">
        <v>0.16969141800000001</v>
      </c>
      <c r="M2743" s="21">
        <v>-1.407108448</v>
      </c>
      <c r="N2743">
        <v>-0.98969805200000005</v>
      </c>
    </row>
    <row r="2744" spans="1:14" x14ac:dyDescent="0.2">
      <c r="A2744" t="s">
        <v>1986</v>
      </c>
      <c r="B2744">
        <v>111200</v>
      </c>
      <c r="C2744" t="s">
        <v>100</v>
      </c>
      <c r="D2744" t="s">
        <v>1986</v>
      </c>
      <c r="E2744" t="s">
        <v>5570</v>
      </c>
      <c r="G2744" t="s">
        <v>5571</v>
      </c>
      <c r="J2744">
        <v>5.9110743220000002</v>
      </c>
      <c r="K2744">
        <v>0.71598987199999997</v>
      </c>
      <c r="L2744">
        <v>0.29077365599999999</v>
      </c>
      <c r="M2744" s="21">
        <v>-1.4072110710000001</v>
      </c>
      <c r="N2744">
        <v>-0.99022526200000005</v>
      </c>
    </row>
    <row r="2745" spans="1:14" x14ac:dyDescent="0.2">
      <c r="A2745" t="s">
        <v>325</v>
      </c>
      <c r="B2745">
        <v>116840</v>
      </c>
      <c r="C2745" t="s">
        <v>149</v>
      </c>
      <c r="D2745" t="s">
        <v>326</v>
      </c>
      <c r="E2745" t="s">
        <v>5572</v>
      </c>
      <c r="G2745" t="s">
        <v>5573</v>
      </c>
      <c r="J2745">
        <v>5.0381074159999999</v>
      </c>
      <c r="K2745">
        <v>0.81312368999999995</v>
      </c>
      <c r="L2745">
        <v>0.16969141800000001</v>
      </c>
      <c r="M2745" s="21">
        <v>-1.407293371</v>
      </c>
      <c r="N2745">
        <v>-0.99064807099999996</v>
      </c>
    </row>
    <row r="2746" spans="1:14" x14ac:dyDescent="0.2">
      <c r="A2746" t="s">
        <v>977</v>
      </c>
      <c r="B2746">
        <v>116040</v>
      </c>
      <c r="C2746" t="s">
        <v>149</v>
      </c>
      <c r="D2746" t="s">
        <v>978</v>
      </c>
      <c r="E2746" t="s">
        <v>5574</v>
      </c>
      <c r="G2746" t="s">
        <v>5575</v>
      </c>
      <c r="J2746">
        <v>5.0381074159999999</v>
      </c>
      <c r="K2746">
        <v>0.81312368999999995</v>
      </c>
      <c r="L2746">
        <v>0.16969141800000001</v>
      </c>
      <c r="M2746" s="21">
        <v>-1.4080330640000001</v>
      </c>
      <c r="N2746">
        <v>-0.99444814999999998</v>
      </c>
    </row>
    <row r="2747" spans="1:14" x14ac:dyDescent="0.2">
      <c r="A2747" t="s">
        <v>560</v>
      </c>
      <c r="B2747">
        <v>162080</v>
      </c>
      <c r="C2747" t="s">
        <v>14</v>
      </c>
      <c r="D2747" t="s">
        <v>560</v>
      </c>
      <c r="E2747" t="s">
        <v>5576</v>
      </c>
      <c r="G2747" t="s">
        <v>5577</v>
      </c>
      <c r="J2747">
        <v>6.7484204910000001</v>
      </c>
      <c r="K2747">
        <v>0.48629166299999999</v>
      </c>
      <c r="L2747">
        <v>0.375053939</v>
      </c>
      <c r="M2747" s="21">
        <v>-1.408386658</v>
      </c>
      <c r="N2747">
        <v>-0.99626469600000001</v>
      </c>
    </row>
    <row r="2748" spans="1:14" x14ac:dyDescent="0.2">
      <c r="A2748" t="s">
        <v>500</v>
      </c>
      <c r="B2748">
        <v>115400</v>
      </c>
      <c r="C2748" t="s">
        <v>149</v>
      </c>
      <c r="D2748" t="s">
        <v>501</v>
      </c>
      <c r="E2748" t="s">
        <v>5578</v>
      </c>
      <c r="G2748" t="s">
        <v>5579</v>
      </c>
      <c r="J2748">
        <v>5.0381074159999999</v>
      </c>
      <c r="K2748">
        <v>0.81312368999999995</v>
      </c>
      <c r="L2748">
        <v>0.16969141800000001</v>
      </c>
      <c r="M2748" s="21">
        <v>-1.4086248189999999</v>
      </c>
      <c r="N2748">
        <v>-0.99748821399999998</v>
      </c>
    </row>
    <row r="2749" spans="1:14" x14ac:dyDescent="0.2">
      <c r="A2749" t="s">
        <v>769</v>
      </c>
      <c r="B2749">
        <v>27560</v>
      </c>
      <c r="C2749" t="s">
        <v>130</v>
      </c>
      <c r="D2749" t="s">
        <v>769</v>
      </c>
      <c r="E2749" t="s">
        <v>5580</v>
      </c>
      <c r="G2749" t="s">
        <v>5581</v>
      </c>
      <c r="J2749">
        <v>5.1222566499999997</v>
      </c>
      <c r="K2749">
        <v>0.21422175600000001</v>
      </c>
      <c r="L2749">
        <v>0.25354511400000002</v>
      </c>
      <c r="M2749" s="21">
        <v>-1.408881461</v>
      </c>
      <c r="N2749">
        <v>-0.99880668299999997</v>
      </c>
    </row>
    <row r="2750" spans="1:14" x14ac:dyDescent="0.2">
      <c r="A2750" t="s">
        <v>894</v>
      </c>
      <c r="B2750">
        <v>27440</v>
      </c>
      <c r="C2750" t="s">
        <v>130</v>
      </c>
      <c r="D2750" t="s">
        <v>894</v>
      </c>
      <c r="E2750" t="s">
        <v>5582</v>
      </c>
      <c r="G2750" t="s">
        <v>5583</v>
      </c>
      <c r="J2750">
        <v>5.1222566499999997</v>
      </c>
      <c r="K2750">
        <v>0.21422175600000001</v>
      </c>
      <c r="L2750">
        <v>0.25354511400000002</v>
      </c>
      <c r="M2750" s="21">
        <v>-1.408976961</v>
      </c>
      <c r="N2750">
        <v>-0.99929730000000005</v>
      </c>
    </row>
    <row r="2751" spans="1:14" x14ac:dyDescent="0.2">
      <c r="A2751" t="s">
        <v>1231</v>
      </c>
      <c r="B2751">
        <v>25040</v>
      </c>
      <c r="C2751" t="s">
        <v>130</v>
      </c>
      <c r="D2751" t="s">
        <v>1231</v>
      </c>
      <c r="E2751" t="s">
        <v>5584</v>
      </c>
      <c r="G2751" t="s">
        <v>5585</v>
      </c>
      <c r="J2751">
        <v>5.1222566499999997</v>
      </c>
      <c r="K2751">
        <v>0.21422175600000001</v>
      </c>
      <c r="L2751">
        <v>0.25354511400000002</v>
      </c>
      <c r="M2751" s="21">
        <v>-1.410886952</v>
      </c>
      <c r="N2751">
        <v>-1.0091096420000001</v>
      </c>
    </row>
    <row r="2752" spans="1:14" x14ac:dyDescent="0.2">
      <c r="A2752" t="s">
        <v>1491</v>
      </c>
      <c r="B2752">
        <v>103280</v>
      </c>
      <c r="C2752" t="s">
        <v>58</v>
      </c>
      <c r="D2752" t="s">
        <v>1491</v>
      </c>
      <c r="E2752" t="s">
        <v>5586</v>
      </c>
      <c r="G2752" t="s">
        <v>5587</v>
      </c>
      <c r="J2752">
        <v>4.5363847230000003</v>
      </c>
      <c r="K2752">
        <v>0.245646371</v>
      </c>
      <c r="L2752">
        <v>7.5242279999999995E-2</v>
      </c>
      <c r="M2752" s="21">
        <v>-1.4109069139999999</v>
      </c>
      <c r="N2752">
        <v>-1.00921219</v>
      </c>
    </row>
    <row r="2753" spans="1:14" x14ac:dyDescent="0.2">
      <c r="A2753" t="s">
        <v>1335</v>
      </c>
      <c r="B2753">
        <v>107440</v>
      </c>
      <c r="C2753" t="s">
        <v>100</v>
      </c>
      <c r="D2753" t="s">
        <v>1335</v>
      </c>
      <c r="E2753" t="s">
        <v>5588</v>
      </c>
      <c r="G2753" t="s">
        <v>5589</v>
      </c>
      <c r="J2753">
        <v>5.9110743220000002</v>
      </c>
      <c r="K2753">
        <v>0.71598987199999997</v>
      </c>
      <c r="L2753">
        <v>0.29077365599999999</v>
      </c>
      <c r="M2753" s="21">
        <v>-1.410943673</v>
      </c>
      <c r="N2753">
        <v>-1.0094010390000001</v>
      </c>
    </row>
    <row r="2754" spans="1:14" x14ac:dyDescent="0.2">
      <c r="A2754" t="s">
        <v>1222</v>
      </c>
      <c r="B2754">
        <v>112680</v>
      </c>
      <c r="C2754" t="s">
        <v>149</v>
      </c>
      <c r="D2754" t="s">
        <v>1223</v>
      </c>
      <c r="E2754" t="s">
        <v>5590</v>
      </c>
      <c r="G2754" t="s">
        <v>5591</v>
      </c>
      <c r="J2754">
        <v>5.0381074159999999</v>
      </c>
      <c r="K2754">
        <v>0.81312368999999995</v>
      </c>
      <c r="L2754">
        <v>0.16969141800000001</v>
      </c>
      <c r="M2754" s="21">
        <v>-1.411139774</v>
      </c>
      <c r="N2754">
        <v>-1.0104084820000001</v>
      </c>
    </row>
    <row r="2755" spans="1:14" x14ac:dyDescent="0.2">
      <c r="A2755" t="s">
        <v>485</v>
      </c>
      <c r="B2755">
        <v>159560</v>
      </c>
      <c r="C2755" t="s">
        <v>14</v>
      </c>
      <c r="D2755" t="s">
        <v>486</v>
      </c>
      <c r="E2755" t="s">
        <v>5592</v>
      </c>
      <c r="G2755" t="s">
        <v>5593</v>
      </c>
      <c r="J2755">
        <v>6.7484204910000001</v>
      </c>
      <c r="K2755">
        <v>0.48629166299999999</v>
      </c>
      <c r="L2755">
        <v>0.375053939</v>
      </c>
      <c r="M2755" s="21">
        <v>-1.411147879</v>
      </c>
      <c r="N2755">
        <v>-1.0104501180000001</v>
      </c>
    </row>
    <row r="2756" spans="1:14" x14ac:dyDescent="0.2">
      <c r="A2756" t="s">
        <v>956</v>
      </c>
      <c r="B2756">
        <v>107160</v>
      </c>
      <c r="C2756" t="s">
        <v>100</v>
      </c>
      <c r="D2756" t="s">
        <v>956</v>
      </c>
      <c r="E2756" t="s">
        <v>5594</v>
      </c>
      <c r="G2756" t="s">
        <v>5595</v>
      </c>
      <c r="J2756">
        <v>5.9110743220000002</v>
      </c>
      <c r="K2756">
        <v>0.71598987199999997</v>
      </c>
      <c r="L2756">
        <v>0.29077365599999999</v>
      </c>
      <c r="M2756" s="21">
        <v>-1.411221633</v>
      </c>
      <c r="N2756">
        <v>-1.0108290230000001</v>
      </c>
    </row>
    <row r="2757" spans="1:14" x14ac:dyDescent="0.2">
      <c r="A2757" t="s">
        <v>1617</v>
      </c>
      <c r="B2757">
        <v>102840</v>
      </c>
      <c r="C2757" t="s">
        <v>58</v>
      </c>
      <c r="D2757" t="s">
        <v>1617</v>
      </c>
      <c r="E2757" t="s">
        <v>5596</v>
      </c>
      <c r="G2757" t="s">
        <v>5597</v>
      </c>
      <c r="J2757">
        <v>4.5363847230000003</v>
      </c>
      <c r="K2757">
        <v>0.245646371</v>
      </c>
      <c r="L2757">
        <v>7.5242279999999995E-2</v>
      </c>
      <c r="M2757" s="21">
        <v>-1.411331833</v>
      </c>
      <c r="N2757">
        <v>-1.011395161</v>
      </c>
    </row>
    <row r="2758" spans="1:14" x14ac:dyDescent="0.2">
      <c r="A2758" t="s">
        <v>889</v>
      </c>
      <c r="B2758">
        <v>24440</v>
      </c>
      <c r="C2758" t="s">
        <v>130</v>
      </c>
      <c r="D2758" t="s">
        <v>889</v>
      </c>
      <c r="E2758" t="s">
        <v>5598</v>
      </c>
      <c r="G2758" t="s">
        <v>5599</v>
      </c>
      <c r="J2758">
        <v>5.1222566499999997</v>
      </c>
      <c r="K2758">
        <v>0.21422175600000001</v>
      </c>
      <c r="L2758">
        <v>0.25354511400000002</v>
      </c>
      <c r="M2758" s="21">
        <v>-1.41136445</v>
      </c>
      <c r="N2758">
        <v>-1.0115627270000001</v>
      </c>
    </row>
    <row r="2759" spans="1:14" x14ac:dyDescent="0.2">
      <c r="A2759" t="s">
        <v>1167</v>
      </c>
      <c r="B2759">
        <v>110880</v>
      </c>
      <c r="C2759" t="s">
        <v>149</v>
      </c>
      <c r="D2759" t="s">
        <v>1168</v>
      </c>
      <c r="E2759" t="s">
        <v>5600</v>
      </c>
      <c r="G2759" t="s">
        <v>5601</v>
      </c>
      <c r="J2759">
        <v>5.0381074159999999</v>
      </c>
      <c r="K2759">
        <v>0.81312368999999995</v>
      </c>
      <c r="L2759">
        <v>0.16969141800000001</v>
      </c>
      <c r="M2759" s="21">
        <v>-1.4128040829999999</v>
      </c>
      <c r="N2759">
        <v>-1.01895866</v>
      </c>
    </row>
    <row r="2760" spans="1:14" x14ac:dyDescent="0.2">
      <c r="A2760" t="s">
        <v>511</v>
      </c>
      <c r="B2760">
        <v>21920</v>
      </c>
      <c r="C2760" t="s">
        <v>130</v>
      </c>
      <c r="D2760" t="s">
        <v>511</v>
      </c>
      <c r="E2760" t="s">
        <v>5602</v>
      </c>
      <c r="G2760" t="s">
        <v>5603</v>
      </c>
      <c r="J2760">
        <v>5.1222566499999997</v>
      </c>
      <c r="K2760">
        <v>0.21422175600000001</v>
      </c>
      <c r="L2760">
        <v>0.25354511400000002</v>
      </c>
      <c r="M2760" s="21">
        <v>-1.4133699420000001</v>
      </c>
      <c r="N2760">
        <v>-1.0218656859999999</v>
      </c>
    </row>
    <row r="2761" spans="1:14" x14ac:dyDescent="0.2">
      <c r="A2761" t="s">
        <v>801</v>
      </c>
      <c r="B2761">
        <v>21760</v>
      </c>
      <c r="C2761" t="s">
        <v>130</v>
      </c>
      <c r="D2761" t="s">
        <v>801</v>
      </c>
      <c r="E2761" t="s">
        <v>5604</v>
      </c>
      <c r="G2761" t="s">
        <v>5605</v>
      </c>
      <c r="J2761">
        <v>5.1222566499999997</v>
      </c>
      <c r="K2761">
        <v>0.21422175600000001</v>
      </c>
      <c r="L2761">
        <v>0.25354511400000002</v>
      </c>
      <c r="M2761" s="21">
        <v>-1.413497274</v>
      </c>
      <c r="N2761">
        <v>-1.022519843</v>
      </c>
    </row>
    <row r="2762" spans="1:14" x14ac:dyDescent="0.2">
      <c r="A2762" t="s">
        <v>1595</v>
      </c>
      <c r="B2762">
        <v>21520</v>
      </c>
      <c r="C2762" t="s">
        <v>130</v>
      </c>
      <c r="D2762" t="s">
        <v>1595</v>
      </c>
      <c r="E2762" t="s">
        <v>5606</v>
      </c>
      <c r="G2762" t="s">
        <v>5607</v>
      </c>
      <c r="J2762">
        <v>5.1222566499999997</v>
      </c>
      <c r="K2762">
        <v>0.21422175600000001</v>
      </c>
      <c r="L2762">
        <v>0.25354511400000002</v>
      </c>
      <c r="M2762" s="21">
        <v>-1.413688273</v>
      </c>
      <c r="N2762">
        <v>-1.0235010769999999</v>
      </c>
    </row>
    <row r="2763" spans="1:14" x14ac:dyDescent="0.2">
      <c r="A2763" t="s">
        <v>788</v>
      </c>
      <c r="B2763">
        <v>99560</v>
      </c>
      <c r="C2763" t="s">
        <v>58</v>
      </c>
      <c r="D2763" t="s">
        <v>788</v>
      </c>
      <c r="E2763" t="s">
        <v>5608</v>
      </c>
      <c r="G2763" t="s">
        <v>5609</v>
      </c>
      <c r="J2763">
        <v>4.5363847230000003</v>
      </c>
      <c r="K2763">
        <v>0.245646371</v>
      </c>
      <c r="L2763">
        <v>7.5242279999999995E-2</v>
      </c>
      <c r="M2763" s="21">
        <v>-1.414499416</v>
      </c>
      <c r="N2763">
        <v>-1.0276682180000001</v>
      </c>
    </row>
    <row r="2764" spans="1:14" x14ac:dyDescent="0.2">
      <c r="A2764" t="s">
        <v>753</v>
      </c>
      <c r="B2764">
        <v>20200</v>
      </c>
      <c r="C2764" t="s">
        <v>130</v>
      </c>
      <c r="D2764" t="s">
        <v>753</v>
      </c>
      <c r="E2764" t="s">
        <v>5610</v>
      </c>
      <c r="G2764" t="s">
        <v>5611</v>
      </c>
      <c r="J2764">
        <v>5.1222566499999997</v>
      </c>
      <c r="K2764">
        <v>0.21422175600000001</v>
      </c>
      <c r="L2764">
        <v>0.25354511400000002</v>
      </c>
      <c r="M2764" s="21">
        <v>-1.414738769</v>
      </c>
      <c r="N2764">
        <v>-1.028897865</v>
      </c>
    </row>
    <row r="2765" spans="1:14" x14ac:dyDescent="0.2">
      <c r="A2765" t="s">
        <v>779</v>
      </c>
      <c r="B2765">
        <v>20000</v>
      </c>
      <c r="C2765" t="s">
        <v>130</v>
      </c>
      <c r="D2765" t="s">
        <v>780</v>
      </c>
      <c r="E2765" t="s">
        <v>5612</v>
      </c>
      <c r="G2765" t="s">
        <v>5613</v>
      </c>
      <c r="J2765">
        <v>5.1222566499999997</v>
      </c>
      <c r="K2765">
        <v>0.21422175600000001</v>
      </c>
      <c r="L2765">
        <v>0.25354511400000002</v>
      </c>
      <c r="M2765" s="21">
        <v>-1.4148979349999999</v>
      </c>
      <c r="N2765">
        <v>-1.0297155600000001</v>
      </c>
    </row>
    <row r="2766" spans="1:14" x14ac:dyDescent="0.2">
      <c r="A2766" t="s">
        <v>400</v>
      </c>
      <c r="B2766">
        <v>19840</v>
      </c>
      <c r="C2766" t="s">
        <v>130</v>
      </c>
      <c r="D2766" t="s">
        <v>400</v>
      </c>
      <c r="E2766" t="s">
        <v>5614</v>
      </c>
      <c r="G2766" t="s">
        <v>5615</v>
      </c>
      <c r="J2766">
        <v>5.1222566499999997</v>
      </c>
      <c r="K2766">
        <v>0.21422175600000001</v>
      </c>
      <c r="L2766">
        <v>0.25354511400000002</v>
      </c>
      <c r="M2766" s="21">
        <v>-1.4150252679999999</v>
      </c>
      <c r="N2766">
        <v>-1.030369716</v>
      </c>
    </row>
    <row r="2767" spans="1:14" x14ac:dyDescent="0.2">
      <c r="A2767" t="s">
        <v>1413</v>
      </c>
      <c r="B2767">
        <v>155880</v>
      </c>
      <c r="C2767" t="s">
        <v>14</v>
      </c>
      <c r="D2767" t="s">
        <v>1413</v>
      </c>
      <c r="E2767" t="s">
        <v>5616</v>
      </c>
      <c r="G2767" t="s">
        <v>5617</v>
      </c>
      <c r="J2767">
        <v>6.7484204910000001</v>
      </c>
      <c r="K2767">
        <v>0.48629166299999999</v>
      </c>
      <c r="L2767">
        <v>0.375053939</v>
      </c>
      <c r="M2767" s="21">
        <v>-1.4151801369999999</v>
      </c>
      <c r="N2767">
        <v>-1.031165337</v>
      </c>
    </row>
    <row r="2768" spans="1:14" x14ac:dyDescent="0.2">
      <c r="A2768" t="s">
        <v>2108</v>
      </c>
      <c r="B2768">
        <v>19280</v>
      </c>
      <c r="C2768" t="s">
        <v>130</v>
      </c>
      <c r="D2768" t="s">
        <v>2108</v>
      </c>
      <c r="E2768" t="s">
        <v>5618</v>
      </c>
      <c r="G2768" t="s">
        <v>5619</v>
      </c>
      <c r="J2768">
        <v>5.1222566499999997</v>
      </c>
      <c r="K2768">
        <v>0.21422175600000001</v>
      </c>
      <c r="L2768">
        <v>0.25354511400000002</v>
      </c>
      <c r="M2768" s="21">
        <v>-1.4154709320000001</v>
      </c>
      <c r="N2768">
        <v>-1.032659263</v>
      </c>
    </row>
    <row r="2769" spans="1:14" x14ac:dyDescent="0.2">
      <c r="A2769" t="s">
        <v>988</v>
      </c>
      <c r="B2769">
        <v>19080</v>
      </c>
      <c r="C2769" t="s">
        <v>130</v>
      </c>
      <c r="D2769" t="s">
        <v>988</v>
      </c>
      <c r="E2769" t="s">
        <v>5620</v>
      </c>
      <c r="G2769" t="s">
        <v>5621</v>
      </c>
      <c r="J2769">
        <v>5.1222566499999997</v>
      </c>
      <c r="K2769">
        <v>0.21422175600000001</v>
      </c>
      <c r="L2769">
        <v>0.25354511400000002</v>
      </c>
      <c r="M2769" s="21">
        <v>-1.4156300980000001</v>
      </c>
      <c r="N2769">
        <v>-1.0334769580000001</v>
      </c>
    </row>
    <row r="2770" spans="1:14" x14ac:dyDescent="0.2">
      <c r="A2770" t="s">
        <v>637</v>
      </c>
      <c r="B2770">
        <v>18360</v>
      </c>
      <c r="C2770" t="s">
        <v>130</v>
      </c>
      <c r="D2770" t="s">
        <v>637</v>
      </c>
      <c r="E2770" t="s">
        <v>5622</v>
      </c>
      <c r="G2770" t="s">
        <v>5623</v>
      </c>
      <c r="J2770">
        <v>5.1222566499999997</v>
      </c>
      <c r="K2770">
        <v>0.21422175600000001</v>
      </c>
      <c r="L2770">
        <v>0.25354511400000002</v>
      </c>
      <c r="M2770" s="21">
        <v>-1.4162030960000001</v>
      </c>
      <c r="N2770">
        <v>-1.0364206600000001</v>
      </c>
    </row>
    <row r="2771" spans="1:14" x14ac:dyDescent="0.2">
      <c r="A2771" t="s">
        <v>1773</v>
      </c>
      <c r="B2771">
        <v>18200</v>
      </c>
      <c r="C2771" t="s">
        <v>130</v>
      </c>
      <c r="D2771" t="s">
        <v>1773</v>
      </c>
      <c r="E2771" t="s">
        <v>5624</v>
      </c>
      <c r="G2771" t="s">
        <v>5625</v>
      </c>
      <c r="J2771">
        <v>5.1222566499999997</v>
      </c>
      <c r="K2771">
        <v>0.21422175600000001</v>
      </c>
      <c r="L2771">
        <v>0.25354511400000002</v>
      </c>
      <c r="M2771" s="21">
        <v>-1.4163304290000001</v>
      </c>
      <c r="N2771">
        <v>-1.0370748169999999</v>
      </c>
    </row>
    <row r="2772" spans="1:14" x14ac:dyDescent="0.2">
      <c r="A2772" t="s">
        <v>191</v>
      </c>
      <c r="B2772">
        <v>18120</v>
      </c>
      <c r="C2772" t="s">
        <v>130</v>
      </c>
      <c r="D2772" t="s">
        <v>192</v>
      </c>
      <c r="E2772" t="s">
        <v>5626</v>
      </c>
      <c r="G2772" t="s">
        <v>5627</v>
      </c>
      <c r="J2772">
        <v>5.1222566499999997</v>
      </c>
      <c r="K2772">
        <v>0.21422175600000001</v>
      </c>
      <c r="L2772">
        <v>0.25354511400000002</v>
      </c>
      <c r="M2772" s="21">
        <v>-1.416394095</v>
      </c>
      <c r="N2772">
        <v>-1.0374018949999999</v>
      </c>
    </row>
    <row r="2773" spans="1:14" x14ac:dyDescent="0.2">
      <c r="A2773" t="s">
        <v>364</v>
      </c>
      <c r="B2773">
        <v>101920</v>
      </c>
      <c r="C2773" t="s">
        <v>100</v>
      </c>
      <c r="D2773" t="s">
        <v>364</v>
      </c>
      <c r="E2773" t="s">
        <v>5628</v>
      </c>
      <c r="G2773" t="s">
        <v>5629</v>
      </c>
      <c r="J2773">
        <v>5.9110743220000002</v>
      </c>
      <c r="K2773">
        <v>0.71598987199999997</v>
      </c>
      <c r="L2773">
        <v>0.29077365599999999</v>
      </c>
      <c r="M2773" s="21">
        <v>-1.4164234520000001</v>
      </c>
      <c r="N2773">
        <v>-1.0375527120000001</v>
      </c>
    </row>
    <row r="2774" spans="1:14" x14ac:dyDescent="0.2">
      <c r="A2774" t="s">
        <v>534</v>
      </c>
      <c r="B2774">
        <v>106760</v>
      </c>
      <c r="C2774" t="s">
        <v>149</v>
      </c>
      <c r="D2774" t="s">
        <v>534</v>
      </c>
      <c r="E2774" t="s">
        <v>5630</v>
      </c>
      <c r="G2774" t="s">
        <v>5631</v>
      </c>
      <c r="J2774">
        <v>5.0381074159999999</v>
      </c>
      <c r="K2774">
        <v>0.81312368999999995</v>
      </c>
      <c r="L2774">
        <v>0.16969141800000001</v>
      </c>
      <c r="M2774" s="21">
        <v>-1.4166135010000001</v>
      </c>
      <c r="N2774">
        <v>-1.038529067</v>
      </c>
    </row>
    <row r="2775" spans="1:14" x14ac:dyDescent="0.2">
      <c r="A2775" t="s">
        <v>1010</v>
      </c>
      <c r="B2775">
        <v>17840</v>
      </c>
      <c r="C2775" t="s">
        <v>130</v>
      </c>
      <c r="D2775" t="s">
        <v>1010</v>
      </c>
      <c r="E2775" t="s">
        <v>5632</v>
      </c>
      <c r="G2775" t="s">
        <v>5633</v>
      </c>
      <c r="J2775">
        <v>5.1222566499999997</v>
      </c>
      <c r="K2775">
        <v>0.21422175600000001</v>
      </c>
      <c r="L2775">
        <v>0.25354511400000002</v>
      </c>
      <c r="M2775" s="21">
        <v>-1.416616927</v>
      </c>
      <c r="N2775">
        <v>-1.038546668</v>
      </c>
    </row>
    <row r="2776" spans="1:14" x14ac:dyDescent="0.2">
      <c r="A2776" t="s">
        <v>574</v>
      </c>
      <c r="B2776">
        <v>17240</v>
      </c>
      <c r="C2776" t="s">
        <v>130</v>
      </c>
      <c r="D2776" t="s">
        <v>574</v>
      </c>
      <c r="E2776" t="s">
        <v>5634</v>
      </c>
      <c r="G2776" t="s">
        <v>5635</v>
      </c>
      <c r="J2776">
        <v>5.1222566499999997</v>
      </c>
      <c r="K2776">
        <v>0.21422175600000001</v>
      </c>
      <c r="L2776">
        <v>0.25354511400000002</v>
      </c>
      <c r="M2776" s="21">
        <v>-1.4170944249999999</v>
      </c>
      <c r="N2776">
        <v>-1.0409997529999999</v>
      </c>
    </row>
    <row r="2777" spans="1:14" x14ac:dyDescent="0.2">
      <c r="A2777" t="s">
        <v>218</v>
      </c>
      <c r="B2777">
        <v>17080</v>
      </c>
      <c r="C2777" t="s">
        <v>130</v>
      </c>
      <c r="D2777" t="s">
        <v>218</v>
      </c>
      <c r="E2777" t="s">
        <v>5636</v>
      </c>
      <c r="G2777" t="s">
        <v>5637</v>
      </c>
      <c r="J2777">
        <v>5.1222566499999997</v>
      </c>
      <c r="K2777">
        <v>0.21422175600000001</v>
      </c>
      <c r="L2777">
        <v>0.25354511400000002</v>
      </c>
      <c r="M2777" s="21">
        <v>-1.4172217579999999</v>
      </c>
      <c r="N2777">
        <v>-1.04165391</v>
      </c>
    </row>
    <row r="2778" spans="1:14" x14ac:dyDescent="0.2">
      <c r="A2778" t="s">
        <v>859</v>
      </c>
      <c r="B2778">
        <v>16480</v>
      </c>
      <c r="C2778" t="s">
        <v>130</v>
      </c>
      <c r="D2778" t="s">
        <v>859</v>
      </c>
      <c r="E2778" t="s">
        <v>5638</v>
      </c>
      <c r="G2778" t="s">
        <v>5639</v>
      </c>
      <c r="J2778">
        <v>5.1222566499999997</v>
      </c>
      <c r="K2778">
        <v>0.21422175600000001</v>
      </c>
      <c r="L2778">
        <v>0.25354511400000002</v>
      </c>
      <c r="M2778" s="21">
        <v>-1.4176992559999999</v>
      </c>
      <c r="N2778">
        <v>-1.0441069949999999</v>
      </c>
    </row>
    <row r="2779" spans="1:14" x14ac:dyDescent="0.2">
      <c r="A2779" t="s">
        <v>681</v>
      </c>
      <c r="B2779">
        <v>16440</v>
      </c>
      <c r="C2779" t="s">
        <v>130</v>
      </c>
      <c r="D2779" t="s">
        <v>682</v>
      </c>
      <c r="E2779" t="s">
        <v>5640</v>
      </c>
      <c r="G2779" t="s">
        <v>5641</v>
      </c>
      <c r="J2779">
        <v>5.1222566499999997</v>
      </c>
      <c r="K2779">
        <v>0.21422175600000001</v>
      </c>
      <c r="L2779">
        <v>0.25354511400000002</v>
      </c>
      <c r="M2779" s="21">
        <v>-1.4177310890000001</v>
      </c>
      <c r="N2779">
        <v>-1.044270534</v>
      </c>
    </row>
    <row r="2780" spans="1:14" x14ac:dyDescent="0.2">
      <c r="A2780" t="s">
        <v>727</v>
      </c>
      <c r="B2780">
        <v>16360</v>
      </c>
      <c r="C2780" t="s">
        <v>130</v>
      </c>
      <c r="D2780" t="s">
        <v>727</v>
      </c>
      <c r="E2780" t="s">
        <v>5642</v>
      </c>
      <c r="G2780" t="s">
        <v>5643</v>
      </c>
      <c r="J2780">
        <v>5.1222566499999997</v>
      </c>
      <c r="K2780">
        <v>0.21422175600000001</v>
      </c>
      <c r="L2780">
        <v>0.25354511400000002</v>
      </c>
      <c r="M2780" s="21">
        <v>-1.4177947550000001</v>
      </c>
      <c r="N2780">
        <v>-1.044597612</v>
      </c>
    </row>
    <row r="2781" spans="1:14" x14ac:dyDescent="0.2">
      <c r="A2781" t="s">
        <v>157</v>
      </c>
      <c r="B2781">
        <v>100360</v>
      </c>
      <c r="C2781" t="s">
        <v>100</v>
      </c>
      <c r="D2781" t="s">
        <v>157</v>
      </c>
      <c r="E2781" t="s">
        <v>5644</v>
      </c>
      <c r="G2781" t="s">
        <v>5645</v>
      </c>
      <c r="J2781">
        <v>5.9110743220000002</v>
      </c>
      <c r="K2781">
        <v>0.71598987199999997</v>
      </c>
      <c r="L2781">
        <v>0.29077365599999999</v>
      </c>
      <c r="M2781" s="21">
        <v>-1.4179720849999999</v>
      </c>
      <c r="N2781">
        <v>-1.0455086200000001</v>
      </c>
    </row>
    <row r="2782" spans="1:14" x14ac:dyDescent="0.2">
      <c r="A2782" t="s">
        <v>1535</v>
      </c>
      <c r="B2782">
        <v>16040</v>
      </c>
      <c r="C2782" t="s">
        <v>130</v>
      </c>
      <c r="D2782" t="s">
        <v>1535</v>
      </c>
      <c r="E2782" t="s">
        <v>5646</v>
      </c>
      <c r="G2782" t="s">
        <v>5647</v>
      </c>
      <c r="J2782">
        <v>5.1222566499999997</v>
      </c>
      <c r="K2782">
        <v>0.21422175600000001</v>
      </c>
      <c r="L2782">
        <v>0.25354511400000002</v>
      </c>
      <c r="M2782" s="21">
        <v>-1.4180494210000001</v>
      </c>
      <c r="N2782">
        <v>-1.0459059239999999</v>
      </c>
    </row>
    <row r="2783" spans="1:14" x14ac:dyDescent="0.2">
      <c r="A2783" t="s">
        <v>303</v>
      </c>
      <c r="B2783">
        <v>15960</v>
      </c>
      <c r="C2783" t="s">
        <v>130</v>
      </c>
      <c r="D2783" t="s">
        <v>304</v>
      </c>
      <c r="E2783" t="s">
        <v>5648</v>
      </c>
      <c r="G2783" t="s">
        <v>5649</v>
      </c>
      <c r="J2783">
        <v>5.1222566499999997</v>
      </c>
      <c r="K2783">
        <v>0.21422175600000001</v>
      </c>
      <c r="L2783">
        <v>0.25354511400000002</v>
      </c>
      <c r="M2783" s="21">
        <v>-1.418113087</v>
      </c>
      <c r="N2783">
        <v>-1.046233003</v>
      </c>
    </row>
    <row r="2784" spans="1:14" x14ac:dyDescent="0.2">
      <c r="A2784" t="s">
        <v>951</v>
      </c>
      <c r="B2784">
        <v>15680</v>
      </c>
      <c r="C2784" t="s">
        <v>130</v>
      </c>
      <c r="D2784" t="s">
        <v>951</v>
      </c>
      <c r="E2784" t="s">
        <v>5650</v>
      </c>
      <c r="G2784" t="s">
        <v>5651</v>
      </c>
      <c r="J2784">
        <v>5.1222566499999997</v>
      </c>
      <c r="K2784">
        <v>0.21422175600000001</v>
      </c>
      <c r="L2784">
        <v>0.25354511400000002</v>
      </c>
      <c r="M2784" s="21">
        <v>-1.4183359200000001</v>
      </c>
      <c r="N2784">
        <v>-1.047377776</v>
      </c>
    </row>
    <row r="2785" spans="1:14" x14ac:dyDescent="0.2">
      <c r="A2785" t="s">
        <v>1747</v>
      </c>
      <c r="B2785">
        <v>15520</v>
      </c>
      <c r="C2785" t="s">
        <v>130</v>
      </c>
      <c r="D2785" t="s">
        <v>1747</v>
      </c>
      <c r="E2785" t="s">
        <v>5652</v>
      </c>
      <c r="G2785" t="s">
        <v>5653</v>
      </c>
      <c r="J2785">
        <v>5.1222566499999997</v>
      </c>
      <c r="K2785">
        <v>0.21422175600000001</v>
      </c>
      <c r="L2785">
        <v>0.25354511400000002</v>
      </c>
      <c r="M2785" s="21">
        <v>-1.4184632530000001</v>
      </c>
      <c r="N2785">
        <v>-1.048031932</v>
      </c>
    </row>
    <row r="2786" spans="1:14" x14ac:dyDescent="0.2">
      <c r="A2786" t="s">
        <v>792</v>
      </c>
      <c r="B2786">
        <v>152760</v>
      </c>
      <c r="C2786" t="s">
        <v>14</v>
      </c>
      <c r="D2786" t="s">
        <v>793</v>
      </c>
      <c r="E2786" t="s">
        <v>5654</v>
      </c>
      <c r="G2786" t="s">
        <v>5655</v>
      </c>
      <c r="J2786">
        <v>6.7484204910000001</v>
      </c>
      <c r="K2786">
        <v>0.48629166299999999</v>
      </c>
      <c r="L2786">
        <v>0.375053939</v>
      </c>
      <c r="M2786" s="21">
        <v>-1.4185987900000001</v>
      </c>
      <c r="N2786">
        <v>-1.04872824</v>
      </c>
    </row>
    <row r="2787" spans="1:14" x14ac:dyDescent="0.2">
      <c r="A2787" t="s">
        <v>2077</v>
      </c>
      <c r="B2787">
        <v>15240</v>
      </c>
      <c r="C2787" t="s">
        <v>130</v>
      </c>
      <c r="D2787" t="s">
        <v>2077</v>
      </c>
      <c r="E2787" t="s">
        <v>5656</v>
      </c>
      <c r="G2787" t="s">
        <v>5657</v>
      </c>
      <c r="J2787">
        <v>5.1222566499999997</v>
      </c>
      <c r="K2787">
        <v>0.21422175600000001</v>
      </c>
      <c r="L2787">
        <v>0.25354511400000002</v>
      </c>
      <c r="M2787" s="21">
        <v>-1.418686085</v>
      </c>
      <c r="N2787">
        <v>-1.049176705</v>
      </c>
    </row>
    <row r="2788" spans="1:14" x14ac:dyDescent="0.2">
      <c r="A2788" t="s">
        <v>1714</v>
      </c>
      <c r="B2788">
        <v>15200</v>
      </c>
      <c r="C2788" t="s">
        <v>130</v>
      </c>
      <c r="D2788" t="s">
        <v>1715</v>
      </c>
      <c r="E2788" t="s">
        <v>5658</v>
      </c>
      <c r="G2788" t="s">
        <v>5659</v>
      </c>
      <c r="J2788">
        <v>5.1222566499999997</v>
      </c>
      <c r="K2788">
        <v>0.21422175600000001</v>
      </c>
      <c r="L2788">
        <v>0.25354511400000002</v>
      </c>
      <c r="M2788" s="21">
        <v>-1.418717918</v>
      </c>
      <c r="N2788">
        <v>-1.0493402439999999</v>
      </c>
    </row>
    <row r="2789" spans="1:14" x14ac:dyDescent="0.2">
      <c r="A2789" t="s">
        <v>2035</v>
      </c>
      <c r="B2789">
        <v>15000</v>
      </c>
      <c r="C2789" t="s">
        <v>130</v>
      </c>
      <c r="D2789" t="s">
        <v>2035</v>
      </c>
      <c r="E2789" t="s">
        <v>5660</v>
      </c>
      <c r="G2789" t="s">
        <v>5661</v>
      </c>
      <c r="J2789">
        <v>5.1222566499999997</v>
      </c>
      <c r="K2789">
        <v>0.21422175600000001</v>
      </c>
      <c r="L2789">
        <v>0.25354511400000002</v>
      </c>
      <c r="M2789" s="21">
        <v>-1.418877084</v>
      </c>
      <c r="N2789">
        <v>-1.050157939</v>
      </c>
    </row>
    <row r="2790" spans="1:14" x14ac:dyDescent="0.2">
      <c r="A2790" t="s">
        <v>1598</v>
      </c>
      <c r="B2790">
        <v>15000</v>
      </c>
      <c r="C2790" t="s">
        <v>130</v>
      </c>
      <c r="D2790" t="s">
        <v>1598</v>
      </c>
      <c r="E2790" t="s">
        <v>5662</v>
      </c>
      <c r="G2790" t="s">
        <v>5663</v>
      </c>
      <c r="J2790">
        <v>5.1222566499999997</v>
      </c>
      <c r="K2790">
        <v>0.21422175600000001</v>
      </c>
      <c r="L2790">
        <v>0.25354511400000002</v>
      </c>
      <c r="M2790" s="21">
        <v>-1.418877084</v>
      </c>
      <c r="N2790">
        <v>-1.050157939</v>
      </c>
    </row>
    <row r="2791" spans="1:14" x14ac:dyDescent="0.2">
      <c r="A2791" t="s">
        <v>2118</v>
      </c>
      <c r="B2791">
        <v>14240</v>
      </c>
      <c r="C2791" t="s">
        <v>130</v>
      </c>
      <c r="D2791" t="s">
        <v>2119</v>
      </c>
      <c r="E2791" t="s">
        <v>5664</v>
      </c>
      <c r="G2791" t="s">
        <v>5665</v>
      </c>
      <c r="J2791">
        <v>5.1222566499999997</v>
      </c>
      <c r="K2791">
        <v>0.21422175600000001</v>
      </c>
      <c r="L2791">
        <v>0.25354511400000002</v>
      </c>
      <c r="M2791" s="21">
        <v>-1.419481915</v>
      </c>
      <c r="N2791">
        <v>-1.053265181</v>
      </c>
    </row>
    <row r="2792" spans="1:14" x14ac:dyDescent="0.2">
      <c r="A2792" t="s">
        <v>2319</v>
      </c>
      <c r="B2792">
        <v>14080</v>
      </c>
      <c r="C2792" t="s">
        <v>130</v>
      </c>
      <c r="D2792" t="s">
        <v>2320</v>
      </c>
      <c r="E2792" t="s">
        <v>5666</v>
      </c>
      <c r="G2792" t="s">
        <v>5667</v>
      </c>
      <c r="J2792">
        <v>5.1222566499999997</v>
      </c>
      <c r="K2792">
        <v>0.21422175600000001</v>
      </c>
      <c r="L2792">
        <v>0.25354511400000002</v>
      </c>
      <c r="M2792" s="21">
        <v>-1.419609248</v>
      </c>
      <c r="N2792">
        <v>-1.053919337</v>
      </c>
    </row>
    <row r="2793" spans="1:14" x14ac:dyDescent="0.2">
      <c r="A2793" t="s">
        <v>812</v>
      </c>
      <c r="B2793">
        <v>13720</v>
      </c>
      <c r="C2793" t="s">
        <v>130</v>
      </c>
      <c r="D2793" t="s">
        <v>813</v>
      </c>
      <c r="E2793" t="s">
        <v>5668</v>
      </c>
      <c r="G2793" t="s">
        <v>5669</v>
      </c>
      <c r="J2793">
        <v>5.1222566499999997</v>
      </c>
      <c r="K2793">
        <v>0.21422175600000001</v>
      </c>
      <c r="L2793">
        <v>0.25354511400000002</v>
      </c>
      <c r="M2793" s="21">
        <v>-1.4198957459999999</v>
      </c>
      <c r="N2793">
        <v>-1.055391188</v>
      </c>
    </row>
    <row r="2794" spans="1:14" x14ac:dyDescent="0.2">
      <c r="A2794" t="s">
        <v>485</v>
      </c>
      <c r="B2794">
        <v>13440</v>
      </c>
      <c r="C2794" t="s">
        <v>130</v>
      </c>
      <c r="D2794" t="s">
        <v>486</v>
      </c>
      <c r="E2794" t="s">
        <v>5670</v>
      </c>
      <c r="G2794" t="s">
        <v>5671</v>
      </c>
      <c r="J2794">
        <v>5.1222566499999997</v>
      </c>
      <c r="K2794">
        <v>0.21422175600000001</v>
      </c>
      <c r="L2794">
        <v>0.25354511400000002</v>
      </c>
      <c r="M2794" s="21">
        <v>-1.4201185789999999</v>
      </c>
      <c r="N2794">
        <v>-1.0565359620000001</v>
      </c>
    </row>
    <row r="2795" spans="1:14" x14ac:dyDescent="0.2">
      <c r="A2795" t="s">
        <v>1144</v>
      </c>
      <c r="B2795">
        <v>93680</v>
      </c>
      <c r="C2795" t="s">
        <v>58</v>
      </c>
      <c r="D2795" t="s">
        <v>1145</v>
      </c>
      <c r="E2795" t="s">
        <v>5672</v>
      </c>
      <c r="G2795" t="s">
        <v>5673</v>
      </c>
      <c r="J2795">
        <v>4.5363847230000003</v>
      </c>
      <c r="K2795">
        <v>0.245646371</v>
      </c>
      <c r="L2795">
        <v>7.5242279999999995E-2</v>
      </c>
      <c r="M2795" s="21">
        <v>-1.4201778869999999</v>
      </c>
      <c r="N2795">
        <v>-1.05684065</v>
      </c>
    </row>
    <row r="2796" spans="1:14" x14ac:dyDescent="0.2">
      <c r="A2796" t="s">
        <v>560</v>
      </c>
      <c r="B2796">
        <v>13320</v>
      </c>
      <c r="C2796" t="s">
        <v>130</v>
      </c>
      <c r="D2796" t="s">
        <v>560</v>
      </c>
      <c r="E2796" t="s">
        <v>5674</v>
      </c>
      <c r="G2796" t="s">
        <v>5675</v>
      </c>
      <c r="J2796">
        <v>5.1222566499999997</v>
      </c>
      <c r="K2796">
        <v>0.21422175600000001</v>
      </c>
      <c r="L2796">
        <v>0.25354511400000002</v>
      </c>
      <c r="M2796" s="21">
        <v>-1.4202140780000001</v>
      </c>
      <c r="N2796">
        <v>-1.057026579</v>
      </c>
    </row>
    <row r="2797" spans="1:14" x14ac:dyDescent="0.2">
      <c r="A2797" t="s">
        <v>3164</v>
      </c>
      <c r="B2797">
        <v>12800</v>
      </c>
      <c r="C2797" t="s">
        <v>130</v>
      </c>
      <c r="D2797" t="s">
        <v>3165</v>
      </c>
      <c r="E2797" t="s">
        <v>5676</v>
      </c>
      <c r="G2797" t="s">
        <v>5677</v>
      </c>
      <c r="J2797">
        <v>5.1222566499999997</v>
      </c>
      <c r="K2797">
        <v>0.21422175600000001</v>
      </c>
      <c r="L2797">
        <v>0.25354511400000002</v>
      </c>
      <c r="M2797" s="21">
        <v>-1.4206279100000001</v>
      </c>
      <c r="N2797">
        <v>-1.059152586</v>
      </c>
    </row>
    <row r="2798" spans="1:14" x14ac:dyDescent="0.2">
      <c r="A2798" t="s">
        <v>2167</v>
      </c>
      <c r="B2798">
        <v>12680</v>
      </c>
      <c r="C2798" t="s">
        <v>130</v>
      </c>
      <c r="D2798" t="s">
        <v>2168</v>
      </c>
      <c r="E2798" t="s">
        <v>5678</v>
      </c>
      <c r="G2798" t="s">
        <v>5679</v>
      </c>
      <c r="J2798">
        <v>5.1222566499999997</v>
      </c>
      <c r="K2798">
        <v>0.21422175600000001</v>
      </c>
      <c r="L2798">
        <v>0.25354511400000002</v>
      </c>
      <c r="M2798" s="21">
        <v>-1.420723409</v>
      </c>
      <c r="N2798">
        <v>-1.059643203</v>
      </c>
    </row>
    <row r="2799" spans="1:14" x14ac:dyDescent="0.2">
      <c r="A2799" t="s">
        <v>551</v>
      </c>
      <c r="B2799">
        <v>12640</v>
      </c>
      <c r="C2799" t="s">
        <v>130</v>
      </c>
      <c r="D2799" t="s">
        <v>551</v>
      </c>
      <c r="E2799" t="s">
        <v>5680</v>
      </c>
      <c r="G2799" t="s">
        <v>5681</v>
      </c>
      <c r="J2799">
        <v>5.1222566499999997</v>
      </c>
      <c r="K2799">
        <v>0.21422175600000001</v>
      </c>
      <c r="L2799">
        <v>0.25354511400000002</v>
      </c>
      <c r="M2799" s="21">
        <v>-1.4207552429999999</v>
      </c>
      <c r="N2799">
        <v>-1.0598067419999999</v>
      </c>
    </row>
    <row r="2800" spans="1:14" x14ac:dyDescent="0.2">
      <c r="A2800" t="s">
        <v>1494</v>
      </c>
      <c r="B2800">
        <v>12520</v>
      </c>
      <c r="C2800" t="s">
        <v>130</v>
      </c>
      <c r="D2800" t="s">
        <v>1494</v>
      </c>
      <c r="E2800" t="s">
        <v>5682</v>
      </c>
      <c r="G2800" t="s">
        <v>5683</v>
      </c>
      <c r="J2800">
        <v>5.1222566499999997</v>
      </c>
      <c r="K2800">
        <v>0.21422175600000001</v>
      </c>
      <c r="L2800">
        <v>0.25354511400000002</v>
      </c>
      <c r="M2800" s="21">
        <v>-1.4208507420000001</v>
      </c>
      <c r="N2800">
        <v>-1.060297359</v>
      </c>
    </row>
    <row r="2801" spans="1:14" x14ac:dyDescent="0.2">
      <c r="A2801" t="s">
        <v>243</v>
      </c>
      <c r="B2801">
        <v>12080</v>
      </c>
      <c r="C2801" t="s">
        <v>130</v>
      </c>
      <c r="D2801" t="s">
        <v>243</v>
      </c>
      <c r="E2801" t="s">
        <v>5684</v>
      </c>
      <c r="G2801" t="s">
        <v>5685</v>
      </c>
      <c r="J2801">
        <v>5.1222566499999997</v>
      </c>
      <c r="K2801">
        <v>0.21422175600000001</v>
      </c>
      <c r="L2801">
        <v>0.25354511400000002</v>
      </c>
      <c r="M2801" s="21">
        <v>-1.421200907</v>
      </c>
      <c r="N2801">
        <v>-1.0620962890000001</v>
      </c>
    </row>
    <row r="2802" spans="1:14" x14ac:dyDescent="0.2">
      <c r="A2802" t="s">
        <v>153</v>
      </c>
      <c r="B2802">
        <v>11960</v>
      </c>
      <c r="C2802" t="s">
        <v>130</v>
      </c>
      <c r="D2802" t="s">
        <v>153</v>
      </c>
      <c r="E2802" t="s">
        <v>5686</v>
      </c>
      <c r="G2802" t="s">
        <v>5687</v>
      </c>
      <c r="J2802">
        <v>5.1222566499999997</v>
      </c>
      <c r="K2802">
        <v>0.21422175600000001</v>
      </c>
      <c r="L2802">
        <v>0.25354511400000002</v>
      </c>
      <c r="M2802" s="21">
        <v>-1.421296407</v>
      </c>
      <c r="N2802">
        <v>-1.0625869059999999</v>
      </c>
    </row>
    <row r="2803" spans="1:14" x14ac:dyDescent="0.2">
      <c r="A2803" t="s">
        <v>1413</v>
      </c>
      <c r="B2803">
        <v>11880</v>
      </c>
      <c r="C2803" t="s">
        <v>130</v>
      </c>
      <c r="D2803" t="s">
        <v>1413</v>
      </c>
      <c r="E2803" t="s">
        <v>5688</v>
      </c>
      <c r="G2803" t="s">
        <v>5689</v>
      </c>
      <c r="J2803">
        <v>5.1222566499999997</v>
      </c>
      <c r="K2803">
        <v>0.21422175600000001</v>
      </c>
      <c r="L2803">
        <v>0.25354511400000002</v>
      </c>
      <c r="M2803" s="21">
        <v>-1.421360073</v>
      </c>
      <c r="N2803">
        <v>-1.0629139839999999</v>
      </c>
    </row>
    <row r="2804" spans="1:14" x14ac:dyDescent="0.2">
      <c r="A2804" t="s">
        <v>912</v>
      </c>
      <c r="B2804">
        <v>101520</v>
      </c>
      <c r="C2804" t="s">
        <v>149</v>
      </c>
      <c r="D2804" t="s">
        <v>912</v>
      </c>
      <c r="E2804" t="s">
        <v>5690</v>
      </c>
      <c r="G2804" t="s">
        <v>5691</v>
      </c>
      <c r="J2804">
        <v>5.0381074159999999</v>
      </c>
      <c r="K2804">
        <v>0.81312368999999995</v>
      </c>
      <c r="L2804">
        <v>0.16969141800000001</v>
      </c>
      <c r="M2804" s="21">
        <v>-1.4214584889999999</v>
      </c>
      <c r="N2804">
        <v>-1.0634195849999999</v>
      </c>
    </row>
    <row r="2805" spans="1:14" x14ac:dyDescent="0.2">
      <c r="A2805" t="s">
        <v>1112</v>
      </c>
      <c r="B2805">
        <v>11720</v>
      </c>
      <c r="C2805" t="s">
        <v>130</v>
      </c>
      <c r="D2805" t="s">
        <v>1112</v>
      </c>
      <c r="E2805" t="s">
        <v>5692</v>
      </c>
      <c r="G2805" t="s">
        <v>5693</v>
      </c>
      <c r="J2805">
        <v>5.1222566499999997</v>
      </c>
      <c r="K2805">
        <v>0.21422175600000001</v>
      </c>
      <c r="L2805">
        <v>0.25354511400000002</v>
      </c>
      <c r="M2805" s="21">
        <v>-1.421487406</v>
      </c>
      <c r="N2805">
        <v>-1.0635681400000001</v>
      </c>
    </row>
    <row r="2806" spans="1:14" x14ac:dyDescent="0.2">
      <c r="A2806" t="s">
        <v>307</v>
      </c>
      <c r="B2806">
        <v>11600</v>
      </c>
      <c r="C2806" t="s">
        <v>130</v>
      </c>
      <c r="D2806" t="s">
        <v>308</v>
      </c>
      <c r="E2806" t="s">
        <v>5694</v>
      </c>
      <c r="G2806" t="s">
        <v>5695</v>
      </c>
      <c r="J2806">
        <v>5.1222566499999997</v>
      </c>
      <c r="K2806">
        <v>0.21422175600000001</v>
      </c>
      <c r="L2806">
        <v>0.25354511400000002</v>
      </c>
      <c r="M2806" s="21">
        <v>-1.421582906</v>
      </c>
      <c r="N2806">
        <v>-1.064058757</v>
      </c>
    </row>
    <row r="2807" spans="1:14" x14ac:dyDescent="0.2">
      <c r="A2807" t="s">
        <v>1290</v>
      </c>
      <c r="B2807">
        <v>11560</v>
      </c>
      <c r="C2807" t="s">
        <v>130</v>
      </c>
      <c r="D2807" t="s">
        <v>1291</v>
      </c>
      <c r="E2807" t="s">
        <v>5696</v>
      </c>
      <c r="G2807" t="s">
        <v>5697</v>
      </c>
      <c r="J2807">
        <v>5.1222566499999997</v>
      </c>
      <c r="K2807">
        <v>0.21422175600000001</v>
      </c>
      <c r="L2807">
        <v>0.25354511400000002</v>
      </c>
      <c r="M2807" s="21">
        <v>-1.421614739</v>
      </c>
      <c r="N2807">
        <v>-1.0642222960000001</v>
      </c>
    </row>
    <row r="2808" spans="1:14" x14ac:dyDescent="0.2">
      <c r="A2808" t="s">
        <v>1954</v>
      </c>
      <c r="B2808">
        <v>11400</v>
      </c>
      <c r="C2808" t="s">
        <v>130</v>
      </c>
      <c r="D2808" t="s">
        <v>1955</v>
      </c>
      <c r="E2808" t="s">
        <v>5698</v>
      </c>
      <c r="G2808" t="s">
        <v>5699</v>
      </c>
      <c r="J2808">
        <v>5.1222566499999997</v>
      </c>
      <c r="K2808">
        <v>0.21422175600000001</v>
      </c>
      <c r="L2808">
        <v>0.25354511400000002</v>
      </c>
      <c r="M2808" s="21">
        <v>-1.421742072</v>
      </c>
      <c r="N2808">
        <v>-1.064876452</v>
      </c>
    </row>
    <row r="2809" spans="1:14" x14ac:dyDescent="0.2">
      <c r="A2809" t="s">
        <v>804</v>
      </c>
      <c r="B2809">
        <v>101160</v>
      </c>
      <c r="C2809" t="s">
        <v>149</v>
      </c>
      <c r="D2809" t="s">
        <v>804</v>
      </c>
      <c r="E2809" t="s">
        <v>5700</v>
      </c>
      <c r="G2809" t="s">
        <v>5701</v>
      </c>
      <c r="J2809">
        <v>5.0381074159999999</v>
      </c>
      <c r="K2809">
        <v>0.81312368999999995</v>
      </c>
      <c r="L2809">
        <v>0.16969141800000001</v>
      </c>
      <c r="M2809" s="21">
        <v>-1.421791351</v>
      </c>
      <c r="N2809">
        <v>-1.06512962</v>
      </c>
    </row>
    <row r="2810" spans="1:14" x14ac:dyDescent="0.2">
      <c r="A2810" t="s">
        <v>541</v>
      </c>
      <c r="B2810">
        <v>11320</v>
      </c>
      <c r="C2810" t="s">
        <v>130</v>
      </c>
      <c r="D2810" t="s">
        <v>542</v>
      </c>
      <c r="E2810" t="s">
        <v>5702</v>
      </c>
      <c r="G2810" t="s">
        <v>5703</v>
      </c>
      <c r="J2810">
        <v>5.1222566499999997</v>
      </c>
      <c r="K2810">
        <v>0.21422175600000001</v>
      </c>
      <c r="L2810">
        <v>0.25354511400000002</v>
      </c>
      <c r="M2810" s="21">
        <v>-1.421805738</v>
      </c>
      <c r="N2810">
        <v>-1.06520353</v>
      </c>
    </row>
    <row r="2811" spans="1:14" x14ac:dyDescent="0.2">
      <c r="A2811" t="s">
        <v>500</v>
      </c>
      <c r="B2811">
        <v>11280</v>
      </c>
      <c r="C2811" t="s">
        <v>130</v>
      </c>
      <c r="D2811" t="s">
        <v>501</v>
      </c>
      <c r="E2811" t="s">
        <v>5704</v>
      </c>
      <c r="G2811" t="s">
        <v>5705</v>
      </c>
      <c r="J2811">
        <v>5.1222566499999997</v>
      </c>
      <c r="K2811">
        <v>0.21422175600000001</v>
      </c>
      <c r="L2811">
        <v>0.25354511400000002</v>
      </c>
      <c r="M2811" s="21">
        <v>-1.421837571</v>
      </c>
      <c r="N2811">
        <v>-1.0653670690000001</v>
      </c>
    </row>
    <row r="2812" spans="1:14" x14ac:dyDescent="0.2">
      <c r="A2812" t="s">
        <v>38</v>
      </c>
      <c r="B2812">
        <v>11000</v>
      </c>
      <c r="C2812" t="s">
        <v>130</v>
      </c>
      <c r="D2812" t="s">
        <v>38</v>
      </c>
      <c r="E2812" t="s">
        <v>5706</v>
      </c>
      <c r="G2812" t="s">
        <v>5707</v>
      </c>
      <c r="J2812">
        <v>5.1222566499999997</v>
      </c>
      <c r="K2812">
        <v>0.21422175600000001</v>
      </c>
      <c r="L2812">
        <v>0.25354511400000002</v>
      </c>
      <c r="M2812" s="21">
        <v>-1.4220604029999999</v>
      </c>
      <c r="N2812">
        <v>-1.066511843</v>
      </c>
    </row>
    <row r="2813" spans="1:14" x14ac:dyDescent="0.2">
      <c r="A2813" t="s">
        <v>909</v>
      </c>
      <c r="B2813">
        <v>10920</v>
      </c>
      <c r="C2813" t="s">
        <v>130</v>
      </c>
      <c r="D2813" t="s">
        <v>909</v>
      </c>
      <c r="E2813" t="s">
        <v>5708</v>
      </c>
      <c r="G2813" t="s">
        <v>5709</v>
      </c>
      <c r="J2813">
        <v>5.1222566499999997</v>
      </c>
      <c r="K2813">
        <v>0.21422175600000001</v>
      </c>
      <c r="L2813">
        <v>0.25354511400000002</v>
      </c>
      <c r="M2813" s="21">
        <v>-1.42212407</v>
      </c>
      <c r="N2813">
        <v>-1.066838921</v>
      </c>
    </row>
    <row r="2814" spans="1:14" x14ac:dyDescent="0.2">
      <c r="A2814" t="s">
        <v>668</v>
      </c>
      <c r="B2814">
        <v>10800</v>
      </c>
      <c r="C2814" t="s">
        <v>130</v>
      </c>
      <c r="D2814" t="s">
        <v>668</v>
      </c>
      <c r="E2814" t="s">
        <v>5710</v>
      </c>
      <c r="G2814" t="s">
        <v>5711</v>
      </c>
      <c r="J2814">
        <v>5.1222566499999997</v>
      </c>
      <c r="K2814">
        <v>0.21422175600000001</v>
      </c>
      <c r="L2814">
        <v>0.25354511400000002</v>
      </c>
      <c r="M2814" s="21">
        <v>-1.4222195689999999</v>
      </c>
      <c r="N2814">
        <v>-1.0673295380000001</v>
      </c>
    </row>
    <row r="2815" spans="1:14" x14ac:dyDescent="0.2">
      <c r="A2815" t="s">
        <v>458</v>
      </c>
      <c r="B2815">
        <v>10480</v>
      </c>
      <c r="C2815" t="s">
        <v>130</v>
      </c>
      <c r="D2815" t="s">
        <v>459</v>
      </c>
      <c r="E2815" t="s">
        <v>5712</v>
      </c>
      <c r="G2815" t="s">
        <v>5713</v>
      </c>
      <c r="J2815">
        <v>5.1222566499999997</v>
      </c>
      <c r="K2815">
        <v>0.21422175600000001</v>
      </c>
      <c r="L2815">
        <v>0.25354511400000002</v>
      </c>
      <c r="M2815" s="21">
        <v>-1.4224742349999999</v>
      </c>
      <c r="N2815">
        <v>-1.06863785</v>
      </c>
    </row>
    <row r="2816" spans="1:14" x14ac:dyDescent="0.2">
      <c r="A2816" t="s">
        <v>1065</v>
      </c>
      <c r="B2816">
        <v>100240</v>
      </c>
      <c r="C2816" t="s">
        <v>149</v>
      </c>
      <c r="D2816" t="s">
        <v>1066</v>
      </c>
      <c r="E2816" t="s">
        <v>5714</v>
      </c>
      <c r="G2816" t="s">
        <v>5715</v>
      </c>
      <c r="J2816">
        <v>5.0381074159999999</v>
      </c>
      <c r="K2816">
        <v>0.81312368999999995</v>
      </c>
      <c r="L2816">
        <v>0.16969141800000001</v>
      </c>
      <c r="M2816" s="21">
        <v>-1.422641998</v>
      </c>
      <c r="N2816">
        <v>-1.069499711</v>
      </c>
    </row>
    <row r="2817" spans="1:14" x14ac:dyDescent="0.2">
      <c r="A2817" t="s">
        <v>2335</v>
      </c>
      <c r="B2817">
        <v>10240</v>
      </c>
      <c r="C2817" t="s">
        <v>130</v>
      </c>
      <c r="D2817" t="s">
        <v>2335</v>
      </c>
      <c r="E2817" t="s">
        <v>5716</v>
      </c>
      <c r="G2817" t="s">
        <v>5717</v>
      </c>
      <c r="J2817">
        <v>5.1222566499999997</v>
      </c>
      <c r="K2817">
        <v>0.21422175600000001</v>
      </c>
      <c r="L2817">
        <v>0.25354511400000002</v>
      </c>
      <c r="M2817" s="21">
        <v>-1.4226652339999999</v>
      </c>
      <c r="N2817">
        <v>-1.0696190839999999</v>
      </c>
    </row>
    <row r="2818" spans="1:14" x14ac:dyDescent="0.2">
      <c r="A2818" t="s">
        <v>1897</v>
      </c>
      <c r="B2818">
        <v>10120</v>
      </c>
      <c r="C2818" t="s">
        <v>130</v>
      </c>
      <c r="D2818" t="s">
        <v>1897</v>
      </c>
      <c r="E2818" t="s">
        <v>5718</v>
      </c>
      <c r="G2818" t="s">
        <v>5719</v>
      </c>
      <c r="J2818">
        <v>5.1222566499999997</v>
      </c>
      <c r="K2818">
        <v>0.21422175600000001</v>
      </c>
      <c r="L2818">
        <v>0.25354511400000002</v>
      </c>
      <c r="M2818" s="21">
        <v>-1.4227607339999999</v>
      </c>
      <c r="N2818">
        <v>-1.070109701</v>
      </c>
    </row>
    <row r="2819" spans="1:14" x14ac:dyDescent="0.2">
      <c r="A2819" t="s">
        <v>1118</v>
      </c>
      <c r="B2819">
        <v>9960</v>
      </c>
      <c r="C2819" t="s">
        <v>130</v>
      </c>
      <c r="D2819" t="s">
        <v>1118</v>
      </c>
      <c r="E2819" t="s">
        <v>5720</v>
      </c>
      <c r="G2819" t="s">
        <v>5721</v>
      </c>
      <c r="J2819">
        <v>5.1222566499999997</v>
      </c>
      <c r="K2819">
        <v>0.21422175600000001</v>
      </c>
      <c r="L2819">
        <v>0.25354511400000002</v>
      </c>
      <c r="M2819" s="21">
        <v>-1.4228880669999999</v>
      </c>
      <c r="N2819">
        <v>-1.0707638580000001</v>
      </c>
    </row>
    <row r="2820" spans="1:14" x14ac:dyDescent="0.2">
      <c r="A2820" t="s">
        <v>106</v>
      </c>
      <c r="B2820">
        <v>9840</v>
      </c>
      <c r="C2820" t="s">
        <v>130</v>
      </c>
      <c r="D2820" t="s">
        <v>107</v>
      </c>
      <c r="E2820" t="s">
        <v>5722</v>
      </c>
      <c r="G2820" t="s">
        <v>5723</v>
      </c>
      <c r="J2820">
        <v>5.1222566499999997</v>
      </c>
      <c r="K2820">
        <v>0.21422175600000001</v>
      </c>
      <c r="L2820">
        <v>0.25354511400000002</v>
      </c>
      <c r="M2820" s="21">
        <v>-1.4229835660000001</v>
      </c>
      <c r="N2820">
        <v>-1.0712544749999999</v>
      </c>
    </row>
    <row r="2821" spans="1:14" x14ac:dyDescent="0.2">
      <c r="A2821" t="s">
        <v>919</v>
      </c>
      <c r="B2821">
        <v>9560</v>
      </c>
      <c r="C2821" t="s">
        <v>130</v>
      </c>
      <c r="D2821" t="s">
        <v>919</v>
      </c>
      <c r="E2821" t="s">
        <v>5724</v>
      </c>
      <c r="G2821" t="s">
        <v>5725</v>
      </c>
      <c r="J2821">
        <v>5.1222566499999997</v>
      </c>
      <c r="K2821">
        <v>0.21422175600000001</v>
      </c>
      <c r="L2821">
        <v>0.25354511400000002</v>
      </c>
      <c r="M2821" s="21">
        <v>-1.423206398</v>
      </c>
      <c r="N2821">
        <v>-1.072399248</v>
      </c>
    </row>
    <row r="2822" spans="1:14" x14ac:dyDescent="0.2">
      <c r="A2822" t="s">
        <v>1698</v>
      </c>
      <c r="B2822">
        <v>9280</v>
      </c>
      <c r="C2822" t="s">
        <v>130</v>
      </c>
      <c r="D2822" t="s">
        <v>1698</v>
      </c>
      <c r="E2822" t="s">
        <v>5726</v>
      </c>
      <c r="G2822" t="s">
        <v>5727</v>
      </c>
      <c r="J2822">
        <v>5.1222566499999997</v>
      </c>
      <c r="K2822">
        <v>0.21422175600000001</v>
      </c>
      <c r="L2822">
        <v>0.25354511400000002</v>
      </c>
      <c r="M2822" s="21">
        <v>-1.4234292310000001</v>
      </c>
      <c r="N2822">
        <v>-1.073544021</v>
      </c>
    </row>
    <row r="2823" spans="1:14" x14ac:dyDescent="0.2">
      <c r="A2823" t="s">
        <v>963</v>
      </c>
      <c r="B2823">
        <v>9240</v>
      </c>
      <c r="C2823" t="s">
        <v>130</v>
      </c>
      <c r="D2823" t="s">
        <v>963</v>
      </c>
      <c r="E2823" t="s">
        <v>5728</v>
      </c>
      <c r="G2823" t="s">
        <v>5729</v>
      </c>
      <c r="J2823">
        <v>5.1222566499999997</v>
      </c>
      <c r="K2823">
        <v>0.21422175600000001</v>
      </c>
      <c r="L2823">
        <v>0.25354511400000002</v>
      </c>
      <c r="M2823" s="21">
        <v>-1.4234610640000001</v>
      </c>
      <c r="N2823">
        <v>-1.0737075599999999</v>
      </c>
    </row>
    <row r="2824" spans="1:14" x14ac:dyDescent="0.2">
      <c r="A2824" t="s">
        <v>451</v>
      </c>
      <c r="B2824">
        <v>9040</v>
      </c>
      <c r="C2824" t="s">
        <v>130</v>
      </c>
      <c r="D2824" t="s">
        <v>452</v>
      </c>
      <c r="E2824" t="s">
        <v>5730</v>
      </c>
      <c r="G2824" t="s">
        <v>5731</v>
      </c>
      <c r="J2824">
        <v>5.1222566499999997</v>
      </c>
      <c r="K2824">
        <v>0.21422175600000001</v>
      </c>
      <c r="L2824">
        <v>0.25354511400000002</v>
      </c>
      <c r="M2824" s="21">
        <v>-1.42362023</v>
      </c>
      <c r="N2824">
        <v>-1.074525255</v>
      </c>
    </row>
    <row r="2825" spans="1:14" x14ac:dyDescent="0.2">
      <c r="A2825" t="s">
        <v>207</v>
      </c>
      <c r="B2825">
        <v>8680</v>
      </c>
      <c r="C2825" t="s">
        <v>130</v>
      </c>
      <c r="D2825" t="s">
        <v>207</v>
      </c>
      <c r="E2825" t="s">
        <v>5732</v>
      </c>
      <c r="G2825" t="s">
        <v>5733</v>
      </c>
      <c r="J2825">
        <v>5.1222566499999997</v>
      </c>
      <c r="K2825">
        <v>0.21422175600000001</v>
      </c>
      <c r="L2825">
        <v>0.25354511400000002</v>
      </c>
      <c r="M2825" s="21">
        <v>-1.423906729</v>
      </c>
      <c r="N2825">
        <v>-1.0759971070000001</v>
      </c>
    </row>
    <row r="2826" spans="1:14" x14ac:dyDescent="0.2">
      <c r="A2826" t="s">
        <v>1104</v>
      </c>
      <c r="B2826">
        <v>8560</v>
      </c>
      <c r="C2826" t="s">
        <v>130</v>
      </c>
      <c r="D2826" t="s">
        <v>1105</v>
      </c>
      <c r="E2826" t="s">
        <v>5734</v>
      </c>
      <c r="G2826" t="s">
        <v>5735</v>
      </c>
      <c r="J2826">
        <v>5.1222566499999997</v>
      </c>
      <c r="K2826">
        <v>0.21422175600000001</v>
      </c>
      <c r="L2826">
        <v>0.25354511400000002</v>
      </c>
      <c r="M2826" s="21">
        <v>-1.424002228</v>
      </c>
      <c r="N2826">
        <v>-1.0764877239999999</v>
      </c>
    </row>
    <row r="2827" spans="1:14" x14ac:dyDescent="0.2">
      <c r="A2827" t="s">
        <v>431</v>
      </c>
      <c r="B2827">
        <v>8440</v>
      </c>
      <c r="C2827" t="s">
        <v>130</v>
      </c>
      <c r="D2827" t="s">
        <v>432</v>
      </c>
      <c r="E2827" t="s">
        <v>5736</v>
      </c>
      <c r="G2827" t="s">
        <v>5737</v>
      </c>
      <c r="J2827">
        <v>5.1222566499999997</v>
      </c>
      <c r="K2827">
        <v>0.21422175600000001</v>
      </c>
      <c r="L2827">
        <v>0.25354511400000002</v>
      </c>
      <c r="M2827" s="21">
        <v>-1.424097728</v>
      </c>
      <c r="N2827">
        <v>-1.076978341</v>
      </c>
    </row>
    <row r="2828" spans="1:14" x14ac:dyDescent="0.2">
      <c r="A2828" t="s">
        <v>736</v>
      </c>
      <c r="B2828">
        <v>8440</v>
      </c>
      <c r="C2828" t="s">
        <v>130</v>
      </c>
      <c r="D2828" t="s">
        <v>736</v>
      </c>
      <c r="E2828" t="s">
        <v>5738</v>
      </c>
      <c r="G2828" t="s">
        <v>5739</v>
      </c>
      <c r="J2828">
        <v>5.1222566499999997</v>
      </c>
      <c r="K2828">
        <v>0.21422175600000001</v>
      </c>
      <c r="L2828">
        <v>0.25354511400000002</v>
      </c>
      <c r="M2828" s="21">
        <v>-1.424097728</v>
      </c>
      <c r="N2828">
        <v>-1.076978341</v>
      </c>
    </row>
    <row r="2829" spans="1:14" x14ac:dyDescent="0.2">
      <c r="A2829" t="s">
        <v>494</v>
      </c>
      <c r="B2829">
        <v>8240</v>
      </c>
      <c r="C2829" t="s">
        <v>130</v>
      </c>
      <c r="D2829" t="s">
        <v>495</v>
      </c>
      <c r="E2829" t="s">
        <v>5740</v>
      </c>
      <c r="G2829" t="s">
        <v>5741</v>
      </c>
      <c r="J2829">
        <v>5.1222566499999997</v>
      </c>
      <c r="K2829">
        <v>0.21422175600000001</v>
      </c>
      <c r="L2829">
        <v>0.25354511400000002</v>
      </c>
      <c r="M2829" s="21">
        <v>-1.424256894</v>
      </c>
      <c r="N2829">
        <v>-1.0777960360000001</v>
      </c>
    </row>
    <row r="2830" spans="1:14" x14ac:dyDescent="0.2">
      <c r="A2830" t="s">
        <v>253</v>
      </c>
      <c r="B2830">
        <v>8120</v>
      </c>
      <c r="C2830" t="s">
        <v>130</v>
      </c>
      <c r="D2830" t="s">
        <v>254</v>
      </c>
      <c r="E2830" t="s">
        <v>5742</v>
      </c>
      <c r="G2830" t="s">
        <v>5743</v>
      </c>
      <c r="J2830">
        <v>5.1222566499999997</v>
      </c>
      <c r="K2830">
        <v>0.21422175600000001</v>
      </c>
      <c r="L2830">
        <v>0.25354511400000002</v>
      </c>
      <c r="M2830" s="21">
        <v>-1.4243523929999999</v>
      </c>
      <c r="N2830">
        <v>-1.0782866529999999</v>
      </c>
    </row>
    <row r="2831" spans="1:14" x14ac:dyDescent="0.2">
      <c r="A2831" t="s">
        <v>392</v>
      </c>
      <c r="B2831">
        <v>89280</v>
      </c>
      <c r="C2831" t="s">
        <v>58</v>
      </c>
      <c r="D2831" t="s">
        <v>392</v>
      </c>
      <c r="E2831" t="s">
        <v>5744</v>
      </c>
      <c r="G2831" t="s">
        <v>5745</v>
      </c>
      <c r="J2831">
        <v>4.5363847230000003</v>
      </c>
      <c r="K2831">
        <v>0.245646371</v>
      </c>
      <c r="L2831">
        <v>7.5242279999999995E-2</v>
      </c>
      <c r="M2831" s="21">
        <v>-1.4244270830000001</v>
      </c>
      <c r="N2831">
        <v>-1.0786703600000001</v>
      </c>
    </row>
    <row r="2832" spans="1:14" x14ac:dyDescent="0.2">
      <c r="A2832" t="s">
        <v>769</v>
      </c>
      <c r="B2832">
        <v>147440</v>
      </c>
      <c r="C2832" t="s">
        <v>14</v>
      </c>
      <c r="D2832" t="s">
        <v>769</v>
      </c>
      <c r="E2832" t="s">
        <v>5746</v>
      </c>
      <c r="G2832" t="s">
        <v>5747</v>
      </c>
      <c r="J2832">
        <v>6.7484204910000001</v>
      </c>
      <c r="K2832">
        <v>0.48629166299999999</v>
      </c>
      <c r="L2832">
        <v>0.375053939</v>
      </c>
      <c r="M2832" s="21">
        <v>-1.4244280330000001</v>
      </c>
      <c r="N2832">
        <v>-1.0786752420000001</v>
      </c>
    </row>
    <row r="2833" spans="1:14" x14ac:dyDescent="0.2">
      <c r="A2833" t="s">
        <v>329</v>
      </c>
      <c r="B2833">
        <v>7920</v>
      </c>
      <c r="C2833" t="s">
        <v>130</v>
      </c>
      <c r="D2833" t="s">
        <v>329</v>
      </c>
      <c r="E2833" t="s">
        <v>5748</v>
      </c>
      <c r="G2833" t="s">
        <v>5749</v>
      </c>
      <c r="J2833">
        <v>5.1222566499999997</v>
      </c>
      <c r="K2833">
        <v>0.21422175600000001</v>
      </c>
      <c r="L2833">
        <v>0.25354511400000002</v>
      </c>
      <c r="M2833" s="21">
        <v>-1.4245115589999999</v>
      </c>
      <c r="N2833">
        <v>-1.079104348</v>
      </c>
    </row>
    <row r="2834" spans="1:14" x14ac:dyDescent="0.2">
      <c r="A2834" t="s">
        <v>574</v>
      </c>
      <c r="B2834">
        <v>98200</v>
      </c>
      <c r="C2834" t="s">
        <v>149</v>
      </c>
      <c r="D2834" t="s">
        <v>574</v>
      </c>
      <c r="E2834" t="s">
        <v>5750</v>
      </c>
      <c r="G2834" t="s">
        <v>5751</v>
      </c>
      <c r="J2834">
        <v>5.0381074159999999</v>
      </c>
      <c r="K2834">
        <v>0.81312368999999995</v>
      </c>
      <c r="L2834">
        <v>0.16969141800000001</v>
      </c>
      <c r="M2834" s="21">
        <v>-1.424528215</v>
      </c>
      <c r="N2834">
        <v>-1.0791899119999999</v>
      </c>
    </row>
    <row r="2835" spans="1:14" x14ac:dyDescent="0.2">
      <c r="A2835" t="s">
        <v>1330</v>
      </c>
      <c r="B2835">
        <v>7760</v>
      </c>
      <c r="C2835" t="s">
        <v>130</v>
      </c>
      <c r="D2835" t="s">
        <v>1330</v>
      </c>
      <c r="E2835" t="s">
        <v>5752</v>
      </c>
      <c r="G2835" t="s">
        <v>5753</v>
      </c>
      <c r="J2835">
        <v>5.1222566499999997</v>
      </c>
      <c r="K2835">
        <v>0.21422175600000001</v>
      </c>
      <c r="L2835">
        <v>0.25354511400000002</v>
      </c>
      <c r="M2835" s="21">
        <v>-1.4246388919999999</v>
      </c>
      <c r="N2835">
        <v>-1.079758504</v>
      </c>
    </row>
    <row r="2836" spans="1:14" x14ac:dyDescent="0.2">
      <c r="A2836" t="s">
        <v>1263</v>
      </c>
      <c r="B2836">
        <v>7680</v>
      </c>
      <c r="C2836" t="s">
        <v>130</v>
      </c>
      <c r="D2836" t="s">
        <v>1264</v>
      </c>
      <c r="E2836" t="s">
        <v>5754</v>
      </c>
      <c r="G2836" t="s">
        <v>5755</v>
      </c>
      <c r="J2836">
        <v>5.1222566499999997</v>
      </c>
      <c r="K2836">
        <v>0.21422175600000001</v>
      </c>
      <c r="L2836">
        <v>0.25354511400000002</v>
      </c>
      <c r="M2836" s="21">
        <v>-1.424702559</v>
      </c>
      <c r="N2836">
        <v>-1.0800855819999999</v>
      </c>
    </row>
    <row r="2837" spans="1:14" x14ac:dyDescent="0.2">
      <c r="A2837" t="s">
        <v>157</v>
      </c>
      <c r="B2837">
        <v>7440</v>
      </c>
      <c r="C2837" t="s">
        <v>130</v>
      </c>
      <c r="D2837" t="s">
        <v>157</v>
      </c>
      <c r="E2837" t="s">
        <v>5756</v>
      </c>
      <c r="G2837" t="s">
        <v>5757</v>
      </c>
      <c r="J2837">
        <v>5.1222566499999997</v>
      </c>
      <c r="K2837">
        <v>0.21422175600000001</v>
      </c>
      <c r="L2837">
        <v>0.25354511400000002</v>
      </c>
      <c r="M2837" s="21">
        <v>-1.4248935579999999</v>
      </c>
      <c r="N2837">
        <v>-1.081066817</v>
      </c>
    </row>
    <row r="2838" spans="1:14" x14ac:dyDescent="0.2">
      <c r="A2838" t="s">
        <v>2443</v>
      </c>
      <c r="B2838">
        <v>7400</v>
      </c>
      <c r="C2838" t="s">
        <v>130</v>
      </c>
      <c r="D2838" t="s">
        <v>2444</v>
      </c>
      <c r="E2838" t="s">
        <v>5758</v>
      </c>
      <c r="G2838" t="s">
        <v>5759</v>
      </c>
      <c r="J2838">
        <v>5.1222566499999997</v>
      </c>
      <c r="K2838">
        <v>0.21422175600000001</v>
      </c>
      <c r="L2838">
        <v>0.25354511400000002</v>
      </c>
      <c r="M2838" s="21">
        <v>-1.4249253909999999</v>
      </c>
      <c r="N2838">
        <v>-1.0812303560000001</v>
      </c>
    </row>
    <row r="2839" spans="1:14" x14ac:dyDescent="0.2">
      <c r="A2839" t="s">
        <v>632</v>
      </c>
      <c r="B2839">
        <v>7400</v>
      </c>
      <c r="C2839" t="s">
        <v>130</v>
      </c>
      <c r="D2839" t="s">
        <v>632</v>
      </c>
      <c r="E2839" t="s">
        <v>5760</v>
      </c>
      <c r="G2839" t="s">
        <v>5761</v>
      </c>
      <c r="J2839">
        <v>5.1222566499999997</v>
      </c>
      <c r="K2839">
        <v>0.21422175600000001</v>
      </c>
      <c r="L2839">
        <v>0.25354511400000002</v>
      </c>
      <c r="M2839" s="21">
        <v>-1.4249253909999999</v>
      </c>
      <c r="N2839">
        <v>-1.0812303560000001</v>
      </c>
    </row>
    <row r="2840" spans="1:14" x14ac:dyDescent="0.2">
      <c r="A2840" t="s">
        <v>853</v>
      </c>
      <c r="B2840">
        <v>7200</v>
      </c>
      <c r="C2840" t="s">
        <v>130</v>
      </c>
      <c r="D2840" t="s">
        <v>854</v>
      </c>
      <c r="E2840" t="s">
        <v>5762</v>
      </c>
      <c r="G2840" t="s">
        <v>5763</v>
      </c>
      <c r="J2840">
        <v>5.1222566499999997</v>
      </c>
      <c r="K2840">
        <v>0.21422175600000001</v>
      </c>
      <c r="L2840">
        <v>0.25354511400000002</v>
      </c>
      <c r="M2840" s="21">
        <v>-1.4250845569999999</v>
      </c>
      <c r="N2840">
        <v>-1.0820480509999999</v>
      </c>
    </row>
    <row r="2841" spans="1:14" x14ac:dyDescent="0.2">
      <c r="A2841" t="s">
        <v>1394</v>
      </c>
      <c r="B2841">
        <v>7080</v>
      </c>
      <c r="C2841" t="s">
        <v>130</v>
      </c>
      <c r="D2841" t="s">
        <v>1394</v>
      </c>
      <c r="E2841" t="s">
        <v>5764</v>
      </c>
      <c r="G2841" t="s">
        <v>5765</v>
      </c>
      <c r="J2841">
        <v>5.1222566499999997</v>
      </c>
      <c r="K2841">
        <v>0.21422175600000001</v>
      </c>
      <c r="L2841">
        <v>0.25354511400000002</v>
      </c>
      <c r="M2841" s="21">
        <v>-1.4251800569999999</v>
      </c>
      <c r="N2841">
        <v>-1.082538668</v>
      </c>
    </row>
    <row r="2842" spans="1:14" x14ac:dyDescent="0.2">
      <c r="A2842" t="s">
        <v>33</v>
      </c>
      <c r="B2842">
        <v>7040</v>
      </c>
      <c r="C2842" t="s">
        <v>130</v>
      </c>
      <c r="D2842" t="s">
        <v>33</v>
      </c>
      <c r="E2842" t="s">
        <v>5766</v>
      </c>
      <c r="G2842" t="s">
        <v>5767</v>
      </c>
      <c r="J2842">
        <v>5.1222566499999997</v>
      </c>
      <c r="K2842">
        <v>0.21422175600000001</v>
      </c>
      <c r="L2842">
        <v>0.25354511400000002</v>
      </c>
      <c r="M2842" s="21">
        <v>-1.4252118899999999</v>
      </c>
      <c r="N2842">
        <v>-1.0827022070000001</v>
      </c>
    </row>
    <row r="2843" spans="1:14" x14ac:dyDescent="0.2">
      <c r="A2843" t="s">
        <v>2499</v>
      </c>
      <c r="B2843">
        <v>97440</v>
      </c>
      <c r="C2843" t="s">
        <v>149</v>
      </c>
      <c r="D2843" t="s">
        <v>2500</v>
      </c>
      <c r="E2843" t="s">
        <v>5768</v>
      </c>
      <c r="G2843" t="s">
        <v>5769</v>
      </c>
      <c r="J2843">
        <v>5.0381074159999999</v>
      </c>
      <c r="K2843">
        <v>0.81312368999999995</v>
      </c>
      <c r="L2843">
        <v>0.16969141800000001</v>
      </c>
      <c r="M2843" s="21">
        <v>-1.425230923</v>
      </c>
      <c r="N2843">
        <v>-1.082799987</v>
      </c>
    </row>
    <row r="2844" spans="1:14" x14ac:dyDescent="0.2">
      <c r="A2844" t="s">
        <v>572</v>
      </c>
      <c r="B2844">
        <v>6880</v>
      </c>
      <c r="C2844" t="s">
        <v>130</v>
      </c>
      <c r="D2844" t="s">
        <v>572</v>
      </c>
      <c r="E2844" t="s">
        <v>5770</v>
      </c>
      <c r="G2844" t="s">
        <v>5771</v>
      </c>
      <c r="J2844">
        <v>5.1222566499999997</v>
      </c>
      <c r="K2844">
        <v>0.21422175600000001</v>
      </c>
      <c r="L2844">
        <v>0.25354511400000002</v>
      </c>
      <c r="M2844" s="21">
        <v>-1.4253392220000001</v>
      </c>
      <c r="N2844">
        <v>-1.083356363</v>
      </c>
    </row>
    <row r="2845" spans="1:14" x14ac:dyDescent="0.2">
      <c r="A2845" t="s">
        <v>2341</v>
      </c>
      <c r="B2845">
        <v>6840</v>
      </c>
      <c r="C2845" t="s">
        <v>130</v>
      </c>
      <c r="D2845" t="s">
        <v>2341</v>
      </c>
      <c r="E2845" t="s">
        <v>5772</v>
      </c>
      <c r="G2845" t="s">
        <v>5773</v>
      </c>
      <c r="J2845">
        <v>5.1222566499999997</v>
      </c>
      <c r="K2845">
        <v>0.21422175600000001</v>
      </c>
      <c r="L2845">
        <v>0.25354511400000002</v>
      </c>
      <c r="M2845" s="21">
        <v>-1.4253710559999999</v>
      </c>
      <c r="N2845">
        <v>-1.0835199019999999</v>
      </c>
    </row>
    <row r="2846" spans="1:14" x14ac:dyDescent="0.2">
      <c r="A2846" t="s">
        <v>289</v>
      </c>
      <c r="B2846">
        <v>92400</v>
      </c>
      <c r="C2846" t="s">
        <v>100</v>
      </c>
      <c r="D2846" t="s">
        <v>290</v>
      </c>
      <c r="E2846" t="s">
        <v>5774</v>
      </c>
      <c r="G2846" t="s">
        <v>5775</v>
      </c>
      <c r="J2846">
        <v>5.9110743220000002</v>
      </c>
      <c r="K2846">
        <v>0.71598987199999997</v>
      </c>
      <c r="L2846">
        <v>0.29077365599999999</v>
      </c>
      <c r="M2846" s="21">
        <v>-1.4258740839999999</v>
      </c>
      <c r="N2846">
        <v>-1.086104148</v>
      </c>
    </row>
    <row r="2847" spans="1:14" x14ac:dyDescent="0.2">
      <c r="A2847" t="s">
        <v>1049</v>
      </c>
      <c r="B2847">
        <v>87720</v>
      </c>
      <c r="C2847" t="s">
        <v>58</v>
      </c>
      <c r="D2847" t="s">
        <v>1049</v>
      </c>
      <c r="E2847" t="s">
        <v>5776</v>
      </c>
      <c r="G2847" t="s">
        <v>5777</v>
      </c>
      <c r="J2847">
        <v>4.5363847230000003</v>
      </c>
      <c r="K2847">
        <v>0.245646371</v>
      </c>
      <c r="L2847">
        <v>7.5242279999999995E-2</v>
      </c>
      <c r="M2847" s="21">
        <v>-1.425933616</v>
      </c>
      <c r="N2847">
        <v>-1.086409985</v>
      </c>
    </row>
    <row r="2848" spans="1:14" x14ac:dyDescent="0.2">
      <c r="A2848" t="s">
        <v>408</v>
      </c>
      <c r="B2848">
        <v>6000</v>
      </c>
      <c r="C2848" t="s">
        <v>130</v>
      </c>
      <c r="D2848" t="s">
        <v>408</v>
      </c>
      <c r="E2848" t="s">
        <v>5778</v>
      </c>
      <c r="G2848" t="s">
        <v>5779</v>
      </c>
      <c r="J2848">
        <v>5.1222566499999997</v>
      </c>
      <c r="K2848">
        <v>0.21422175600000001</v>
      </c>
      <c r="L2848">
        <v>0.25354511400000002</v>
      </c>
      <c r="M2848" s="21">
        <v>-1.4260395530000001</v>
      </c>
      <c r="N2848">
        <v>-1.0869542219999999</v>
      </c>
    </row>
    <row r="2849" spans="1:14" x14ac:dyDescent="0.2">
      <c r="A2849" t="s">
        <v>1362</v>
      </c>
      <c r="B2849">
        <v>5880</v>
      </c>
      <c r="C2849" t="s">
        <v>130</v>
      </c>
      <c r="D2849" t="s">
        <v>1362</v>
      </c>
      <c r="E2849" t="s">
        <v>5780</v>
      </c>
      <c r="G2849" t="s">
        <v>5781</v>
      </c>
      <c r="J2849">
        <v>5.1222566499999997</v>
      </c>
      <c r="K2849">
        <v>0.21422175600000001</v>
      </c>
      <c r="L2849">
        <v>0.25354511400000002</v>
      </c>
      <c r="M2849" s="21">
        <v>-1.426135052</v>
      </c>
      <c r="N2849">
        <v>-1.087444839</v>
      </c>
    </row>
    <row r="2850" spans="1:14" x14ac:dyDescent="0.2">
      <c r="A2850" t="s">
        <v>1167</v>
      </c>
      <c r="B2850">
        <v>5840</v>
      </c>
      <c r="C2850" t="s">
        <v>130</v>
      </c>
      <c r="D2850" t="s">
        <v>1168</v>
      </c>
      <c r="E2850" t="s">
        <v>5782</v>
      </c>
      <c r="G2850" t="s">
        <v>5783</v>
      </c>
      <c r="J2850">
        <v>5.1222566499999997</v>
      </c>
      <c r="K2850">
        <v>0.21422175600000001</v>
      </c>
      <c r="L2850">
        <v>0.25354511400000002</v>
      </c>
      <c r="M2850" s="21">
        <v>-1.4261668860000001</v>
      </c>
      <c r="N2850">
        <v>-1.0876083780000001</v>
      </c>
    </row>
    <row r="2851" spans="1:14" x14ac:dyDescent="0.2">
      <c r="A2851" t="s">
        <v>1373</v>
      </c>
      <c r="B2851">
        <v>86320</v>
      </c>
      <c r="C2851" t="s">
        <v>58</v>
      </c>
      <c r="D2851" t="s">
        <v>1373</v>
      </c>
      <c r="E2851" t="s">
        <v>5784</v>
      </c>
      <c r="G2851" t="s">
        <v>5785</v>
      </c>
      <c r="J2851">
        <v>4.5363847230000003</v>
      </c>
      <c r="K2851">
        <v>0.245646371</v>
      </c>
      <c r="L2851">
        <v>7.5242279999999995E-2</v>
      </c>
      <c r="M2851" s="21">
        <v>-1.4272856330000001</v>
      </c>
      <c r="N2851">
        <v>-1.093355802</v>
      </c>
    </row>
    <row r="2852" spans="1:14" x14ac:dyDescent="0.2">
      <c r="A2852" t="s">
        <v>1076</v>
      </c>
      <c r="B2852">
        <v>95120</v>
      </c>
      <c r="C2852" t="s">
        <v>149</v>
      </c>
      <c r="D2852" t="s">
        <v>1077</v>
      </c>
      <c r="E2852" t="s">
        <v>5786</v>
      </c>
      <c r="G2852" t="s">
        <v>5787</v>
      </c>
      <c r="J2852">
        <v>5.0381074159999999</v>
      </c>
      <c r="K2852">
        <v>0.81312368999999995</v>
      </c>
      <c r="L2852">
        <v>0.16969141800000001</v>
      </c>
      <c r="M2852" s="21">
        <v>-1.427376032</v>
      </c>
      <c r="N2852">
        <v>-1.093820217</v>
      </c>
    </row>
    <row r="2853" spans="1:14" x14ac:dyDescent="0.2">
      <c r="A2853" t="s">
        <v>2270</v>
      </c>
      <c r="B2853">
        <v>82920</v>
      </c>
      <c r="C2853" t="s">
        <v>58</v>
      </c>
      <c r="D2853" t="s">
        <v>2271</v>
      </c>
      <c r="E2853" t="s">
        <v>5788</v>
      </c>
      <c r="G2853" t="s">
        <v>5789</v>
      </c>
      <c r="J2853">
        <v>4.5363847230000003</v>
      </c>
      <c r="K2853">
        <v>0.245646371</v>
      </c>
      <c r="L2853">
        <v>7.5242279999999995E-2</v>
      </c>
      <c r="M2853" s="21">
        <v>-1.4305691030000001</v>
      </c>
      <c r="N2853">
        <v>-1.1102242149999999</v>
      </c>
    </row>
    <row r="2854" spans="1:14" x14ac:dyDescent="0.2">
      <c r="A2854" t="s">
        <v>551</v>
      </c>
      <c r="B2854">
        <v>82920</v>
      </c>
      <c r="C2854" t="s">
        <v>58</v>
      </c>
      <c r="D2854" t="s">
        <v>551</v>
      </c>
      <c r="E2854" t="s">
        <v>5790</v>
      </c>
      <c r="G2854" t="s">
        <v>5791</v>
      </c>
      <c r="J2854">
        <v>4.5363847230000003</v>
      </c>
      <c r="K2854">
        <v>0.245646371</v>
      </c>
      <c r="L2854">
        <v>7.5242279999999995E-2</v>
      </c>
      <c r="M2854" s="21">
        <v>-1.4305691030000001</v>
      </c>
      <c r="N2854">
        <v>-1.1102242149999999</v>
      </c>
    </row>
    <row r="2855" spans="1:14" x14ac:dyDescent="0.2">
      <c r="A2855" t="s">
        <v>400</v>
      </c>
      <c r="B2855">
        <v>141520</v>
      </c>
      <c r="C2855" t="s">
        <v>14</v>
      </c>
      <c r="D2855" t="s">
        <v>400</v>
      </c>
      <c r="E2855" t="s">
        <v>5792</v>
      </c>
      <c r="G2855" t="s">
        <v>5793</v>
      </c>
      <c r="J2855">
        <v>6.7484204910000001</v>
      </c>
      <c r="K2855">
        <v>0.48629166299999999</v>
      </c>
      <c r="L2855">
        <v>0.375053939</v>
      </c>
      <c r="M2855" s="21">
        <v>-1.4309147090000001</v>
      </c>
      <c r="N2855">
        <v>-1.1119997239999999</v>
      </c>
    </row>
    <row r="2856" spans="1:14" x14ac:dyDescent="0.2">
      <c r="A2856" t="s">
        <v>616</v>
      </c>
      <c r="B2856">
        <v>140760</v>
      </c>
      <c r="C2856" t="s">
        <v>14</v>
      </c>
      <c r="D2856" t="s">
        <v>616</v>
      </c>
      <c r="E2856" t="s">
        <v>5794</v>
      </c>
      <c r="G2856" t="s">
        <v>5795</v>
      </c>
      <c r="J2856">
        <v>6.7484204910000001</v>
      </c>
      <c r="K2856">
        <v>0.48629166299999999</v>
      </c>
      <c r="L2856">
        <v>0.375053939</v>
      </c>
      <c r="M2856" s="21">
        <v>-1.431747458</v>
      </c>
      <c r="N2856">
        <v>-1.116277867</v>
      </c>
    </row>
    <row r="2857" spans="1:14" x14ac:dyDescent="0.2">
      <c r="A2857" t="s">
        <v>656</v>
      </c>
      <c r="B2857">
        <v>86080</v>
      </c>
      <c r="C2857" t="s">
        <v>100</v>
      </c>
      <c r="D2857" t="s">
        <v>656</v>
      </c>
      <c r="E2857" t="s">
        <v>5796</v>
      </c>
      <c r="G2857" t="s">
        <v>5797</v>
      </c>
      <c r="J2857">
        <v>5.9110743220000002</v>
      </c>
      <c r="K2857">
        <v>0.71598987199999997</v>
      </c>
      <c r="L2857">
        <v>0.29077365599999999</v>
      </c>
      <c r="M2857" s="21">
        <v>-1.432148033</v>
      </c>
      <c r="N2857">
        <v>-1.1183357739999999</v>
      </c>
    </row>
    <row r="2858" spans="1:14" x14ac:dyDescent="0.2">
      <c r="A2858" t="s">
        <v>1413</v>
      </c>
      <c r="B2858">
        <v>86040</v>
      </c>
      <c r="C2858" t="s">
        <v>100</v>
      </c>
      <c r="D2858" t="s">
        <v>1413</v>
      </c>
      <c r="E2858" t="s">
        <v>5798</v>
      </c>
      <c r="G2858" t="s">
        <v>5799</v>
      </c>
      <c r="J2858">
        <v>5.9110743220000002</v>
      </c>
      <c r="K2858">
        <v>0.71598987199999997</v>
      </c>
      <c r="L2858">
        <v>0.29077365599999999</v>
      </c>
      <c r="M2858" s="21">
        <v>-1.432187742</v>
      </c>
      <c r="N2858">
        <v>-1.118539771</v>
      </c>
    </row>
    <row r="2859" spans="1:14" x14ac:dyDescent="0.2">
      <c r="A2859" t="s">
        <v>516</v>
      </c>
      <c r="B2859">
        <v>89640</v>
      </c>
      <c r="C2859" t="s">
        <v>149</v>
      </c>
      <c r="D2859" t="s">
        <v>516</v>
      </c>
      <c r="E2859" t="s">
        <v>5800</v>
      </c>
      <c r="G2859" t="s">
        <v>5801</v>
      </c>
      <c r="J2859">
        <v>5.0381074159999999</v>
      </c>
      <c r="K2859">
        <v>0.81312368999999995</v>
      </c>
      <c r="L2859">
        <v>0.16969141800000001</v>
      </c>
      <c r="M2859" s="21">
        <v>-1.4324429279999999</v>
      </c>
      <c r="N2859">
        <v>-1.1198507579999999</v>
      </c>
    </row>
    <row r="2860" spans="1:14" x14ac:dyDescent="0.2">
      <c r="A2860" t="s">
        <v>2421</v>
      </c>
      <c r="B2860">
        <v>80880</v>
      </c>
      <c r="C2860" t="s">
        <v>58</v>
      </c>
      <c r="D2860" t="s">
        <v>2422</v>
      </c>
      <c r="E2860" t="s">
        <v>5802</v>
      </c>
      <c r="G2860" t="s">
        <v>5803</v>
      </c>
      <c r="J2860">
        <v>4.5363847230000003</v>
      </c>
      <c r="K2860">
        <v>0.245646371</v>
      </c>
      <c r="L2860">
        <v>7.5242279999999995E-2</v>
      </c>
      <c r="M2860" s="21">
        <v>-1.4325391839999999</v>
      </c>
      <c r="N2860">
        <v>-1.1203452620000001</v>
      </c>
    </row>
    <row r="2861" spans="1:14" x14ac:dyDescent="0.2">
      <c r="A2861" t="s">
        <v>1010</v>
      </c>
      <c r="B2861">
        <v>80800</v>
      </c>
      <c r="C2861" t="s">
        <v>58</v>
      </c>
      <c r="D2861" t="s">
        <v>1010</v>
      </c>
      <c r="E2861" t="s">
        <v>5804</v>
      </c>
      <c r="G2861" t="s">
        <v>5805</v>
      </c>
      <c r="J2861">
        <v>4.5363847230000003</v>
      </c>
      <c r="K2861">
        <v>0.245646371</v>
      </c>
      <c r="L2861">
        <v>7.5242279999999995E-2</v>
      </c>
      <c r="M2861" s="21">
        <v>-1.432616442</v>
      </c>
      <c r="N2861">
        <v>-1.1207421660000001</v>
      </c>
    </row>
    <row r="2862" spans="1:14" x14ac:dyDescent="0.2">
      <c r="A2862" t="s">
        <v>1794</v>
      </c>
      <c r="B2862">
        <v>80040</v>
      </c>
      <c r="C2862" t="s">
        <v>58</v>
      </c>
      <c r="D2862" t="s">
        <v>1794</v>
      </c>
      <c r="E2862" t="s">
        <v>5806</v>
      </c>
      <c r="G2862" t="s">
        <v>5807</v>
      </c>
      <c r="J2862">
        <v>4.5363847230000003</v>
      </c>
      <c r="K2862">
        <v>0.245646371</v>
      </c>
      <c r="L2862">
        <v>7.5242279999999995E-2</v>
      </c>
      <c r="M2862" s="21">
        <v>-1.4333503940000001</v>
      </c>
      <c r="N2862">
        <v>-1.1245127530000001</v>
      </c>
    </row>
    <row r="2863" spans="1:14" x14ac:dyDescent="0.2">
      <c r="A2863" t="s">
        <v>1126</v>
      </c>
      <c r="B2863">
        <v>88120</v>
      </c>
      <c r="C2863" t="s">
        <v>149</v>
      </c>
      <c r="D2863" t="s">
        <v>1126</v>
      </c>
      <c r="E2863" t="s">
        <v>5808</v>
      </c>
      <c r="G2863" t="s">
        <v>5809</v>
      </c>
      <c r="J2863">
        <v>5.0381074159999999</v>
      </c>
      <c r="K2863">
        <v>0.81312368999999995</v>
      </c>
      <c r="L2863">
        <v>0.16969141800000001</v>
      </c>
      <c r="M2863" s="21">
        <v>-1.4338483440000001</v>
      </c>
      <c r="N2863">
        <v>-1.1270709080000001</v>
      </c>
    </row>
    <row r="2864" spans="1:14" x14ac:dyDescent="0.2">
      <c r="A2864" t="s">
        <v>972</v>
      </c>
      <c r="B2864">
        <v>79160</v>
      </c>
      <c r="C2864" t="s">
        <v>58</v>
      </c>
      <c r="D2864" t="s">
        <v>972</v>
      </c>
      <c r="E2864" t="s">
        <v>5810</v>
      </c>
      <c r="G2864" t="s">
        <v>5811</v>
      </c>
      <c r="J2864">
        <v>4.5363847230000003</v>
      </c>
      <c r="K2864">
        <v>0.245646371</v>
      </c>
      <c r="L2864">
        <v>7.5242279999999995E-2</v>
      </c>
      <c r="M2864" s="21">
        <v>-1.434200234</v>
      </c>
      <c r="N2864">
        <v>-1.128878695</v>
      </c>
    </row>
    <row r="2865" spans="1:14" x14ac:dyDescent="0.2">
      <c r="A2865" t="s">
        <v>1058</v>
      </c>
      <c r="B2865">
        <v>87600</v>
      </c>
      <c r="C2865" t="s">
        <v>149</v>
      </c>
      <c r="D2865" t="s">
        <v>1059</v>
      </c>
      <c r="E2865" t="s">
        <v>5812</v>
      </c>
      <c r="G2865" t="s">
        <v>5813</v>
      </c>
      <c r="J2865">
        <v>5.0381074159999999</v>
      </c>
      <c r="K2865">
        <v>0.81312368999999995</v>
      </c>
      <c r="L2865">
        <v>0.16969141800000001</v>
      </c>
      <c r="M2865" s="21">
        <v>-1.434329145</v>
      </c>
      <c r="N2865">
        <v>-1.1295409590000001</v>
      </c>
    </row>
    <row r="2866" spans="1:14" x14ac:dyDescent="0.2">
      <c r="A2866" t="s">
        <v>190</v>
      </c>
      <c r="B2866">
        <v>78800</v>
      </c>
      <c r="C2866" t="s">
        <v>58</v>
      </c>
      <c r="D2866" t="s">
        <v>190</v>
      </c>
      <c r="E2866" t="s">
        <v>5814</v>
      </c>
      <c r="G2866" t="s">
        <v>5815</v>
      </c>
      <c r="J2866">
        <v>4.5363847230000003</v>
      </c>
      <c r="K2866">
        <v>0.245646371</v>
      </c>
      <c r="L2866">
        <v>7.5242279999999995E-2</v>
      </c>
      <c r="M2866" s="21">
        <v>-1.4345478949999999</v>
      </c>
      <c r="N2866">
        <v>-1.1306647620000001</v>
      </c>
    </row>
    <row r="2867" spans="1:14" x14ac:dyDescent="0.2">
      <c r="A2867" t="s">
        <v>2035</v>
      </c>
      <c r="B2867">
        <v>78640</v>
      </c>
      <c r="C2867" t="s">
        <v>58</v>
      </c>
      <c r="D2867" t="s">
        <v>2035</v>
      </c>
      <c r="E2867" t="s">
        <v>5816</v>
      </c>
      <c r="G2867" t="s">
        <v>5817</v>
      </c>
      <c r="J2867">
        <v>4.5363847230000003</v>
      </c>
      <c r="K2867">
        <v>0.245646371</v>
      </c>
      <c r="L2867">
        <v>7.5242279999999995E-2</v>
      </c>
      <c r="M2867" s="21">
        <v>-1.434702411</v>
      </c>
      <c r="N2867">
        <v>-1.1314585699999999</v>
      </c>
    </row>
    <row r="2868" spans="1:14" x14ac:dyDescent="0.2">
      <c r="A2868" t="s">
        <v>1703</v>
      </c>
      <c r="B2868">
        <v>77360</v>
      </c>
      <c r="C2868" t="s">
        <v>58</v>
      </c>
      <c r="D2868" t="s">
        <v>1703</v>
      </c>
      <c r="E2868" t="s">
        <v>5818</v>
      </c>
      <c r="G2868" t="s">
        <v>5819</v>
      </c>
      <c r="J2868">
        <v>4.5363847230000003</v>
      </c>
      <c r="K2868">
        <v>0.245646371</v>
      </c>
      <c r="L2868">
        <v>7.5242279999999995E-2</v>
      </c>
      <c r="M2868" s="21">
        <v>-1.4359385410000001</v>
      </c>
      <c r="N2868">
        <v>-1.137809031</v>
      </c>
    </row>
    <row r="2869" spans="1:14" x14ac:dyDescent="0.2">
      <c r="A2869" t="s">
        <v>592</v>
      </c>
      <c r="B2869">
        <v>136040</v>
      </c>
      <c r="C2869" t="s">
        <v>14</v>
      </c>
      <c r="D2869" t="s">
        <v>593</v>
      </c>
      <c r="E2869" t="s">
        <v>5820</v>
      </c>
      <c r="G2869" t="s">
        <v>5821</v>
      </c>
      <c r="J2869">
        <v>6.7484204910000001</v>
      </c>
      <c r="K2869">
        <v>0.48629166299999999</v>
      </c>
      <c r="L2869">
        <v>0.375053939</v>
      </c>
      <c r="M2869" s="21">
        <v>-1.4369192669999999</v>
      </c>
      <c r="N2869">
        <v>-1.142847387</v>
      </c>
    </row>
    <row r="2870" spans="1:14" x14ac:dyDescent="0.2">
      <c r="A2870" t="s">
        <v>1426</v>
      </c>
      <c r="B2870">
        <v>81120</v>
      </c>
      <c r="C2870" t="s">
        <v>100</v>
      </c>
      <c r="D2870" t="s">
        <v>1426</v>
      </c>
      <c r="E2870" t="s">
        <v>5822</v>
      </c>
      <c r="G2870" t="s">
        <v>5823</v>
      </c>
      <c r="J2870">
        <v>5.9110743220000002</v>
      </c>
      <c r="K2870">
        <v>0.71598987199999997</v>
      </c>
      <c r="L2870">
        <v>0.29077365599999999</v>
      </c>
      <c r="M2870" s="21">
        <v>-1.4370718920000001</v>
      </c>
      <c r="N2870">
        <v>-1.14363148</v>
      </c>
    </row>
    <row r="2871" spans="1:14" x14ac:dyDescent="0.2">
      <c r="A2871" t="s">
        <v>253</v>
      </c>
      <c r="B2871">
        <v>81080</v>
      </c>
      <c r="C2871" t="s">
        <v>100</v>
      </c>
      <c r="D2871" t="s">
        <v>254</v>
      </c>
      <c r="E2871" t="s">
        <v>5824</v>
      </c>
      <c r="G2871" t="s">
        <v>5825</v>
      </c>
      <c r="J2871">
        <v>5.9110743220000002</v>
      </c>
      <c r="K2871">
        <v>0.71598987199999997</v>
      </c>
      <c r="L2871">
        <v>0.29077365599999999</v>
      </c>
      <c r="M2871" s="21">
        <v>-1.437111601</v>
      </c>
      <c r="N2871">
        <v>-1.1438354770000001</v>
      </c>
    </row>
    <row r="2872" spans="1:14" x14ac:dyDescent="0.2">
      <c r="A2872" t="s">
        <v>772</v>
      </c>
      <c r="B2872">
        <v>80960</v>
      </c>
      <c r="C2872" t="s">
        <v>100</v>
      </c>
      <c r="D2872" t="s">
        <v>772</v>
      </c>
      <c r="E2872" t="s">
        <v>5826</v>
      </c>
      <c r="G2872" t="s">
        <v>5827</v>
      </c>
      <c r="J2872">
        <v>5.9110743220000002</v>
      </c>
      <c r="K2872">
        <v>0.71598987199999997</v>
      </c>
      <c r="L2872">
        <v>0.29077365599999999</v>
      </c>
      <c r="M2872" s="21">
        <v>-1.4372307259999999</v>
      </c>
      <c r="N2872">
        <v>-1.14444747</v>
      </c>
    </row>
    <row r="2873" spans="1:14" x14ac:dyDescent="0.2">
      <c r="A2873" t="s">
        <v>451</v>
      </c>
      <c r="B2873">
        <v>80800</v>
      </c>
      <c r="C2873" t="s">
        <v>100</v>
      </c>
      <c r="D2873" t="s">
        <v>452</v>
      </c>
      <c r="E2873" t="s">
        <v>5828</v>
      </c>
      <c r="G2873" t="s">
        <v>5829</v>
      </c>
      <c r="J2873">
        <v>5.9110743220000002</v>
      </c>
      <c r="K2873">
        <v>0.71598987199999997</v>
      </c>
      <c r="L2873">
        <v>0.29077365599999999</v>
      </c>
      <c r="M2873" s="21">
        <v>-1.437389561</v>
      </c>
      <c r="N2873">
        <v>-1.1452634610000001</v>
      </c>
    </row>
    <row r="2874" spans="1:14" x14ac:dyDescent="0.2">
      <c r="A2874" t="s">
        <v>1031</v>
      </c>
      <c r="B2874">
        <v>80480</v>
      </c>
      <c r="C2874" t="s">
        <v>100</v>
      </c>
      <c r="D2874" t="s">
        <v>1031</v>
      </c>
      <c r="E2874" t="s">
        <v>5830</v>
      </c>
      <c r="G2874" t="s">
        <v>5831</v>
      </c>
      <c r="J2874">
        <v>5.9110743220000002</v>
      </c>
      <c r="K2874">
        <v>0.71598987199999997</v>
      </c>
      <c r="L2874">
        <v>0.29077365599999999</v>
      </c>
      <c r="M2874" s="21">
        <v>-1.4377072289999999</v>
      </c>
      <c r="N2874">
        <v>-1.1468954419999999</v>
      </c>
    </row>
    <row r="2875" spans="1:14" x14ac:dyDescent="0.2">
      <c r="A2875" t="s">
        <v>214</v>
      </c>
      <c r="B2875">
        <v>83440</v>
      </c>
      <c r="C2875" t="s">
        <v>149</v>
      </c>
      <c r="D2875" t="s">
        <v>215</v>
      </c>
      <c r="E2875" t="s">
        <v>5832</v>
      </c>
      <c r="G2875" t="s">
        <v>5833</v>
      </c>
      <c r="J2875">
        <v>5.0381074159999999</v>
      </c>
      <c r="K2875">
        <v>0.81312368999999995</v>
      </c>
      <c r="L2875">
        <v>0.16969141800000001</v>
      </c>
      <c r="M2875" s="21">
        <v>-1.438175548</v>
      </c>
      <c r="N2875">
        <v>-1.1493013700000001</v>
      </c>
    </row>
    <row r="2876" spans="1:14" x14ac:dyDescent="0.2">
      <c r="A2876" t="s">
        <v>663</v>
      </c>
      <c r="B2876">
        <v>79560</v>
      </c>
      <c r="C2876" t="s">
        <v>100</v>
      </c>
      <c r="D2876" t="s">
        <v>663</v>
      </c>
      <c r="E2876" t="s">
        <v>5834</v>
      </c>
      <c r="G2876" t="s">
        <v>5835</v>
      </c>
      <c r="J2876">
        <v>5.9110743220000002</v>
      </c>
      <c r="K2876">
        <v>0.71598987199999997</v>
      </c>
      <c r="L2876">
        <v>0.29077365599999999</v>
      </c>
      <c r="M2876" s="21">
        <v>-1.4386205249999999</v>
      </c>
      <c r="N2876">
        <v>-1.151587387</v>
      </c>
    </row>
    <row r="2877" spans="1:14" x14ac:dyDescent="0.2">
      <c r="A2877" t="s">
        <v>749</v>
      </c>
      <c r="B2877">
        <v>79400</v>
      </c>
      <c r="C2877" t="s">
        <v>100</v>
      </c>
      <c r="D2877" t="s">
        <v>749</v>
      </c>
      <c r="E2877" t="s">
        <v>5836</v>
      </c>
      <c r="G2877" t="s">
        <v>5837</v>
      </c>
      <c r="J2877">
        <v>5.9110743220000002</v>
      </c>
      <c r="K2877">
        <v>0.71598987199999997</v>
      </c>
      <c r="L2877">
        <v>0.29077365599999999</v>
      </c>
      <c r="M2877" s="21">
        <v>-1.4387793600000001</v>
      </c>
      <c r="N2877">
        <v>-1.152403378</v>
      </c>
    </row>
    <row r="2878" spans="1:14" x14ac:dyDescent="0.2">
      <c r="A2878" t="s">
        <v>519</v>
      </c>
      <c r="B2878">
        <v>73840</v>
      </c>
      <c r="C2878" t="s">
        <v>58</v>
      </c>
      <c r="D2878" t="s">
        <v>519</v>
      </c>
      <c r="E2878" t="s">
        <v>5838</v>
      </c>
      <c r="G2878" t="s">
        <v>5839</v>
      </c>
      <c r="J2878">
        <v>4.5363847230000003</v>
      </c>
      <c r="K2878">
        <v>0.245646371</v>
      </c>
      <c r="L2878">
        <v>7.5242279999999995E-2</v>
      </c>
      <c r="M2878" s="21">
        <v>-1.439337898</v>
      </c>
      <c r="N2878">
        <v>-1.155272799</v>
      </c>
    </row>
    <row r="2879" spans="1:14" x14ac:dyDescent="0.2">
      <c r="A2879" t="s">
        <v>2054</v>
      </c>
      <c r="B2879">
        <v>72920</v>
      </c>
      <c r="C2879" t="s">
        <v>58</v>
      </c>
      <c r="D2879" t="s">
        <v>2054</v>
      </c>
      <c r="E2879" t="s">
        <v>5840</v>
      </c>
      <c r="G2879" t="s">
        <v>5841</v>
      </c>
      <c r="J2879">
        <v>4.5363847230000003</v>
      </c>
      <c r="K2879">
        <v>0.245646371</v>
      </c>
      <c r="L2879">
        <v>7.5242279999999995E-2</v>
      </c>
      <c r="M2879" s="21">
        <v>-1.4402263660000001</v>
      </c>
      <c r="N2879">
        <v>-1.159837193</v>
      </c>
    </row>
    <row r="2880" spans="1:14" x14ac:dyDescent="0.2">
      <c r="A2880" t="s">
        <v>1275</v>
      </c>
      <c r="B2880">
        <v>72600</v>
      </c>
      <c r="C2880" t="s">
        <v>58</v>
      </c>
      <c r="D2880" t="s">
        <v>1276</v>
      </c>
      <c r="E2880" t="s">
        <v>5842</v>
      </c>
      <c r="G2880" t="s">
        <v>5843</v>
      </c>
      <c r="J2880">
        <v>4.5363847230000003</v>
      </c>
      <c r="K2880">
        <v>0.245646371</v>
      </c>
      <c r="L2880">
        <v>7.5242279999999995E-2</v>
      </c>
      <c r="M2880" s="21">
        <v>-1.440535399</v>
      </c>
      <c r="N2880">
        <v>-1.1614248089999999</v>
      </c>
    </row>
    <row r="2881" spans="1:14" x14ac:dyDescent="0.2">
      <c r="A2881" t="s">
        <v>656</v>
      </c>
      <c r="B2881">
        <v>71360</v>
      </c>
      <c r="C2881" t="s">
        <v>58</v>
      </c>
      <c r="D2881" t="s">
        <v>656</v>
      </c>
      <c r="E2881" t="s">
        <v>5844</v>
      </c>
      <c r="G2881" t="s">
        <v>5845</v>
      </c>
      <c r="J2881">
        <v>4.5363847230000003</v>
      </c>
      <c r="K2881">
        <v>0.245646371</v>
      </c>
      <c r="L2881">
        <v>7.5242279999999995E-2</v>
      </c>
      <c r="M2881" s="21">
        <v>-1.441732899</v>
      </c>
      <c r="N2881">
        <v>-1.1675768179999999</v>
      </c>
    </row>
    <row r="2882" spans="1:14" x14ac:dyDescent="0.2">
      <c r="A2882" t="s">
        <v>1163</v>
      </c>
      <c r="B2882">
        <v>75840</v>
      </c>
      <c r="C2882" t="s">
        <v>100</v>
      </c>
      <c r="D2882" t="s">
        <v>1164</v>
      </c>
      <c r="E2882" t="s">
        <v>5846</v>
      </c>
      <c r="G2882" t="s">
        <v>5847</v>
      </c>
      <c r="J2882">
        <v>5.9110743220000002</v>
      </c>
      <c r="K2882">
        <v>0.71598987199999997</v>
      </c>
      <c r="L2882">
        <v>0.29077365599999999</v>
      </c>
      <c r="M2882" s="21">
        <v>-1.4423134200000001</v>
      </c>
      <c r="N2882">
        <v>-1.170559167</v>
      </c>
    </row>
    <row r="2883" spans="1:14" x14ac:dyDescent="0.2">
      <c r="A2883" t="s">
        <v>697</v>
      </c>
      <c r="B2883">
        <v>78800</v>
      </c>
      <c r="C2883" t="s">
        <v>149</v>
      </c>
      <c r="D2883" t="s">
        <v>698</v>
      </c>
      <c r="E2883" t="s">
        <v>5848</v>
      </c>
      <c r="G2883" t="s">
        <v>5849</v>
      </c>
      <c r="J2883">
        <v>5.0381074159999999</v>
      </c>
      <c r="K2883">
        <v>0.81312368999999995</v>
      </c>
      <c r="L2883">
        <v>0.16969141800000001</v>
      </c>
      <c r="M2883" s="21">
        <v>-1.442465766</v>
      </c>
      <c r="N2883">
        <v>-1.1713418280000001</v>
      </c>
    </row>
    <row r="2884" spans="1:14" x14ac:dyDescent="0.2">
      <c r="A2884" t="s">
        <v>968</v>
      </c>
      <c r="B2884">
        <v>78760</v>
      </c>
      <c r="C2884" t="s">
        <v>149</v>
      </c>
      <c r="D2884" t="s">
        <v>969</v>
      </c>
      <c r="E2884" t="s">
        <v>5850</v>
      </c>
      <c r="G2884" t="s">
        <v>5851</v>
      </c>
      <c r="J2884">
        <v>5.0381074159999999</v>
      </c>
      <c r="K2884">
        <v>0.81312368999999995</v>
      </c>
      <c r="L2884">
        <v>0.16969141800000001</v>
      </c>
      <c r="M2884" s="21">
        <v>-1.4425027509999999</v>
      </c>
      <c r="N2884">
        <v>-1.1715318320000001</v>
      </c>
    </row>
    <row r="2885" spans="1:14" x14ac:dyDescent="0.2">
      <c r="A2885" t="s">
        <v>225</v>
      </c>
      <c r="B2885">
        <v>130720</v>
      </c>
      <c r="C2885" t="s">
        <v>14</v>
      </c>
      <c r="D2885" t="s">
        <v>225</v>
      </c>
      <c r="E2885" t="s">
        <v>5852</v>
      </c>
      <c r="G2885" t="s">
        <v>5853</v>
      </c>
      <c r="J2885">
        <v>6.7484204910000001</v>
      </c>
      <c r="K2885">
        <v>0.48629166299999999</v>
      </c>
      <c r="L2885">
        <v>0.375053939</v>
      </c>
      <c r="M2885" s="21">
        <v>-1.4427485099999999</v>
      </c>
      <c r="N2885">
        <v>-1.1727943890000001</v>
      </c>
    </row>
    <row r="2886" spans="1:14" x14ac:dyDescent="0.2">
      <c r="A2886" t="s">
        <v>438</v>
      </c>
      <c r="B2886">
        <v>68840</v>
      </c>
      <c r="C2886" t="s">
        <v>58</v>
      </c>
      <c r="D2886" t="s">
        <v>438</v>
      </c>
      <c r="E2886" t="s">
        <v>5854</v>
      </c>
      <c r="G2886" t="s">
        <v>5855</v>
      </c>
      <c r="J2886">
        <v>4.5363847230000003</v>
      </c>
      <c r="K2886">
        <v>0.245646371</v>
      </c>
      <c r="L2886">
        <v>7.5242279999999995E-2</v>
      </c>
      <c r="M2886" s="21">
        <v>-1.4441665299999999</v>
      </c>
      <c r="N2886">
        <v>-1.180079289</v>
      </c>
    </row>
    <row r="2887" spans="1:14" x14ac:dyDescent="0.2">
      <c r="A2887" t="s">
        <v>1160</v>
      </c>
      <c r="B2887">
        <v>73600</v>
      </c>
      <c r="C2887" t="s">
        <v>100</v>
      </c>
      <c r="D2887" t="s">
        <v>1160</v>
      </c>
      <c r="E2887" t="s">
        <v>5856</v>
      </c>
      <c r="G2887" t="s">
        <v>5857</v>
      </c>
      <c r="J2887">
        <v>5.9110743220000002</v>
      </c>
      <c r="K2887">
        <v>0.71598987199999997</v>
      </c>
      <c r="L2887">
        <v>0.29077365599999999</v>
      </c>
      <c r="M2887" s="21">
        <v>-1.4445370980000001</v>
      </c>
      <c r="N2887">
        <v>-1.1819830339999999</v>
      </c>
    </row>
    <row r="2888" spans="1:14" x14ac:dyDescent="0.2">
      <c r="A2888" t="s">
        <v>280</v>
      </c>
      <c r="B2888">
        <v>68000</v>
      </c>
      <c r="C2888" t="s">
        <v>58</v>
      </c>
      <c r="D2888" t="s">
        <v>280</v>
      </c>
      <c r="E2888" t="s">
        <v>5858</v>
      </c>
      <c r="G2888" t="s">
        <v>5859</v>
      </c>
      <c r="J2888">
        <v>4.5363847230000003</v>
      </c>
      <c r="K2888">
        <v>0.245646371</v>
      </c>
      <c r="L2888">
        <v>7.5242279999999995E-2</v>
      </c>
      <c r="M2888" s="21">
        <v>-1.4449777399999999</v>
      </c>
      <c r="N2888">
        <v>-1.184246779</v>
      </c>
    </row>
    <row r="2889" spans="1:14" x14ac:dyDescent="0.2">
      <c r="A2889" t="s">
        <v>1582</v>
      </c>
      <c r="B2889">
        <v>67560</v>
      </c>
      <c r="C2889" t="s">
        <v>58</v>
      </c>
      <c r="D2889" t="s">
        <v>1583</v>
      </c>
      <c r="E2889" t="s">
        <v>5860</v>
      </c>
      <c r="G2889" t="s">
        <v>5861</v>
      </c>
      <c r="J2889">
        <v>4.5363847230000003</v>
      </c>
      <c r="K2889">
        <v>0.245646371</v>
      </c>
      <c r="L2889">
        <v>7.5242279999999995E-2</v>
      </c>
      <c r="M2889" s="21">
        <v>-1.4454026600000001</v>
      </c>
      <c r="N2889">
        <v>-1.1864297500000001</v>
      </c>
    </row>
    <row r="2890" spans="1:14" x14ac:dyDescent="0.2">
      <c r="A2890" t="s">
        <v>283</v>
      </c>
      <c r="B2890">
        <v>67240</v>
      </c>
      <c r="C2890" t="s">
        <v>58</v>
      </c>
      <c r="D2890" t="s">
        <v>284</v>
      </c>
      <c r="E2890" t="s">
        <v>5862</v>
      </c>
      <c r="G2890" t="s">
        <v>5863</v>
      </c>
      <c r="J2890">
        <v>4.5363847230000003</v>
      </c>
      <c r="K2890">
        <v>0.245646371</v>
      </c>
      <c r="L2890">
        <v>7.5242279999999995E-2</v>
      </c>
      <c r="M2890" s="21">
        <v>-1.4457116919999999</v>
      </c>
      <c r="N2890">
        <v>-1.1880173650000001</v>
      </c>
    </row>
    <row r="2891" spans="1:14" x14ac:dyDescent="0.2">
      <c r="A2891" t="s">
        <v>348</v>
      </c>
      <c r="B2891">
        <v>75280</v>
      </c>
      <c r="C2891" t="s">
        <v>149</v>
      </c>
      <c r="D2891" t="s">
        <v>349</v>
      </c>
      <c r="E2891" t="s">
        <v>5864</v>
      </c>
      <c r="G2891" t="s">
        <v>5865</v>
      </c>
      <c r="J2891">
        <v>5.0381074159999999</v>
      </c>
      <c r="K2891">
        <v>0.81312368999999995</v>
      </c>
      <c r="L2891">
        <v>0.16969141800000001</v>
      </c>
      <c r="M2891" s="21">
        <v>-1.445720415</v>
      </c>
      <c r="N2891">
        <v>-1.1880621760000001</v>
      </c>
    </row>
    <row r="2892" spans="1:14" x14ac:dyDescent="0.2">
      <c r="A2892" t="s">
        <v>1119</v>
      </c>
      <c r="B2892">
        <v>72080</v>
      </c>
      <c r="C2892" t="s">
        <v>100</v>
      </c>
      <c r="D2892" t="s">
        <v>1120</v>
      </c>
      <c r="E2892" t="s">
        <v>5866</v>
      </c>
      <c r="G2892" t="s">
        <v>5867</v>
      </c>
      <c r="J2892">
        <v>5.9110743220000002</v>
      </c>
      <c r="K2892">
        <v>0.71598987199999997</v>
      </c>
      <c r="L2892">
        <v>0.29077365599999999</v>
      </c>
      <c r="M2892" s="21">
        <v>-1.446046022</v>
      </c>
      <c r="N2892">
        <v>-1.189734944</v>
      </c>
    </row>
    <row r="2893" spans="1:14" x14ac:dyDescent="0.2">
      <c r="A2893" t="s">
        <v>1269</v>
      </c>
      <c r="B2893">
        <v>74240</v>
      </c>
      <c r="C2893" t="s">
        <v>149</v>
      </c>
      <c r="D2893" t="s">
        <v>1269</v>
      </c>
      <c r="E2893" t="s">
        <v>5868</v>
      </c>
      <c r="G2893" t="s">
        <v>5869</v>
      </c>
      <c r="J2893">
        <v>5.0381074159999999</v>
      </c>
      <c r="K2893">
        <v>0.81312368999999995</v>
      </c>
      <c r="L2893">
        <v>0.16969141800000001</v>
      </c>
      <c r="M2893" s="21">
        <v>-1.4466820149999999</v>
      </c>
      <c r="N2893">
        <v>-1.1930022790000001</v>
      </c>
    </row>
    <row r="2894" spans="1:14" x14ac:dyDescent="0.2">
      <c r="A2894" t="s">
        <v>236</v>
      </c>
      <c r="B2894">
        <v>71320</v>
      </c>
      <c r="C2894" t="s">
        <v>100</v>
      </c>
      <c r="D2894" t="s">
        <v>236</v>
      </c>
      <c r="E2894" t="s">
        <v>5870</v>
      </c>
      <c r="G2894" t="s">
        <v>5871</v>
      </c>
      <c r="J2894">
        <v>5.9110743220000002</v>
      </c>
      <c r="K2894">
        <v>0.71598987199999997</v>
      </c>
      <c r="L2894">
        <v>0.29077365599999999</v>
      </c>
      <c r="M2894" s="21">
        <v>-1.4468004839999999</v>
      </c>
      <c r="N2894">
        <v>-1.1936108990000001</v>
      </c>
    </row>
    <row r="2895" spans="1:14" x14ac:dyDescent="0.2">
      <c r="A2895" t="s">
        <v>1595</v>
      </c>
      <c r="B2895">
        <v>65440</v>
      </c>
      <c r="C2895" t="s">
        <v>58</v>
      </c>
      <c r="D2895" t="s">
        <v>1595</v>
      </c>
      <c r="E2895" t="s">
        <v>5872</v>
      </c>
      <c r="G2895" t="s">
        <v>5873</v>
      </c>
      <c r="J2895">
        <v>4.5363847230000003</v>
      </c>
      <c r="K2895">
        <v>0.245646371</v>
      </c>
      <c r="L2895">
        <v>7.5242279999999995E-2</v>
      </c>
      <c r="M2895" s="21">
        <v>-1.4474499999999999</v>
      </c>
      <c r="N2895">
        <v>-1.196947701</v>
      </c>
    </row>
    <row r="2896" spans="1:14" x14ac:dyDescent="0.2">
      <c r="A2896" t="s">
        <v>1095</v>
      </c>
      <c r="B2896">
        <v>64720</v>
      </c>
      <c r="C2896" t="s">
        <v>58</v>
      </c>
      <c r="D2896" t="s">
        <v>1096</v>
      </c>
      <c r="E2896" t="s">
        <v>5874</v>
      </c>
      <c r="G2896" t="s">
        <v>5875</v>
      </c>
      <c r="J2896">
        <v>4.5363847230000003</v>
      </c>
      <c r="K2896">
        <v>0.245646371</v>
      </c>
      <c r="L2896">
        <v>7.5242279999999995E-2</v>
      </c>
      <c r="M2896" s="21">
        <v>-1.4481453230000001</v>
      </c>
      <c r="N2896">
        <v>-1.200519836</v>
      </c>
    </row>
    <row r="2897" spans="1:14" x14ac:dyDescent="0.2">
      <c r="A2897" t="s">
        <v>2257</v>
      </c>
      <c r="B2897">
        <v>69880</v>
      </c>
      <c r="C2897" t="s">
        <v>100</v>
      </c>
      <c r="D2897" t="s">
        <v>2257</v>
      </c>
      <c r="E2897" t="s">
        <v>5876</v>
      </c>
      <c r="G2897" t="s">
        <v>5877</v>
      </c>
      <c r="J2897">
        <v>5.9110743220000002</v>
      </c>
      <c r="K2897">
        <v>0.71598987199999997</v>
      </c>
      <c r="L2897">
        <v>0.29077365599999999</v>
      </c>
      <c r="M2897" s="21">
        <v>-1.4482299919999999</v>
      </c>
      <c r="N2897">
        <v>-1.2009548139999999</v>
      </c>
    </row>
    <row r="2898" spans="1:14" x14ac:dyDescent="0.2">
      <c r="A2898" t="s">
        <v>2118</v>
      </c>
      <c r="B2898">
        <v>69200</v>
      </c>
      <c r="C2898" t="s">
        <v>100</v>
      </c>
      <c r="D2898" t="s">
        <v>2119</v>
      </c>
      <c r="E2898" t="s">
        <v>5878</v>
      </c>
      <c r="G2898" t="s">
        <v>5879</v>
      </c>
      <c r="J2898">
        <v>5.9110743220000002</v>
      </c>
      <c r="K2898">
        <v>0.71598987199999997</v>
      </c>
      <c r="L2898">
        <v>0.29077365599999999</v>
      </c>
      <c r="M2898" s="21">
        <v>-1.4489050370000001</v>
      </c>
      <c r="N2898">
        <v>-1.204422774</v>
      </c>
    </row>
    <row r="2899" spans="1:14" x14ac:dyDescent="0.2">
      <c r="A2899" t="s">
        <v>380</v>
      </c>
      <c r="B2899">
        <v>63920</v>
      </c>
      <c r="C2899" t="s">
        <v>58</v>
      </c>
      <c r="D2899" t="s">
        <v>380</v>
      </c>
      <c r="E2899" t="s">
        <v>5880</v>
      </c>
      <c r="G2899" t="s">
        <v>5881</v>
      </c>
      <c r="J2899">
        <v>4.5363847230000003</v>
      </c>
      <c r="K2899">
        <v>0.245646371</v>
      </c>
      <c r="L2899">
        <v>7.5242279999999995E-2</v>
      </c>
      <c r="M2899" s="21">
        <v>-1.448917904</v>
      </c>
      <c r="N2899">
        <v>-1.2044888739999999</v>
      </c>
    </row>
    <row r="2900" spans="1:14" x14ac:dyDescent="0.2">
      <c r="A2900" t="s">
        <v>1365</v>
      </c>
      <c r="B2900">
        <v>68600</v>
      </c>
      <c r="C2900" t="s">
        <v>100</v>
      </c>
      <c r="D2900" t="s">
        <v>1365</v>
      </c>
      <c r="E2900" t="s">
        <v>5882</v>
      </c>
      <c r="G2900" t="s">
        <v>5883</v>
      </c>
      <c r="J2900">
        <v>5.9110743220000002</v>
      </c>
      <c r="K2900">
        <v>0.71598987199999997</v>
      </c>
      <c r="L2900">
        <v>0.29077365599999999</v>
      </c>
      <c r="M2900" s="21">
        <v>-1.449500665</v>
      </c>
      <c r="N2900">
        <v>-1.2074827379999999</v>
      </c>
    </row>
    <row r="2901" spans="1:14" x14ac:dyDescent="0.2">
      <c r="A2901" t="s">
        <v>644</v>
      </c>
      <c r="B2901">
        <v>124520</v>
      </c>
      <c r="C2901" t="s">
        <v>14</v>
      </c>
      <c r="D2901" t="s">
        <v>644</v>
      </c>
      <c r="E2901" t="s">
        <v>5884</v>
      </c>
      <c r="G2901" t="s">
        <v>5885</v>
      </c>
      <c r="J2901">
        <v>6.7484204910000001</v>
      </c>
      <c r="K2901">
        <v>0.48629166299999999</v>
      </c>
      <c r="L2901">
        <v>0.375053939</v>
      </c>
      <c r="M2901" s="21">
        <v>-1.449541988</v>
      </c>
      <c r="N2901">
        <v>-1.20769503</v>
      </c>
    </row>
    <row r="2902" spans="1:14" x14ac:dyDescent="0.2">
      <c r="A2902" t="s">
        <v>389</v>
      </c>
      <c r="B2902">
        <v>68400</v>
      </c>
      <c r="C2902" t="s">
        <v>100</v>
      </c>
      <c r="D2902" t="s">
        <v>389</v>
      </c>
      <c r="E2902" t="s">
        <v>5886</v>
      </c>
      <c r="G2902" t="s">
        <v>5887</v>
      </c>
      <c r="J2902">
        <v>5.9110743220000002</v>
      </c>
      <c r="K2902">
        <v>0.71598987199999997</v>
      </c>
      <c r="L2902">
        <v>0.29077365599999999</v>
      </c>
      <c r="M2902" s="21">
        <v>-1.449699208</v>
      </c>
      <c r="N2902">
        <v>-1.2085027260000001</v>
      </c>
    </row>
    <row r="2903" spans="1:14" x14ac:dyDescent="0.2">
      <c r="A2903" t="s">
        <v>18</v>
      </c>
      <c r="B2903">
        <v>62400</v>
      </c>
      <c r="C2903" t="s">
        <v>58</v>
      </c>
      <c r="D2903" t="s">
        <v>19</v>
      </c>
      <c r="E2903" t="s">
        <v>5888</v>
      </c>
      <c r="G2903" t="s">
        <v>5889</v>
      </c>
      <c r="J2903">
        <v>4.5363847230000003</v>
      </c>
      <c r="K2903">
        <v>0.245646371</v>
      </c>
      <c r="L2903">
        <v>7.5242279999999995E-2</v>
      </c>
      <c r="M2903" s="21">
        <v>-1.4503858080000001</v>
      </c>
      <c r="N2903">
        <v>-1.2120300470000001</v>
      </c>
    </row>
    <row r="2904" spans="1:14" x14ac:dyDescent="0.2">
      <c r="A2904" t="s">
        <v>375</v>
      </c>
      <c r="B2904">
        <v>123720</v>
      </c>
      <c r="C2904" t="s">
        <v>14</v>
      </c>
      <c r="D2904" t="s">
        <v>375</v>
      </c>
      <c r="E2904" t="s">
        <v>5890</v>
      </c>
      <c r="G2904" t="s">
        <v>5891</v>
      </c>
      <c r="J2904">
        <v>6.7484204910000001</v>
      </c>
      <c r="K2904">
        <v>0.48629166299999999</v>
      </c>
      <c r="L2904">
        <v>0.375053939</v>
      </c>
      <c r="M2904" s="21">
        <v>-1.450418566</v>
      </c>
      <c r="N2904">
        <v>-1.2121983380000001</v>
      </c>
    </row>
    <row r="2905" spans="1:14" x14ac:dyDescent="0.2">
      <c r="A2905" t="s">
        <v>2488</v>
      </c>
      <c r="B2905">
        <v>67400</v>
      </c>
      <c r="C2905" t="s">
        <v>100</v>
      </c>
      <c r="D2905" t="s">
        <v>2488</v>
      </c>
      <c r="E2905" t="s">
        <v>5892</v>
      </c>
      <c r="G2905" t="s">
        <v>5893</v>
      </c>
      <c r="J2905">
        <v>5.9110743220000002</v>
      </c>
      <c r="K2905">
        <v>0.71598987199999997</v>
      </c>
      <c r="L2905">
        <v>0.29077365599999999</v>
      </c>
      <c r="M2905" s="21">
        <v>-1.450691921</v>
      </c>
      <c r="N2905">
        <v>-1.213602667</v>
      </c>
    </row>
    <row r="2906" spans="1:14" x14ac:dyDescent="0.2">
      <c r="A2906" t="s">
        <v>207</v>
      </c>
      <c r="B2906">
        <v>123280</v>
      </c>
      <c r="C2906" t="s">
        <v>14</v>
      </c>
      <c r="D2906" t="s">
        <v>207</v>
      </c>
      <c r="E2906" t="s">
        <v>5894</v>
      </c>
      <c r="G2906" t="s">
        <v>5895</v>
      </c>
      <c r="J2906">
        <v>6.7484204910000001</v>
      </c>
      <c r="K2906">
        <v>0.48629166299999999</v>
      </c>
      <c r="L2906">
        <v>0.375053939</v>
      </c>
      <c r="M2906" s="21">
        <v>-1.4509006840000001</v>
      </c>
      <c r="N2906">
        <v>-1.2146751579999999</v>
      </c>
    </row>
    <row r="2907" spans="1:14" x14ac:dyDescent="0.2">
      <c r="A2907" t="s">
        <v>277</v>
      </c>
      <c r="B2907">
        <v>61080</v>
      </c>
      <c r="C2907" t="s">
        <v>58</v>
      </c>
      <c r="D2907" t="s">
        <v>277</v>
      </c>
      <c r="E2907" t="s">
        <v>5896</v>
      </c>
      <c r="G2907" t="s">
        <v>5897</v>
      </c>
      <c r="J2907">
        <v>4.5363847230000003</v>
      </c>
      <c r="K2907">
        <v>0.245646371</v>
      </c>
      <c r="L2907">
        <v>7.5242279999999995E-2</v>
      </c>
      <c r="M2907" s="21">
        <v>-1.4516605659999999</v>
      </c>
      <c r="N2907">
        <v>-1.2185789600000001</v>
      </c>
    </row>
    <row r="2908" spans="1:14" x14ac:dyDescent="0.2">
      <c r="A2908" t="s">
        <v>909</v>
      </c>
      <c r="B2908">
        <v>58400</v>
      </c>
      <c r="C2908" t="s">
        <v>58</v>
      </c>
      <c r="D2908" t="s">
        <v>909</v>
      </c>
      <c r="E2908" t="s">
        <v>5898</v>
      </c>
      <c r="G2908" t="s">
        <v>5899</v>
      </c>
      <c r="J2908">
        <v>4.5363847230000003</v>
      </c>
      <c r="K2908">
        <v>0.245646371</v>
      </c>
      <c r="L2908">
        <v>7.5242279999999995E-2</v>
      </c>
      <c r="M2908" s="21">
        <v>-1.4542487129999999</v>
      </c>
      <c r="N2908">
        <v>-1.231875238</v>
      </c>
    </row>
    <row r="2909" spans="1:14" x14ac:dyDescent="0.2">
      <c r="A2909" t="s">
        <v>534</v>
      </c>
      <c r="B2909">
        <v>58200</v>
      </c>
      <c r="C2909" t="s">
        <v>58</v>
      </c>
      <c r="D2909" t="s">
        <v>534</v>
      </c>
      <c r="E2909" t="s">
        <v>5900</v>
      </c>
      <c r="G2909" t="s">
        <v>5901</v>
      </c>
      <c r="J2909">
        <v>4.5363847230000003</v>
      </c>
      <c r="K2909">
        <v>0.245646371</v>
      </c>
      <c r="L2909">
        <v>7.5242279999999995E-2</v>
      </c>
      <c r="M2909" s="21">
        <v>-1.454441858</v>
      </c>
      <c r="N2909">
        <v>-1.2328674980000001</v>
      </c>
    </row>
    <row r="2910" spans="1:14" x14ac:dyDescent="0.2">
      <c r="A2910" t="s">
        <v>1155</v>
      </c>
      <c r="B2910">
        <v>119720</v>
      </c>
      <c r="C2910" t="s">
        <v>14</v>
      </c>
      <c r="D2910" t="s">
        <v>1156</v>
      </c>
      <c r="E2910" t="s">
        <v>5902</v>
      </c>
      <c r="G2910" t="s">
        <v>5903</v>
      </c>
      <c r="J2910">
        <v>6.7484204910000001</v>
      </c>
      <c r="K2910">
        <v>0.48629166299999999</v>
      </c>
      <c r="L2910">
        <v>0.375053939</v>
      </c>
      <c r="M2910" s="21">
        <v>-1.4548014549999999</v>
      </c>
      <c r="N2910">
        <v>-1.2347148800000001</v>
      </c>
    </row>
    <row r="2911" spans="1:14" x14ac:dyDescent="0.2">
      <c r="A2911" t="s">
        <v>1675</v>
      </c>
      <c r="B2911">
        <v>63120</v>
      </c>
      <c r="C2911" t="s">
        <v>100</v>
      </c>
      <c r="D2911" t="s">
        <v>1675</v>
      </c>
      <c r="E2911" t="s">
        <v>5904</v>
      </c>
      <c r="G2911" t="s">
        <v>5905</v>
      </c>
      <c r="J2911">
        <v>5.9110743220000002</v>
      </c>
      <c r="K2911">
        <v>0.71598987199999997</v>
      </c>
      <c r="L2911">
        <v>0.29077365599999999</v>
      </c>
      <c r="M2911" s="21">
        <v>-1.4549407350000001</v>
      </c>
      <c r="N2911">
        <v>-1.235430413</v>
      </c>
    </row>
    <row r="2912" spans="1:14" x14ac:dyDescent="0.2">
      <c r="A2912" t="s">
        <v>214</v>
      </c>
      <c r="B2912">
        <v>57520</v>
      </c>
      <c r="C2912" t="s">
        <v>58</v>
      </c>
      <c r="D2912" t="s">
        <v>215</v>
      </c>
      <c r="E2912" t="s">
        <v>5906</v>
      </c>
      <c r="G2912" t="s">
        <v>5907</v>
      </c>
      <c r="J2912">
        <v>4.5363847230000003</v>
      </c>
      <c r="K2912">
        <v>0.245646371</v>
      </c>
      <c r="L2912">
        <v>7.5242279999999995E-2</v>
      </c>
      <c r="M2912" s="21">
        <v>-1.4550985519999999</v>
      </c>
      <c r="N2912">
        <v>-1.2362411799999999</v>
      </c>
    </row>
    <row r="2913" spans="1:14" x14ac:dyDescent="0.2">
      <c r="A2913" t="s">
        <v>622</v>
      </c>
      <c r="B2913">
        <v>65040</v>
      </c>
      <c r="C2913" t="s">
        <v>149</v>
      </c>
      <c r="D2913" t="s">
        <v>622</v>
      </c>
      <c r="E2913" t="s">
        <v>5908</v>
      </c>
      <c r="G2913" t="s">
        <v>5909</v>
      </c>
      <c r="J2913">
        <v>5.0381074159999999</v>
      </c>
      <c r="K2913">
        <v>0.81312368999999995</v>
      </c>
      <c r="L2913">
        <v>0.16969141800000001</v>
      </c>
      <c r="M2913" s="21">
        <v>-1.4551884829999999</v>
      </c>
      <c r="N2913">
        <v>-1.236703187</v>
      </c>
    </row>
    <row r="2914" spans="1:14" x14ac:dyDescent="0.2">
      <c r="A2914" t="s">
        <v>116</v>
      </c>
      <c r="B2914">
        <v>64800</v>
      </c>
      <c r="C2914" t="s">
        <v>149</v>
      </c>
      <c r="D2914" t="s">
        <v>117</v>
      </c>
      <c r="E2914" t="s">
        <v>5910</v>
      </c>
      <c r="G2914" t="s">
        <v>5911</v>
      </c>
      <c r="J2914">
        <v>5.0381074159999999</v>
      </c>
      <c r="K2914">
        <v>0.81312368999999995</v>
      </c>
      <c r="L2914">
        <v>0.16969141800000001</v>
      </c>
      <c r="M2914" s="21">
        <v>-1.455410391</v>
      </c>
      <c r="N2914">
        <v>-1.2378432109999999</v>
      </c>
    </row>
    <row r="2915" spans="1:14" x14ac:dyDescent="0.2">
      <c r="A2915" t="s">
        <v>221</v>
      </c>
      <c r="B2915">
        <v>63960</v>
      </c>
      <c r="C2915" t="s">
        <v>149</v>
      </c>
      <c r="D2915" t="s">
        <v>221</v>
      </c>
      <c r="E2915" t="s">
        <v>5912</v>
      </c>
      <c r="G2915" t="s">
        <v>5913</v>
      </c>
      <c r="J2915">
        <v>5.0381074159999999</v>
      </c>
      <c r="K2915">
        <v>0.81312368999999995</v>
      </c>
      <c r="L2915">
        <v>0.16969141800000001</v>
      </c>
      <c r="M2915" s="21">
        <v>-1.456187068</v>
      </c>
      <c r="N2915">
        <v>-1.2418332940000001</v>
      </c>
    </row>
    <row r="2916" spans="1:14" x14ac:dyDescent="0.2">
      <c r="A2916" t="s">
        <v>148</v>
      </c>
      <c r="B2916">
        <v>56320</v>
      </c>
      <c r="C2916" t="s">
        <v>58</v>
      </c>
      <c r="D2916" t="s">
        <v>148</v>
      </c>
      <c r="E2916" t="s">
        <v>5914</v>
      </c>
      <c r="G2916" t="s">
        <v>5915</v>
      </c>
      <c r="J2916">
        <v>4.5363847230000003</v>
      </c>
      <c r="K2916">
        <v>0.245646371</v>
      </c>
      <c r="L2916">
        <v>7.5242279999999995E-2</v>
      </c>
      <c r="M2916" s="21">
        <v>-1.4562574239999999</v>
      </c>
      <c r="N2916">
        <v>-1.242194738</v>
      </c>
    </row>
    <row r="2917" spans="1:14" x14ac:dyDescent="0.2">
      <c r="A2917" t="s">
        <v>753</v>
      </c>
      <c r="B2917">
        <v>63680</v>
      </c>
      <c r="C2917" t="s">
        <v>149</v>
      </c>
      <c r="D2917" t="s">
        <v>753</v>
      </c>
      <c r="E2917" t="s">
        <v>5916</v>
      </c>
      <c r="G2917" t="s">
        <v>5917</v>
      </c>
      <c r="J2917">
        <v>5.0381074159999999</v>
      </c>
      <c r="K2917">
        <v>0.81312368999999995</v>
      </c>
      <c r="L2917">
        <v>0.16969141800000001</v>
      </c>
      <c r="M2917" s="21">
        <v>-1.456445961</v>
      </c>
      <c r="N2917">
        <v>-1.243163322</v>
      </c>
    </row>
    <row r="2918" spans="1:14" x14ac:dyDescent="0.2">
      <c r="A2918" t="s">
        <v>901</v>
      </c>
      <c r="B2918">
        <v>61200</v>
      </c>
      <c r="C2918" t="s">
        <v>100</v>
      </c>
      <c r="D2918" t="s">
        <v>902</v>
      </c>
      <c r="E2918" t="s">
        <v>5918</v>
      </c>
      <c r="G2918" t="s">
        <v>5919</v>
      </c>
      <c r="J2918">
        <v>5.9110743220000002</v>
      </c>
      <c r="K2918">
        <v>0.71598987199999997</v>
      </c>
      <c r="L2918">
        <v>0.29077365599999999</v>
      </c>
      <c r="M2918" s="21">
        <v>-1.456846745</v>
      </c>
      <c r="N2918">
        <v>-1.2452223</v>
      </c>
    </row>
    <row r="2919" spans="1:14" x14ac:dyDescent="0.2">
      <c r="A2919" t="s">
        <v>1773</v>
      </c>
      <c r="B2919">
        <v>117240</v>
      </c>
      <c r="C2919" t="s">
        <v>14</v>
      </c>
      <c r="D2919" t="s">
        <v>1773</v>
      </c>
      <c r="E2919" t="s">
        <v>5920</v>
      </c>
      <c r="G2919" t="s">
        <v>5921</v>
      </c>
      <c r="J2919">
        <v>6.7484204910000001</v>
      </c>
      <c r="K2919">
        <v>0.48629166299999999</v>
      </c>
      <c r="L2919">
        <v>0.375053939</v>
      </c>
      <c r="M2919" s="21">
        <v>-1.4575188459999999</v>
      </c>
      <c r="N2919">
        <v>-1.248675137</v>
      </c>
    </row>
    <row r="2920" spans="1:14" x14ac:dyDescent="0.2">
      <c r="A2920" t="s">
        <v>1101</v>
      </c>
      <c r="B2920">
        <v>60040</v>
      </c>
      <c r="C2920" t="s">
        <v>100</v>
      </c>
      <c r="D2920" t="s">
        <v>1101</v>
      </c>
      <c r="E2920" t="s">
        <v>5922</v>
      </c>
      <c r="G2920" t="s">
        <v>5923</v>
      </c>
      <c r="J2920">
        <v>5.9110743220000002</v>
      </c>
      <c r="K2920">
        <v>0.71598987199999997</v>
      </c>
      <c r="L2920">
        <v>0.29077365599999999</v>
      </c>
      <c r="M2920" s="21">
        <v>-1.4579982929999999</v>
      </c>
      <c r="N2920">
        <v>-1.2511382310000001</v>
      </c>
    </row>
    <row r="2921" spans="1:14" x14ac:dyDescent="0.2">
      <c r="A2921" t="s">
        <v>1123</v>
      </c>
      <c r="B2921">
        <v>59720</v>
      </c>
      <c r="C2921" t="s">
        <v>100</v>
      </c>
      <c r="D2921" t="s">
        <v>1123</v>
      </c>
      <c r="E2921" t="s">
        <v>5924</v>
      </c>
      <c r="G2921" t="s">
        <v>5925</v>
      </c>
      <c r="J2921">
        <v>5.9110743220000002</v>
      </c>
      <c r="K2921">
        <v>0.71598987199999997</v>
      </c>
      <c r="L2921">
        <v>0.29077365599999999</v>
      </c>
      <c r="M2921" s="21">
        <v>-1.458315961</v>
      </c>
      <c r="N2921">
        <v>-1.2527702119999999</v>
      </c>
    </row>
    <row r="2922" spans="1:14" x14ac:dyDescent="0.2">
      <c r="A2922" t="s">
        <v>1422</v>
      </c>
      <c r="B2922">
        <v>53720</v>
      </c>
      <c r="C2922" t="s">
        <v>58</v>
      </c>
      <c r="D2922" t="s">
        <v>1423</v>
      </c>
      <c r="E2922" t="s">
        <v>5926</v>
      </c>
      <c r="G2922" t="s">
        <v>5927</v>
      </c>
      <c r="J2922">
        <v>4.5363847230000003</v>
      </c>
      <c r="K2922">
        <v>0.245646371</v>
      </c>
      <c r="L2922">
        <v>7.5242279999999995E-2</v>
      </c>
      <c r="M2922" s="21">
        <v>-1.458768313</v>
      </c>
      <c r="N2922">
        <v>-1.2550941120000001</v>
      </c>
    </row>
    <row r="2923" spans="1:14" x14ac:dyDescent="0.2">
      <c r="A2923" t="s">
        <v>610</v>
      </c>
      <c r="B2923">
        <v>115440</v>
      </c>
      <c r="C2923" t="s">
        <v>14</v>
      </c>
      <c r="D2923" t="s">
        <v>611</v>
      </c>
      <c r="E2923" t="s">
        <v>5928</v>
      </c>
      <c r="G2923" t="s">
        <v>5929</v>
      </c>
      <c r="J2923">
        <v>6.7484204910000001</v>
      </c>
      <c r="K2923">
        <v>0.48629166299999999</v>
      </c>
      <c r="L2923">
        <v>0.375053939</v>
      </c>
      <c r="M2923" s="21">
        <v>-1.459491147</v>
      </c>
      <c r="N2923">
        <v>-1.2588075809999999</v>
      </c>
    </row>
    <row r="2924" spans="1:14" x14ac:dyDescent="0.2">
      <c r="A2924" t="s">
        <v>919</v>
      </c>
      <c r="B2924">
        <v>52760</v>
      </c>
      <c r="C2924" t="s">
        <v>58</v>
      </c>
      <c r="D2924" t="s">
        <v>919</v>
      </c>
      <c r="E2924" t="s">
        <v>5930</v>
      </c>
      <c r="G2924" t="s">
        <v>5931</v>
      </c>
      <c r="J2924">
        <v>4.5363847230000003</v>
      </c>
      <c r="K2924">
        <v>0.245646371</v>
      </c>
      <c r="L2924">
        <v>7.5242279999999995E-2</v>
      </c>
      <c r="M2924" s="21">
        <v>-1.4596954099999999</v>
      </c>
      <c r="N2924">
        <v>-1.2598569580000001</v>
      </c>
    </row>
    <row r="2925" spans="1:14" x14ac:dyDescent="0.2">
      <c r="A2925" t="s">
        <v>1494</v>
      </c>
      <c r="B2925">
        <v>115240</v>
      </c>
      <c r="C2925" t="s">
        <v>14</v>
      </c>
      <c r="D2925" t="s">
        <v>1494</v>
      </c>
      <c r="E2925" t="s">
        <v>5932</v>
      </c>
      <c r="G2925" t="s">
        <v>5933</v>
      </c>
      <c r="J2925">
        <v>6.7484204910000001</v>
      </c>
      <c r="K2925">
        <v>0.48629166299999999</v>
      </c>
      <c r="L2925">
        <v>0.375053939</v>
      </c>
      <c r="M2925" s="21">
        <v>-1.4597102909999999</v>
      </c>
      <c r="N2925">
        <v>-1.259933408</v>
      </c>
    </row>
    <row r="2926" spans="1:14" x14ac:dyDescent="0.2">
      <c r="A2926" t="s">
        <v>295</v>
      </c>
      <c r="B2926">
        <v>52320</v>
      </c>
      <c r="C2926" t="s">
        <v>58</v>
      </c>
      <c r="D2926" t="s">
        <v>295</v>
      </c>
      <c r="E2926" t="s">
        <v>5934</v>
      </c>
      <c r="G2926" t="s">
        <v>5935</v>
      </c>
      <c r="J2926">
        <v>4.5363847230000003</v>
      </c>
      <c r="K2926">
        <v>0.245646371</v>
      </c>
      <c r="L2926">
        <v>7.5242279999999995E-2</v>
      </c>
      <c r="M2926" s="21">
        <v>-1.4601203300000001</v>
      </c>
      <c r="N2926">
        <v>-1.2620399289999999</v>
      </c>
    </row>
    <row r="2927" spans="1:14" x14ac:dyDescent="0.2">
      <c r="A2927" t="s">
        <v>500</v>
      </c>
      <c r="B2927">
        <v>52200</v>
      </c>
      <c r="C2927" t="s">
        <v>58</v>
      </c>
      <c r="D2927" t="s">
        <v>501</v>
      </c>
      <c r="E2927" t="s">
        <v>5936</v>
      </c>
      <c r="G2927" t="s">
        <v>5937</v>
      </c>
      <c r="J2927">
        <v>4.5363847230000003</v>
      </c>
      <c r="K2927">
        <v>0.245646371</v>
      </c>
      <c r="L2927">
        <v>7.5242279999999995E-2</v>
      </c>
      <c r="M2927" s="21">
        <v>-1.4602362170000001</v>
      </c>
      <c r="N2927">
        <v>-1.262635285</v>
      </c>
    </row>
    <row r="2928" spans="1:14" x14ac:dyDescent="0.2">
      <c r="A2928" t="s">
        <v>2089</v>
      </c>
      <c r="B2928">
        <v>114040</v>
      </c>
      <c r="C2928" t="s">
        <v>14</v>
      </c>
      <c r="D2928" t="s">
        <v>2090</v>
      </c>
      <c r="E2928" t="s">
        <v>5938</v>
      </c>
      <c r="G2928" t="s">
        <v>5939</v>
      </c>
      <c r="J2928">
        <v>6.7484204910000001</v>
      </c>
      <c r="K2928">
        <v>0.48629166299999999</v>
      </c>
      <c r="L2928">
        <v>0.375053939</v>
      </c>
      <c r="M2928" s="21">
        <v>-1.461025158</v>
      </c>
      <c r="N2928">
        <v>-1.2666883710000001</v>
      </c>
    </row>
    <row r="2929" spans="1:14" x14ac:dyDescent="0.2">
      <c r="A2929" t="s">
        <v>892</v>
      </c>
      <c r="B2929">
        <v>51040</v>
      </c>
      <c r="C2929" t="s">
        <v>58</v>
      </c>
      <c r="D2929" t="s">
        <v>892</v>
      </c>
      <c r="E2929" t="s">
        <v>5940</v>
      </c>
      <c r="G2929" t="s">
        <v>5941</v>
      </c>
      <c r="J2929">
        <v>4.5363847230000003</v>
      </c>
      <c r="K2929">
        <v>0.245646371</v>
      </c>
      <c r="L2929">
        <v>7.5242279999999995E-2</v>
      </c>
      <c r="M2929" s="21">
        <v>-1.4613564590000001</v>
      </c>
      <c r="N2929">
        <v>-1.26839039</v>
      </c>
    </row>
    <row r="2930" spans="1:14" x14ac:dyDescent="0.2">
      <c r="A2930" t="s">
        <v>2911</v>
      </c>
      <c r="B2930">
        <v>113600</v>
      </c>
      <c r="C2930" t="s">
        <v>14</v>
      </c>
      <c r="D2930" t="s">
        <v>2912</v>
      </c>
      <c r="E2930" t="s">
        <v>5942</v>
      </c>
      <c r="G2930" t="s">
        <v>5943</v>
      </c>
      <c r="J2930">
        <v>6.7484204910000001</v>
      </c>
      <c r="K2930">
        <v>0.48629166299999999</v>
      </c>
      <c r="L2930">
        <v>0.375053939</v>
      </c>
      <c r="M2930" s="21">
        <v>-1.4615072760000001</v>
      </c>
      <c r="N2930">
        <v>-1.2691651900000001</v>
      </c>
    </row>
    <row r="2931" spans="1:14" x14ac:dyDescent="0.2">
      <c r="A2931" t="s">
        <v>563</v>
      </c>
      <c r="B2931">
        <v>50760</v>
      </c>
      <c r="C2931" t="s">
        <v>58</v>
      </c>
      <c r="D2931" t="s">
        <v>564</v>
      </c>
      <c r="E2931" t="s">
        <v>5944</v>
      </c>
      <c r="G2931" t="s">
        <v>5945</v>
      </c>
      <c r="J2931">
        <v>4.5363847230000003</v>
      </c>
      <c r="K2931">
        <v>0.245646371</v>
      </c>
      <c r="L2931">
        <v>7.5242279999999995E-2</v>
      </c>
      <c r="M2931" s="21">
        <v>-1.461626863</v>
      </c>
      <c r="N2931">
        <v>-1.2697795540000001</v>
      </c>
    </row>
    <row r="2932" spans="1:14" x14ac:dyDescent="0.2">
      <c r="A2932" t="s">
        <v>598</v>
      </c>
      <c r="B2932">
        <v>57760</v>
      </c>
      <c r="C2932" t="s">
        <v>149</v>
      </c>
      <c r="D2932" t="s">
        <v>598</v>
      </c>
      <c r="E2932" t="s">
        <v>5946</v>
      </c>
      <c r="G2932" t="s">
        <v>5947</v>
      </c>
      <c r="J2932">
        <v>5.0381074159999999</v>
      </c>
      <c r="K2932">
        <v>0.81312368999999995</v>
      </c>
      <c r="L2932">
        <v>0.16969141800000001</v>
      </c>
      <c r="M2932" s="21">
        <v>-1.4619196880000001</v>
      </c>
      <c r="N2932">
        <v>-1.2712839060000001</v>
      </c>
    </row>
    <row r="2933" spans="1:14" x14ac:dyDescent="0.2">
      <c r="A2933" t="s">
        <v>812</v>
      </c>
      <c r="B2933">
        <v>50360</v>
      </c>
      <c r="C2933" t="s">
        <v>58</v>
      </c>
      <c r="D2933" t="s">
        <v>813</v>
      </c>
      <c r="E2933" t="s">
        <v>5948</v>
      </c>
      <c r="G2933" t="s">
        <v>5949</v>
      </c>
      <c r="J2933">
        <v>4.5363847230000003</v>
      </c>
      <c r="K2933">
        <v>0.245646371</v>
      </c>
      <c r="L2933">
        <v>7.5242279999999995E-2</v>
      </c>
      <c r="M2933" s="21">
        <v>-1.462013153</v>
      </c>
      <c r="N2933">
        <v>-1.2717640729999999</v>
      </c>
    </row>
    <row r="2934" spans="1:14" x14ac:dyDescent="0.2">
      <c r="A2934" t="s">
        <v>1739</v>
      </c>
      <c r="B2934">
        <v>55240</v>
      </c>
      <c r="C2934" t="s">
        <v>100</v>
      </c>
      <c r="D2934" t="s">
        <v>1739</v>
      </c>
      <c r="E2934" t="s">
        <v>5950</v>
      </c>
      <c r="G2934" t="s">
        <v>5951</v>
      </c>
      <c r="J2934">
        <v>5.9110743220000002</v>
      </c>
      <c r="K2934">
        <v>0.71598987199999997</v>
      </c>
      <c r="L2934">
        <v>0.29077365599999999</v>
      </c>
      <c r="M2934" s="21">
        <v>-1.4627633170000001</v>
      </c>
      <c r="N2934">
        <v>-1.2756179459999999</v>
      </c>
    </row>
    <row r="2935" spans="1:14" x14ac:dyDescent="0.2">
      <c r="A2935" t="s">
        <v>380</v>
      </c>
      <c r="B2935">
        <v>55080</v>
      </c>
      <c r="C2935" t="s">
        <v>100</v>
      </c>
      <c r="D2935" t="s">
        <v>380</v>
      </c>
      <c r="E2935" t="s">
        <v>5952</v>
      </c>
      <c r="G2935" t="s">
        <v>5953</v>
      </c>
      <c r="J2935">
        <v>5.9110743220000002</v>
      </c>
      <c r="K2935">
        <v>0.71598987199999997</v>
      </c>
      <c r="L2935">
        <v>0.29077365599999999</v>
      </c>
      <c r="M2935" s="21">
        <v>-1.4629221509999999</v>
      </c>
      <c r="N2935">
        <v>-1.276433937</v>
      </c>
    </row>
    <row r="2936" spans="1:14" x14ac:dyDescent="0.2">
      <c r="A2936" t="s">
        <v>968</v>
      </c>
      <c r="B2936">
        <v>49240</v>
      </c>
      <c r="C2936" t="s">
        <v>58</v>
      </c>
      <c r="D2936" t="s">
        <v>969</v>
      </c>
      <c r="E2936" t="s">
        <v>5954</v>
      </c>
      <c r="G2936" t="s">
        <v>5955</v>
      </c>
      <c r="J2936">
        <v>4.5363847230000003</v>
      </c>
      <c r="K2936">
        <v>0.245646371</v>
      </c>
      <c r="L2936">
        <v>7.5242279999999995E-2</v>
      </c>
      <c r="M2936" s="21">
        <v>-1.4630947670000001</v>
      </c>
      <c r="N2936">
        <v>-1.2773207259999999</v>
      </c>
    </row>
    <row r="2937" spans="1:14" x14ac:dyDescent="0.2">
      <c r="A2937" t="s">
        <v>988</v>
      </c>
      <c r="B2937">
        <v>54840</v>
      </c>
      <c r="C2937" t="s">
        <v>100</v>
      </c>
      <c r="D2937" t="s">
        <v>988</v>
      </c>
      <c r="E2937" t="s">
        <v>5956</v>
      </c>
      <c r="G2937" t="s">
        <v>5957</v>
      </c>
      <c r="J2937">
        <v>5.9110743220000002</v>
      </c>
      <c r="K2937">
        <v>0.71598987199999997</v>
      </c>
      <c r="L2937">
        <v>0.29077365599999999</v>
      </c>
      <c r="M2937" s="21">
        <v>-1.4631604030000001</v>
      </c>
      <c r="N2937">
        <v>-1.277657923</v>
      </c>
    </row>
    <row r="2938" spans="1:14" x14ac:dyDescent="0.2">
      <c r="A2938" t="s">
        <v>671</v>
      </c>
      <c r="B2938">
        <v>56000</v>
      </c>
      <c r="C2938" t="s">
        <v>149</v>
      </c>
      <c r="D2938" t="s">
        <v>672</v>
      </c>
      <c r="E2938" t="s">
        <v>5958</v>
      </c>
      <c r="G2938" t="s">
        <v>5959</v>
      </c>
      <c r="J2938">
        <v>5.0381074159999999</v>
      </c>
      <c r="K2938">
        <v>0.81312368999999995</v>
      </c>
      <c r="L2938">
        <v>0.16969141800000001</v>
      </c>
      <c r="M2938" s="21">
        <v>-1.463547012</v>
      </c>
      <c r="N2938">
        <v>-1.27964408</v>
      </c>
    </row>
    <row r="2939" spans="1:14" x14ac:dyDescent="0.2">
      <c r="A2939" t="s">
        <v>2764</v>
      </c>
      <c r="B2939">
        <v>54440</v>
      </c>
      <c r="C2939" t="s">
        <v>100</v>
      </c>
      <c r="D2939" t="s">
        <v>2764</v>
      </c>
      <c r="E2939" t="s">
        <v>5960</v>
      </c>
      <c r="G2939" t="s">
        <v>5961</v>
      </c>
      <c r="J2939">
        <v>5.9110743220000002</v>
      </c>
      <c r="K2939">
        <v>0.71598987199999997</v>
      </c>
      <c r="L2939">
        <v>0.29077365599999999</v>
      </c>
      <c r="M2939" s="21">
        <v>-1.463557488</v>
      </c>
      <c r="N2939">
        <v>-1.2796978990000001</v>
      </c>
    </row>
    <row r="2940" spans="1:14" x14ac:dyDescent="0.2">
      <c r="A2940" t="s">
        <v>2885</v>
      </c>
      <c r="B2940">
        <v>48760</v>
      </c>
      <c r="C2940" t="s">
        <v>58</v>
      </c>
      <c r="D2940" t="s">
        <v>2885</v>
      </c>
      <c r="E2940" t="s">
        <v>5962</v>
      </c>
      <c r="G2940" t="s">
        <v>5963</v>
      </c>
      <c r="J2940">
        <v>4.5363847230000003</v>
      </c>
      <c r="K2940">
        <v>0.245646371</v>
      </c>
      <c r="L2940">
        <v>7.5242279999999995E-2</v>
      </c>
      <c r="M2940" s="21">
        <v>-1.463558315</v>
      </c>
      <c r="N2940">
        <v>-1.279702149</v>
      </c>
    </row>
    <row r="2941" spans="1:14" x14ac:dyDescent="0.2">
      <c r="A2941" t="s">
        <v>1290</v>
      </c>
      <c r="B2941">
        <v>55840</v>
      </c>
      <c r="C2941" t="s">
        <v>149</v>
      </c>
      <c r="D2941" t="s">
        <v>1291</v>
      </c>
      <c r="E2941" t="s">
        <v>5964</v>
      </c>
      <c r="G2941" t="s">
        <v>5965</v>
      </c>
      <c r="J2941">
        <v>5.0381074159999999</v>
      </c>
      <c r="K2941">
        <v>0.81312368999999995</v>
      </c>
      <c r="L2941">
        <v>0.16969141800000001</v>
      </c>
      <c r="M2941" s="21">
        <v>-1.4636949509999999</v>
      </c>
      <c r="N2941">
        <v>-1.280404096</v>
      </c>
    </row>
    <row r="2942" spans="1:14" x14ac:dyDescent="0.2">
      <c r="A2942" t="s">
        <v>2764</v>
      </c>
      <c r="B2942">
        <v>48520</v>
      </c>
      <c r="C2942" t="s">
        <v>58</v>
      </c>
      <c r="D2942" t="s">
        <v>2764</v>
      </c>
      <c r="E2942" t="s">
        <v>5966</v>
      </c>
      <c r="G2942" t="s">
        <v>5967</v>
      </c>
      <c r="J2942">
        <v>4.5363847230000003</v>
      </c>
      <c r="K2942">
        <v>0.245646371</v>
      </c>
      <c r="L2942">
        <v>7.5242279999999995E-2</v>
      </c>
      <c r="M2942" s="21">
        <v>-1.46379009</v>
      </c>
      <c r="N2942">
        <v>-1.2808928610000001</v>
      </c>
    </row>
    <row r="2943" spans="1:14" x14ac:dyDescent="0.2">
      <c r="A2943" t="s">
        <v>1675</v>
      </c>
      <c r="B2943">
        <v>48480</v>
      </c>
      <c r="C2943" t="s">
        <v>58</v>
      </c>
      <c r="D2943" t="s">
        <v>1675</v>
      </c>
      <c r="E2943" t="s">
        <v>5968</v>
      </c>
      <c r="G2943" t="s">
        <v>5969</v>
      </c>
      <c r="J2943">
        <v>4.5363847230000003</v>
      </c>
      <c r="K2943">
        <v>0.245646371</v>
      </c>
      <c r="L2943">
        <v>7.5242279999999995E-2</v>
      </c>
      <c r="M2943" s="21">
        <v>-1.4638287189999999</v>
      </c>
      <c r="N2943">
        <v>-1.2810913129999999</v>
      </c>
    </row>
    <row r="2944" spans="1:14" x14ac:dyDescent="0.2">
      <c r="A2944" t="s">
        <v>1031</v>
      </c>
      <c r="B2944">
        <v>48320</v>
      </c>
      <c r="C2944" t="s">
        <v>58</v>
      </c>
      <c r="D2944" t="s">
        <v>1031</v>
      </c>
      <c r="E2944" t="s">
        <v>5970</v>
      </c>
      <c r="G2944" t="s">
        <v>5971</v>
      </c>
      <c r="J2944">
        <v>4.5363847230000003</v>
      </c>
      <c r="K2944">
        <v>0.245646371</v>
      </c>
      <c r="L2944">
        <v>7.5242279999999995E-2</v>
      </c>
      <c r="M2944" s="21">
        <v>-1.4639832349999999</v>
      </c>
      <c r="N2944">
        <v>-1.281885121</v>
      </c>
    </row>
    <row r="2945" spans="1:14" x14ac:dyDescent="0.2">
      <c r="A2945" t="s">
        <v>1174</v>
      </c>
      <c r="B2945">
        <v>55520</v>
      </c>
      <c r="C2945" t="s">
        <v>149</v>
      </c>
      <c r="D2945" t="s">
        <v>1174</v>
      </c>
      <c r="E2945" t="s">
        <v>5972</v>
      </c>
      <c r="G2945" t="s">
        <v>5973</v>
      </c>
      <c r="J2945">
        <v>5.0381074159999999</v>
      </c>
      <c r="K2945">
        <v>0.81312368999999995</v>
      </c>
      <c r="L2945">
        <v>0.16969141800000001</v>
      </c>
      <c r="M2945" s="21">
        <v>-1.463990828</v>
      </c>
      <c r="N2945">
        <v>-1.281924128</v>
      </c>
    </row>
    <row r="2946" spans="1:14" x14ac:dyDescent="0.2">
      <c r="A2946" t="s">
        <v>616</v>
      </c>
      <c r="B2946">
        <v>55080</v>
      </c>
      <c r="C2946" t="s">
        <v>149</v>
      </c>
      <c r="D2946" t="s">
        <v>616</v>
      </c>
      <c r="E2946" t="s">
        <v>5974</v>
      </c>
      <c r="G2946" t="s">
        <v>5975</v>
      </c>
      <c r="J2946">
        <v>5.0381074159999999</v>
      </c>
      <c r="K2946">
        <v>0.81312368999999995</v>
      </c>
      <c r="L2946">
        <v>0.16969141800000001</v>
      </c>
      <c r="M2946" s="21">
        <v>-1.4643976590000001</v>
      </c>
      <c r="N2946">
        <v>-1.2840141709999999</v>
      </c>
    </row>
    <row r="2947" spans="1:14" x14ac:dyDescent="0.2">
      <c r="A2947" t="s">
        <v>375</v>
      </c>
      <c r="B2947">
        <v>55040</v>
      </c>
      <c r="C2947" t="s">
        <v>149</v>
      </c>
      <c r="D2947" t="s">
        <v>375</v>
      </c>
      <c r="E2947" t="s">
        <v>5976</v>
      </c>
      <c r="G2947" t="s">
        <v>5977</v>
      </c>
      <c r="J2947">
        <v>5.0381074159999999</v>
      </c>
      <c r="K2947">
        <v>0.81312368999999995</v>
      </c>
      <c r="L2947">
        <v>0.16969141800000001</v>
      </c>
      <c r="M2947" s="21">
        <v>-1.464434644</v>
      </c>
      <c r="N2947">
        <v>-1.2842041749999999</v>
      </c>
    </row>
    <row r="2948" spans="1:14" x14ac:dyDescent="0.2">
      <c r="A2948" t="s">
        <v>441</v>
      </c>
      <c r="B2948">
        <v>53360</v>
      </c>
      <c r="C2948" t="s">
        <v>100</v>
      </c>
      <c r="D2948" t="s">
        <v>442</v>
      </c>
      <c r="E2948" t="s">
        <v>5978</v>
      </c>
      <c r="G2948" t="s">
        <v>5979</v>
      </c>
      <c r="J2948">
        <v>5.9110743220000002</v>
      </c>
      <c r="K2948">
        <v>0.71598987199999997</v>
      </c>
      <c r="L2948">
        <v>0.29077365599999999</v>
      </c>
      <c r="M2948" s="21">
        <v>-1.4646296190000001</v>
      </c>
      <c r="N2948">
        <v>-1.285205835</v>
      </c>
    </row>
    <row r="2949" spans="1:14" x14ac:dyDescent="0.2">
      <c r="A2949" t="s">
        <v>637</v>
      </c>
      <c r="B2949">
        <v>54640</v>
      </c>
      <c r="C2949" t="s">
        <v>149</v>
      </c>
      <c r="D2949" t="s">
        <v>637</v>
      </c>
      <c r="E2949" t="s">
        <v>5980</v>
      </c>
      <c r="G2949" t="s">
        <v>5981</v>
      </c>
      <c r="J2949">
        <v>5.0381074159999999</v>
      </c>
      <c r="K2949">
        <v>0.81312368999999995</v>
      </c>
      <c r="L2949">
        <v>0.16969141800000001</v>
      </c>
      <c r="M2949" s="21">
        <v>-1.4648044899999999</v>
      </c>
      <c r="N2949">
        <v>-1.2861042149999999</v>
      </c>
    </row>
    <row r="2950" spans="1:14" x14ac:dyDescent="0.2">
      <c r="A2950" t="s">
        <v>1336</v>
      </c>
      <c r="B2950">
        <v>47040</v>
      </c>
      <c r="C2950" t="s">
        <v>58</v>
      </c>
      <c r="D2950" t="s">
        <v>1336</v>
      </c>
      <c r="E2950" t="s">
        <v>5982</v>
      </c>
      <c r="G2950" t="s">
        <v>5983</v>
      </c>
      <c r="J2950">
        <v>4.5363847230000003</v>
      </c>
      <c r="K2950">
        <v>0.245646371</v>
      </c>
      <c r="L2950">
        <v>7.5242279999999995E-2</v>
      </c>
      <c r="M2950" s="21">
        <v>-1.4652193650000001</v>
      </c>
      <c r="N2950">
        <v>-1.288235582</v>
      </c>
    </row>
    <row r="2951" spans="1:14" x14ac:dyDescent="0.2">
      <c r="A2951" t="s">
        <v>79</v>
      </c>
      <c r="B2951">
        <v>54160</v>
      </c>
      <c r="C2951" t="s">
        <v>149</v>
      </c>
      <c r="D2951" t="s">
        <v>80</v>
      </c>
      <c r="E2951" t="s">
        <v>5984</v>
      </c>
      <c r="G2951" t="s">
        <v>5985</v>
      </c>
      <c r="J2951">
        <v>5.0381074159999999</v>
      </c>
      <c r="K2951">
        <v>0.81312368999999995</v>
      </c>
      <c r="L2951">
        <v>0.16969141800000001</v>
      </c>
      <c r="M2951" s="21">
        <v>-1.4652483059999999</v>
      </c>
      <c r="N2951">
        <v>-1.2883842619999999</v>
      </c>
    </row>
    <row r="2952" spans="1:14" x14ac:dyDescent="0.2">
      <c r="A2952" t="s">
        <v>1118</v>
      </c>
      <c r="B2952">
        <v>46800</v>
      </c>
      <c r="C2952" t="s">
        <v>58</v>
      </c>
      <c r="D2952" t="s">
        <v>1118</v>
      </c>
      <c r="E2952" t="s">
        <v>5986</v>
      </c>
      <c r="G2952" t="s">
        <v>5987</v>
      </c>
      <c r="J2952">
        <v>4.5363847230000003</v>
      </c>
      <c r="K2952">
        <v>0.245646371</v>
      </c>
      <c r="L2952">
        <v>7.5242279999999995E-2</v>
      </c>
      <c r="M2952" s="21">
        <v>-1.465451139</v>
      </c>
      <c r="N2952">
        <v>-1.289426293</v>
      </c>
    </row>
    <row r="2953" spans="1:14" x14ac:dyDescent="0.2">
      <c r="A2953" t="s">
        <v>191</v>
      </c>
      <c r="B2953">
        <v>87960</v>
      </c>
      <c r="C2953" t="s">
        <v>84</v>
      </c>
      <c r="D2953" t="s">
        <v>192</v>
      </c>
      <c r="E2953" t="s">
        <v>5988</v>
      </c>
      <c r="G2953" t="s">
        <v>5989</v>
      </c>
      <c r="J2953">
        <v>3.600219579</v>
      </c>
      <c r="K2953">
        <v>-0.293098474</v>
      </c>
      <c r="L2953">
        <v>-0.153917466</v>
      </c>
      <c r="M2953" s="21">
        <v>-1.4657600589999999</v>
      </c>
      <c r="N2953">
        <v>-1.2910133290000001</v>
      </c>
    </row>
    <row r="2954" spans="1:14" x14ac:dyDescent="0.2">
      <c r="A2954" t="s">
        <v>1620</v>
      </c>
      <c r="B2954">
        <v>53360</v>
      </c>
      <c r="C2954" t="s">
        <v>149</v>
      </c>
      <c r="D2954" t="s">
        <v>1620</v>
      </c>
      <c r="E2954" t="s">
        <v>5990</v>
      </c>
      <c r="G2954" t="s">
        <v>5991</v>
      </c>
      <c r="J2954">
        <v>5.0381074159999999</v>
      </c>
      <c r="K2954">
        <v>0.81312368999999995</v>
      </c>
      <c r="L2954">
        <v>0.16969141800000001</v>
      </c>
      <c r="M2954" s="21">
        <v>-1.4659879979999999</v>
      </c>
      <c r="N2954">
        <v>-1.292184341</v>
      </c>
    </row>
    <row r="2955" spans="1:14" x14ac:dyDescent="0.2">
      <c r="A2955" t="s">
        <v>1698</v>
      </c>
      <c r="B2955">
        <v>51920</v>
      </c>
      <c r="C2955" t="s">
        <v>100</v>
      </c>
      <c r="D2955" t="s">
        <v>1698</v>
      </c>
      <c r="E2955" t="s">
        <v>5992</v>
      </c>
      <c r="G2955" t="s">
        <v>5993</v>
      </c>
      <c r="J2955">
        <v>5.9110743220000002</v>
      </c>
      <c r="K2955">
        <v>0.71598987199999997</v>
      </c>
      <c r="L2955">
        <v>0.29077365599999999</v>
      </c>
      <c r="M2955" s="21">
        <v>-1.466059126</v>
      </c>
      <c r="N2955">
        <v>-1.2925497500000001</v>
      </c>
    </row>
    <row r="2956" spans="1:14" x14ac:dyDescent="0.2">
      <c r="A2956" t="s">
        <v>1137</v>
      </c>
      <c r="B2956">
        <v>53200</v>
      </c>
      <c r="C2956" t="s">
        <v>149</v>
      </c>
      <c r="D2956" t="s">
        <v>1137</v>
      </c>
      <c r="E2956" t="s">
        <v>5994</v>
      </c>
      <c r="G2956" t="s">
        <v>5995</v>
      </c>
      <c r="J2956">
        <v>5.0381074159999999</v>
      </c>
      <c r="K2956">
        <v>0.81312368999999995</v>
      </c>
      <c r="L2956">
        <v>0.16969141800000001</v>
      </c>
      <c r="M2956" s="21">
        <v>-1.466135937</v>
      </c>
      <c r="N2956">
        <v>-1.2929443570000001</v>
      </c>
    </row>
    <row r="2957" spans="1:14" x14ac:dyDescent="0.2">
      <c r="A2957" t="s">
        <v>709</v>
      </c>
      <c r="B2957">
        <v>46040</v>
      </c>
      <c r="C2957" t="s">
        <v>58</v>
      </c>
      <c r="D2957" t="s">
        <v>709</v>
      </c>
      <c r="E2957" t="s">
        <v>5996</v>
      </c>
      <c r="G2957" t="s">
        <v>5997</v>
      </c>
      <c r="J2957">
        <v>4.5363847230000003</v>
      </c>
      <c r="K2957">
        <v>0.245646371</v>
      </c>
      <c r="L2957">
        <v>7.5242279999999995E-2</v>
      </c>
      <c r="M2957" s="21">
        <v>-1.4661850910000001</v>
      </c>
      <c r="N2957">
        <v>-1.29319688</v>
      </c>
    </row>
    <row r="2958" spans="1:14" x14ac:dyDescent="0.2">
      <c r="A2958" t="s">
        <v>1126</v>
      </c>
      <c r="B2958">
        <v>51760</v>
      </c>
      <c r="C2958" t="s">
        <v>100</v>
      </c>
      <c r="D2958" t="s">
        <v>1126</v>
      </c>
      <c r="E2958" t="s">
        <v>5998</v>
      </c>
      <c r="G2958" t="s">
        <v>5999</v>
      </c>
      <c r="J2958">
        <v>5.9110743220000002</v>
      </c>
      <c r="K2958">
        <v>0.71598987199999997</v>
      </c>
      <c r="L2958">
        <v>0.29077365599999999</v>
      </c>
      <c r="M2958" s="21">
        <v>-1.46621796</v>
      </c>
      <c r="N2958">
        <v>-1.29336574</v>
      </c>
    </row>
    <row r="2959" spans="1:14" x14ac:dyDescent="0.2">
      <c r="A2959" t="s">
        <v>1484</v>
      </c>
      <c r="B2959">
        <v>45840</v>
      </c>
      <c r="C2959" t="s">
        <v>58</v>
      </c>
      <c r="D2959" t="s">
        <v>1484</v>
      </c>
      <c r="E2959" t="s">
        <v>6000</v>
      </c>
      <c r="G2959" t="s">
        <v>6001</v>
      </c>
      <c r="J2959">
        <v>4.5363847230000003</v>
      </c>
      <c r="K2959">
        <v>0.245646371</v>
      </c>
      <c r="L2959">
        <v>7.5242279999999995E-2</v>
      </c>
      <c r="M2959" s="21">
        <v>-1.4663782359999999</v>
      </c>
      <c r="N2959">
        <v>-1.294189139</v>
      </c>
    </row>
    <row r="2960" spans="1:14" x14ac:dyDescent="0.2">
      <c r="A2960" t="s">
        <v>947</v>
      </c>
      <c r="B2960">
        <v>45760</v>
      </c>
      <c r="C2960" t="s">
        <v>58</v>
      </c>
      <c r="D2960" t="s">
        <v>948</v>
      </c>
      <c r="E2960" t="s">
        <v>6002</v>
      </c>
      <c r="G2960" t="s">
        <v>6003</v>
      </c>
      <c r="J2960">
        <v>4.5363847230000003</v>
      </c>
      <c r="K2960">
        <v>0.245646371</v>
      </c>
      <c r="L2960">
        <v>7.5242279999999995E-2</v>
      </c>
      <c r="M2960" s="21">
        <v>-1.4664554949999999</v>
      </c>
      <c r="N2960">
        <v>-1.294586043</v>
      </c>
    </row>
    <row r="2961" spans="1:14" x14ac:dyDescent="0.2">
      <c r="A2961" t="s">
        <v>303</v>
      </c>
      <c r="B2961">
        <v>51480</v>
      </c>
      <c r="C2961" t="s">
        <v>100</v>
      </c>
      <c r="D2961" t="s">
        <v>304</v>
      </c>
      <c r="E2961" t="s">
        <v>6004</v>
      </c>
      <c r="G2961" t="s">
        <v>6005</v>
      </c>
      <c r="J2961">
        <v>5.9110743220000002</v>
      </c>
      <c r="K2961">
        <v>0.71598987199999997</v>
      </c>
      <c r="L2961">
        <v>0.29077365599999999</v>
      </c>
      <c r="M2961" s="21">
        <v>-1.4664959200000001</v>
      </c>
      <c r="N2961">
        <v>-1.294793724</v>
      </c>
    </row>
    <row r="2962" spans="1:14" x14ac:dyDescent="0.2">
      <c r="A2962" t="s">
        <v>2315</v>
      </c>
      <c r="B2962">
        <v>51400</v>
      </c>
      <c r="C2962" t="s">
        <v>100</v>
      </c>
      <c r="D2962" t="s">
        <v>2316</v>
      </c>
      <c r="E2962" t="s">
        <v>6006</v>
      </c>
      <c r="G2962" t="s">
        <v>6007</v>
      </c>
      <c r="J2962">
        <v>5.9110743220000002</v>
      </c>
      <c r="K2962">
        <v>0.71598987199999997</v>
      </c>
      <c r="L2962">
        <v>0.29077365599999999</v>
      </c>
      <c r="M2962" s="21">
        <v>-1.4665753370000001</v>
      </c>
      <c r="N2962">
        <v>-1.295201719</v>
      </c>
    </row>
    <row r="2963" spans="1:14" x14ac:dyDescent="0.2">
      <c r="A2963" t="s">
        <v>671</v>
      </c>
      <c r="B2963">
        <v>45440</v>
      </c>
      <c r="C2963" t="s">
        <v>58</v>
      </c>
      <c r="D2963" t="s">
        <v>672</v>
      </c>
      <c r="E2963" t="s">
        <v>6008</v>
      </c>
      <c r="G2963" t="s">
        <v>6009</v>
      </c>
      <c r="J2963">
        <v>4.5363847230000003</v>
      </c>
      <c r="K2963">
        <v>0.245646371</v>
      </c>
      <c r="L2963">
        <v>7.5242279999999995E-2</v>
      </c>
      <c r="M2963" s="21">
        <v>-1.466764527</v>
      </c>
      <c r="N2963">
        <v>-1.2961736580000001</v>
      </c>
    </row>
    <row r="2964" spans="1:14" x14ac:dyDescent="0.2">
      <c r="A2964" t="s">
        <v>1409</v>
      </c>
      <c r="B2964">
        <v>108160</v>
      </c>
      <c r="C2964" t="s">
        <v>14</v>
      </c>
      <c r="D2964" t="s">
        <v>1410</v>
      </c>
      <c r="E2964" t="s">
        <v>6010</v>
      </c>
      <c r="G2964" t="s">
        <v>6011</v>
      </c>
      <c r="J2964">
        <v>6.7484204910000001</v>
      </c>
      <c r="K2964">
        <v>0.48629166299999999</v>
      </c>
      <c r="L2964">
        <v>0.375053939</v>
      </c>
      <c r="M2964" s="21">
        <v>-1.467468005</v>
      </c>
      <c r="N2964">
        <v>-1.2997876880000001</v>
      </c>
    </row>
    <row r="2965" spans="1:14" x14ac:dyDescent="0.2">
      <c r="A2965" t="s">
        <v>1215</v>
      </c>
      <c r="B2965">
        <v>44480</v>
      </c>
      <c r="C2965" t="s">
        <v>58</v>
      </c>
      <c r="D2965" t="s">
        <v>1215</v>
      </c>
      <c r="E2965" t="s">
        <v>6012</v>
      </c>
      <c r="G2965" t="s">
        <v>6013</v>
      </c>
      <c r="J2965">
        <v>4.5363847230000003</v>
      </c>
      <c r="K2965">
        <v>0.245646371</v>
      </c>
      <c r="L2965">
        <v>7.5242279999999995E-2</v>
      </c>
      <c r="M2965" s="21">
        <v>-1.467691624</v>
      </c>
      <c r="N2965">
        <v>-1.300936504</v>
      </c>
    </row>
    <row r="2966" spans="1:14" x14ac:dyDescent="0.2">
      <c r="A2966" t="s">
        <v>2188</v>
      </c>
      <c r="B2966">
        <v>50240</v>
      </c>
      <c r="C2966" t="s">
        <v>100</v>
      </c>
      <c r="D2966" t="s">
        <v>2188</v>
      </c>
      <c r="E2966" t="s">
        <v>6014</v>
      </c>
      <c r="G2966" t="s">
        <v>6015</v>
      </c>
      <c r="J2966">
        <v>5.9110743220000002</v>
      </c>
      <c r="K2966">
        <v>0.71598987199999997</v>
      </c>
      <c r="L2966">
        <v>0.29077365599999999</v>
      </c>
      <c r="M2966" s="21">
        <v>-1.467726885</v>
      </c>
      <c r="N2966">
        <v>-1.3011176499999999</v>
      </c>
    </row>
    <row r="2967" spans="1:14" x14ac:dyDescent="0.2">
      <c r="A2967" t="s">
        <v>746</v>
      </c>
      <c r="B2967">
        <v>50920</v>
      </c>
      <c r="C2967" t="s">
        <v>149</v>
      </c>
      <c r="D2967" t="s">
        <v>746</v>
      </c>
      <c r="E2967" t="s">
        <v>6016</v>
      </c>
      <c r="G2967" t="s">
        <v>6017</v>
      </c>
      <c r="J2967">
        <v>5.0381074159999999</v>
      </c>
      <c r="K2967">
        <v>0.81312368999999995</v>
      </c>
      <c r="L2967">
        <v>0.16969141800000001</v>
      </c>
      <c r="M2967" s="21">
        <v>-1.4682440619999999</v>
      </c>
      <c r="N2967">
        <v>-1.303774582</v>
      </c>
    </row>
    <row r="2968" spans="1:14" x14ac:dyDescent="0.2">
      <c r="A2968" t="s">
        <v>1368</v>
      </c>
      <c r="B2968">
        <v>49560</v>
      </c>
      <c r="C2968" t="s">
        <v>100</v>
      </c>
      <c r="D2968" t="s">
        <v>1368</v>
      </c>
      <c r="E2968" t="s">
        <v>6018</v>
      </c>
      <c r="G2968" t="s">
        <v>6019</v>
      </c>
      <c r="J2968">
        <v>5.9110743220000002</v>
      </c>
      <c r="K2968">
        <v>0.71598987199999997</v>
      </c>
      <c r="L2968">
        <v>0.29077365599999999</v>
      </c>
      <c r="M2968" s="21">
        <v>-1.46840193</v>
      </c>
      <c r="N2968">
        <v>-1.30458561</v>
      </c>
    </row>
    <row r="2969" spans="1:14" x14ac:dyDescent="0.2">
      <c r="A2969" t="s">
        <v>263</v>
      </c>
      <c r="B2969">
        <v>43440</v>
      </c>
      <c r="C2969" t="s">
        <v>58</v>
      </c>
      <c r="D2969" t="s">
        <v>264</v>
      </c>
      <c r="E2969" t="s">
        <v>6020</v>
      </c>
      <c r="G2969" t="s">
        <v>6021</v>
      </c>
      <c r="J2969">
        <v>4.5363847230000003</v>
      </c>
      <c r="K2969">
        <v>0.245646371</v>
      </c>
      <c r="L2969">
        <v>7.5242279999999995E-2</v>
      </c>
      <c r="M2969" s="21">
        <v>-1.4686959799999999</v>
      </c>
      <c r="N2969">
        <v>-1.3060962540000001</v>
      </c>
    </row>
    <row r="2970" spans="1:14" x14ac:dyDescent="0.2">
      <c r="A2970" t="s">
        <v>968</v>
      </c>
      <c r="B2970">
        <v>106960</v>
      </c>
      <c r="C2970" t="s">
        <v>14</v>
      </c>
      <c r="D2970" t="s">
        <v>969</v>
      </c>
      <c r="E2970" t="s">
        <v>6022</v>
      </c>
      <c r="G2970" t="s">
        <v>6023</v>
      </c>
      <c r="J2970">
        <v>6.7484204910000001</v>
      </c>
      <c r="K2970">
        <v>0.48629166299999999</v>
      </c>
      <c r="L2970">
        <v>0.375053939</v>
      </c>
      <c r="M2970" s="21">
        <v>-1.468782872</v>
      </c>
      <c r="N2970">
        <v>-1.306542651</v>
      </c>
    </row>
    <row r="2971" spans="1:14" x14ac:dyDescent="0.2">
      <c r="A2971" t="s">
        <v>2294</v>
      </c>
      <c r="B2971">
        <v>49080</v>
      </c>
      <c r="C2971" t="s">
        <v>100</v>
      </c>
      <c r="D2971" t="s">
        <v>2294</v>
      </c>
      <c r="E2971" t="s">
        <v>6024</v>
      </c>
      <c r="G2971" t="s">
        <v>6025</v>
      </c>
      <c r="J2971">
        <v>5.9110743220000002</v>
      </c>
      <c r="K2971">
        <v>0.71598987199999997</v>
      </c>
      <c r="L2971">
        <v>0.29077365599999999</v>
      </c>
      <c r="M2971" s="21">
        <v>-1.4688784319999999</v>
      </c>
      <c r="N2971">
        <v>-1.307033581</v>
      </c>
    </row>
    <row r="2972" spans="1:14" x14ac:dyDescent="0.2">
      <c r="A2972" t="s">
        <v>1825</v>
      </c>
      <c r="B2972">
        <v>48880</v>
      </c>
      <c r="C2972" t="s">
        <v>100</v>
      </c>
      <c r="D2972" t="s">
        <v>1826</v>
      </c>
      <c r="E2972" t="s">
        <v>6026</v>
      </c>
      <c r="G2972" t="s">
        <v>6027</v>
      </c>
      <c r="J2972">
        <v>5.9110743220000002</v>
      </c>
      <c r="K2972">
        <v>0.71598987199999997</v>
      </c>
      <c r="L2972">
        <v>0.29077365599999999</v>
      </c>
      <c r="M2972" s="21">
        <v>-1.4690769749999999</v>
      </c>
      <c r="N2972">
        <v>-1.30805357</v>
      </c>
    </row>
    <row r="2973" spans="1:14" x14ac:dyDescent="0.2">
      <c r="A2973" t="s">
        <v>1198</v>
      </c>
      <c r="B2973">
        <v>42760</v>
      </c>
      <c r="C2973" t="s">
        <v>58</v>
      </c>
      <c r="D2973" t="s">
        <v>1199</v>
      </c>
      <c r="E2973" t="s">
        <v>6028</v>
      </c>
      <c r="G2973" t="s">
        <v>6029</v>
      </c>
      <c r="J2973">
        <v>4.5363847230000003</v>
      </c>
      <c r="K2973">
        <v>0.245646371</v>
      </c>
      <c r="L2973">
        <v>7.5242279999999995E-2</v>
      </c>
      <c r="M2973" s="21">
        <v>-1.469352674</v>
      </c>
      <c r="N2973">
        <v>-1.309469937</v>
      </c>
    </row>
    <row r="2974" spans="1:14" x14ac:dyDescent="0.2">
      <c r="A2974" t="s">
        <v>1101</v>
      </c>
      <c r="B2974">
        <v>49520</v>
      </c>
      <c r="C2974" t="s">
        <v>149</v>
      </c>
      <c r="D2974" t="s">
        <v>1101</v>
      </c>
      <c r="E2974" t="s">
        <v>6030</v>
      </c>
      <c r="G2974" t="s">
        <v>6031</v>
      </c>
      <c r="J2974">
        <v>5.0381074159999999</v>
      </c>
      <c r="K2974">
        <v>0.81312368999999995</v>
      </c>
      <c r="L2974">
        <v>0.16969141800000001</v>
      </c>
      <c r="M2974" s="21">
        <v>-1.4695385240000001</v>
      </c>
      <c r="N2974">
        <v>-1.3104247200000001</v>
      </c>
    </row>
    <row r="2975" spans="1:14" x14ac:dyDescent="0.2">
      <c r="A2975" t="s">
        <v>1764</v>
      </c>
      <c r="B2975">
        <v>48400</v>
      </c>
      <c r="C2975" t="s">
        <v>100</v>
      </c>
      <c r="D2975" t="s">
        <v>1764</v>
      </c>
      <c r="E2975" t="s">
        <v>6032</v>
      </c>
      <c r="G2975" t="s">
        <v>6033</v>
      </c>
      <c r="J2975">
        <v>5.9110743220000002</v>
      </c>
      <c r="K2975">
        <v>0.71598987199999997</v>
      </c>
      <c r="L2975">
        <v>0.29077365599999999</v>
      </c>
      <c r="M2975" s="21">
        <v>-1.4695534770000001</v>
      </c>
      <c r="N2975">
        <v>-1.310501541</v>
      </c>
    </row>
    <row r="2976" spans="1:14" x14ac:dyDescent="0.2">
      <c r="A2976" t="s">
        <v>2911</v>
      </c>
      <c r="B2976">
        <v>49480</v>
      </c>
      <c r="C2976" t="s">
        <v>149</v>
      </c>
      <c r="D2976" t="s">
        <v>2912</v>
      </c>
      <c r="E2976" t="s">
        <v>6034</v>
      </c>
      <c r="G2976" t="s">
        <v>6035</v>
      </c>
      <c r="J2976">
        <v>5.0381074159999999</v>
      </c>
      <c r="K2976">
        <v>0.81312368999999995</v>
      </c>
      <c r="L2976">
        <v>0.16969141800000001</v>
      </c>
      <c r="M2976" s="21">
        <v>-1.469575509</v>
      </c>
      <c r="N2976">
        <v>-1.3106147239999999</v>
      </c>
    </row>
    <row r="2977" spans="1:14" x14ac:dyDescent="0.2">
      <c r="A2977" t="s">
        <v>314</v>
      </c>
      <c r="B2977">
        <v>49480</v>
      </c>
      <c r="C2977" t="s">
        <v>149</v>
      </c>
      <c r="D2977" t="s">
        <v>315</v>
      </c>
      <c r="E2977" t="s">
        <v>6036</v>
      </c>
      <c r="G2977" t="s">
        <v>6037</v>
      </c>
      <c r="J2977">
        <v>5.0381074159999999</v>
      </c>
      <c r="K2977">
        <v>0.81312368999999995</v>
      </c>
      <c r="L2977">
        <v>0.16969141800000001</v>
      </c>
      <c r="M2977" s="21">
        <v>-1.469575509</v>
      </c>
      <c r="N2977">
        <v>-1.3106147239999999</v>
      </c>
    </row>
    <row r="2978" spans="1:14" x14ac:dyDescent="0.2">
      <c r="A2978" t="s">
        <v>47</v>
      </c>
      <c r="B2978">
        <v>42240</v>
      </c>
      <c r="C2978" t="s">
        <v>58</v>
      </c>
      <c r="D2978" t="s">
        <v>48</v>
      </c>
      <c r="E2978" t="s">
        <v>6038</v>
      </c>
      <c r="G2978" t="s">
        <v>6039</v>
      </c>
      <c r="J2978">
        <v>4.5363847230000003</v>
      </c>
      <c r="K2978">
        <v>0.245646371</v>
      </c>
      <c r="L2978">
        <v>7.5242279999999995E-2</v>
      </c>
      <c r="M2978" s="21">
        <v>-1.469854851</v>
      </c>
      <c r="N2978">
        <v>-1.3120498110000001</v>
      </c>
    </row>
    <row r="2979" spans="1:14" x14ac:dyDescent="0.2">
      <c r="A2979" t="s">
        <v>337</v>
      </c>
      <c r="B2979">
        <v>105960</v>
      </c>
      <c r="C2979" t="s">
        <v>14</v>
      </c>
      <c r="D2979" t="s">
        <v>337</v>
      </c>
      <c r="E2979" t="s">
        <v>6040</v>
      </c>
      <c r="G2979" t="s">
        <v>6041</v>
      </c>
      <c r="J2979">
        <v>6.7484204910000001</v>
      </c>
      <c r="K2979">
        <v>0.48629166299999999</v>
      </c>
      <c r="L2979">
        <v>0.375053939</v>
      </c>
      <c r="M2979" s="21">
        <v>-1.4698785940000001</v>
      </c>
      <c r="N2979">
        <v>-1.312171786</v>
      </c>
    </row>
    <row r="2980" spans="1:14" x14ac:dyDescent="0.2">
      <c r="A2980" t="s">
        <v>207</v>
      </c>
      <c r="B2980">
        <v>42120</v>
      </c>
      <c r="C2980" t="s">
        <v>58</v>
      </c>
      <c r="D2980" t="s">
        <v>207</v>
      </c>
      <c r="E2980" t="s">
        <v>6042</v>
      </c>
      <c r="G2980" t="s">
        <v>6043</v>
      </c>
      <c r="J2980">
        <v>4.5363847230000003</v>
      </c>
      <c r="K2980">
        <v>0.245646371</v>
      </c>
      <c r="L2980">
        <v>7.5242279999999995E-2</v>
      </c>
      <c r="M2980" s="21">
        <v>-1.469970738</v>
      </c>
      <c r="N2980">
        <v>-1.3126451669999999</v>
      </c>
    </row>
    <row r="2981" spans="1:14" x14ac:dyDescent="0.2">
      <c r="A2981" t="s">
        <v>470</v>
      </c>
      <c r="B2981">
        <v>42080</v>
      </c>
      <c r="C2981" t="s">
        <v>58</v>
      </c>
      <c r="D2981" t="s">
        <v>470</v>
      </c>
      <c r="E2981" t="s">
        <v>6044</v>
      </c>
      <c r="G2981" t="s">
        <v>6045</v>
      </c>
      <c r="J2981">
        <v>4.5363847230000003</v>
      </c>
      <c r="K2981">
        <v>0.245646371</v>
      </c>
      <c r="L2981">
        <v>7.5242279999999995E-2</v>
      </c>
      <c r="M2981" s="21">
        <v>-1.4700093679999999</v>
      </c>
      <c r="N2981">
        <v>-1.3128436189999999</v>
      </c>
    </row>
    <row r="2982" spans="1:14" x14ac:dyDescent="0.2">
      <c r="A2982" t="s">
        <v>2791</v>
      </c>
      <c r="B2982">
        <v>47920</v>
      </c>
      <c r="C2982" t="s">
        <v>100</v>
      </c>
      <c r="D2982" t="s">
        <v>2792</v>
      </c>
      <c r="E2982" t="s">
        <v>6046</v>
      </c>
      <c r="G2982" t="s">
        <v>6047</v>
      </c>
      <c r="J2982">
        <v>5.9110743220000002</v>
      </c>
      <c r="K2982">
        <v>0.71598987199999997</v>
      </c>
      <c r="L2982">
        <v>0.29077365599999999</v>
      </c>
      <c r="M2982" s="21">
        <v>-1.4700299800000001</v>
      </c>
      <c r="N2982">
        <v>-1.312949513</v>
      </c>
    </row>
    <row r="2983" spans="1:14" x14ac:dyDescent="0.2">
      <c r="A2983" t="s">
        <v>563</v>
      </c>
      <c r="B2983">
        <v>47840</v>
      </c>
      <c r="C2983" t="s">
        <v>100</v>
      </c>
      <c r="D2983" t="s">
        <v>564</v>
      </c>
      <c r="E2983" t="s">
        <v>6048</v>
      </c>
      <c r="G2983" t="s">
        <v>6049</v>
      </c>
      <c r="J2983">
        <v>5.9110743220000002</v>
      </c>
      <c r="K2983">
        <v>0.71598987199999997</v>
      </c>
      <c r="L2983">
        <v>0.29077365599999999</v>
      </c>
      <c r="M2983" s="21">
        <v>-1.4701093970000001</v>
      </c>
      <c r="N2983">
        <v>-1.313357508</v>
      </c>
    </row>
    <row r="2984" spans="1:14" x14ac:dyDescent="0.2">
      <c r="A2984" t="s">
        <v>697</v>
      </c>
      <c r="B2984">
        <v>47640</v>
      </c>
      <c r="C2984" t="s">
        <v>100</v>
      </c>
      <c r="D2984" t="s">
        <v>698</v>
      </c>
      <c r="E2984" t="s">
        <v>6050</v>
      </c>
      <c r="G2984" t="s">
        <v>6051</v>
      </c>
      <c r="J2984">
        <v>5.9110743220000002</v>
      </c>
      <c r="K2984">
        <v>0.71598987199999997</v>
      </c>
      <c r="L2984">
        <v>0.29077365599999999</v>
      </c>
      <c r="M2984" s="21">
        <v>-1.4703079400000001</v>
      </c>
      <c r="N2984">
        <v>-1.3143774960000001</v>
      </c>
    </row>
    <row r="2985" spans="1:14" x14ac:dyDescent="0.2">
      <c r="A2985" t="s">
        <v>567</v>
      </c>
      <c r="B2985">
        <v>46960</v>
      </c>
      <c r="C2985" t="s">
        <v>100</v>
      </c>
      <c r="D2985" t="s">
        <v>567</v>
      </c>
      <c r="E2985" t="s">
        <v>6052</v>
      </c>
      <c r="G2985" t="s">
        <v>6053</v>
      </c>
      <c r="J2985">
        <v>5.9110743220000002</v>
      </c>
      <c r="K2985">
        <v>0.71598987199999997</v>
      </c>
      <c r="L2985">
        <v>0.29077365599999999</v>
      </c>
      <c r="M2985" s="21">
        <v>-1.470982985</v>
      </c>
      <c r="N2985">
        <v>-1.3178454559999999</v>
      </c>
    </row>
    <row r="2986" spans="1:14" x14ac:dyDescent="0.2">
      <c r="A2986" t="s">
        <v>644</v>
      </c>
      <c r="B2986">
        <v>47920</v>
      </c>
      <c r="C2986" t="s">
        <v>149</v>
      </c>
      <c r="D2986" t="s">
        <v>644</v>
      </c>
      <c r="E2986" t="s">
        <v>6054</v>
      </c>
      <c r="G2986" t="s">
        <v>6055</v>
      </c>
      <c r="J2986">
        <v>5.0381074159999999</v>
      </c>
      <c r="K2986">
        <v>0.81312368999999995</v>
      </c>
      <c r="L2986">
        <v>0.16969141800000001</v>
      </c>
      <c r="M2986" s="21">
        <v>-1.47101791</v>
      </c>
      <c r="N2986">
        <v>-1.3180248779999999</v>
      </c>
    </row>
    <row r="2987" spans="1:14" x14ac:dyDescent="0.2">
      <c r="A2987" t="s">
        <v>909</v>
      </c>
      <c r="B2987">
        <v>46920</v>
      </c>
      <c r="C2987" t="s">
        <v>100</v>
      </c>
      <c r="D2987" t="s">
        <v>909</v>
      </c>
      <c r="E2987" t="s">
        <v>6056</v>
      </c>
      <c r="G2987" t="s">
        <v>6057</v>
      </c>
      <c r="J2987">
        <v>5.9110743220000002</v>
      </c>
      <c r="K2987">
        <v>0.71598987199999997</v>
      </c>
      <c r="L2987">
        <v>0.29077365599999999</v>
      </c>
      <c r="M2987" s="21">
        <v>-1.4710226930000001</v>
      </c>
      <c r="N2987">
        <v>-1.3180494540000001</v>
      </c>
    </row>
    <row r="2988" spans="1:14" x14ac:dyDescent="0.2">
      <c r="A2988" t="s">
        <v>1431</v>
      </c>
      <c r="B2988">
        <v>46880</v>
      </c>
      <c r="C2988" t="s">
        <v>100</v>
      </c>
      <c r="D2988" t="s">
        <v>1431</v>
      </c>
      <c r="E2988" t="s">
        <v>6058</v>
      </c>
      <c r="G2988" t="s">
        <v>6059</v>
      </c>
      <c r="J2988">
        <v>5.9110743220000002</v>
      </c>
      <c r="K2988">
        <v>0.71598987199999997</v>
      </c>
      <c r="L2988">
        <v>0.29077365599999999</v>
      </c>
      <c r="M2988" s="21">
        <v>-1.471062402</v>
      </c>
      <c r="N2988">
        <v>-1.3182534509999999</v>
      </c>
    </row>
    <row r="2989" spans="1:14" x14ac:dyDescent="0.2">
      <c r="A2989" t="s">
        <v>129</v>
      </c>
      <c r="B2989">
        <v>40680</v>
      </c>
      <c r="C2989" t="s">
        <v>58</v>
      </c>
      <c r="D2989" t="s">
        <v>129</v>
      </c>
      <c r="E2989" t="s">
        <v>6060</v>
      </c>
      <c r="G2989" t="s">
        <v>6061</v>
      </c>
      <c r="J2989">
        <v>4.5363847230000003</v>
      </c>
      <c r="K2989">
        <v>0.245646371</v>
      </c>
      <c r="L2989">
        <v>7.5242279999999995E-2</v>
      </c>
      <c r="M2989" s="21">
        <v>-1.4713613839999999</v>
      </c>
      <c r="N2989">
        <v>-1.319789436</v>
      </c>
    </row>
    <row r="2990" spans="1:14" x14ac:dyDescent="0.2">
      <c r="A2990" t="s">
        <v>1318</v>
      </c>
      <c r="B2990">
        <v>40640</v>
      </c>
      <c r="C2990" t="s">
        <v>58</v>
      </c>
      <c r="D2990" t="s">
        <v>1318</v>
      </c>
      <c r="E2990" t="s">
        <v>6062</v>
      </c>
      <c r="G2990" t="s">
        <v>6063</v>
      </c>
      <c r="J2990">
        <v>4.5363847230000003</v>
      </c>
      <c r="K2990">
        <v>0.245646371</v>
      </c>
      <c r="L2990">
        <v>7.5242279999999995E-2</v>
      </c>
      <c r="M2990" s="21">
        <v>-1.4714000140000001</v>
      </c>
      <c r="N2990">
        <v>-1.319987888</v>
      </c>
    </row>
    <row r="2991" spans="1:14" x14ac:dyDescent="0.2">
      <c r="A2991" t="s">
        <v>511</v>
      </c>
      <c r="B2991">
        <v>47320</v>
      </c>
      <c r="C2991" t="s">
        <v>149</v>
      </c>
      <c r="D2991" t="s">
        <v>511</v>
      </c>
      <c r="E2991" t="s">
        <v>6064</v>
      </c>
      <c r="G2991" t="s">
        <v>6065</v>
      </c>
      <c r="J2991">
        <v>5.0381074159999999</v>
      </c>
      <c r="K2991">
        <v>0.81312368999999995</v>
      </c>
      <c r="L2991">
        <v>0.16969141800000001</v>
      </c>
      <c r="M2991" s="21">
        <v>-1.4715726790000001</v>
      </c>
      <c r="N2991">
        <v>-1.320874938</v>
      </c>
    </row>
    <row r="2992" spans="1:14" x14ac:dyDescent="0.2">
      <c r="A2992" t="s">
        <v>1521</v>
      </c>
      <c r="B2992">
        <v>47200</v>
      </c>
      <c r="C2992" t="s">
        <v>149</v>
      </c>
      <c r="D2992" t="s">
        <v>1521</v>
      </c>
      <c r="E2992" t="s">
        <v>6066</v>
      </c>
      <c r="G2992" t="s">
        <v>6067</v>
      </c>
      <c r="J2992">
        <v>5.0381074159999999</v>
      </c>
      <c r="K2992">
        <v>0.81312368999999995</v>
      </c>
      <c r="L2992">
        <v>0.16969141800000001</v>
      </c>
      <c r="M2992" s="21">
        <v>-1.471683633</v>
      </c>
      <c r="N2992">
        <v>-1.321444949</v>
      </c>
    </row>
    <row r="2993" spans="1:14" x14ac:dyDescent="0.2">
      <c r="A2993" t="s">
        <v>537</v>
      </c>
      <c r="B2993">
        <v>45920</v>
      </c>
      <c r="C2993" t="s">
        <v>100</v>
      </c>
      <c r="D2993" t="s">
        <v>538</v>
      </c>
      <c r="E2993" t="s">
        <v>6068</v>
      </c>
      <c r="G2993" t="s">
        <v>6069</v>
      </c>
      <c r="J2993">
        <v>5.9110743220000002</v>
      </c>
      <c r="K2993">
        <v>0.71598987199999997</v>
      </c>
      <c r="L2993">
        <v>0.29077365599999999</v>
      </c>
      <c r="M2993" s="21">
        <v>-1.472015407</v>
      </c>
      <c r="N2993">
        <v>-1.3231493940000001</v>
      </c>
    </row>
    <row r="2994" spans="1:14" x14ac:dyDescent="0.2">
      <c r="A2994" t="s">
        <v>1456</v>
      </c>
      <c r="B2994">
        <v>39600</v>
      </c>
      <c r="C2994" t="s">
        <v>58</v>
      </c>
      <c r="D2994" t="s">
        <v>1457</v>
      </c>
      <c r="E2994" t="s">
        <v>6070</v>
      </c>
      <c r="G2994" t="s">
        <v>6071</v>
      </c>
      <c r="J2994">
        <v>4.5363847230000003</v>
      </c>
      <c r="K2994">
        <v>0.245646371</v>
      </c>
      <c r="L2994">
        <v>7.5242279999999995E-2</v>
      </c>
      <c r="M2994" s="21">
        <v>-1.4724043689999999</v>
      </c>
      <c r="N2994">
        <v>-1.325147638</v>
      </c>
    </row>
    <row r="2995" spans="1:14" x14ac:dyDescent="0.2">
      <c r="A2995" t="s">
        <v>1190</v>
      </c>
      <c r="B2995">
        <v>39480</v>
      </c>
      <c r="C2995" t="s">
        <v>58</v>
      </c>
      <c r="D2995" t="s">
        <v>1190</v>
      </c>
      <c r="E2995" t="s">
        <v>6072</v>
      </c>
      <c r="G2995" t="s">
        <v>6073</v>
      </c>
      <c r="J2995">
        <v>4.5363847230000003</v>
      </c>
      <c r="K2995">
        <v>0.245646371</v>
      </c>
      <c r="L2995">
        <v>7.5242279999999995E-2</v>
      </c>
      <c r="M2995" s="21">
        <v>-1.4725202559999999</v>
      </c>
      <c r="N2995">
        <v>-1.3257429940000001</v>
      </c>
    </row>
    <row r="2996" spans="1:14" x14ac:dyDescent="0.2">
      <c r="A2996" t="s">
        <v>2230</v>
      </c>
      <c r="B2996">
        <v>39440</v>
      </c>
      <c r="C2996" t="s">
        <v>58</v>
      </c>
      <c r="D2996" t="s">
        <v>2231</v>
      </c>
      <c r="E2996" t="s">
        <v>6074</v>
      </c>
      <c r="G2996" t="s">
        <v>6075</v>
      </c>
      <c r="J2996">
        <v>4.5363847230000003</v>
      </c>
      <c r="K2996">
        <v>0.245646371</v>
      </c>
      <c r="L2996">
        <v>7.5242279999999995E-2</v>
      </c>
      <c r="M2996" s="21">
        <v>-1.472558885</v>
      </c>
      <c r="N2996">
        <v>-1.325941445</v>
      </c>
    </row>
    <row r="2997" spans="1:14" x14ac:dyDescent="0.2">
      <c r="A2997" t="s">
        <v>1963</v>
      </c>
      <c r="B2997">
        <v>46160</v>
      </c>
      <c r="C2997" t="s">
        <v>149</v>
      </c>
      <c r="D2997" t="s">
        <v>1963</v>
      </c>
      <c r="E2997" t="s">
        <v>6076</v>
      </c>
      <c r="G2997" t="s">
        <v>6077</v>
      </c>
      <c r="J2997">
        <v>5.0381074159999999</v>
      </c>
      <c r="K2997">
        <v>0.81312368999999995</v>
      </c>
      <c r="L2997">
        <v>0.16969141800000001</v>
      </c>
      <c r="M2997" s="21">
        <v>-1.472645234</v>
      </c>
      <c r="N2997">
        <v>-1.326385052</v>
      </c>
    </row>
    <row r="2998" spans="1:14" x14ac:dyDescent="0.2">
      <c r="A2998" t="s">
        <v>345</v>
      </c>
      <c r="B2998">
        <v>45200</v>
      </c>
      <c r="C2998" t="s">
        <v>100</v>
      </c>
      <c r="D2998" t="s">
        <v>345</v>
      </c>
      <c r="E2998" t="s">
        <v>6078</v>
      </c>
      <c r="G2998" t="s">
        <v>6079</v>
      </c>
      <c r="J2998">
        <v>5.9110743220000002</v>
      </c>
      <c r="K2998">
        <v>0.71598987199999997</v>
      </c>
      <c r="L2998">
        <v>0.29077365599999999</v>
      </c>
      <c r="M2998" s="21">
        <v>-1.4727301610000001</v>
      </c>
      <c r="N2998">
        <v>-1.3268213520000001</v>
      </c>
    </row>
    <row r="2999" spans="1:14" x14ac:dyDescent="0.2">
      <c r="A2999" t="s">
        <v>361</v>
      </c>
      <c r="B2999">
        <v>39200</v>
      </c>
      <c r="C2999" t="s">
        <v>58</v>
      </c>
      <c r="D2999" t="s">
        <v>361</v>
      </c>
      <c r="E2999" t="s">
        <v>6080</v>
      </c>
      <c r="G2999" t="s">
        <v>6081</v>
      </c>
      <c r="J2999">
        <v>4.5363847230000003</v>
      </c>
      <c r="K2999">
        <v>0.245646371</v>
      </c>
      <c r="L2999">
        <v>7.5242279999999995E-2</v>
      </c>
      <c r="M2999" s="21">
        <v>-1.4727906589999999</v>
      </c>
      <c r="N2999">
        <v>-1.3271321570000001</v>
      </c>
    </row>
    <row r="3000" spans="1:14" x14ac:dyDescent="0.2">
      <c r="A3000" t="s">
        <v>1659</v>
      </c>
      <c r="B3000">
        <v>39160</v>
      </c>
      <c r="C3000" t="s">
        <v>58</v>
      </c>
      <c r="D3000" t="s">
        <v>1660</v>
      </c>
      <c r="E3000" t="s">
        <v>6082</v>
      </c>
      <c r="G3000" t="s">
        <v>6083</v>
      </c>
      <c r="J3000">
        <v>4.5363847230000003</v>
      </c>
      <c r="K3000">
        <v>0.245646371</v>
      </c>
      <c r="L3000">
        <v>7.5242279999999995E-2</v>
      </c>
      <c r="M3000" s="21">
        <v>-1.4728292890000001</v>
      </c>
      <c r="N3000">
        <v>-1.3273306090000001</v>
      </c>
    </row>
    <row r="3001" spans="1:14" x14ac:dyDescent="0.2">
      <c r="A3001" t="s">
        <v>2885</v>
      </c>
      <c r="B3001">
        <v>45680</v>
      </c>
      <c r="C3001" t="s">
        <v>149</v>
      </c>
      <c r="D3001" t="s">
        <v>2885</v>
      </c>
      <c r="E3001" t="s">
        <v>6084</v>
      </c>
      <c r="G3001" t="s">
        <v>6085</v>
      </c>
      <c r="J3001">
        <v>5.0381074159999999</v>
      </c>
      <c r="K3001">
        <v>0.81312368999999995</v>
      </c>
      <c r="L3001">
        <v>0.16969141800000001</v>
      </c>
      <c r="M3001" s="21">
        <v>-1.47308905</v>
      </c>
      <c r="N3001">
        <v>-1.3286651</v>
      </c>
    </row>
    <row r="3002" spans="1:14" x14ac:dyDescent="0.2">
      <c r="A3002" t="s">
        <v>426</v>
      </c>
      <c r="B3002">
        <v>45640</v>
      </c>
      <c r="C3002" t="s">
        <v>149</v>
      </c>
      <c r="D3002" t="s">
        <v>426</v>
      </c>
      <c r="E3002" t="s">
        <v>6086</v>
      </c>
      <c r="G3002" t="s">
        <v>6087</v>
      </c>
      <c r="J3002">
        <v>5.0381074159999999</v>
      </c>
      <c r="K3002">
        <v>0.81312368999999995</v>
      </c>
      <c r="L3002">
        <v>0.16969141800000001</v>
      </c>
      <c r="M3002" s="21">
        <v>-1.4731260340000001</v>
      </c>
      <c r="N3002">
        <v>-1.328855103</v>
      </c>
    </row>
    <row r="3003" spans="1:14" x14ac:dyDescent="0.2">
      <c r="A3003" t="s">
        <v>1069</v>
      </c>
      <c r="B3003">
        <v>45440</v>
      </c>
      <c r="C3003" t="s">
        <v>149</v>
      </c>
      <c r="D3003" t="s">
        <v>1070</v>
      </c>
      <c r="E3003" t="s">
        <v>6088</v>
      </c>
      <c r="G3003" t="s">
        <v>6089</v>
      </c>
      <c r="J3003">
        <v>5.0381074159999999</v>
      </c>
      <c r="K3003">
        <v>0.81312368999999995</v>
      </c>
      <c r="L3003">
        <v>0.16969141800000001</v>
      </c>
      <c r="M3003" s="21">
        <v>-1.4733109579999999</v>
      </c>
      <c r="N3003">
        <v>-1.3298051230000001</v>
      </c>
    </row>
    <row r="3004" spans="1:14" x14ac:dyDescent="0.2">
      <c r="A3004" t="s">
        <v>775</v>
      </c>
      <c r="B3004">
        <v>38480</v>
      </c>
      <c r="C3004" t="s">
        <v>58</v>
      </c>
      <c r="D3004" t="s">
        <v>776</v>
      </c>
      <c r="E3004" t="s">
        <v>6090</v>
      </c>
      <c r="G3004" t="s">
        <v>6091</v>
      </c>
      <c r="J3004">
        <v>4.5363847230000003</v>
      </c>
      <c r="K3004">
        <v>0.245646371</v>
      </c>
      <c r="L3004">
        <v>7.5242279999999995E-2</v>
      </c>
      <c r="M3004" s="21">
        <v>-1.4734859819999999</v>
      </c>
      <c r="N3004">
        <v>-1.330704291</v>
      </c>
    </row>
    <row r="3005" spans="1:14" x14ac:dyDescent="0.2">
      <c r="A3005" t="s">
        <v>1069</v>
      </c>
      <c r="B3005">
        <v>44360</v>
      </c>
      <c r="C3005" t="s">
        <v>100</v>
      </c>
      <c r="D3005" t="s">
        <v>1070</v>
      </c>
      <c r="E3005" t="s">
        <v>6092</v>
      </c>
      <c r="G3005" t="s">
        <v>6093</v>
      </c>
      <c r="J3005">
        <v>5.9110743220000002</v>
      </c>
      <c r="K3005">
        <v>0.71598987199999997</v>
      </c>
      <c r="L3005">
        <v>0.29077365599999999</v>
      </c>
      <c r="M3005" s="21">
        <v>-1.4735640400000001</v>
      </c>
      <c r="N3005">
        <v>-1.3311053020000001</v>
      </c>
    </row>
    <row r="3006" spans="1:14" x14ac:dyDescent="0.2">
      <c r="A3006" t="s">
        <v>603</v>
      </c>
      <c r="B3006">
        <v>43800</v>
      </c>
      <c r="C3006" t="s">
        <v>100</v>
      </c>
      <c r="D3006" t="s">
        <v>604</v>
      </c>
      <c r="E3006" t="s">
        <v>6094</v>
      </c>
      <c r="G3006" t="s">
        <v>6095</v>
      </c>
      <c r="J3006">
        <v>5.9110743220000002</v>
      </c>
      <c r="K3006">
        <v>0.71598987199999997</v>
      </c>
      <c r="L3006">
        <v>0.29077365599999999</v>
      </c>
      <c r="M3006" s="21">
        <v>-1.474119959</v>
      </c>
      <c r="N3006">
        <v>-1.333961269</v>
      </c>
    </row>
    <row r="3007" spans="1:14" x14ac:dyDescent="0.2">
      <c r="A3007" t="s">
        <v>1295</v>
      </c>
      <c r="B3007">
        <v>37680</v>
      </c>
      <c r="C3007" t="s">
        <v>58</v>
      </c>
      <c r="D3007" t="s">
        <v>1296</v>
      </c>
      <c r="E3007" t="s">
        <v>6096</v>
      </c>
      <c r="G3007" t="s">
        <v>6097</v>
      </c>
      <c r="J3007">
        <v>4.5363847230000003</v>
      </c>
      <c r="K3007">
        <v>0.245646371</v>
      </c>
      <c r="L3007">
        <v>7.5242279999999995E-2</v>
      </c>
      <c r="M3007" s="21">
        <v>-1.4742585640000001</v>
      </c>
      <c r="N3007">
        <v>-1.33467333</v>
      </c>
    </row>
    <row r="3008" spans="1:14" x14ac:dyDescent="0.2">
      <c r="A3008" t="s">
        <v>3235</v>
      </c>
      <c r="B3008">
        <v>37520</v>
      </c>
      <c r="C3008" t="s">
        <v>58</v>
      </c>
      <c r="D3008" t="s">
        <v>3236</v>
      </c>
      <c r="E3008" t="s">
        <v>6098</v>
      </c>
      <c r="G3008" t="s">
        <v>6099</v>
      </c>
      <c r="J3008">
        <v>4.5363847230000003</v>
      </c>
      <c r="K3008">
        <v>0.245646371</v>
      </c>
      <c r="L3008">
        <v>7.5242279999999995E-2</v>
      </c>
      <c r="M3008" s="21">
        <v>-1.4744130799999999</v>
      </c>
      <c r="N3008">
        <v>-1.335467137</v>
      </c>
    </row>
    <row r="3009" spans="1:14" x14ac:dyDescent="0.2">
      <c r="A3009" t="s">
        <v>500</v>
      </c>
      <c r="B3009">
        <v>43200</v>
      </c>
      <c r="C3009" t="s">
        <v>100</v>
      </c>
      <c r="D3009" t="s">
        <v>501</v>
      </c>
      <c r="E3009" t="s">
        <v>6100</v>
      </c>
      <c r="G3009" t="s">
        <v>6101</v>
      </c>
      <c r="J3009">
        <v>5.9110743220000002</v>
      </c>
      <c r="K3009">
        <v>0.71598987199999997</v>
      </c>
      <c r="L3009">
        <v>0.29077365599999999</v>
      </c>
      <c r="M3009" s="21">
        <v>-1.474715588</v>
      </c>
      <c r="N3009">
        <v>-1.337021233</v>
      </c>
    </row>
    <row r="3010" spans="1:14" x14ac:dyDescent="0.2">
      <c r="A3010" t="s">
        <v>1356</v>
      </c>
      <c r="B3010">
        <v>36880</v>
      </c>
      <c r="C3010" t="s">
        <v>58</v>
      </c>
      <c r="D3010" t="s">
        <v>1356</v>
      </c>
      <c r="E3010" t="s">
        <v>6102</v>
      </c>
      <c r="G3010" t="s">
        <v>6103</v>
      </c>
      <c r="J3010">
        <v>4.5363847230000003</v>
      </c>
      <c r="K3010">
        <v>0.245646371</v>
      </c>
      <c r="L3010">
        <v>7.5242279999999995E-2</v>
      </c>
      <c r="M3010" s="21">
        <v>-1.475031145</v>
      </c>
      <c r="N3010">
        <v>-1.3386423679999999</v>
      </c>
    </row>
    <row r="3011" spans="1:14" x14ac:dyDescent="0.2">
      <c r="A3011" t="s">
        <v>1295</v>
      </c>
      <c r="B3011">
        <v>42680</v>
      </c>
      <c r="C3011" t="s">
        <v>100</v>
      </c>
      <c r="D3011" t="s">
        <v>1296</v>
      </c>
      <c r="E3011" t="s">
        <v>6104</v>
      </c>
      <c r="G3011" t="s">
        <v>6105</v>
      </c>
      <c r="J3011">
        <v>5.9110743220000002</v>
      </c>
      <c r="K3011">
        <v>0.71598987199999997</v>
      </c>
      <c r="L3011">
        <v>0.29077365599999999</v>
      </c>
      <c r="M3011" s="21">
        <v>-1.4752317989999999</v>
      </c>
      <c r="N3011">
        <v>-1.339673202</v>
      </c>
    </row>
    <row r="3012" spans="1:14" x14ac:dyDescent="0.2">
      <c r="A3012" t="s">
        <v>730</v>
      </c>
      <c r="B3012">
        <v>43360</v>
      </c>
      <c r="C3012" t="s">
        <v>149</v>
      </c>
      <c r="D3012" t="s">
        <v>731</v>
      </c>
      <c r="E3012" t="s">
        <v>6106</v>
      </c>
      <c r="G3012" t="s">
        <v>6107</v>
      </c>
      <c r="J3012">
        <v>5.0381074159999999</v>
      </c>
      <c r="K3012">
        <v>0.81312368999999995</v>
      </c>
      <c r="L3012">
        <v>0.16969141800000001</v>
      </c>
      <c r="M3012" s="21">
        <v>-1.475234159</v>
      </c>
      <c r="N3012">
        <v>-1.3396853289999999</v>
      </c>
    </row>
    <row r="3013" spans="1:14" x14ac:dyDescent="0.2">
      <c r="A3013" t="s">
        <v>2031</v>
      </c>
      <c r="B3013">
        <v>36480</v>
      </c>
      <c r="C3013" t="s">
        <v>58</v>
      </c>
      <c r="D3013" t="s">
        <v>2032</v>
      </c>
      <c r="E3013" t="s">
        <v>6108</v>
      </c>
      <c r="G3013" t="s">
        <v>6109</v>
      </c>
      <c r="J3013">
        <v>4.5363847230000003</v>
      </c>
      <c r="K3013">
        <v>0.245646371</v>
      </c>
      <c r="L3013">
        <v>7.5242279999999995E-2</v>
      </c>
      <c r="M3013" s="21">
        <v>-1.475417435</v>
      </c>
      <c r="N3013">
        <v>-1.340626887</v>
      </c>
    </row>
    <row r="3014" spans="1:14" x14ac:dyDescent="0.2">
      <c r="A3014" t="s">
        <v>1409</v>
      </c>
      <c r="B3014">
        <v>42480</v>
      </c>
      <c r="C3014" t="s">
        <v>100</v>
      </c>
      <c r="D3014" t="s">
        <v>1410</v>
      </c>
      <c r="E3014" t="s">
        <v>6110</v>
      </c>
      <c r="G3014" t="s">
        <v>6111</v>
      </c>
      <c r="J3014">
        <v>5.9110743220000002</v>
      </c>
      <c r="K3014">
        <v>0.71598987199999997</v>
      </c>
      <c r="L3014">
        <v>0.29077365599999999</v>
      </c>
      <c r="M3014" s="21">
        <v>-1.475430341</v>
      </c>
      <c r="N3014">
        <v>-1.3406931900000001</v>
      </c>
    </row>
    <row r="3015" spans="1:14" x14ac:dyDescent="0.2">
      <c r="A3015" t="s">
        <v>451</v>
      </c>
      <c r="B3015">
        <v>36400</v>
      </c>
      <c r="C3015" t="s">
        <v>58</v>
      </c>
      <c r="D3015" t="s">
        <v>452</v>
      </c>
      <c r="E3015" t="s">
        <v>6112</v>
      </c>
      <c r="G3015" t="s">
        <v>6113</v>
      </c>
      <c r="J3015">
        <v>4.5363847230000003</v>
      </c>
      <c r="K3015">
        <v>0.245646371</v>
      </c>
      <c r="L3015">
        <v>7.5242279999999995E-2</v>
      </c>
      <c r="M3015" s="21">
        <v>-1.4754946929999999</v>
      </c>
      <c r="N3015">
        <v>-1.341023791</v>
      </c>
    </row>
    <row r="3016" spans="1:14" x14ac:dyDescent="0.2">
      <c r="A3016" t="s">
        <v>18</v>
      </c>
      <c r="B3016">
        <v>42400</v>
      </c>
      <c r="C3016" t="s">
        <v>100</v>
      </c>
      <c r="D3016" t="s">
        <v>19</v>
      </c>
      <c r="E3016" t="s">
        <v>6114</v>
      </c>
      <c r="G3016" t="s">
        <v>6115</v>
      </c>
      <c r="J3016">
        <v>5.9110743220000002</v>
      </c>
      <c r="K3016">
        <v>0.71598987199999997</v>
      </c>
      <c r="L3016">
        <v>0.29077365599999999</v>
      </c>
      <c r="M3016" s="21">
        <v>-1.4755097580000001</v>
      </c>
      <c r="N3016">
        <v>-1.3411011859999999</v>
      </c>
    </row>
    <row r="3017" spans="1:14" x14ac:dyDescent="0.2">
      <c r="A3017" t="s">
        <v>448</v>
      </c>
      <c r="B3017">
        <v>42840</v>
      </c>
      <c r="C3017" t="s">
        <v>149</v>
      </c>
      <c r="D3017" t="s">
        <v>448</v>
      </c>
      <c r="E3017" t="s">
        <v>6116</v>
      </c>
      <c r="G3017" t="s">
        <v>6117</v>
      </c>
      <c r="J3017">
        <v>5.0381074159999999</v>
      </c>
      <c r="K3017">
        <v>0.81312368999999995</v>
      </c>
      <c r="L3017">
        <v>0.16969141800000001</v>
      </c>
      <c r="M3017" s="21">
        <v>-1.475714959</v>
      </c>
      <c r="N3017">
        <v>-1.3421553799999999</v>
      </c>
    </row>
    <row r="3018" spans="1:14" x14ac:dyDescent="0.2">
      <c r="A3018" t="s">
        <v>148</v>
      </c>
      <c r="B3018">
        <v>42120</v>
      </c>
      <c r="C3018" t="s">
        <v>100</v>
      </c>
      <c r="D3018" t="s">
        <v>148</v>
      </c>
      <c r="E3018" t="s">
        <v>6118</v>
      </c>
      <c r="G3018" t="s">
        <v>6119</v>
      </c>
      <c r="J3018">
        <v>5.9110743220000002</v>
      </c>
      <c r="K3018">
        <v>0.71598987199999997</v>
      </c>
      <c r="L3018">
        <v>0.29077365599999999</v>
      </c>
      <c r="M3018" s="21">
        <v>-1.4757877180000001</v>
      </c>
      <c r="N3018">
        <v>-1.3425291690000001</v>
      </c>
    </row>
    <row r="3019" spans="1:14" x14ac:dyDescent="0.2">
      <c r="A3019" t="s">
        <v>2206</v>
      </c>
      <c r="B3019">
        <v>42000</v>
      </c>
      <c r="C3019" t="s">
        <v>100</v>
      </c>
      <c r="D3019" t="s">
        <v>2207</v>
      </c>
      <c r="E3019" t="s">
        <v>6120</v>
      </c>
      <c r="G3019" t="s">
        <v>6121</v>
      </c>
      <c r="J3019">
        <v>5.9110743220000002</v>
      </c>
      <c r="K3019">
        <v>0.71598987199999997</v>
      </c>
      <c r="L3019">
        <v>0.29077365599999999</v>
      </c>
      <c r="M3019" s="21">
        <v>-1.4759068440000001</v>
      </c>
      <c r="N3019">
        <v>-1.343141162</v>
      </c>
    </row>
    <row r="3020" spans="1:14" x14ac:dyDescent="0.2">
      <c r="A3020" t="s">
        <v>1521</v>
      </c>
      <c r="B3020">
        <v>41880</v>
      </c>
      <c r="C3020" t="s">
        <v>100</v>
      </c>
      <c r="D3020" t="s">
        <v>1521</v>
      </c>
      <c r="E3020" t="s">
        <v>6122</v>
      </c>
      <c r="G3020" t="s">
        <v>6123</v>
      </c>
      <c r="J3020">
        <v>5.9110743220000002</v>
      </c>
      <c r="K3020">
        <v>0.71598987199999997</v>
      </c>
      <c r="L3020">
        <v>0.29077365599999999</v>
      </c>
      <c r="M3020" s="21">
        <v>-1.4760259689999999</v>
      </c>
      <c r="N3020">
        <v>-1.3437531549999999</v>
      </c>
    </row>
    <row r="3021" spans="1:14" x14ac:dyDescent="0.2">
      <c r="A3021" t="s">
        <v>1897</v>
      </c>
      <c r="B3021">
        <v>41600</v>
      </c>
      <c r="C3021" t="s">
        <v>100</v>
      </c>
      <c r="D3021" t="s">
        <v>1897</v>
      </c>
      <c r="E3021" t="s">
        <v>6124</v>
      </c>
      <c r="G3021" t="s">
        <v>6125</v>
      </c>
      <c r="J3021">
        <v>5.9110743220000002</v>
      </c>
      <c r="K3021">
        <v>0.71598987199999997</v>
      </c>
      <c r="L3021">
        <v>0.29077365599999999</v>
      </c>
      <c r="M3021" s="21">
        <v>-1.476303929</v>
      </c>
      <c r="N3021">
        <v>-1.3451811380000001</v>
      </c>
    </row>
    <row r="3022" spans="1:14" x14ac:dyDescent="0.2">
      <c r="A3022" t="s">
        <v>2073</v>
      </c>
      <c r="B3022">
        <v>35360</v>
      </c>
      <c r="C3022" t="s">
        <v>58</v>
      </c>
      <c r="D3022" t="s">
        <v>2074</v>
      </c>
      <c r="E3022" t="s">
        <v>6126</v>
      </c>
      <c r="G3022" t="s">
        <v>6127</v>
      </c>
      <c r="J3022">
        <v>4.5363847230000003</v>
      </c>
      <c r="K3022">
        <v>0.245646371</v>
      </c>
      <c r="L3022">
        <v>7.5242279999999995E-2</v>
      </c>
      <c r="M3022" s="21">
        <v>-1.4764990490000001</v>
      </c>
      <c r="N3022">
        <v>-1.346183541</v>
      </c>
    </row>
    <row r="3023" spans="1:14" x14ac:dyDescent="0.2">
      <c r="A3023" t="s">
        <v>1256</v>
      </c>
      <c r="B3023">
        <v>35360</v>
      </c>
      <c r="C3023" t="s">
        <v>58</v>
      </c>
      <c r="D3023" t="s">
        <v>1257</v>
      </c>
      <c r="E3023" t="s">
        <v>6128</v>
      </c>
      <c r="G3023" t="s">
        <v>6129</v>
      </c>
      <c r="J3023">
        <v>4.5363847230000003</v>
      </c>
      <c r="K3023">
        <v>0.245646371</v>
      </c>
      <c r="L3023">
        <v>7.5242279999999995E-2</v>
      </c>
      <c r="M3023" s="21">
        <v>-1.4764990490000001</v>
      </c>
      <c r="N3023">
        <v>-1.346183541</v>
      </c>
    </row>
    <row r="3024" spans="1:14" x14ac:dyDescent="0.2">
      <c r="A3024" t="s">
        <v>1069</v>
      </c>
      <c r="B3024">
        <v>35160</v>
      </c>
      <c r="C3024" t="s">
        <v>58</v>
      </c>
      <c r="D3024" t="s">
        <v>1070</v>
      </c>
      <c r="E3024" t="s">
        <v>6130</v>
      </c>
      <c r="G3024" t="s">
        <v>6131</v>
      </c>
      <c r="J3024">
        <v>4.5363847230000003</v>
      </c>
      <c r="K3024">
        <v>0.245646371</v>
      </c>
      <c r="L3024">
        <v>7.5242279999999995E-2</v>
      </c>
      <c r="M3024" s="21">
        <v>-1.476692194</v>
      </c>
      <c r="N3024">
        <v>-1.3471758</v>
      </c>
    </row>
    <row r="3025" spans="1:14" x14ac:dyDescent="0.2">
      <c r="A3025" t="s">
        <v>2206</v>
      </c>
      <c r="B3025">
        <v>34920</v>
      </c>
      <c r="C3025" t="s">
        <v>58</v>
      </c>
      <c r="D3025" t="s">
        <v>2207</v>
      </c>
      <c r="E3025" t="s">
        <v>6132</v>
      </c>
      <c r="G3025" t="s">
        <v>6133</v>
      </c>
      <c r="J3025">
        <v>4.5363847230000003</v>
      </c>
      <c r="K3025">
        <v>0.245646371</v>
      </c>
      <c r="L3025">
        <v>7.5242279999999995E-2</v>
      </c>
      <c r="M3025" s="21">
        <v>-1.4769239679999999</v>
      </c>
      <c r="N3025">
        <v>-1.3483665119999999</v>
      </c>
    </row>
    <row r="3026" spans="1:14" x14ac:dyDescent="0.2">
      <c r="A3026" t="s">
        <v>1123</v>
      </c>
      <c r="B3026">
        <v>34640</v>
      </c>
      <c r="C3026" t="s">
        <v>58</v>
      </c>
      <c r="D3026" t="s">
        <v>1123</v>
      </c>
      <c r="E3026" t="s">
        <v>6134</v>
      </c>
      <c r="G3026" t="s">
        <v>6135</v>
      </c>
      <c r="J3026">
        <v>4.5363847230000003</v>
      </c>
      <c r="K3026">
        <v>0.245646371</v>
      </c>
      <c r="L3026">
        <v>7.5242279999999995E-2</v>
      </c>
      <c r="M3026" s="21">
        <v>-1.477194372</v>
      </c>
      <c r="N3026">
        <v>-1.3497556749999999</v>
      </c>
    </row>
    <row r="3027" spans="1:14" x14ac:dyDescent="0.2">
      <c r="A3027" t="s">
        <v>951</v>
      </c>
      <c r="B3027">
        <v>34400</v>
      </c>
      <c r="C3027" t="s">
        <v>58</v>
      </c>
      <c r="D3027" t="s">
        <v>951</v>
      </c>
      <c r="E3027" t="s">
        <v>6136</v>
      </c>
      <c r="G3027" t="s">
        <v>6137</v>
      </c>
      <c r="J3027">
        <v>4.5363847230000003</v>
      </c>
      <c r="K3027">
        <v>0.245646371</v>
      </c>
      <c r="L3027">
        <v>7.5242279999999995E-2</v>
      </c>
      <c r="M3027" s="21">
        <v>-1.477426146</v>
      </c>
      <c r="N3027">
        <v>-1.350946387</v>
      </c>
    </row>
    <row r="3028" spans="1:14" x14ac:dyDescent="0.2">
      <c r="A3028" t="s">
        <v>727</v>
      </c>
      <c r="B3028">
        <v>40960</v>
      </c>
      <c r="C3028" t="s">
        <v>149</v>
      </c>
      <c r="D3028" t="s">
        <v>727</v>
      </c>
      <c r="E3028" t="s">
        <v>6138</v>
      </c>
      <c r="G3028" t="s">
        <v>6139</v>
      </c>
      <c r="J3028">
        <v>5.0381074159999999</v>
      </c>
      <c r="K3028">
        <v>0.81312368999999995</v>
      </c>
      <c r="L3028">
        <v>0.16969141800000001</v>
      </c>
      <c r="M3028" s="21">
        <v>-1.4774532380000001</v>
      </c>
      <c r="N3028">
        <v>-1.3510855660000001</v>
      </c>
    </row>
    <row r="3029" spans="1:14" x14ac:dyDescent="0.2">
      <c r="A3029" t="s">
        <v>714</v>
      </c>
      <c r="B3029">
        <v>99040</v>
      </c>
      <c r="C3029" t="s">
        <v>14</v>
      </c>
      <c r="D3029" t="s">
        <v>715</v>
      </c>
      <c r="E3029" t="s">
        <v>6140</v>
      </c>
      <c r="G3029" t="s">
        <v>6141</v>
      </c>
      <c r="J3029">
        <v>6.7484204910000001</v>
      </c>
      <c r="K3029">
        <v>0.48629166299999999</v>
      </c>
      <c r="L3029">
        <v>0.375053939</v>
      </c>
      <c r="M3029" s="21">
        <v>-1.4774609919999999</v>
      </c>
      <c r="N3029">
        <v>-1.3511254049999999</v>
      </c>
    </row>
    <row r="3030" spans="1:14" x14ac:dyDescent="0.2">
      <c r="A3030" t="s">
        <v>2885</v>
      </c>
      <c r="B3030">
        <v>40360</v>
      </c>
      <c r="C3030" t="s">
        <v>100</v>
      </c>
      <c r="D3030" t="s">
        <v>2885</v>
      </c>
      <c r="E3030" t="s">
        <v>6142</v>
      </c>
      <c r="G3030" t="s">
        <v>6143</v>
      </c>
      <c r="J3030">
        <v>5.9110743220000002</v>
      </c>
      <c r="K3030">
        <v>0.71598987199999997</v>
      </c>
      <c r="L3030">
        <v>0.29077365599999999</v>
      </c>
      <c r="M3030" s="21">
        <v>-1.4775348939999999</v>
      </c>
      <c r="N3030">
        <v>-1.351505065</v>
      </c>
    </row>
    <row r="3031" spans="1:14" x14ac:dyDescent="0.2">
      <c r="A3031" t="s">
        <v>839</v>
      </c>
      <c r="B3031">
        <v>40200</v>
      </c>
      <c r="C3031" t="s">
        <v>100</v>
      </c>
      <c r="D3031" t="s">
        <v>840</v>
      </c>
      <c r="E3031" t="s">
        <v>6144</v>
      </c>
      <c r="G3031" t="s">
        <v>6145</v>
      </c>
      <c r="J3031">
        <v>5.9110743220000002</v>
      </c>
      <c r="K3031">
        <v>0.71598987199999997</v>
      </c>
      <c r="L3031">
        <v>0.29077365599999999</v>
      </c>
      <c r="M3031" s="21">
        <v>-1.477693728</v>
      </c>
      <c r="N3031">
        <v>-1.352321055</v>
      </c>
    </row>
    <row r="3032" spans="1:14" x14ac:dyDescent="0.2">
      <c r="A3032" t="s">
        <v>944</v>
      </c>
      <c r="B3032">
        <v>34120</v>
      </c>
      <c r="C3032" t="s">
        <v>58</v>
      </c>
      <c r="D3032" t="s">
        <v>944</v>
      </c>
      <c r="E3032" t="s">
        <v>6146</v>
      </c>
      <c r="G3032" t="s">
        <v>6147</v>
      </c>
      <c r="J3032">
        <v>4.5363847230000003</v>
      </c>
      <c r="K3032">
        <v>0.245646371</v>
      </c>
      <c r="L3032">
        <v>7.5242279999999995E-2</v>
      </c>
      <c r="M3032" s="21">
        <v>-1.477696549</v>
      </c>
      <c r="N3032">
        <v>-1.3523355500000001</v>
      </c>
    </row>
    <row r="3033" spans="1:14" x14ac:dyDescent="0.2">
      <c r="A3033" t="s">
        <v>2385</v>
      </c>
      <c r="B3033">
        <v>34120</v>
      </c>
      <c r="C3033" t="s">
        <v>58</v>
      </c>
      <c r="D3033" t="s">
        <v>2385</v>
      </c>
      <c r="E3033" t="s">
        <v>6148</v>
      </c>
      <c r="G3033" t="s">
        <v>6149</v>
      </c>
      <c r="J3033">
        <v>4.5363847230000003</v>
      </c>
      <c r="K3033">
        <v>0.245646371</v>
      </c>
      <c r="L3033">
        <v>7.5242279999999995E-2</v>
      </c>
      <c r="M3033" s="21">
        <v>-1.477696549</v>
      </c>
      <c r="N3033">
        <v>-1.3523355500000001</v>
      </c>
    </row>
    <row r="3034" spans="1:14" x14ac:dyDescent="0.2">
      <c r="A3034" t="s">
        <v>547</v>
      </c>
      <c r="B3034">
        <v>34080</v>
      </c>
      <c r="C3034" t="s">
        <v>58</v>
      </c>
      <c r="D3034" t="s">
        <v>548</v>
      </c>
      <c r="E3034" t="s">
        <v>6150</v>
      </c>
      <c r="G3034" t="s">
        <v>6151</v>
      </c>
      <c r="J3034">
        <v>4.5363847230000003</v>
      </c>
      <c r="K3034">
        <v>0.245646371</v>
      </c>
      <c r="L3034">
        <v>7.5242279999999995E-2</v>
      </c>
      <c r="M3034" s="21">
        <v>-1.477735179</v>
      </c>
      <c r="N3034">
        <v>-1.3525340020000001</v>
      </c>
    </row>
    <row r="3035" spans="1:14" x14ac:dyDescent="0.2">
      <c r="A3035" t="s">
        <v>1140</v>
      </c>
      <c r="B3035">
        <v>34000</v>
      </c>
      <c r="C3035" t="s">
        <v>58</v>
      </c>
      <c r="D3035" t="s">
        <v>1141</v>
      </c>
      <c r="E3035" t="s">
        <v>6152</v>
      </c>
      <c r="G3035" t="s">
        <v>6153</v>
      </c>
      <c r="J3035">
        <v>4.5363847230000003</v>
      </c>
      <c r="K3035">
        <v>0.245646371</v>
      </c>
      <c r="L3035">
        <v>7.5242279999999995E-2</v>
      </c>
      <c r="M3035" s="21">
        <v>-1.4778124370000001</v>
      </c>
      <c r="N3035">
        <v>-1.3529309060000001</v>
      </c>
    </row>
    <row r="3036" spans="1:14" x14ac:dyDescent="0.2">
      <c r="A3036" t="s">
        <v>435</v>
      </c>
      <c r="B3036">
        <v>40000</v>
      </c>
      <c r="C3036" t="s">
        <v>100</v>
      </c>
      <c r="D3036" t="s">
        <v>435</v>
      </c>
      <c r="E3036" t="s">
        <v>6154</v>
      </c>
      <c r="G3036" t="s">
        <v>6155</v>
      </c>
      <c r="J3036">
        <v>5.9110743220000002</v>
      </c>
      <c r="K3036">
        <v>0.71598987199999997</v>
      </c>
      <c r="L3036">
        <v>0.29077365599999999</v>
      </c>
      <c r="M3036" s="21">
        <v>-1.477892271</v>
      </c>
      <c r="N3036">
        <v>-1.353341044</v>
      </c>
    </row>
    <row r="3037" spans="1:14" x14ac:dyDescent="0.2">
      <c r="A3037" t="s">
        <v>57</v>
      </c>
      <c r="B3037">
        <v>40000</v>
      </c>
      <c r="C3037" t="s">
        <v>100</v>
      </c>
      <c r="D3037" t="s">
        <v>59</v>
      </c>
      <c r="E3037" t="s">
        <v>6156</v>
      </c>
      <c r="G3037" t="s">
        <v>6157</v>
      </c>
      <c r="J3037">
        <v>5.9110743220000002</v>
      </c>
      <c r="K3037">
        <v>0.71598987199999997</v>
      </c>
      <c r="L3037">
        <v>0.29077365599999999</v>
      </c>
      <c r="M3037" s="21">
        <v>-1.477892271</v>
      </c>
      <c r="N3037">
        <v>-1.353341044</v>
      </c>
    </row>
    <row r="3038" spans="1:14" x14ac:dyDescent="0.2">
      <c r="A3038" t="s">
        <v>325</v>
      </c>
      <c r="B3038">
        <v>33880</v>
      </c>
      <c r="C3038" t="s">
        <v>58</v>
      </c>
      <c r="D3038" t="s">
        <v>326</v>
      </c>
      <c r="E3038" t="s">
        <v>6158</v>
      </c>
      <c r="G3038" t="s">
        <v>6159</v>
      </c>
      <c r="J3038">
        <v>4.5363847230000003</v>
      </c>
      <c r="K3038">
        <v>0.245646371</v>
      </c>
      <c r="L3038">
        <v>7.5242279999999995E-2</v>
      </c>
      <c r="M3038" s="21">
        <v>-1.4779283240000001</v>
      </c>
      <c r="N3038">
        <v>-1.3535262619999999</v>
      </c>
    </row>
    <row r="3039" spans="1:14" x14ac:dyDescent="0.2">
      <c r="A3039" t="s">
        <v>342</v>
      </c>
      <c r="B3039">
        <v>33800</v>
      </c>
      <c r="C3039" t="s">
        <v>58</v>
      </c>
      <c r="D3039" t="s">
        <v>342</v>
      </c>
      <c r="E3039" t="s">
        <v>6160</v>
      </c>
      <c r="G3039" t="s">
        <v>6161</v>
      </c>
      <c r="J3039">
        <v>4.5363847230000003</v>
      </c>
      <c r="K3039">
        <v>0.245646371</v>
      </c>
      <c r="L3039">
        <v>7.5242279999999995E-2</v>
      </c>
      <c r="M3039" s="21">
        <v>-1.478005582</v>
      </c>
      <c r="N3039">
        <v>-1.3539231650000001</v>
      </c>
    </row>
    <row r="3040" spans="1:14" x14ac:dyDescent="0.2">
      <c r="A3040" t="s">
        <v>2453</v>
      </c>
      <c r="B3040">
        <v>39880</v>
      </c>
      <c r="C3040" t="s">
        <v>100</v>
      </c>
      <c r="D3040" t="s">
        <v>2454</v>
      </c>
      <c r="E3040" t="s">
        <v>6162</v>
      </c>
      <c r="G3040" t="s">
        <v>6163</v>
      </c>
      <c r="J3040">
        <v>5.9110743220000002</v>
      </c>
      <c r="K3040">
        <v>0.71598987199999997</v>
      </c>
      <c r="L3040">
        <v>0.29077365599999999</v>
      </c>
      <c r="M3040" s="21">
        <v>-1.4780113960000001</v>
      </c>
      <c r="N3040">
        <v>-1.3539530360000001</v>
      </c>
    </row>
    <row r="3041" spans="1:14" x14ac:dyDescent="0.2">
      <c r="A3041" t="s">
        <v>1290</v>
      </c>
      <c r="B3041">
        <v>33640</v>
      </c>
      <c r="C3041" t="s">
        <v>58</v>
      </c>
      <c r="D3041" t="s">
        <v>1291</v>
      </c>
      <c r="E3041" t="s">
        <v>6164</v>
      </c>
      <c r="G3041" t="s">
        <v>6165</v>
      </c>
      <c r="J3041">
        <v>4.5363847230000003</v>
      </c>
      <c r="K3041">
        <v>0.245646371</v>
      </c>
      <c r="L3041">
        <v>7.5242279999999995E-2</v>
      </c>
      <c r="M3041" s="21">
        <v>-1.478160098</v>
      </c>
      <c r="N3041">
        <v>-1.3547169729999999</v>
      </c>
    </row>
    <row r="3042" spans="1:14" x14ac:dyDescent="0.2">
      <c r="A3042" t="s">
        <v>355</v>
      </c>
      <c r="B3042">
        <v>98360</v>
      </c>
      <c r="C3042" t="s">
        <v>14</v>
      </c>
      <c r="D3042" t="s">
        <v>356</v>
      </c>
      <c r="E3042" t="s">
        <v>6166</v>
      </c>
      <c r="G3042" t="s">
        <v>6167</v>
      </c>
      <c r="J3042">
        <v>6.7484204910000001</v>
      </c>
      <c r="K3042">
        <v>0.48629166299999999</v>
      </c>
      <c r="L3042">
        <v>0.375053939</v>
      </c>
      <c r="M3042" s="21">
        <v>-1.4782060829999999</v>
      </c>
      <c r="N3042">
        <v>-1.354953217</v>
      </c>
    </row>
    <row r="3043" spans="1:14" x14ac:dyDescent="0.2">
      <c r="A3043" t="s">
        <v>352</v>
      </c>
      <c r="B3043">
        <v>39640</v>
      </c>
      <c r="C3043" t="s">
        <v>100</v>
      </c>
      <c r="D3043" t="s">
        <v>352</v>
      </c>
      <c r="E3043" t="s">
        <v>6168</v>
      </c>
      <c r="G3043" t="s">
        <v>6169</v>
      </c>
      <c r="J3043">
        <v>5.9110743220000002</v>
      </c>
      <c r="K3043">
        <v>0.71598987199999997</v>
      </c>
      <c r="L3043">
        <v>0.29077365599999999</v>
      </c>
      <c r="M3043" s="21">
        <v>-1.478249648</v>
      </c>
      <c r="N3043">
        <v>-1.3551770219999999</v>
      </c>
    </row>
    <row r="3044" spans="1:14" x14ac:dyDescent="0.2">
      <c r="A3044" t="s">
        <v>1133</v>
      </c>
      <c r="B3044">
        <v>40040</v>
      </c>
      <c r="C3044" t="s">
        <v>149</v>
      </c>
      <c r="D3044" t="s">
        <v>1134</v>
      </c>
      <c r="E3044" t="s">
        <v>6170</v>
      </c>
      <c r="G3044" t="s">
        <v>6171</v>
      </c>
      <c r="J3044">
        <v>5.0381074159999999</v>
      </c>
      <c r="K3044">
        <v>0.81312368999999995</v>
      </c>
      <c r="L3044">
        <v>0.16969141800000001</v>
      </c>
      <c r="M3044" s="21">
        <v>-1.478303884</v>
      </c>
      <c r="N3044">
        <v>-1.355455657</v>
      </c>
    </row>
    <row r="3045" spans="1:14" x14ac:dyDescent="0.2">
      <c r="A3045" t="s">
        <v>246</v>
      </c>
      <c r="B3045">
        <v>33400</v>
      </c>
      <c r="C3045" t="s">
        <v>58</v>
      </c>
      <c r="D3045" t="s">
        <v>246</v>
      </c>
      <c r="E3045" t="s">
        <v>6172</v>
      </c>
      <c r="G3045" t="s">
        <v>6173</v>
      </c>
      <c r="J3045">
        <v>4.5363847230000003</v>
      </c>
      <c r="K3045">
        <v>0.245646371</v>
      </c>
      <c r="L3045">
        <v>7.5242279999999995E-2</v>
      </c>
      <c r="M3045" s="21">
        <v>-1.478391872</v>
      </c>
      <c r="N3045">
        <v>-1.355907685</v>
      </c>
    </row>
    <row r="3046" spans="1:14" x14ac:dyDescent="0.2">
      <c r="A3046" t="s">
        <v>563</v>
      </c>
      <c r="B3046">
        <v>39880</v>
      </c>
      <c r="C3046" t="s">
        <v>149</v>
      </c>
      <c r="D3046" t="s">
        <v>564</v>
      </c>
      <c r="E3046" t="s">
        <v>6174</v>
      </c>
      <c r="G3046" t="s">
        <v>6175</v>
      </c>
      <c r="J3046">
        <v>5.0381074159999999</v>
      </c>
      <c r="K3046">
        <v>0.81312368999999995</v>
      </c>
      <c r="L3046">
        <v>0.16969141800000001</v>
      </c>
      <c r="M3046" s="21">
        <v>-1.4784518230000001</v>
      </c>
      <c r="N3046">
        <v>-1.356215672</v>
      </c>
    </row>
    <row r="3047" spans="1:14" x14ac:dyDescent="0.2">
      <c r="A3047" t="s">
        <v>998</v>
      </c>
      <c r="B3047">
        <v>39400</v>
      </c>
      <c r="C3047" t="s">
        <v>100</v>
      </c>
      <c r="D3047" t="s">
        <v>998</v>
      </c>
      <c r="E3047" t="s">
        <v>6176</v>
      </c>
      <c r="G3047" t="s">
        <v>6177</v>
      </c>
      <c r="J3047">
        <v>5.9110743220000002</v>
      </c>
      <c r="K3047">
        <v>0.71598987199999997</v>
      </c>
      <c r="L3047">
        <v>0.29077365599999999</v>
      </c>
      <c r="M3047" s="21">
        <v>-1.4784878990000001</v>
      </c>
      <c r="N3047">
        <v>-1.356401008</v>
      </c>
    </row>
    <row r="3048" spans="1:14" x14ac:dyDescent="0.2">
      <c r="A3048" t="s">
        <v>846</v>
      </c>
      <c r="B3048">
        <v>39160</v>
      </c>
      <c r="C3048" t="s">
        <v>100</v>
      </c>
      <c r="D3048" t="s">
        <v>847</v>
      </c>
      <c r="E3048" t="s">
        <v>6178</v>
      </c>
      <c r="G3048" t="s">
        <v>6179</v>
      </c>
      <c r="J3048">
        <v>5.9110743220000002</v>
      </c>
      <c r="K3048">
        <v>0.71598987199999997</v>
      </c>
      <c r="L3048">
        <v>0.29077365599999999</v>
      </c>
      <c r="M3048" s="21">
        <v>-1.47872615</v>
      </c>
      <c r="N3048">
        <v>-1.357624994</v>
      </c>
    </row>
    <row r="3049" spans="1:14" x14ac:dyDescent="0.2">
      <c r="A3049" t="s">
        <v>314</v>
      </c>
      <c r="B3049">
        <v>39120</v>
      </c>
      <c r="C3049" t="s">
        <v>100</v>
      </c>
      <c r="D3049" t="s">
        <v>315</v>
      </c>
      <c r="E3049" t="s">
        <v>6180</v>
      </c>
      <c r="G3049" t="s">
        <v>6181</v>
      </c>
      <c r="J3049">
        <v>5.9110743220000002</v>
      </c>
      <c r="K3049">
        <v>0.71598987199999997</v>
      </c>
      <c r="L3049">
        <v>0.29077365599999999</v>
      </c>
      <c r="M3049" s="21">
        <v>-1.4787658589999999</v>
      </c>
      <c r="N3049">
        <v>-1.3578289910000001</v>
      </c>
    </row>
    <row r="3050" spans="1:14" x14ac:dyDescent="0.2">
      <c r="A3050" t="s">
        <v>541</v>
      </c>
      <c r="B3050">
        <v>32920</v>
      </c>
      <c r="C3050" t="s">
        <v>58</v>
      </c>
      <c r="D3050" t="s">
        <v>542</v>
      </c>
      <c r="E3050" t="s">
        <v>6182</v>
      </c>
      <c r="G3050" t="s">
        <v>6183</v>
      </c>
      <c r="J3050">
        <v>4.5363847230000003</v>
      </c>
      <c r="K3050">
        <v>0.245646371</v>
      </c>
      <c r="L3050">
        <v>7.5242279999999995E-2</v>
      </c>
      <c r="M3050" s="21">
        <v>-1.478855421</v>
      </c>
      <c r="N3050">
        <v>-1.3582891070000001</v>
      </c>
    </row>
    <row r="3051" spans="1:14" x14ac:dyDescent="0.2">
      <c r="A3051" t="s">
        <v>1954</v>
      </c>
      <c r="B3051">
        <v>39400</v>
      </c>
      <c r="C3051" t="s">
        <v>149</v>
      </c>
      <c r="D3051" t="s">
        <v>1955</v>
      </c>
      <c r="E3051" t="s">
        <v>6184</v>
      </c>
      <c r="G3051" t="s">
        <v>6185</v>
      </c>
      <c r="J3051">
        <v>5.0381074159999999</v>
      </c>
      <c r="K3051">
        <v>0.81312368999999995</v>
      </c>
      <c r="L3051">
        <v>0.16969141800000001</v>
      </c>
      <c r="M3051" s="21">
        <v>-1.4788956390000001</v>
      </c>
      <c r="N3051">
        <v>-1.3584957200000001</v>
      </c>
    </row>
    <row r="3052" spans="1:14" x14ac:dyDescent="0.2">
      <c r="A3052" t="s">
        <v>465</v>
      </c>
      <c r="B3052">
        <v>32840</v>
      </c>
      <c r="C3052" t="s">
        <v>58</v>
      </c>
      <c r="D3052" t="s">
        <v>466</v>
      </c>
      <c r="E3052" t="s">
        <v>6186</v>
      </c>
      <c r="G3052" t="s">
        <v>6187</v>
      </c>
      <c r="J3052">
        <v>4.5363847230000003</v>
      </c>
      <c r="K3052">
        <v>0.245646371</v>
      </c>
      <c r="L3052">
        <v>7.5242279999999995E-2</v>
      </c>
      <c r="M3052" s="21">
        <v>-1.4789326789999999</v>
      </c>
      <c r="N3052">
        <v>-1.3586860110000001</v>
      </c>
    </row>
    <row r="3053" spans="1:14" x14ac:dyDescent="0.2">
      <c r="A3053" t="s">
        <v>511</v>
      </c>
      <c r="B3053">
        <v>32840</v>
      </c>
      <c r="C3053" t="s">
        <v>58</v>
      </c>
      <c r="D3053" t="s">
        <v>511</v>
      </c>
      <c r="E3053" t="s">
        <v>6188</v>
      </c>
      <c r="G3053" t="s">
        <v>6189</v>
      </c>
      <c r="J3053">
        <v>4.5363847230000003</v>
      </c>
      <c r="K3053">
        <v>0.245646371</v>
      </c>
      <c r="L3053">
        <v>7.5242279999999995E-2</v>
      </c>
      <c r="M3053" s="21">
        <v>-1.4789326789999999</v>
      </c>
      <c r="N3053">
        <v>-1.3586860110000001</v>
      </c>
    </row>
    <row r="3054" spans="1:14" x14ac:dyDescent="0.2">
      <c r="A3054" t="s">
        <v>1108</v>
      </c>
      <c r="B3054">
        <v>32640</v>
      </c>
      <c r="C3054" t="s">
        <v>58</v>
      </c>
      <c r="D3054" t="s">
        <v>1109</v>
      </c>
      <c r="E3054" t="s">
        <v>6190</v>
      </c>
      <c r="G3054" t="s">
        <v>6191</v>
      </c>
      <c r="J3054">
        <v>4.5363847230000003</v>
      </c>
      <c r="K3054">
        <v>0.245646371</v>
      </c>
      <c r="L3054">
        <v>7.5242279999999995E-2</v>
      </c>
      <c r="M3054" s="21">
        <v>-1.479125824</v>
      </c>
      <c r="N3054">
        <v>-1.3596782709999999</v>
      </c>
    </row>
    <row r="3055" spans="1:14" x14ac:dyDescent="0.2">
      <c r="A3055" t="s">
        <v>730</v>
      </c>
      <c r="B3055">
        <v>32600</v>
      </c>
      <c r="C3055" t="s">
        <v>58</v>
      </c>
      <c r="D3055" t="s">
        <v>731</v>
      </c>
      <c r="E3055" t="s">
        <v>6192</v>
      </c>
      <c r="G3055" t="s">
        <v>6193</v>
      </c>
      <c r="J3055">
        <v>4.5363847230000003</v>
      </c>
      <c r="K3055">
        <v>0.245646371</v>
      </c>
      <c r="L3055">
        <v>7.5242279999999995E-2</v>
      </c>
      <c r="M3055" s="21">
        <v>-1.479164454</v>
      </c>
      <c r="N3055">
        <v>-1.359876723</v>
      </c>
    </row>
    <row r="3056" spans="1:14" x14ac:dyDescent="0.2">
      <c r="A3056" t="s">
        <v>67</v>
      </c>
      <c r="B3056">
        <v>39040</v>
      </c>
      <c r="C3056" t="s">
        <v>149</v>
      </c>
      <c r="D3056" t="s">
        <v>69</v>
      </c>
      <c r="E3056" t="s">
        <v>6194</v>
      </c>
      <c r="G3056" t="s">
        <v>6195</v>
      </c>
      <c r="J3056">
        <v>5.0381074159999999</v>
      </c>
      <c r="K3056">
        <v>0.81312368999999995</v>
      </c>
      <c r="L3056">
        <v>0.16969141800000001</v>
      </c>
      <c r="M3056" s="21">
        <v>-1.4792285000000001</v>
      </c>
      <c r="N3056">
        <v>-1.360205755</v>
      </c>
    </row>
    <row r="3057" spans="1:14" x14ac:dyDescent="0.2">
      <c r="A3057" t="s">
        <v>759</v>
      </c>
      <c r="B3057">
        <v>32440</v>
      </c>
      <c r="C3057" t="s">
        <v>58</v>
      </c>
      <c r="D3057" t="s">
        <v>760</v>
      </c>
      <c r="E3057" t="s">
        <v>6196</v>
      </c>
      <c r="G3057" t="s">
        <v>6197</v>
      </c>
      <c r="J3057">
        <v>4.5363847230000003</v>
      </c>
      <c r="K3057">
        <v>0.245646371</v>
      </c>
      <c r="L3057">
        <v>7.5242279999999995E-2</v>
      </c>
      <c r="M3057" s="21">
        <v>-1.47931897</v>
      </c>
      <c r="N3057">
        <v>-1.3606705299999999</v>
      </c>
    </row>
    <row r="3058" spans="1:14" x14ac:dyDescent="0.2">
      <c r="A3058" t="s">
        <v>2077</v>
      </c>
      <c r="B3058">
        <v>38560</v>
      </c>
      <c r="C3058" t="s">
        <v>100</v>
      </c>
      <c r="D3058" t="s">
        <v>2077</v>
      </c>
      <c r="E3058" t="s">
        <v>6198</v>
      </c>
      <c r="G3058" t="s">
        <v>6199</v>
      </c>
      <c r="J3058">
        <v>5.9110743220000002</v>
      </c>
      <c r="K3058">
        <v>0.71598987199999997</v>
      </c>
      <c r="L3058">
        <v>0.29077365599999999</v>
      </c>
      <c r="M3058" s="21">
        <v>-1.4793217780000001</v>
      </c>
      <c r="N3058">
        <v>-1.360684958</v>
      </c>
    </row>
    <row r="3059" spans="1:14" x14ac:dyDescent="0.2">
      <c r="A3059" t="s">
        <v>820</v>
      </c>
      <c r="B3059">
        <v>38920</v>
      </c>
      <c r="C3059" t="s">
        <v>149</v>
      </c>
      <c r="D3059" t="s">
        <v>820</v>
      </c>
      <c r="E3059" t="s">
        <v>6200</v>
      </c>
      <c r="G3059" t="s">
        <v>6201</v>
      </c>
      <c r="J3059">
        <v>5.0381074159999999</v>
      </c>
      <c r="K3059">
        <v>0.81312368999999995</v>
      </c>
      <c r="L3059">
        <v>0.16969141800000001</v>
      </c>
      <c r="M3059" s="21">
        <v>-1.479339454</v>
      </c>
      <c r="N3059">
        <v>-1.360775767</v>
      </c>
    </row>
    <row r="3060" spans="1:14" x14ac:dyDescent="0.2">
      <c r="A3060" t="s">
        <v>963</v>
      </c>
      <c r="B3060">
        <v>32400</v>
      </c>
      <c r="C3060" t="s">
        <v>58</v>
      </c>
      <c r="D3060" t="s">
        <v>963</v>
      </c>
      <c r="E3060" t="s">
        <v>6202</v>
      </c>
      <c r="G3060" t="s">
        <v>6203</v>
      </c>
      <c r="J3060">
        <v>4.5363847230000003</v>
      </c>
      <c r="K3060">
        <v>0.245646371</v>
      </c>
      <c r="L3060">
        <v>7.5242279999999995E-2</v>
      </c>
      <c r="M3060" s="21">
        <v>-1.4793575990000001</v>
      </c>
      <c r="N3060">
        <v>-1.3608689819999999</v>
      </c>
    </row>
    <row r="3061" spans="1:14" x14ac:dyDescent="0.2">
      <c r="A3061" t="s">
        <v>1683</v>
      </c>
      <c r="B3061">
        <v>38720</v>
      </c>
      <c r="C3061" t="s">
        <v>149</v>
      </c>
      <c r="D3061" t="s">
        <v>1683</v>
      </c>
      <c r="E3061" t="s">
        <v>6204</v>
      </c>
      <c r="G3061" t="s">
        <v>6205</v>
      </c>
      <c r="J3061">
        <v>5.0381074159999999</v>
      </c>
      <c r="K3061">
        <v>0.81312368999999995</v>
      </c>
      <c r="L3061">
        <v>0.16969141800000001</v>
      </c>
      <c r="M3061" s="21">
        <v>-1.479524378</v>
      </c>
      <c r="N3061">
        <v>-1.3617257869999999</v>
      </c>
    </row>
    <row r="3062" spans="1:14" x14ac:dyDescent="0.2">
      <c r="A3062" t="s">
        <v>259</v>
      </c>
      <c r="B3062">
        <v>38320</v>
      </c>
      <c r="C3062" t="s">
        <v>100</v>
      </c>
      <c r="D3062" t="s">
        <v>260</v>
      </c>
      <c r="E3062" t="s">
        <v>6206</v>
      </c>
      <c r="G3062" t="s">
        <v>6207</v>
      </c>
      <c r="J3062">
        <v>5.9110743220000002</v>
      </c>
      <c r="K3062">
        <v>0.71598987199999997</v>
      </c>
      <c r="L3062">
        <v>0.29077365599999999</v>
      </c>
      <c r="M3062" s="21">
        <v>-1.4795600289999999</v>
      </c>
      <c r="N3062">
        <v>-1.3619089440000001</v>
      </c>
    </row>
    <row r="3063" spans="1:14" x14ac:dyDescent="0.2">
      <c r="A3063" t="s">
        <v>2230</v>
      </c>
      <c r="B3063">
        <v>38280</v>
      </c>
      <c r="C3063" t="s">
        <v>100</v>
      </c>
      <c r="D3063" t="s">
        <v>2231</v>
      </c>
      <c r="E3063" t="s">
        <v>6208</v>
      </c>
      <c r="G3063" t="s">
        <v>6209</v>
      </c>
      <c r="J3063">
        <v>5.9110743220000002</v>
      </c>
      <c r="K3063">
        <v>0.71598987199999997</v>
      </c>
      <c r="L3063">
        <v>0.29077365599999999</v>
      </c>
      <c r="M3063" s="21">
        <v>-1.4795997380000001</v>
      </c>
      <c r="N3063">
        <v>-1.362112942</v>
      </c>
    </row>
    <row r="3064" spans="1:14" x14ac:dyDescent="0.2">
      <c r="A3064" t="s">
        <v>1971</v>
      </c>
      <c r="B3064">
        <v>38280</v>
      </c>
      <c r="C3064" t="s">
        <v>100</v>
      </c>
      <c r="D3064" t="s">
        <v>1971</v>
      </c>
      <c r="E3064" t="s">
        <v>6210</v>
      </c>
      <c r="G3064" t="s">
        <v>6211</v>
      </c>
      <c r="J3064">
        <v>5.9110743220000002</v>
      </c>
      <c r="K3064">
        <v>0.71598987199999997</v>
      </c>
      <c r="L3064">
        <v>0.29077365599999999</v>
      </c>
      <c r="M3064" s="21">
        <v>-1.4795997380000001</v>
      </c>
      <c r="N3064">
        <v>-1.362112942</v>
      </c>
    </row>
    <row r="3065" spans="1:14" x14ac:dyDescent="0.2">
      <c r="A3065" t="s">
        <v>1082</v>
      </c>
      <c r="B3065">
        <v>32120</v>
      </c>
      <c r="C3065" t="s">
        <v>58</v>
      </c>
      <c r="D3065" t="s">
        <v>1082</v>
      </c>
      <c r="E3065" t="s">
        <v>6212</v>
      </c>
      <c r="G3065" t="s">
        <v>6213</v>
      </c>
      <c r="J3065">
        <v>4.5363847230000003</v>
      </c>
      <c r="K3065">
        <v>0.245646371</v>
      </c>
      <c r="L3065">
        <v>7.5242279999999995E-2</v>
      </c>
      <c r="M3065" s="21">
        <v>-1.4796280020000001</v>
      </c>
      <c r="N3065">
        <v>-1.3622581460000001</v>
      </c>
    </row>
    <row r="3066" spans="1:14" x14ac:dyDescent="0.2">
      <c r="A3066" t="s">
        <v>1215</v>
      </c>
      <c r="B3066">
        <v>38200</v>
      </c>
      <c r="C3066" t="s">
        <v>100</v>
      </c>
      <c r="D3066" t="s">
        <v>1215</v>
      </c>
      <c r="E3066" t="s">
        <v>6214</v>
      </c>
      <c r="G3066" t="s">
        <v>6215</v>
      </c>
      <c r="J3066">
        <v>5.9110743220000002</v>
      </c>
      <c r="K3066">
        <v>0.71598987199999997</v>
      </c>
      <c r="L3066">
        <v>0.29077365599999999</v>
      </c>
      <c r="M3066" s="21">
        <v>-1.4796791549999999</v>
      </c>
      <c r="N3066">
        <v>-1.362520937</v>
      </c>
    </row>
    <row r="3067" spans="1:14" x14ac:dyDescent="0.2">
      <c r="A3067" t="s">
        <v>1811</v>
      </c>
      <c r="B3067">
        <v>37320</v>
      </c>
      <c r="C3067" t="s">
        <v>100</v>
      </c>
      <c r="D3067" t="s">
        <v>1811</v>
      </c>
      <c r="E3067" t="s">
        <v>6216</v>
      </c>
      <c r="G3067" t="s">
        <v>6217</v>
      </c>
      <c r="J3067">
        <v>5.9110743220000002</v>
      </c>
      <c r="K3067">
        <v>0.71598987199999997</v>
      </c>
      <c r="L3067">
        <v>0.29077365599999999</v>
      </c>
      <c r="M3067" s="21">
        <v>-1.4805527430000001</v>
      </c>
      <c r="N3067">
        <v>-1.367008885</v>
      </c>
    </row>
    <row r="3068" spans="1:14" x14ac:dyDescent="0.2">
      <c r="A3068" t="s">
        <v>644</v>
      </c>
      <c r="B3068">
        <v>30800</v>
      </c>
      <c r="C3068" t="s">
        <v>58</v>
      </c>
      <c r="D3068" t="s">
        <v>644</v>
      </c>
      <c r="E3068" t="s">
        <v>6218</v>
      </c>
      <c r="G3068" t="s">
        <v>6219</v>
      </c>
      <c r="J3068">
        <v>4.5363847230000003</v>
      </c>
      <c r="K3068">
        <v>0.245646371</v>
      </c>
      <c r="L3068">
        <v>7.5242279999999995E-2</v>
      </c>
      <c r="M3068" s="21">
        <v>-1.4809027610000001</v>
      </c>
      <c r="N3068">
        <v>-1.3688070590000001</v>
      </c>
    </row>
    <row r="3069" spans="1:14" x14ac:dyDescent="0.2">
      <c r="A3069" t="s">
        <v>1256</v>
      </c>
      <c r="B3069">
        <v>37200</v>
      </c>
      <c r="C3069" t="s">
        <v>149</v>
      </c>
      <c r="D3069" t="s">
        <v>1257</v>
      </c>
      <c r="E3069" t="s">
        <v>6220</v>
      </c>
      <c r="G3069" t="s">
        <v>6221</v>
      </c>
      <c r="J3069">
        <v>5.0381074159999999</v>
      </c>
      <c r="K3069">
        <v>0.81312368999999995</v>
      </c>
      <c r="L3069">
        <v>0.16969141800000001</v>
      </c>
      <c r="M3069" s="21">
        <v>-1.4809297939999999</v>
      </c>
      <c r="N3069">
        <v>-1.3689459369999999</v>
      </c>
    </row>
    <row r="3070" spans="1:14" x14ac:dyDescent="0.2">
      <c r="A3070" t="s">
        <v>2080</v>
      </c>
      <c r="B3070">
        <v>30600</v>
      </c>
      <c r="C3070" t="s">
        <v>58</v>
      </c>
      <c r="D3070" t="s">
        <v>2080</v>
      </c>
      <c r="E3070" t="s">
        <v>6222</v>
      </c>
      <c r="G3070" t="s">
        <v>6223</v>
      </c>
      <c r="J3070">
        <v>4.5363847230000003</v>
      </c>
      <c r="K3070">
        <v>0.245646371</v>
      </c>
      <c r="L3070">
        <v>7.5242279999999995E-2</v>
      </c>
      <c r="M3070" s="21">
        <v>-1.481095906</v>
      </c>
      <c r="N3070">
        <v>-1.369799319</v>
      </c>
    </row>
    <row r="3071" spans="1:14" x14ac:dyDescent="0.2">
      <c r="A3071" t="s">
        <v>753</v>
      </c>
      <c r="B3071">
        <v>36600</v>
      </c>
      <c r="C3071" t="s">
        <v>100</v>
      </c>
      <c r="D3071" t="s">
        <v>753</v>
      </c>
      <c r="E3071" t="s">
        <v>6224</v>
      </c>
      <c r="G3071" t="s">
        <v>6225</v>
      </c>
      <c r="J3071">
        <v>5.9110743220000002</v>
      </c>
      <c r="K3071">
        <v>0.71598987199999997</v>
      </c>
      <c r="L3071">
        <v>0.29077365599999999</v>
      </c>
      <c r="M3071" s="21">
        <v>-1.4812674969999999</v>
      </c>
      <c r="N3071">
        <v>-1.3706808420000001</v>
      </c>
    </row>
    <row r="3072" spans="1:14" x14ac:dyDescent="0.2">
      <c r="A3072" t="s">
        <v>1013</v>
      </c>
      <c r="B3072">
        <v>36800</v>
      </c>
      <c r="C3072" t="s">
        <v>149</v>
      </c>
      <c r="D3072" t="s">
        <v>1014</v>
      </c>
      <c r="E3072" t="s">
        <v>6226</v>
      </c>
      <c r="G3072" t="s">
        <v>6227</v>
      </c>
      <c r="J3072">
        <v>5.0381074159999999</v>
      </c>
      <c r="K3072">
        <v>0.81312368999999995</v>
      </c>
      <c r="L3072">
        <v>0.16969141800000001</v>
      </c>
      <c r="M3072" s="21">
        <v>-1.48129964</v>
      </c>
      <c r="N3072">
        <v>-1.3708459770000001</v>
      </c>
    </row>
    <row r="3073" spans="1:14" x14ac:dyDescent="0.2">
      <c r="A3073" t="s">
        <v>2319</v>
      </c>
      <c r="B3073">
        <v>36280</v>
      </c>
      <c r="C3073" t="s">
        <v>100</v>
      </c>
      <c r="D3073" t="s">
        <v>2320</v>
      </c>
      <c r="E3073" t="s">
        <v>6228</v>
      </c>
      <c r="G3073" t="s">
        <v>6229</v>
      </c>
      <c r="J3073">
        <v>5.9110743220000002</v>
      </c>
      <c r="K3073">
        <v>0.71598987199999997</v>
      </c>
      <c r="L3073">
        <v>0.29077365599999999</v>
      </c>
      <c r="M3073" s="21">
        <v>-1.481585165</v>
      </c>
      <c r="N3073">
        <v>-1.3723128229999999</v>
      </c>
    </row>
    <row r="3074" spans="1:14" x14ac:dyDescent="0.2">
      <c r="A3074" t="s">
        <v>681</v>
      </c>
      <c r="B3074">
        <v>30080</v>
      </c>
      <c r="C3074" t="s">
        <v>58</v>
      </c>
      <c r="D3074" t="s">
        <v>682</v>
      </c>
      <c r="E3074" t="s">
        <v>6230</v>
      </c>
      <c r="G3074" t="s">
        <v>6231</v>
      </c>
      <c r="J3074">
        <v>4.5363847230000003</v>
      </c>
      <c r="K3074">
        <v>0.245646371</v>
      </c>
      <c r="L3074">
        <v>7.5242279999999995E-2</v>
      </c>
      <c r="M3074" s="21">
        <v>-1.481598084</v>
      </c>
      <c r="N3074">
        <v>-1.372379193</v>
      </c>
    </row>
    <row r="3075" spans="1:14" x14ac:dyDescent="0.2">
      <c r="A3075" t="s">
        <v>1118</v>
      </c>
      <c r="B3075">
        <v>36440</v>
      </c>
      <c r="C3075" t="s">
        <v>149</v>
      </c>
      <c r="D3075" t="s">
        <v>1118</v>
      </c>
      <c r="E3075" t="s">
        <v>6232</v>
      </c>
      <c r="G3075" t="s">
        <v>6233</v>
      </c>
      <c r="J3075">
        <v>5.0381074159999999</v>
      </c>
      <c r="K3075">
        <v>0.81312368999999995</v>
      </c>
      <c r="L3075">
        <v>0.16969141800000001</v>
      </c>
      <c r="M3075" s="21">
        <v>-1.4816325020000001</v>
      </c>
      <c r="N3075">
        <v>-1.372556012</v>
      </c>
    </row>
    <row r="3076" spans="1:14" x14ac:dyDescent="0.2">
      <c r="A3076" t="s">
        <v>741</v>
      </c>
      <c r="B3076">
        <v>36200</v>
      </c>
      <c r="C3076" t="s">
        <v>100</v>
      </c>
      <c r="D3076" t="s">
        <v>741</v>
      </c>
      <c r="E3076" t="s">
        <v>6234</v>
      </c>
      <c r="G3076" t="s">
        <v>6235</v>
      </c>
      <c r="J3076">
        <v>5.9110743220000002</v>
      </c>
      <c r="K3076">
        <v>0.71598987199999997</v>
      </c>
      <c r="L3076">
        <v>0.29077365599999999</v>
      </c>
      <c r="M3076" s="21">
        <v>-1.4816645820000001</v>
      </c>
      <c r="N3076">
        <v>-1.3727208179999999</v>
      </c>
    </row>
    <row r="3077" spans="1:14" x14ac:dyDescent="0.2">
      <c r="A3077" t="s">
        <v>1939</v>
      </c>
      <c r="B3077">
        <v>36400</v>
      </c>
      <c r="C3077" t="s">
        <v>149</v>
      </c>
      <c r="D3077" t="s">
        <v>1939</v>
      </c>
      <c r="E3077" t="s">
        <v>6236</v>
      </c>
      <c r="G3077" t="s">
        <v>6237</v>
      </c>
      <c r="J3077">
        <v>5.0381074159999999</v>
      </c>
      <c r="K3077">
        <v>0.81312368999999995</v>
      </c>
      <c r="L3077">
        <v>0.16969141800000001</v>
      </c>
      <c r="M3077" s="21">
        <v>-1.481669487</v>
      </c>
      <c r="N3077">
        <v>-1.372746016</v>
      </c>
    </row>
    <row r="3078" spans="1:14" x14ac:dyDescent="0.2">
      <c r="A3078" t="s">
        <v>408</v>
      </c>
      <c r="B3078">
        <v>35840</v>
      </c>
      <c r="C3078" t="s">
        <v>100</v>
      </c>
      <c r="D3078" t="s">
        <v>408</v>
      </c>
      <c r="E3078" t="s">
        <v>6238</v>
      </c>
      <c r="G3078" t="s">
        <v>6239</v>
      </c>
      <c r="J3078">
        <v>5.9110743220000002</v>
      </c>
      <c r="K3078">
        <v>0.71598987199999997</v>
      </c>
      <c r="L3078">
        <v>0.29077365599999999</v>
      </c>
      <c r="M3078" s="21">
        <v>-1.4820219590000001</v>
      </c>
      <c r="N3078">
        <v>-1.3745567970000001</v>
      </c>
    </row>
    <row r="3079" spans="1:14" x14ac:dyDescent="0.2">
      <c r="A3079" t="s">
        <v>1112</v>
      </c>
      <c r="B3079">
        <v>29520</v>
      </c>
      <c r="C3079" t="s">
        <v>58</v>
      </c>
      <c r="D3079" t="s">
        <v>1112</v>
      </c>
      <c r="E3079" t="s">
        <v>6240</v>
      </c>
      <c r="G3079" t="s">
        <v>6241</v>
      </c>
      <c r="J3079">
        <v>4.5363847230000003</v>
      </c>
      <c r="K3079">
        <v>0.245646371</v>
      </c>
      <c r="L3079">
        <v>7.5242279999999995E-2</v>
      </c>
      <c r="M3079" s="21">
        <v>-1.482138891</v>
      </c>
      <c r="N3079">
        <v>-1.3751575199999999</v>
      </c>
    </row>
    <row r="3080" spans="1:14" x14ac:dyDescent="0.2">
      <c r="A3080" t="s">
        <v>1788</v>
      </c>
      <c r="B3080">
        <v>35720</v>
      </c>
      <c r="C3080" t="s">
        <v>100</v>
      </c>
      <c r="D3080" t="s">
        <v>1788</v>
      </c>
      <c r="E3080" t="s">
        <v>6242</v>
      </c>
      <c r="G3080" t="s">
        <v>6243</v>
      </c>
      <c r="J3080">
        <v>5.9110743220000002</v>
      </c>
      <c r="K3080">
        <v>0.71598987199999997</v>
      </c>
      <c r="L3080">
        <v>0.29077365599999999</v>
      </c>
      <c r="M3080" s="21">
        <v>-1.482141084</v>
      </c>
      <c r="N3080">
        <v>-1.37516879</v>
      </c>
    </row>
    <row r="3081" spans="1:14" x14ac:dyDescent="0.2">
      <c r="A3081" t="s">
        <v>2453</v>
      </c>
      <c r="B3081">
        <v>29480</v>
      </c>
      <c r="C3081" t="s">
        <v>58</v>
      </c>
      <c r="D3081" t="s">
        <v>2454</v>
      </c>
      <c r="E3081" t="s">
        <v>6244</v>
      </c>
      <c r="G3081" t="s">
        <v>6245</v>
      </c>
      <c r="J3081">
        <v>4.5363847230000003</v>
      </c>
      <c r="K3081">
        <v>0.245646371</v>
      </c>
      <c r="L3081">
        <v>7.5242279999999995E-2</v>
      </c>
      <c r="M3081" s="21">
        <v>-1.48217752</v>
      </c>
      <c r="N3081">
        <v>-1.3753559719999999</v>
      </c>
    </row>
    <row r="3082" spans="1:14" x14ac:dyDescent="0.2">
      <c r="A3082" t="s">
        <v>300</v>
      </c>
      <c r="B3082">
        <v>29400</v>
      </c>
      <c r="C3082" t="s">
        <v>58</v>
      </c>
      <c r="D3082" t="s">
        <v>300</v>
      </c>
      <c r="E3082" t="s">
        <v>6246</v>
      </c>
      <c r="G3082" t="s">
        <v>6247</v>
      </c>
      <c r="J3082">
        <v>4.5363847230000003</v>
      </c>
      <c r="K3082">
        <v>0.245646371</v>
      </c>
      <c r="L3082">
        <v>7.5242279999999995E-2</v>
      </c>
      <c r="M3082" s="21">
        <v>-1.4822547779999999</v>
      </c>
      <c r="N3082">
        <v>-1.375752876</v>
      </c>
    </row>
    <row r="3083" spans="1:14" x14ac:dyDescent="0.2">
      <c r="A3083" t="s">
        <v>577</v>
      </c>
      <c r="B3083">
        <v>35600</v>
      </c>
      <c r="C3083" t="s">
        <v>100</v>
      </c>
      <c r="D3083" t="s">
        <v>578</v>
      </c>
      <c r="E3083" t="s">
        <v>6248</v>
      </c>
      <c r="G3083" t="s">
        <v>6249</v>
      </c>
      <c r="J3083">
        <v>5.9110743220000002</v>
      </c>
      <c r="K3083">
        <v>0.71598987199999997</v>
      </c>
      <c r="L3083">
        <v>0.29077365599999999</v>
      </c>
      <c r="M3083" s="21">
        <v>-1.48226021</v>
      </c>
      <c r="N3083">
        <v>-1.375780783</v>
      </c>
    </row>
    <row r="3084" spans="1:14" x14ac:dyDescent="0.2">
      <c r="A3084" t="s">
        <v>1112</v>
      </c>
      <c r="B3084">
        <v>35440</v>
      </c>
      <c r="C3084" t="s">
        <v>100</v>
      </c>
      <c r="D3084" t="s">
        <v>1112</v>
      </c>
      <c r="E3084" t="s">
        <v>6250</v>
      </c>
      <c r="G3084" t="s">
        <v>6251</v>
      </c>
      <c r="J3084">
        <v>5.9110743220000002</v>
      </c>
      <c r="K3084">
        <v>0.71598987199999997</v>
      </c>
      <c r="L3084">
        <v>0.29077365599999999</v>
      </c>
      <c r="M3084" s="21">
        <v>-1.482419044</v>
      </c>
      <c r="N3084">
        <v>-1.3765967729999999</v>
      </c>
    </row>
    <row r="3085" spans="1:14" x14ac:dyDescent="0.2">
      <c r="A3085" t="s">
        <v>671</v>
      </c>
      <c r="B3085">
        <v>35400</v>
      </c>
      <c r="C3085" t="s">
        <v>100</v>
      </c>
      <c r="D3085" t="s">
        <v>672</v>
      </c>
      <c r="E3085" t="s">
        <v>6252</v>
      </c>
      <c r="G3085" t="s">
        <v>6253</v>
      </c>
      <c r="J3085">
        <v>5.9110743220000002</v>
      </c>
      <c r="K3085">
        <v>0.71598987199999997</v>
      </c>
      <c r="L3085">
        <v>0.29077365599999999</v>
      </c>
      <c r="M3085" s="21">
        <v>-1.482458753</v>
      </c>
      <c r="N3085">
        <v>-1.3768007710000001</v>
      </c>
    </row>
    <row r="3086" spans="1:14" x14ac:dyDescent="0.2">
      <c r="A3086" t="s">
        <v>2412</v>
      </c>
      <c r="B3086">
        <v>35360</v>
      </c>
      <c r="C3086" t="s">
        <v>100</v>
      </c>
      <c r="D3086" t="s">
        <v>2412</v>
      </c>
      <c r="E3086" t="s">
        <v>6254</v>
      </c>
      <c r="G3086" t="s">
        <v>6255</v>
      </c>
      <c r="J3086">
        <v>5.9110743220000002</v>
      </c>
      <c r="K3086">
        <v>0.71598987199999997</v>
      </c>
      <c r="L3086">
        <v>0.29077365599999999</v>
      </c>
      <c r="M3086" s="21">
        <v>-1.482498461</v>
      </c>
      <c r="N3086">
        <v>-1.377004769</v>
      </c>
    </row>
    <row r="3087" spans="1:14" x14ac:dyDescent="0.2">
      <c r="A3087" t="s">
        <v>901</v>
      </c>
      <c r="B3087">
        <v>29000</v>
      </c>
      <c r="C3087" t="s">
        <v>58</v>
      </c>
      <c r="D3087" t="s">
        <v>902</v>
      </c>
      <c r="E3087" t="s">
        <v>6256</v>
      </c>
      <c r="G3087" t="s">
        <v>6257</v>
      </c>
      <c r="J3087">
        <v>4.5363847230000003</v>
      </c>
      <c r="K3087">
        <v>0.245646371</v>
      </c>
      <c r="L3087">
        <v>7.5242279999999995E-2</v>
      </c>
      <c r="M3087" s="21">
        <v>-1.482641068</v>
      </c>
      <c r="N3087">
        <v>-1.377737395</v>
      </c>
    </row>
    <row r="3088" spans="1:14" x14ac:dyDescent="0.2">
      <c r="A3088" t="s">
        <v>1275</v>
      </c>
      <c r="B3088">
        <v>35040</v>
      </c>
      <c r="C3088" t="s">
        <v>100</v>
      </c>
      <c r="D3088" t="s">
        <v>1276</v>
      </c>
      <c r="E3088" t="s">
        <v>6258</v>
      </c>
      <c r="G3088" t="s">
        <v>6259</v>
      </c>
      <c r="J3088">
        <v>5.9110743220000002</v>
      </c>
      <c r="K3088">
        <v>0.71598987199999997</v>
      </c>
      <c r="L3088">
        <v>0.29077365599999999</v>
      </c>
      <c r="M3088" s="21">
        <v>-1.48281613</v>
      </c>
      <c r="N3088">
        <v>-1.3786367500000001</v>
      </c>
    </row>
    <row r="3089" spans="1:14" x14ac:dyDescent="0.2">
      <c r="A3089" t="s">
        <v>1365</v>
      </c>
      <c r="B3089">
        <v>28800</v>
      </c>
      <c r="C3089" t="s">
        <v>58</v>
      </c>
      <c r="D3089" t="s">
        <v>1365</v>
      </c>
      <c r="E3089" t="s">
        <v>6260</v>
      </c>
      <c r="G3089" t="s">
        <v>6261</v>
      </c>
      <c r="J3089">
        <v>4.5363847230000003</v>
      </c>
      <c r="K3089">
        <v>0.245646371</v>
      </c>
      <c r="L3089">
        <v>7.5242279999999995E-2</v>
      </c>
      <c r="M3089" s="21">
        <v>-1.4828342139999999</v>
      </c>
      <c r="N3089">
        <v>-1.3787296550000001</v>
      </c>
    </row>
    <row r="3090" spans="1:14" x14ac:dyDescent="0.2">
      <c r="A3090" t="s">
        <v>714</v>
      </c>
      <c r="B3090">
        <v>34960</v>
      </c>
      <c r="C3090" t="s">
        <v>149</v>
      </c>
      <c r="D3090" t="s">
        <v>715</v>
      </c>
      <c r="E3090" t="s">
        <v>6262</v>
      </c>
      <c r="G3090" t="s">
        <v>6263</v>
      </c>
      <c r="J3090">
        <v>5.0381074159999999</v>
      </c>
      <c r="K3090">
        <v>0.81312368999999995</v>
      </c>
      <c r="L3090">
        <v>0.16969141800000001</v>
      </c>
      <c r="M3090" s="21">
        <v>-1.4830009340000001</v>
      </c>
      <c r="N3090">
        <v>-1.379586158</v>
      </c>
    </row>
    <row r="3091" spans="1:14" x14ac:dyDescent="0.2">
      <c r="A3091" t="s">
        <v>560</v>
      </c>
      <c r="B3091">
        <v>34920</v>
      </c>
      <c r="C3091" t="s">
        <v>149</v>
      </c>
      <c r="D3091" t="s">
        <v>560</v>
      </c>
      <c r="E3091" t="s">
        <v>6264</v>
      </c>
      <c r="G3091" t="s">
        <v>6265</v>
      </c>
      <c r="J3091">
        <v>5.0381074159999999</v>
      </c>
      <c r="K3091">
        <v>0.81312368999999995</v>
      </c>
      <c r="L3091">
        <v>0.16969141800000001</v>
      </c>
      <c r="M3091" s="21">
        <v>-1.483037919</v>
      </c>
      <c r="N3091">
        <v>-1.379776162</v>
      </c>
    </row>
    <row r="3092" spans="1:14" x14ac:dyDescent="0.2">
      <c r="A3092" t="s">
        <v>325</v>
      </c>
      <c r="B3092">
        <v>34440</v>
      </c>
      <c r="C3092" t="s">
        <v>100</v>
      </c>
      <c r="D3092" t="s">
        <v>326</v>
      </c>
      <c r="E3092" t="s">
        <v>6266</v>
      </c>
      <c r="G3092" t="s">
        <v>6267</v>
      </c>
      <c r="J3092">
        <v>5.9110743220000002</v>
      </c>
      <c r="K3092">
        <v>0.71598987199999997</v>
      </c>
      <c r="L3092">
        <v>0.29077365599999999</v>
      </c>
      <c r="M3092" s="21">
        <v>-1.4834117579999999</v>
      </c>
      <c r="N3092">
        <v>-1.381696714</v>
      </c>
    </row>
    <row r="3093" spans="1:14" x14ac:dyDescent="0.2">
      <c r="A3093" t="s">
        <v>2348</v>
      </c>
      <c r="B3093">
        <v>34440</v>
      </c>
      <c r="C3093" t="s">
        <v>149</v>
      </c>
      <c r="D3093" t="s">
        <v>2348</v>
      </c>
      <c r="E3093" t="s">
        <v>6268</v>
      </c>
      <c r="G3093" t="s">
        <v>6269</v>
      </c>
      <c r="J3093">
        <v>5.0381074159999999</v>
      </c>
      <c r="K3093">
        <v>0.81312368999999995</v>
      </c>
      <c r="L3093">
        <v>0.16969141800000001</v>
      </c>
      <c r="M3093" s="21">
        <v>-1.4834817339999999</v>
      </c>
      <c r="N3093">
        <v>-1.38205621</v>
      </c>
    </row>
    <row r="3094" spans="1:14" x14ac:dyDescent="0.2">
      <c r="A3094" t="s">
        <v>853</v>
      </c>
      <c r="B3094">
        <v>28120</v>
      </c>
      <c r="C3094" t="s">
        <v>58</v>
      </c>
      <c r="D3094" t="s">
        <v>854</v>
      </c>
      <c r="E3094" t="s">
        <v>6270</v>
      </c>
      <c r="G3094" t="s">
        <v>6271</v>
      </c>
      <c r="J3094">
        <v>4.5363847230000003</v>
      </c>
      <c r="K3094">
        <v>0.245646371</v>
      </c>
      <c r="L3094">
        <v>7.5242279999999995E-2</v>
      </c>
      <c r="M3094" s="21">
        <v>-1.4834909080000001</v>
      </c>
      <c r="N3094">
        <v>-1.382103337</v>
      </c>
    </row>
    <row r="3095" spans="1:14" x14ac:dyDescent="0.2">
      <c r="A3095" t="s">
        <v>619</v>
      </c>
      <c r="B3095">
        <v>27920</v>
      </c>
      <c r="C3095" t="s">
        <v>58</v>
      </c>
      <c r="D3095" t="s">
        <v>619</v>
      </c>
      <c r="E3095" t="s">
        <v>6272</v>
      </c>
      <c r="G3095" t="s">
        <v>6273</v>
      </c>
      <c r="J3095">
        <v>4.5363847230000003</v>
      </c>
      <c r="K3095">
        <v>0.245646371</v>
      </c>
      <c r="L3095">
        <v>7.5242279999999995E-2</v>
      </c>
      <c r="M3095" s="21">
        <v>-1.4836840529999999</v>
      </c>
      <c r="N3095">
        <v>-1.3830955970000001</v>
      </c>
    </row>
    <row r="3096" spans="1:14" x14ac:dyDescent="0.2">
      <c r="A3096" t="s">
        <v>1963</v>
      </c>
      <c r="B3096">
        <v>93360</v>
      </c>
      <c r="C3096" t="s">
        <v>14</v>
      </c>
      <c r="D3096" t="s">
        <v>1963</v>
      </c>
      <c r="E3096" t="s">
        <v>6274</v>
      </c>
      <c r="G3096" t="s">
        <v>6275</v>
      </c>
      <c r="J3096">
        <v>6.7484204910000001</v>
      </c>
      <c r="K3096">
        <v>0.48629166299999999</v>
      </c>
      <c r="L3096">
        <v>0.375053939</v>
      </c>
      <c r="M3096" s="21">
        <v>-1.483684695</v>
      </c>
      <c r="N3096">
        <v>-1.3830988950000001</v>
      </c>
    </row>
    <row r="3097" spans="1:14" x14ac:dyDescent="0.2">
      <c r="A3097" t="s">
        <v>2871</v>
      </c>
      <c r="B3097">
        <v>34200</v>
      </c>
      <c r="C3097" t="s">
        <v>149</v>
      </c>
      <c r="D3097" t="s">
        <v>2871</v>
      </c>
      <c r="E3097" t="s">
        <v>6276</v>
      </c>
      <c r="G3097" t="s">
        <v>6277</v>
      </c>
      <c r="J3097">
        <v>5.0381074159999999</v>
      </c>
      <c r="K3097">
        <v>0.81312368999999995</v>
      </c>
      <c r="L3097">
        <v>0.16969141800000001</v>
      </c>
      <c r="M3097" s="21">
        <v>-1.483703642</v>
      </c>
      <c r="N3097">
        <v>-1.3831962330000001</v>
      </c>
    </row>
    <row r="3098" spans="1:14" x14ac:dyDescent="0.2">
      <c r="A3098" t="s">
        <v>1092</v>
      </c>
      <c r="B3098">
        <v>27800</v>
      </c>
      <c r="C3098" t="s">
        <v>58</v>
      </c>
      <c r="D3098" t="s">
        <v>1092</v>
      </c>
      <c r="E3098" t="s">
        <v>6278</v>
      </c>
      <c r="G3098" t="s">
        <v>6279</v>
      </c>
      <c r="J3098">
        <v>4.5363847230000003</v>
      </c>
      <c r="K3098">
        <v>0.245646371</v>
      </c>
      <c r="L3098">
        <v>7.5242279999999995E-2</v>
      </c>
      <c r="M3098" s="21">
        <v>-1.4837999399999999</v>
      </c>
      <c r="N3098">
        <v>-1.3836909529999999</v>
      </c>
    </row>
    <row r="3099" spans="1:14" x14ac:dyDescent="0.2">
      <c r="A3099" t="s">
        <v>42</v>
      </c>
      <c r="B3099">
        <v>27560</v>
      </c>
      <c r="C3099" t="s">
        <v>58</v>
      </c>
      <c r="D3099" t="s">
        <v>42</v>
      </c>
      <c r="E3099" t="s">
        <v>6280</v>
      </c>
      <c r="G3099" t="s">
        <v>6281</v>
      </c>
      <c r="J3099">
        <v>4.5363847230000003</v>
      </c>
      <c r="K3099">
        <v>0.245646371</v>
      </c>
      <c r="L3099">
        <v>7.5242279999999995E-2</v>
      </c>
      <c r="M3099" s="21">
        <v>-1.4840317139999999</v>
      </c>
      <c r="N3099">
        <v>-1.3848816639999999</v>
      </c>
    </row>
    <row r="3100" spans="1:14" x14ac:dyDescent="0.2">
      <c r="A3100" t="s">
        <v>134</v>
      </c>
      <c r="B3100">
        <v>33680</v>
      </c>
      <c r="C3100" t="s">
        <v>149</v>
      </c>
      <c r="D3100" t="s">
        <v>135</v>
      </c>
      <c r="E3100" t="s">
        <v>6282</v>
      </c>
      <c r="G3100" t="s">
        <v>6283</v>
      </c>
      <c r="J3100">
        <v>5.0381074159999999</v>
      </c>
      <c r="K3100">
        <v>0.81312368999999995</v>
      </c>
      <c r="L3100">
        <v>0.16969141800000001</v>
      </c>
      <c r="M3100" s="21">
        <v>-1.4841844420000001</v>
      </c>
      <c r="N3100">
        <v>-1.3856662850000001</v>
      </c>
    </row>
    <row r="3101" spans="1:14" x14ac:dyDescent="0.2">
      <c r="A3101" t="s">
        <v>153</v>
      </c>
      <c r="B3101">
        <v>33680</v>
      </c>
      <c r="C3101" t="s">
        <v>149</v>
      </c>
      <c r="D3101" t="s">
        <v>153</v>
      </c>
      <c r="E3101" t="s">
        <v>6284</v>
      </c>
      <c r="G3101" t="s">
        <v>6285</v>
      </c>
      <c r="J3101">
        <v>5.0381074159999999</v>
      </c>
      <c r="K3101">
        <v>0.81312368999999995</v>
      </c>
      <c r="L3101">
        <v>0.16969141800000001</v>
      </c>
      <c r="M3101" s="21">
        <v>-1.4841844420000001</v>
      </c>
      <c r="N3101">
        <v>-1.3856662850000001</v>
      </c>
    </row>
    <row r="3102" spans="1:14" x14ac:dyDescent="0.2">
      <c r="A3102" t="s">
        <v>1251</v>
      </c>
      <c r="B3102">
        <v>33560</v>
      </c>
      <c r="C3102" t="s">
        <v>100</v>
      </c>
      <c r="D3102" t="s">
        <v>1251</v>
      </c>
      <c r="E3102" t="s">
        <v>6286</v>
      </c>
      <c r="G3102" t="s">
        <v>6287</v>
      </c>
      <c r="J3102">
        <v>5.9110743220000002</v>
      </c>
      <c r="K3102">
        <v>0.71598987199999997</v>
      </c>
      <c r="L3102">
        <v>0.29077365599999999</v>
      </c>
      <c r="M3102" s="21">
        <v>-1.4842853460000001</v>
      </c>
      <c r="N3102">
        <v>-1.386184662</v>
      </c>
    </row>
    <row r="3103" spans="1:14" x14ac:dyDescent="0.2">
      <c r="A3103" t="s">
        <v>1198</v>
      </c>
      <c r="B3103">
        <v>33560</v>
      </c>
      <c r="C3103" t="s">
        <v>100</v>
      </c>
      <c r="D3103" t="s">
        <v>1199</v>
      </c>
      <c r="E3103" t="s">
        <v>6288</v>
      </c>
      <c r="G3103" t="s">
        <v>6289</v>
      </c>
      <c r="J3103">
        <v>5.9110743220000002</v>
      </c>
      <c r="K3103">
        <v>0.71598987199999997</v>
      </c>
      <c r="L3103">
        <v>0.29077365599999999</v>
      </c>
      <c r="M3103" s="21">
        <v>-1.4842853460000001</v>
      </c>
      <c r="N3103">
        <v>-1.386184662</v>
      </c>
    </row>
    <row r="3104" spans="1:14" x14ac:dyDescent="0.2">
      <c r="A3104" t="s">
        <v>134</v>
      </c>
      <c r="B3104">
        <v>33560</v>
      </c>
      <c r="C3104" t="s">
        <v>100</v>
      </c>
      <c r="D3104" t="s">
        <v>135</v>
      </c>
      <c r="E3104" t="s">
        <v>6290</v>
      </c>
      <c r="G3104" t="s">
        <v>6291</v>
      </c>
      <c r="J3104">
        <v>5.9110743220000002</v>
      </c>
      <c r="K3104">
        <v>0.71598987199999997</v>
      </c>
      <c r="L3104">
        <v>0.29077365599999999</v>
      </c>
      <c r="M3104" s="21">
        <v>-1.4842853460000001</v>
      </c>
      <c r="N3104">
        <v>-1.386184662</v>
      </c>
    </row>
    <row r="3105" spans="1:14" x14ac:dyDescent="0.2">
      <c r="A3105" t="s">
        <v>203</v>
      </c>
      <c r="B3105">
        <v>33440</v>
      </c>
      <c r="C3105" t="s">
        <v>100</v>
      </c>
      <c r="D3105" t="s">
        <v>204</v>
      </c>
      <c r="E3105" t="s">
        <v>6292</v>
      </c>
      <c r="G3105" t="s">
        <v>6293</v>
      </c>
      <c r="J3105">
        <v>5.9110743220000002</v>
      </c>
      <c r="K3105">
        <v>0.71598987199999997</v>
      </c>
      <c r="L3105">
        <v>0.29077365599999999</v>
      </c>
      <c r="M3105" s="21">
        <v>-1.4844044709999999</v>
      </c>
      <c r="N3105">
        <v>-1.3867966549999999</v>
      </c>
    </row>
    <row r="3106" spans="1:14" x14ac:dyDescent="0.2">
      <c r="A3106" t="s">
        <v>1778</v>
      </c>
      <c r="B3106">
        <v>92680</v>
      </c>
      <c r="C3106" t="s">
        <v>14</v>
      </c>
      <c r="D3106" t="s">
        <v>1778</v>
      </c>
      <c r="E3106" t="s">
        <v>6294</v>
      </c>
      <c r="G3106" t="s">
        <v>6295</v>
      </c>
      <c r="J3106">
        <v>6.7484204910000001</v>
      </c>
      <c r="K3106">
        <v>0.48629166299999999</v>
      </c>
      <c r="L3106">
        <v>0.375053939</v>
      </c>
      <c r="M3106" s="21">
        <v>-1.484429786</v>
      </c>
      <c r="N3106">
        <v>-1.386926707</v>
      </c>
    </row>
    <row r="3107" spans="1:14" x14ac:dyDescent="0.2">
      <c r="A3107" t="s">
        <v>2252</v>
      </c>
      <c r="B3107">
        <v>33200</v>
      </c>
      <c r="C3107" t="s">
        <v>100</v>
      </c>
      <c r="D3107" t="s">
        <v>2253</v>
      </c>
      <c r="E3107" t="s">
        <v>6296</v>
      </c>
      <c r="G3107" t="s">
        <v>6297</v>
      </c>
      <c r="J3107">
        <v>5.9110743220000002</v>
      </c>
      <c r="K3107">
        <v>0.71598987199999997</v>
      </c>
      <c r="L3107">
        <v>0.29077365599999999</v>
      </c>
      <c r="M3107" s="21">
        <v>-1.484642722</v>
      </c>
      <c r="N3107">
        <v>-1.388020641</v>
      </c>
    </row>
    <row r="3108" spans="1:14" x14ac:dyDescent="0.2">
      <c r="A3108" t="s">
        <v>592</v>
      </c>
      <c r="B3108">
        <v>33160</v>
      </c>
      <c r="C3108" t="s">
        <v>149</v>
      </c>
      <c r="D3108" t="s">
        <v>593</v>
      </c>
      <c r="E3108" t="s">
        <v>6298</v>
      </c>
      <c r="G3108" t="s">
        <v>6299</v>
      </c>
      <c r="J3108">
        <v>5.0381074159999999</v>
      </c>
      <c r="K3108">
        <v>0.81312368999999995</v>
      </c>
      <c r="L3108">
        <v>0.16969141800000001</v>
      </c>
      <c r="M3108" s="21">
        <v>-1.484665243</v>
      </c>
      <c r="N3108">
        <v>-1.3881363360000001</v>
      </c>
    </row>
    <row r="3109" spans="1:14" x14ac:dyDescent="0.2">
      <c r="A3109" t="s">
        <v>27</v>
      </c>
      <c r="B3109">
        <v>92320</v>
      </c>
      <c r="C3109" t="s">
        <v>14</v>
      </c>
      <c r="D3109" t="s">
        <v>29</v>
      </c>
      <c r="E3109" t="s">
        <v>6300</v>
      </c>
      <c r="G3109" t="s">
        <v>6301</v>
      </c>
      <c r="J3109">
        <v>6.7484204910000001</v>
      </c>
      <c r="K3109">
        <v>0.48629166299999999</v>
      </c>
      <c r="L3109">
        <v>0.375053939</v>
      </c>
      <c r="M3109" s="21">
        <v>-1.4848242460000001</v>
      </c>
      <c r="N3109">
        <v>-1.3889531959999999</v>
      </c>
    </row>
    <row r="3110" spans="1:14" x14ac:dyDescent="0.2">
      <c r="A3110" t="s">
        <v>529</v>
      </c>
      <c r="B3110">
        <v>26720</v>
      </c>
      <c r="C3110" t="s">
        <v>58</v>
      </c>
      <c r="D3110" t="s">
        <v>529</v>
      </c>
      <c r="E3110" t="s">
        <v>6302</v>
      </c>
      <c r="G3110" t="s">
        <v>6303</v>
      </c>
      <c r="J3110">
        <v>4.5363847230000003</v>
      </c>
      <c r="K3110">
        <v>0.245646371</v>
      </c>
      <c r="L3110">
        <v>7.5242279999999995E-2</v>
      </c>
      <c r="M3110" s="21">
        <v>-1.4848429249999999</v>
      </c>
      <c r="N3110">
        <v>-1.3890491540000001</v>
      </c>
    </row>
    <row r="3111" spans="1:14" x14ac:dyDescent="0.2">
      <c r="A3111" t="s">
        <v>567</v>
      </c>
      <c r="B3111">
        <v>32800</v>
      </c>
      <c r="C3111" t="s">
        <v>149</v>
      </c>
      <c r="D3111" t="s">
        <v>567</v>
      </c>
      <c r="E3111" t="s">
        <v>6304</v>
      </c>
      <c r="G3111" t="s">
        <v>6305</v>
      </c>
      <c r="J3111">
        <v>5.0381074159999999</v>
      </c>
      <c r="K3111">
        <v>0.81312368999999995</v>
      </c>
      <c r="L3111">
        <v>0.16969141800000001</v>
      </c>
      <c r="M3111" s="21">
        <v>-1.4849981050000001</v>
      </c>
      <c r="N3111">
        <v>-1.3898463720000001</v>
      </c>
    </row>
    <row r="3112" spans="1:14" x14ac:dyDescent="0.2">
      <c r="A3112" t="s">
        <v>1335</v>
      </c>
      <c r="B3112">
        <v>32600</v>
      </c>
      <c r="C3112" t="s">
        <v>149</v>
      </c>
      <c r="D3112" t="s">
        <v>1335</v>
      </c>
      <c r="E3112" t="s">
        <v>6306</v>
      </c>
      <c r="G3112" t="s">
        <v>6307</v>
      </c>
      <c r="J3112">
        <v>5.0381074159999999</v>
      </c>
      <c r="K3112">
        <v>0.81312368999999995</v>
      </c>
      <c r="L3112">
        <v>0.16969141800000001</v>
      </c>
      <c r="M3112" s="21">
        <v>-1.485183028</v>
      </c>
      <c r="N3112">
        <v>-1.3907963910000001</v>
      </c>
    </row>
    <row r="3113" spans="1:14" x14ac:dyDescent="0.2">
      <c r="A3113" t="s">
        <v>1215</v>
      </c>
      <c r="B3113">
        <v>32560</v>
      </c>
      <c r="C3113" t="s">
        <v>149</v>
      </c>
      <c r="D3113" t="s">
        <v>1215</v>
      </c>
      <c r="E3113" t="s">
        <v>6308</v>
      </c>
      <c r="G3113" t="s">
        <v>6309</v>
      </c>
      <c r="J3113">
        <v>5.0381074159999999</v>
      </c>
      <c r="K3113">
        <v>0.81312368999999995</v>
      </c>
      <c r="L3113">
        <v>0.16969141800000001</v>
      </c>
      <c r="M3113" s="21">
        <v>-1.4852200120000001</v>
      </c>
      <c r="N3113">
        <v>-1.3909863950000001</v>
      </c>
    </row>
    <row r="3114" spans="1:14" x14ac:dyDescent="0.2">
      <c r="A3114" t="s">
        <v>772</v>
      </c>
      <c r="B3114">
        <v>32400</v>
      </c>
      <c r="C3114" t="s">
        <v>149</v>
      </c>
      <c r="D3114" t="s">
        <v>772</v>
      </c>
      <c r="E3114" t="s">
        <v>6310</v>
      </c>
      <c r="G3114" t="s">
        <v>6311</v>
      </c>
      <c r="J3114">
        <v>5.0381074159999999</v>
      </c>
      <c r="K3114">
        <v>0.81312368999999995</v>
      </c>
      <c r="L3114">
        <v>0.16969141800000001</v>
      </c>
      <c r="M3114" s="21">
        <v>-1.485367951</v>
      </c>
      <c r="N3114">
        <v>-1.391746411</v>
      </c>
    </row>
    <row r="3115" spans="1:14" x14ac:dyDescent="0.2">
      <c r="A3115" t="s">
        <v>1413</v>
      </c>
      <c r="B3115">
        <v>26120</v>
      </c>
      <c r="C3115" t="s">
        <v>58</v>
      </c>
      <c r="D3115" t="s">
        <v>1413</v>
      </c>
      <c r="E3115" t="s">
        <v>6312</v>
      </c>
      <c r="G3115" t="s">
        <v>6313</v>
      </c>
      <c r="J3115">
        <v>4.5363847230000003</v>
      </c>
      <c r="K3115">
        <v>0.245646371</v>
      </c>
      <c r="L3115">
        <v>7.5242279999999995E-2</v>
      </c>
      <c r="M3115" s="21">
        <v>-1.4854223600000001</v>
      </c>
      <c r="N3115">
        <v>-1.392025933</v>
      </c>
    </row>
    <row r="3116" spans="1:14" x14ac:dyDescent="0.2">
      <c r="A3116" t="s">
        <v>832</v>
      </c>
      <c r="B3116">
        <v>26120</v>
      </c>
      <c r="C3116" t="s">
        <v>58</v>
      </c>
      <c r="D3116" t="s">
        <v>832</v>
      </c>
      <c r="E3116" t="s">
        <v>6314</v>
      </c>
      <c r="G3116" t="s">
        <v>6315</v>
      </c>
      <c r="J3116">
        <v>4.5363847230000003</v>
      </c>
      <c r="K3116">
        <v>0.245646371</v>
      </c>
      <c r="L3116">
        <v>7.5242279999999995E-2</v>
      </c>
      <c r="M3116" s="21">
        <v>-1.4854223600000001</v>
      </c>
      <c r="N3116">
        <v>-1.392025933</v>
      </c>
    </row>
    <row r="3117" spans="1:14" x14ac:dyDescent="0.2">
      <c r="A3117" t="s">
        <v>42</v>
      </c>
      <c r="B3117">
        <v>32400</v>
      </c>
      <c r="C3117" t="s">
        <v>100</v>
      </c>
      <c r="D3117" t="s">
        <v>42</v>
      </c>
      <c r="E3117" t="s">
        <v>6316</v>
      </c>
      <c r="G3117" t="s">
        <v>6317</v>
      </c>
      <c r="J3117">
        <v>5.9110743220000002</v>
      </c>
      <c r="K3117">
        <v>0.71598987199999997</v>
      </c>
      <c r="L3117">
        <v>0.29077365599999999</v>
      </c>
      <c r="M3117" s="21">
        <v>-1.4854368929999999</v>
      </c>
      <c r="N3117">
        <v>-1.3921005930000001</v>
      </c>
    </row>
    <row r="3118" spans="1:14" x14ac:dyDescent="0.2">
      <c r="A3118" t="s">
        <v>74</v>
      </c>
      <c r="B3118">
        <v>32400</v>
      </c>
      <c r="C3118" t="s">
        <v>100</v>
      </c>
      <c r="D3118" t="s">
        <v>75</v>
      </c>
      <c r="E3118" t="s">
        <v>6318</v>
      </c>
      <c r="G3118" t="s">
        <v>6319</v>
      </c>
      <c r="J3118">
        <v>5.9110743220000002</v>
      </c>
      <c r="K3118">
        <v>0.71598987199999997</v>
      </c>
      <c r="L3118">
        <v>0.29077365599999999</v>
      </c>
      <c r="M3118" s="21">
        <v>-1.4854368929999999</v>
      </c>
      <c r="N3118">
        <v>-1.3921005930000001</v>
      </c>
    </row>
    <row r="3119" spans="1:14" x14ac:dyDescent="0.2">
      <c r="A3119" t="s">
        <v>3164</v>
      </c>
      <c r="B3119">
        <v>32320</v>
      </c>
      <c r="C3119" t="s">
        <v>100</v>
      </c>
      <c r="D3119" t="s">
        <v>3165</v>
      </c>
      <c r="E3119" t="s">
        <v>6320</v>
      </c>
      <c r="G3119" t="s">
        <v>6321</v>
      </c>
      <c r="J3119">
        <v>5.9110743220000002</v>
      </c>
      <c r="K3119">
        <v>0.71598987199999997</v>
      </c>
      <c r="L3119">
        <v>0.29077365599999999</v>
      </c>
      <c r="M3119" s="21">
        <v>-1.48551631</v>
      </c>
      <c r="N3119">
        <v>-1.3925085880000001</v>
      </c>
    </row>
    <row r="3120" spans="1:14" x14ac:dyDescent="0.2">
      <c r="A3120" t="s">
        <v>2902</v>
      </c>
      <c r="B3120">
        <v>25920</v>
      </c>
      <c r="C3120" t="s">
        <v>58</v>
      </c>
      <c r="D3120" t="s">
        <v>2903</v>
      </c>
      <c r="E3120" t="s">
        <v>6322</v>
      </c>
      <c r="G3120" t="s">
        <v>6323</v>
      </c>
      <c r="J3120">
        <v>4.5363847230000003</v>
      </c>
      <c r="K3120">
        <v>0.245646371</v>
      </c>
      <c r="L3120">
        <v>7.5242279999999995E-2</v>
      </c>
      <c r="M3120" s="21">
        <v>-1.485615506</v>
      </c>
      <c r="N3120">
        <v>-1.393018192</v>
      </c>
    </row>
    <row r="3121" spans="1:14" x14ac:dyDescent="0.2">
      <c r="A3121" t="s">
        <v>158</v>
      </c>
      <c r="B3121">
        <v>32200</v>
      </c>
      <c r="C3121" t="s">
        <v>100</v>
      </c>
      <c r="D3121" t="s">
        <v>158</v>
      </c>
      <c r="E3121" t="s">
        <v>6324</v>
      </c>
      <c r="G3121" t="s">
        <v>6325</v>
      </c>
      <c r="J3121">
        <v>5.9110743220000002</v>
      </c>
      <c r="K3121">
        <v>0.71598987199999997</v>
      </c>
      <c r="L3121">
        <v>0.29077365599999999</v>
      </c>
      <c r="M3121" s="21">
        <v>-1.4856354359999999</v>
      </c>
      <c r="N3121">
        <v>-1.393120581</v>
      </c>
    </row>
    <row r="3122" spans="1:14" x14ac:dyDescent="0.2">
      <c r="A3122" t="s">
        <v>2031</v>
      </c>
      <c r="B3122">
        <v>31800</v>
      </c>
      <c r="C3122" t="s">
        <v>100</v>
      </c>
      <c r="D3122" t="s">
        <v>2032</v>
      </c>
      <c r="E3122" t="s">
        <v>6326</v>
      </c>
      <c r="G3122" t="s">
        <v>6327</v>
      </c>
      <c r="J3122">
        <v>5.9110743220000002</v>
      </c>
      <c r="K3122">
        <v>0.71598987199999997</v>
      </c>
      <c r="L3122">
        <v>0.29077365599999999</v>
      </c>
      <c r="M3122" s="21">
        <v>-1.4860325210000001</v>
      </c>
      <c r="N3122">
        <v>-1.3951605579999999</v>
      </c>
    </row>
    <row r="3123" spans="1:14" x14ac:dyDescent="0.2">
      <c r="A3123" t="s">
        <v>554</v>
      </c>
      <c r="B3123">
        <v>31680</v>
      </c>
      <c r="C3123" t="s">
        <v>149</v>
      </c>
      <c r="D3123" t="s">
        <v>555</v>
      </c>
      <c r="E3123" t="s">
        <v>6328</v>
      </c>
      <c r="G3123" t="s">
        <v>6329</v>
      </c>
      <c r="J3123">
        <v>5.0381074159999999</v>
      </c>
      <c r="K3123">
        <v>0.81312368999999995</v>
      </c>
      <c r="L3123">
        <v>0.16969141800000001</v>
      </c>
      <c r="M3123" s="21">
        <v>-1.4860336750000001</v>
      </c>
      <c r="N3123">
        <v>-1.395166482</v>
      </c>
    </row>
    <row r="3124" spans="1:14" x14ac:dyDescent="0.2">
      <c r="A3124" t="s">
        <v>832</v>
      </c>
      <c r="B3124">
        <v>31640</v>
      </c>
      <c r="C3124" t="s">
        <v>149</v>
      </c>
      <c r="D3124" t="s">
        <v>832</v>
      </c>
      <c r="E3124" t="s">
        <v>6330</v>
      </c>
      <c r="G3124" t="s">
        <v>6331</v>
      </c>
      <c r="J3124">
        <v>5.0381074159999999</v>
      </c>
      <c r="K3124">
        <v>0.81312368999999995</v>
      </c>
      <c r="L3124">
        <v>0.16969141800000001</v>
      </c>
      <c r="M3124" s="21">
        <v>-1.4860706589999999</v>
      </c>
      <c r="N3124">
        <v>-1.3953564860000001</v>
      </c>
    </row>
    <row r="3125" spans="1:14" x14ac:dyDescent="0.2">
      <c r="A3125" t="s">
        <v>1698</v>
      </c>
      <c r="B3125">
        <v>31440</v>
      </c>
      <c r="C3125" t="s">
        <v>149</v>
      </c>
      <c r="D3125" t="s">
        <v>1698</v>
      </c>
      <c r="E3125" t="s">
        <v>6332</v>
      </c>
      <c r="G3125" t="s">
        <v>6333</v>
      </c>
      <c r="J3125">
        <v>5.0381074159999999</v>
      </c>
      <c r="K3125">
        <v>0.81312368999999995</v>
      </c>
      <c r="L3125">
        <v>0.16969141800000001</v>
      </c>
      <c r="M3125" s="21">
        <v>-1.4862555820000001</v>
      </c>
      <c r="N3125">
        <v>-1.3963065059999999</v>
      </c>
    </row>
    <row r="3126" spans="1:14" x14ac:dyDescent="0.2">
      <c r="A3126" t="s">
        <v>277</v>
      </c>
      <c r="B3126">
        <v>31440</v>
      </c>
      <c r="C3126" t="s">
        <v>149</v>
      </c>
      <c r="D3126" t="s">
        <v>277</v>
      </c>
      <c r="E3126" t="s">
        <v>6334</v>
      </c>
      <c r="G3126" t="s">
        <v>6335</v>
      </c>
      <c r="J3126">
        <v>5.0381074159999999</v>
      </c>
      <c r="K3126">
        <v>0.81312368999999995</v>
      </c>
      <c r="L3126">
        <v>0.16969141800000001</v>
      </c>
      <c r="M3126" s="21">
        <v>-1.4862555820000001</v>
      </c>
      <c r="N3126">
        <v>-1.3963065059999999</v>
      </c>
    </row>
    <row r="3127" spans="1:14" x14ac:dyDescent="0.2">
      <c r="A3127" t="s">
        <v>1544</v>
      </c>
      <c r="B3127">
        <v>31520</v>
      </c>
      <c r="C3127" t="s">
        <v>100</v>
      </c>
      <c r="D3127" t="s">
        <v>1545</v>
      </c>
      <c r="E3127" t="s">
        <v>6336</v>
      </c>
      <c r="G3127" t="s">
        <v>6337</v>
      </c>
      <c r="J3127">
        <v>5.9110743220000002</v>
      </c>
      <c r="K3127">
        <v>0.71598987199999997</v>
      </c>
      <c r="L3127">
        <v>0.29077365599999999</v>
      </c>
      <c r="M3127" s="21">
        <v>-1.4863104810000001</v>
      </c>
      <c r="N3127">
        <v>-1.3965885410000001</v>
      </c>
    </row>
    <row r="3128" spans="1:14" x14ac:dyDescent="0.2">
      <c r="A3128" t="s">
        <v>203</v>
      </c>
      <c r="B3128">
        <v>25040</v>
      </c>
      <c r="C3128" t="s">
        <v>58</v>
      </c>
      <c r="D3128" t="s">
        <v>204</v>
      </c>
      <c r="E3128" t="s">
        <v>6338</v>
      </c>
      <c r="G3128" t="s">
        <v>6339</v>
      </c>
      <c r="J3128">
        <v>4.5363847230000003</v>
      </c>
      <c r="K3128">
        <v>0.245646371</v>
      </c>
      <c r="L3128">
        <v>7.5242279999999995E-2</v>
      </c>
      <c r="M3128" s="21">
        <v>-1.486465345</v>
      </c>
      <c r="N3128">
        <v>-1.397384135</v>
      </c>
    </row>
    <row r="3129" spans="1:14" x14ac:dyDescent="0.2">
      <c r="A3129" t="s">
        <v>2028</v>
      </c>
      <c r="B3129">
        <v>31200</v>
      </c>
      <c r="C3129" t="s">
        <v>100</v>
      </c>
      <c r="D3129" t="s">
        <v>2028</v>
      </c>
      <c r="E3129" t="s">
        <v>6340</v>
      </c>
      <c r="G3129" t="s">
        <v>6341</v>
      </c>
      <c r="J3129">
        <v>5.9110743220000002</v>
      </c>
      <c r="K3129">
        <v>0.71598987199999997</v>
      </c>
      <c r="L3129">
        <v>0.29077365599999999</v>
      </c>
      <c r="M3129" s="21">
        <v>-1.486628149</v>
      </c>
      <c r="N3129">
        <v>-1.3982205219999999</v>
      </c>
    </row>
    <row r="3130" spans="1:14" x14ac:dyDescent="0.2">
      <c r="A3130" t="s">
        <v>1773</v>
      </c>
      <c r="B3130">
        <v>31120</v>
      </c>
      <c r="C3130" t="s">
        <v>100</v>
      </c>
      <c r="D3130" t="s">
        <v>1773</v>
      </c>
      <c r="E3130" t="s">
        <v>6342</v>
      </c>
      <c r="G3130" t="s">
        <v>6343</v>
      </c>
      <c r="J3130">
        <v>5.9110743220000002</v>
      </c>
      <c r="K3130">
        <v>0.71598987199999997</v>
      </c>
      <c r="L3130">
        <v>0.29077365599999999</v>
      </c>
      <c r="M3130" s="21">
        <v>-1.486707566</v>
      </c>
      <c r="N3130">
        <v>-1.3986285169999999</v>
      </c>
    </row>
    <row r="3131" spans="1:14" x14ac:dyDescent="0.2">
      <c r="A3131" t="s">
        <v>2294</v>
      </c>
      <c r="B3131">
        <v>30920</v>
      </c>
      <c r="C3131" t="s">
        <v>149</v>
      </c>
      <c r="D3131" t="s">
        <v>2294</v>
      </c>
      <c r="E3131" t="s">
        <v>6344</v>
      </c>
      <c r="G3131" t="s">
        <v>6345</v>
      </c>
      <c r="J3131">
        <v>5.0381074159999999</v>
      </c>
      <c r="K3131">
        <v>0.81312368999999995</v>
      </c>
      <c r="L3131">
        <v>0.16969141800000001</v>
      </c>
      <c r="M3131" s="21">
        <v>-1.486736383</v>
      </c>
      <c r="N3131">
        <v>-1.3987765569999999</v>
      </c>
    </row>
    <row r="3132" spans="1:14" x14ac:dyDescent="0.2">
      <c r="A3132" t="s">
        <v>1330</v>
      </c>
      <c r="B3132">
        <v>30880</v>
      </c>
      <c r="C3132" t="s">
        <v>149</v>
      </c>
      <c r="D3132" t="s">
        <v>1330</v>
      </c>
      <c r="E3132" t="s">
        <v>6346</v>
      </c>
      <c r="G3132" t="s">
        <v>6347</v>
      </c>
      <c r="J3132">
        <v>5.0381074159999999</v>
      </c>
      <c r="K3132">
        <v>0.81312368999999995</v>
      </c>
      <c r="L3132">
        <v>0.16969141800000001</v>
      </c>
      <c r="M3132" s="21">
        <v>-1.4867733670000001</v>
      </c>
      <c r="N3132">
        <v>-1.3989665609999999</v>
      </c>
    </row>
    <row r="3133" spans="1:14" x14ac:dyDescent="0.2">
      <c r="A3133" t="s">
        <v>567</v>
      </c>
      <c r="B3133">
        <v>24640</v>
      </c>
      <c r="C3133" t="s">
        <v>58</v>
      </c>
      <c r="D3133" t="s">
        <v>567</v>
      </c>
      <c r="E3133" t="s">
        <v>6348</v>
      </c>
      <c r="G3133" t="s">
        <v>6349</v>
      </c>
      <c r="J3133">
        <v>4.5363847230000003</v>
      </c>
      <c r="K3133">
        <v>0.245646371</v>
      </c>
      <c r="L3133">
        <v>7.5242279999999995E-2</v>
      </c>
      <c r="M3133" s="21">
        <v>-1.4868516350000001</v>
      </c>
      <c r="N3133">
        <v>-1.3993686540000001</v>
      </c>
    </row>
    <row r="3134" spans="1:14" x14ac:dyDescent="0.2">
      <c r="A3134" t="s">
        <v>422</v>
      </c>
      <c r="B3134">
        <v>30760</v>
      </c>
      <c r="C3134" t="s">
        <v>149</v>
      </c>
      <c r="D3134" t="s">
        <v>423</v>
      </c>
      <c r="E3134" t="s">
        <v>6350</v>
      </c>
      <c r="G3134" t="s">
        <v>6351</v>
      </c>
      <c r="J3134">
        <v>5.0381074159999999</v>
      </c>
      <c r="K3134">
        <v>0.81312368999999995</v>
      </c>
      <c r="L3134">
        <v>0.16969141800000001</v>
      </c>
      <c r="M3134" s="21">
        <v>-1.486884321</v>
      </c>
      <c r="N3134">
        <v>-1.399536573</v>
      </c>
    </row>
    <row r="3135" spans="1:14" x14ac:dyDescent="0.2">
      <c r="A3135" t="s">
        <v>79</v>
      </c>
      <c r="B3135">
        <v>30840</v>
      </c>
      <c r="C3135" t="s">
        <v>100</v>
      </c>
      <c r="D3135" t="s">
        <v>80</v>
      </c>
      <c r="E3135" t="s">
        <v>6352</v>
      </c>
      <c r="G3135" t="s">
        <v>6353</v>
      </c>
      <c r="J3135">
        <v>5.9110743220000002</v>
      </c>
      <c r="K3135">
        <v>0.71598987199999997</v>
      </c>
      <c r="L3135">
        <v>0.29077365599999999</v>
      </c>
      <c r="M3135" s="21">
        <v>-1.486985526</v>
      </c>
      <c r="N3135">
        <v>-1.4000565009999999</v>
      </c>
    </row>
    <row r="3136" spans="1:14" x14ac:dyDescent="0.2">
      <c r="A3136" t="s">
        <v>2412</v>
      </c>
      <c r="B3136">
        <v>90240</v>
      </c>
      <c r="C3136" t="s">
        <v>14</v>
      </c>
      <c r="D3136" t="s">
        <v>2412</v>
      </c>
      <c r="E3136" t="s">
        <v>6354</v>
      </c>
      <c r="G3136" t="s">
        <v>6355</v>
      </c>
      <c r="J3136">
        <v>6.7484204910000001</v>
      </c>
      <c r="K3136">
        <v>0.48629166299999999</v>
      </c>
      <c r="L3136">
        <v>0.375053939</v>
      </c>
      <c r="M3136" s="21">
        <v>-1.4871033490000001</v>
      </c>
      <c r="N3136">
        <v>-1.400661798</v>
      </c>
    </row>
    <row r="3137" spans="1:14" x14ac:dyDescent="0.2">
      <c r="A3137" t="s">
        <v>462</v>
      </c>
      <c r="B3137">
        <v>30480</v>
      </c>
      <c r="C3137" t="s">
        <v>149</v>
      </c>
      <c r="D3137" t="s">
        <v>462</v>
      </c>
      <c r="E3137" t="s">
        <v>6356</v>
      </c>
      <c r="G3137" t="s">
        <v>6357</v>
      </c>
      <c r="J3137">
        <v>5.0381074159999999</v>
      </c>
      <c r="K3137">
        <v>0.81312368999999995</v>
      </c>
      <c r="L3137">
        <v>0.16969141800000001</v>
      </c>
      <c r="M3137" s="21">
        <v>-1.487143214</v>
      </c>
      <c r="N3137">
        <v>-1.4008666009999999</v>
      </c>
    </row>
    <row r="3138" spans="1:14" x14ac:dyDescent="0.2">
      <c r="A3138" t="s">
        <v>1160</v>
      </c>
      <c r="B3138">
        <v>24240</v>
      </c>
      <c r="C3138" t="s">
        <v>58</v>
      </c>
      <c r="D3138" t="s">
        <v>1160</v>
      </c>
      <c r="E3138" t="s">
        <v>6358</v>
      </c>
      <c r="G3138" t="s">
        <v>6359</v>
      </c>
      <c r="J3138">
        <v>4.5363847230000003</v>
      </c>
      <c r="K3138">
        <v>0.245646371</v>
      </c>
      <c r="L3138">
        <v>7.5242279999999995E-2</v>
      </c>
      <c r="M3138" s="21">
        <v>-1.4872379259999999</v>
      </c>
      <c r="N3138">
        <v>-1.401353173</v>
      </c>
    </row>
    <row r="3139" spans="1:14" x14ac:dyDescent="0.2">
      <c r="A3139" t="s">
        <v>2902</v>
      </c>
      <c r="B3139">
        <v>30480</v>
      </c>
      <c r="C3139" t="s">
        <v>100</v>
      </c>
      <c r="D3139" t="s">
        <v>2903</v>
      </c>
      <c r="E3139" t="s">
        <v>6360</v>
      </c>
      <c r="G3139" t="s">
        <v>6361</v>
      </c>
      <c r="J3139">
        <v>5.9110743220000002</v>
      </c>
      <c r="K3139">
        <v>0.71598987199999997</v>
      </c>
      <c r="L3139">
        <v>0.29077365599999999</v>
      </c>
      <c r="M3139" s="21">
        <v>-1.487342903</v>
      </c>
      <c r="N3139">
        <v>-1.401892479</v>
      </c>
    </row>
    <row r="3140" spans="1:14" x14ac:dyDescent="0.2">
      <c r="A3140" t="s">
        <v>2167</v>
      </c>
      <c r="B3140">
        <v>30240</v>
      </c>
      <c r="C3140" t="s">
        <v>149</v>
      </c>
      <c r="D3140" t="s">
        <v>2168</v>
      </c>
      <c r="E3140" t="s">
        <v>6362</v>
      </c>
      <c r="G3140" t="s">
        <v>6363</v>
      </c>
      <c r="J3140">
        <v>5.0381074159999999</v>
      </c>
      <c r="K3140">
        <v>0.81312368999999995</v>
      </c>
      <c r="L3140">
        <v>0.16969141800000001</v>
      </c>
      <c r="M3140" s="21">
        <v>-1.4873651219999999</v>
      </c>
      <c r="N3140">
        <v>-1.402006624</v>
      </c>
    </row>
    <row r="3141" spans="1:14" x14ac:dyDescent="0.2">
      <c r="A3141" t="s">
        <v>935</v>
      </c>
      <c r="B3141">
        <v>30160</v>
      </c>
      <c r="C3141" t="s">
        <v>100</v>
      </c>
      <c r="D3141" t="s">
        <v>935</v>
      </c>
      <c r="E3141" t="s">
        <v>6364</v>
      </c>
      <c r="G3141" t="s">
        <v>6365</v>
      </c>
      <c r="J3141">
        <v>5.9110743220000002</v>
      </c>
      <c r="K3141">
        <v>0.71598987199999997</v>
      </c>
      <c r="L3141">
        <v>0.29077365599999999</v>
      </c>
      <c r="M3141" s="21">
        <v>-1.4876605709999999</v>
      </c>
      <c r="N3141">
        <v>-1.4035244609999999</v>
      </c>
    </row>
    <row r="3142" spans="1:14" x14ac:dyDescent="0.2">
      <c r="A3142" t="s">
        <v>1150</v>
      </c>
      <c r="B3142">
        <v>29920</v>
      </c>
      <c r="C3142" t="s">
        <v>149</v>
      </c>
      <c r="D3142" t="s">
        <v>1150</v>
      </c>
      <c r="E3142" t="s">
        <v>6366</v>
      </c>
      <c r="G3142" t="s">
        <v>6367</v>
      </c>
      <c r="J3142">
        <v>5.0381074159999999</v>
      </c>
      <c r="K3142">
        <v>0.81312368999999995</v>
      </c>
      <c r="L3142">
        <v>0.16969141800000001</v>
      </c>
      <c r="M3142" s="21">
        <v>-1.487660999</v>
      </c>
      <c r="N3142">
        <v>-1.4035266559999999</v>
      </c>
    </row>
    <row r="3143" spans="1:14" x14ac:dyDescent="0.2">
      <c r="A3143" t="s">
        <v>438</v>
      </c>
      <c r="B3143">
        <v>30080</v>
      </c>
      <c r="C3143" t="s">
        <v>100</v>
      </c>
      <c r="D3143" t="s">
        <v>438</v>
      </c>
      <c r="E3143" t="s">
        <v>6368</v>
      </c>
      <c r="G3143" t="s">
        <v>6369</v>
      </c>
      <c r="J3143">
        <v>5.9110743220000002</v>
      </c>
      <c r="K3143">
        <v>0.71598987199999997</v>
      </c>
      <c r="L3143">
        <v>0.29077365599999999</v>
      </c>
      <c r="M3143" s="21">
        <v>-1.487739988</v>
      </c>
      <c r="N3143">
        <v>-1.4039324559999999</v>
      </c>
    </row>
    <row r="3144" spans="1:14" x14ac:dyDescent="0.2">
      <c r="A3144" t="s">
        <v>134</v>
      </c>
      <c r="B3144">
        <v>89560</v>
      </c>
      <c r="C3144" t="s">
        <v>14</v>
      </c>
      <c r="D3144" t="s">
        <v>135</v>
      </c>
      <c r="E3144" t="s">
        <v>6370</v>
      </c>
      <c r="G3144" t="s">
        <v>6371</v>
      </c>
      <c r="J3144">
        <v>6.7484204910000001</v>
      </c>
      <c r="K3144">
        <v>0.48629166299999999</v>
      </c>
      <c r="L3144">
        <v>0.375053939</v>
      </c>
      <c r="M3144" s="21">
        <v>-1.48784844</v>
      </c>
      <c r="N3144">
        <v>-1.4044896099999999</v>
      </c>
    </row>
    <row r="3145" spans="1:14" x14ac:dyDescent="0.2">
      <c r="A3145" t="s">
        <v>491</v>
      </c>
      <c r="B3145">
        <v>29920</v>
      </c>
      <c r="C3145" t="s">
        <v>100</v>
      </c>
      <c r="D3145" t="s">
        <v>491</v>
      </c>
      <c r="E3145" t="s">
        <v>6372</v>
      </c>
      <c r="G3145" t="s">
        <v>6373</v>
      </c>
      <c r="J3145">
        <v>5.9110743220000002</v>
      </c>
      <c r="K3145">
        <v>0.71598987199999997</v>
      </c>
      <c r="L3145">
        <v>0.29077365599999999</v>
      </c>
      <c r="M3145" s="21">
        <v>-1.4878988230000001</v>
      </c>
      <c r="N3145">
        <v>-1.4047484459999999</v>
      </c>
    </row>
    <row r="3146" spans="1:14" x14ac:dyDescent="0.2">
      <c r="A3146" t="s">
        <v>348</v>
      </c>
      <c r="B3146">
        <v>29840</v>
      </c>
      <c r="C3146" t="s">
        <v>100</v>
      </c>
      <c r="D3146" t="s">
        <v>349</v>
      </c>
      <c r="E3146" t="s">
        <v>6374</v>
      </c>
      <c r="G3146" t="s">
        <v>6375</v>
      </c>
      <c r="J3146">
        <v>5.9110743220000002</v>
      </c>
      <c r="K3146">
        <v>0.71598987199999997</v>
      </c>
      <c r="L3146">
        <v>0.29077365599999999</v>
      </c>
      <c r="M3146" s="21">
        <v>-1.4879782399999999</v>
      </c>
      <c r="N3146">
        <v>-1.405156442</v>
      </c>
    </row>
    <row r="3147" spans="1:14" x14ac:dyDescent="0.2">
      <c r="A3147" t="s">
        <v>988</v>
      </c>
      <c r="B3147">
        <v>29560</v>
      </c>
      <c r="C3147" t="s">
        <v>149</v>
      </c>
      <c r="D3147" t="s">
        <v>988</v>
      </c>
      <c r="E3147" t="s">
        <v>6376</v>
      </c>
      <c r="G3147" t="s">
        <v>6377</v>
      </c>
      <c r="J3147">
        <v>5.0381074159999999</v>
      </c>
      <c r="K3147">
        <v>0.81312368999999995</v>
      </c>
      <c r="L3147">
        <v>0.16969141800000001</v>
      </c>
      <c r="M3147" s="21">
        <v>-1.4879938610000001</v>
      </c>
      <c r="N3147">
        <v>-1.4052366919999999</v>
      </c>
    </row>
    <row r="3148" spans="1:14" x14ac:dyDescent="0.2">
      <c r="A3148" t="s">
        <v>853</v>
      </c>
      <c r="B3148">
        <v>29760</v>
      </c>
      <c r="C3148" t="s">
        <v>100</v>
      </c>
      <c r="D3148" t="s">
        <v>854</v>
      </c>
      <c r="E3148" t="s">
        <v>6378</v>
      </c>
      <c r="G3148" t="s">
        <v>6379</v>
      </c>
      <c r="J3148">
        <v>5.9110743220000002</v>
      </c>
      <c r="K3148">
        <v>0.71598987199999997</v>
      </c>
      <c r="L3148">
        <v>0.29077365599999999</v>
      </c>
      <c r="M3148" s="21">
        <v>-1.4880576569999999</v>
      </c>
      <c r="N3148">
        <v>-1.405564437</v>
      </c>
    </row>
    <row r="3149" spans="1:14" x14ac:dyDescent="0.2">
      <c r="A3149" t="s">
        <v>392</v>
      </c>
      <c r="B3149">
        <v>29640</v>
      </c>
      <c r="C3149" t="s">
        <v>100</v>
      </c>
      <c r="D3149" t="s">
        <v>392</v>
      </c>
      <c r="E3149" t="s">
        <v>6380</v>
      </c>
      <c r="G3149" t="s">
        <v>6381</v>
      </c>
      <c r="J3149">
        <v>5.9110743220000002</v>
      </c>
      <c r="K3149">
        <v>0.71598987199999997</v>
      </c>
      <c r="L3149">
        <v>0.29077365599999999</v>
      </c>
      <c r="M3149" s="21">
        <v>-1.488176782</v>
      </c>
      <c r="N3149">
        <v>-1.4061764299999999</v>
      </c>
    </row>
    <row r="3150" spans="1:14" x14ac:dyDescent="0.2">
      <c r="A3150" t="s">
        <v>2443</v>
      </c>
      <c r="B3150">
        <v>23160</v>
      </c>
      <c r="C3150" t="s">
        <v>58</v>
      </c>
      <c r="D3150" t="s">
        <v>2444</v>
      </c>
      <c r="E3150" t="s">
        <v>6382</v>
      </c>
      <c r="G3150" t="s">
        <v>6383</v>
      </c>
      <c r="J3150">
        <v>4.5363847230000003</v>
      </c>
      <c r="K3150">
        <v>0.245646371</v>
      </c>
      <c r="L3150">
        <v>7.5242279999999995E-2</v>
      </c>
      <c r="M3150" s="21">
        <v>-1.4882809100000001</v>
      </c>
      <c r="N3150">
        <v>-1.406711375</v>
      </c>
    </row>
    <row r="3151" spans="1:14" x14ac:dyDescent="0.2">
      <c r="A3151" t="s">
        <v>415</v>
      </c>
      <c r="B3151">
        <v>23000</v>
      </c>
      <c r="C3151" t="s">
        <v>58</v>
      </c>
      <c r="D3151" t="s">
        <v>415</v>
      </c>
      <c r="E3151" t="s">
        <v>6384</v>
      </c>
      <c r="G3151" t="s">
        <v>6385</v>
      </c>
      <c r="J3151">
        <v>4.5363847230000003</v>
      </c>
      <c r="K3151">
        <v>0.245646371</v>
      </c>
      <c r="L3151">
        <v>7.5242279999999995E-2</v>
      </c>
      <c r="M3151" s="21">
        <v>-1.488435427</v>
      </c>
      <c r="N3151">
        <v>-1.407505182</v>
      </c>
    </row>
    <row r="3152" spans="1:14" x14ac:dyDescent="0.2">
      <c r="A3152" t="s">
        <v>1089</v>
      </c>
      <c r="B3152">
        <v>28760</v>
      </c>
      <c r="C3152" t="s">
        <v>149</v>
      </c>
      <c r="D3152" t="s">
        <v>1089</v>
      </c>
      <c r="E3152" t="s">
        <v>6386</v>
      </c>
      <c r="G3152" t="s">
        <v>6387</v>
      </c>
      <c r="J3152">
        <v>5.0381074159999999</v>
      </c>
      <c r="K3152">
        <v>0.81312368999999995</v>
      </c>
      <c r="L3152">
        <v>0.16969141800000001</v>
      </c>
      <c r="M3152" s="21">
        <v>-1.4887335530000001</v>
      </c>
      <c r="N3152">
        <v>-1.409036771</v>
      </c>
    </row>
    <row r="3153" spans="1:14" x14ac:dyDescent="0.2">
      <c r="A3153" t="s">
        <v>2149</v>
      </c>
      <c r="B3153">
        <v>28560</v>
      </c>
      <c r="C3153" t="s">
        <v>149</v>
      </c>
      <c r="D3153" t="s">
        <v>2149</v>
      </c>
      <c r="E3153" t="s">
        <v>6388</v>
      </c>
      <c r="G3153" t="s">
        <v>6389</v>
      </c>
      <c r="J3153">
        <v>5.0381074159999999</v>
      </c>
      <c r="K3153">
        <v>0.81312368999999995</v>
      </c>
      <c r="L3153">
        <v>0.16969141800000001</v>
      </c>
      <c r="M3153" s="21">
        <v>-1.4889184769999999</v>
      </c>
      <c r="N3153">
        <v>-1.40998679</v>
      </c>
    </row>
    <row r="3154" spans="1:14" x14ac:dyDescent="0.2">
      <c r="A3154" t="s">
        <v>89</v>
      </c>
      <c r="B3154">
        <v>28760</v>
      </c>
      <c r="C3154" t="s">
        <v>100</v>
      </c>
      <c r="D3154" t="s">
        <v>90</v>
      </c>
      <c r="E3154" t="s">
        <v>6390</v>
      </c>
      <c r="G3154" t="s">
        <v>6391</v>
      </c>
      <c r="J3154">
        <v>5.9110743220000002</v>
      </c>
      <c r="K3154">
        <v>0.71598987199999997</v>
      </c>
      <c r="L3154">
        <v>0.29077365599999999</v>
      </c>
      <c r="M3154" s="21">
        <v>-1.48905037</v>
      </c>
      <c r="N3154">
        <v>-1.4106643780000001</v>
      </c>
    </row>
    <row r="3155" spans="1:14" x14ac:dyDescent="0.2">
      <c r="A3155" t="s">
        <v>807</v>
      </c>
      <c r="B3155">
        <v>28320</v>
      </c>
      <c r="C3155" t="s">
        <v>149</v>
      </c>
      <c r="D3155" t="s">
        <v>807</v>
      </c>
      <c r="E3155" t="s">
        <v>6392</v>
      </c>
      <c r="G3155" t="s">
        <v>6393</v>
      </c>
      <c r="J3155">
        <v>5.0381074159999999</v>
      </c>
      <c r="K3155">
        <v>0.81312368999999995</v>
      </c>
      <c r="L3155">
        <v>0.16969141800000001</v>
      </c>
      <c r="M3155" s="21">
        <v>-1.4891403839999999</v>
      </c>
      <c r="N3155">
        <v>-1.411126814</v>
      </c>
    </row>
    <row r="3156" spans="1:14" x14ac:dyDescent="0.2">
      <c r="A3156" t="s">
        <v>1001</v>
      </c>
      <c r="B3156">
        <v>22240</v>
      </c>
      <c r="C3156" t="s">
        <v>58</v>
      </c>
      <c r="D3156" t="s">
        <v>1001</v>
      </c>
      <c r="E3156" t="s">
        <v>6394</v>
      </c>
      <c r="G3156" t="s">
        <v>6395</v>
      </c>
      <c r="J3156">
        <v>4.5363847230000003</v>
      </c>
      <c r="K3156">
        <v>0.245646371</v>
      </c>
      <c r="L3156">
        <v>7.5242279999999995E-2</v>
      </c>
      <c r="M3156" s="21">
        <v>-1.489169379</v>
      </c>
      <c r="N3156">
        <v>-1.411275769</v>
      </c>
    </row>
    <row r="3157" spans="1:14" x14ac:dyDescent="0.2">
      <c r="A3157" t="s">
        <v>2960</v>
      </c>
      <c r="B3157">
        <v>28400</v>
      </c>
      <c r="C3157" t="s">
        <v>100</v>
      </c>
      <c r="D3157" t="s">
        <v>2961</v>
      </c>
      <c r="E3157" t="s">
        <v>6396</v>
      </c>
      <c r="G3157" t="s">
        <v>6397</v>
      </c>
      <c r="J3157">
        <v>5.9110743220000002</v>
      </c>
      <c r="K3157">
        <v>0.71598987199999997</v>
      </c>
      <c r="L3157">
        <v>0.29077365599999999</v>
      </c>
      <c r="M3157" s="21">
        <v>-1.489407747</v>
      </c>
      <c r="N3157">
        <v>-1.412500356</v>
      </c>
    </row>
    <row r="3158" spans="1:14" x14ac:dyDescent="0.2">
      <c r="A3158" t="s">
        <v>592</v>
      </c>
      <c r="B3158">
        <v>28240</v>
      </c>
      <c r="C3158" t="s">
        <v>100</v>
      </c>
      <c r="D3158" t="s">
        <v>593</v>
      </c>
      <c r="E3158" t="s">
        <v>6398</v>
      </c>
      <c r="G3158" t="s">
        <v>6399</v>
      </c>
      <c r="J3158">
        <v>5.9110743220000002</v>
      </c>
      <c r="K3158">
        <v>0.71598987199999997</v>
      </c>
      <c r="L3158">
        <v>0.29077365599999999</v>
      </c>
      <c r="M3158" s="21">
        <v>-1.4895665810000001</v>
      </c>
      <c r="N3158">
        <v>-1.4133163470000001</v>
      </c>
    </row>
    <row r="3159" spans="1:14" x14ac:dyDescent="0.2">
      <c r="A3159" t="s">
        <v>1031</v>
      </c>
      <c r="B3159">
        <v>27800</v>
      </c>
      <c r="C3159" t="s">
        <v>149</v>
      </c>
      <c r="D3159" t="s">
        <v>1031</v>
      </c>
      <c r="E3159" t="s">
        <v>6400</v>
      </c>
      <c r="G3159" t="s">
        <v>6401</v>
      </c>
      <c r="J3159">
        <v>5.0381074159999999</v>
      </c>
      <c r="K3159">
        <v>0.81312368999999995</v>
      </c>
      <c r="L3159">
        <v>0.16969141800000001</v>
      </c>
      <c r="M3159" s="21">
        <v>-1.4896211850000001</v>
      </c>
      <c r="N3159">
        <v>-1.4135968649999999</v>
      </c>
    </row>
    <row r="3160" spans="1:14" x14ac:dyDescent="0.2">
      <c r="A3160" t="s">
        <v>1263</v>
      </c>
      <c r="B3160">
        <v>27480</v>
      </c>
      <c r="C3160" t="s">
        <v>149</v>
      </c>
      <c r="D3160" t="s">
        <v>1264</v>
      </c>
      <c r="E3160" t="s">
        <v>6402</v>
      </c>
      <c r="G3160" t="s">
        <v>6403</v>
      </c>
      <c r="J3160">
        <v>5.0381074159999999</v>
      </c>
      <c r="K3160">
        <v>0.81312368999999995</v>
      </c>
      <c r="L3160">
        <v>0.16969141800000001</v>
      </c>
      <c r="M3160" s="21">
        <v>-1.489917062</v>
      </c>
      <c r="N3160">
        <v>-1.4151168970000001</v>
      </c>
    </row>
    <row r="3161" spans="1:14" x14ac:dyDescent="0.2">
      <c r="A3161" t="s">
        <v>998</v>
      </c>
      <c r="B3161">
        <v>27360</v>
      </c>
      <c r="C3161" t="s">
        <v>149</v>
      </c>
      <c r="D3161" t="s">
        <v>998</v>
      </c>
      <c r="E3161" t="s">
        <v>6404</v>
      </c>
      <c r="G3161" t="s">
        <v>6405</v>
      </c>
      <c r="J3161">
        <v>5.0381074159999999</v>
      </c>
      <c r="K3161">
        <v>0.81312368999999995</v>
      </c>
      <c r="L3161">
        <v>0.16969141800000001</v>
      </c>
      <c r="M3161" s="21">
        <v>-1.4900280159999999</v>
      </c>
      <c r="N3161">
        <v>-1.4156869089999999</v>
      </c>
    </row>
    <row r="3162" spans="1:14" x14ac:dyDescent="0.2">
      <c r="A3162" t="s">
        <v>2239</v>
      </c>
      <c r="B3162">
        <v>27480</v>
      </c>
      <c r="C3162" t="s">
        <v>100</v>
      </c>
      <c r="D3162" t="s">
        <v>2240</v>
      </c>
      <c r="E3162" t="s">
        <v>6406</v>
      </c>
      <c r="G3162" t="s">
        <v>6407</v>
      </c>
      <c r="J3162">
        <v>5.9110743220000002</v>
      </c>
      <c r="K3162">
        <v>0.71598987199999997</v>
      </c>
      <c r="L3162">
        <v>0.29077365599999999</v>
      </c>
      <c r="M3162" s="21">
        <v>-1.4903210440000001</v>
      </c>
      <c r="N3162">
        <v>-1.4171923019999999</v>
      </c>
    </row>
    <row r="3163" spans="1:14" x14ac:dyDescent="0.2">
      <c r="A3163" t="s">
        <v>1882</v>
      </c>
      <c r="B3163">
        <v>26840</v>
      </c>
      <c r="C3163" t="s">
        <v>149</v>
      </c>
      <c r="D3163" t="s">
        <v>1882</v>
      </c>
      <c r="E3163" t="s">
        <v>6408</v>
      </c>
      <c r="G3163" t="s">
        <v>6409</v>
      </c>
      <c r="J3163">
        <v>5.0381074159999999</v>
      </c>
      <c r="K3163">
        <v>0.81312368999999995</v>
      </c>
      <c r="L3163">
        <v>0.16969141800000001</v>
      </c>
      <c r="M3163" s="21">
        <v>-1.490508816</v>
      </c>
      <c r="N3163">
        <v>-1.4181569599999999</v>
      </c>
    </row>
    <row r="3164" spans="1:14" x14ac:dyDescent="0.2">
      <c r="A3164" t="s">
        <v>263</v>
      </c>
      <c r="B3164">
        <v>27280</v>
      </c>
      <c r="C3164" t="s">
        <v>100</v>
      </c>
      <c r="D3164" t="s">
        <v>264</v>
      </c>
      <c r="E3164" t="s">
        <v>6410</v>
      </c>
      <c r="G3164" t="s">
        <v>6411</v>
      </c>
      <c r="J3164">
        <v>5.9110743220000002</v>
      </c>
      <c r="K3164">
        <v>0.71598987199999997</v>
      </c>
      <c r="L3164">
        <v>0.29077365599999999</v>
      </c>
      <c r="M3164" s="21">
        <v>-1.490519586</v>
      </c>
      <c r="N3164">
        <v>-1.41821229</v>
      </c>
    </row>
    <row r="3165" spans="1:14" x14ac:dyDescent="0.2">
      <c r="A3165" t="s">
        <v>1321</v>
      </c>
      <c r="B3165">
        <v>26760</v>
      </c>
      <c r="C3165" t="s">
        <v>149</v>
      </c>
      <c r="D3165" t="s">
        <v>1321</v>
      </c>
      <c r="E3165" t="s">
        <v>6412</v>
      </c>
      <c r="G3165" t="s">
        <v>6413</v>
      </c>
      <c r="J3165">
        <v>5.0381074159999999</v>
      </c>
      <c r="K3165">
        <v>0.81312368999999995</v>
      </c>
      <c r="L3165">
        <v>0.16969141800000001</v>
      </c>
      <c r="M3165" s="21">
        <v>-1.490582785</v>
      </c>
      <c r="N3165">
        <v>-1.418536968</v>
      </c>
    </row>
    <row r="3166" spans="1:14" x14ac:dyDescent="0.2">
      <c r="A3166" t="s">
        <v>191</v>
      </c>
      <c r="B3166">
        <v>27200</v>
      </c>
      <c r="C3166" t="s">
        <v>100</v>
      </c>
      <c r="D3166" t="s">
        <v>192</v>
      </c>
      <c r="E3166" t="s">
        <v>6414</v>
      </c>
      <c r="G3166" t="s">
        <v>6415</v>
      </c>
      <c r="J3166">
        <v>5.9110743220000002</v>
      </c>
      <c r="K3166">
        <v>0.71598987199999997</v>
      </c>
      <c r="L3166">
        <v>0.29077365599999999</v>
      </c>
      <c r="M3166" s="21">
        <v>-1.490599003</v>
      </c>
      <c r="N3166">
        <v>-1.418620285</v>
      </c>
    </row>
    <row r="3167" spans="1:14" x14ac:dyDescent="0.2">
      <c r="A3167" t="s">
        <v>1811</v>
      </c>
      <c r="B3167">
        <v>26520</v>
      </c>
      <c r="C3167" t="s">
        <v>149</v>
      </c>
      <c r="D3167" t="s">
        <v>1811</v>
      </c>
      <c r="E3167" t="s">
        <v>6416</v>
      </c>
      <c r="G3167" t="s">
        <v>6417</v>
      </c>
      <c r="J3167">
        <v>5.0381074159999999</v>
      </c>
      <c r="K3167">
        <v>0.81312368999999995</v>
      </c>
      <c r="L3167">
        <v>0.16969141800000001</v>
      </c>
      <c r="M3167" s="21">
        <v>-1.4908046930000001</v>
      </c>
      <c r="N3167">
        <v>-1.4196769920000001</v>
      </c>
    </row>
    <row r="3168" spans="1:14" x14ac:dyDescent="0.2">
      <c r="A3168" t="s">
        <v>329</v>
      </c>
      <c r="B3168">
        <v>20400</v>
      </c>
      <c r="C3168" t="s">
        <v>58</v>
      </c>
      <c r="D3168" t="s">
        <v>329</v>
      </c>
      <c r="E3168" t="s">
        <v>6418</v>
      </c>
      <c r="G3168" t="s">
        <v>6419</v>
      </c>
      <c r="J3168">
        <v>4.5363847230000003</v>
      </c>
      <c r="K3168">
        <v>0.245646371</v>
      </c>
      <c r="L3168">
        <v>7.5242279999999995E-2</v>
      </c>
      <c r="M3168" s="21">
        <v>-1.490946315</v>
      </c>
      <c r="N3168">
        <v>-1.4204045569999999</v>
      </c>
    </row>
    <row r="3169" spans="1:14" x14ac:dyDescent="0.2">
      <c r="A3169" t="s">
        <v>807</v>
      </c>
      <c r="B3169">
        <v>26680</v>
      </c>
      <c r="C3169" t="s">
        <v>100</v>
      </c>
      <c r="D3169" t="s">
        <v>807</v>
      </c>
      <c r="E3169" t="s">
        <v>6420</v>
      </c>
      <c r="G3169" t="s">
        <v>6421</v>
      </c>
      <c r="J3169">
        <v>5.9110743220000002</v>
      </c>
      <c r="K3169">
        <v>0.71598987199999997</v>
      </c>
      <c r="L3169">
        <v>0.29077365599999999</v>
      </c>
      <c r="M3169" s="21">
        <v>-1.4911152139999999</v>
      </c>
      <c r="N3169">
        <v>-1.421272254</v>
      </c>
    </row>
    <row r="3170" spans="1:14" x14ac:dyDescent="0.2">
      <c r="A3170" t="s">
        <v>607</v>
      </c>
      <c r="B3170">
        <v>86440</v>
      </c>
      <c r="C3170" t="s">
        <v>14</v>
      </c>
      <c r="D3170" t="s">
        <v>607</v>
      </c>
      <c r="E3170" t="s">
        <v>6422</v>
      </c>
      <c r="G3170" t="s">
        <v>6423</v>
      </c>
      <c r="J3170">
        <v>6.7484204910000001</v>
      </c>
      <c r="K3170">
        <v>0.48629166299999999</v>
      </c>
      <c r="L3170">
        <v>0.375053939</v>
      </c>
      <c r="M3170" s="21">
        <v>-1.491267093</v>
      </c>
      <c r="N3170">
        <v>-1.4220525129999999</v>
      </c>
    </row>
    <row r="3171" spans="1:14" x14ac:dyDescent="0.2">
      <c r="A3171" t="s">
        <v>689</v>
      </c>
      <c r="B3171">
        <v>26520</v>
      </c>
      <c r="C3171" t="s">
        <v>100</v>
      </c>
      <c r="D3171" t="s">
        <v>690</v>
      </c>
      <c r="E3171" t="s">
        <v>6424</v>
      </c>
      <c r="G3171" t="s">
        <v>6425</v>
      </c>
      <c r="J3171">
        <v>5.9110743220000002</v>
      </c>
      <c r="K3171">
        <v>0.71598987199999997</v>
      </c>
      <c r="L3171">
        <v>0.29077365599999999</v>
      </c>
      <c r="M3171" s="21">
        <v>-1.491274048</v>
      </c>
      <c r="N3171">
        <v>-1.4220882450000001</v>
      </c>
    </row>
    <row r="3172" spans="1:14" x14ac:dyDescent="0.2">
      <c r="A3172" t="s">
        <v>2252</v>
      </c>
      <c r="B3172">
        <v>25920</v>
      </c>
      <c r="C3172" t="s">
        <v>149</v>
      </c>
      <c r="D3172" t="s">
        <v>2253</v>
      </c>
      <c r="E3172" t="s">
        <v>6426</v>
      </c>
      <c r="G3172" t="s">
        <v>6427</v>
      </c>
      <c r="J3172">
        <v>5.0381074159999999</v>
      </c>
      <c r="K3172">
        <v>0.81312368999999995</v>
      </c>
      <c r="L3172">
        <v>0.16969141800000001</v>
      </c>
      <c r="M3172" s="21">
        <v>-1.491359463</v>
      </c>
      <c r="N3172">
        <v>-1.4225270510000001</v>
      </c>
    </row>
    <row r="3173" spans="1:14" x14ac:dyDescent="0.2">
      <c r="A3173" t="s">
        <v>610</v>
      </c>
      <c r="B3173">
        <v>25880</v>
      </c>
      <c r="C3173" t="s">
        <v>149</v>
      </c>
      <c r="D3173" t="s">
        <v>611</v>
      </c>
      <c r="E3173" t="s">
        <v>6428</v>
      </c>
      <c r="G3173" t="s">
        <v>6429</v>
      </c>
      <c r="J3173">
        <v>5.0381074159999999</v>
      </c>
      <c r="K3173">
        <v>0.81312368999999995</v>
      </c>
      <c r="L3173">
        <v>0.16969141800000001</v>
      </c>
      <c r="M3173" s="21">
        <v>-1.4913964479999999</v>
      </c>
      <c r="N3173">
        <v>-1.4227170549999999</v>
      </c>
    </row>
    <row r="3174" spans="1:14" x14ac:dyDescent="0.2">
      <c r="A3174" t="s">
        <v>988</v>
      </c>
      <c r="B3174">
        <v>86200</v>
      </c>
      <c r="C3174" t="s">
        <v>14</v>
      </c>
      <c r="D3174" t="s">
        <v>988</v>
      </c>
      <c r="E3174" t="s">
        <v>6430</v>
      </c>
      <c r="G3174" t="s">
        <v>6431</v>
      </c>
      <c r="J3174">
        <v>6.7484204910000001</v>
      </c>
      <c r="K3174">
        <v>0.48629166299999999</v>
      </c>
      <c r="L3174">
        <v>0.375053939</v>
      </c>
      <c r="M3174" s="21">
        <v>-1.491530067</v>
      </c>
      <c r="N3174">
        <v>-1.4234035060000001</v>
      </c>
    </row>
    <row r="3175" spans="1:14" x14ac:dyDescent="0.2">
      <c r="A3175" t="s">
        <v>1391</v>
      </c>
      <c r="B3175">
        <v>25720</v>
      </c>
      <c r="C3175" t="s">
        <v>149</v>
      </c>
      <c r="D3175" t="s">
        <v>1391</v>
      </c>
      <c r="E3175" t="s">
        <v>6432</v>
      </c>
      <c r="G3175" t="s">
        <v>6433</v>
      </c>
      <c r="J3175">
        <v>5.0381074159999999</v>
      </c>
      <c r="K3175">
        <v>0.81312368999999995</v>
      </c>
      <c r="L3175">
        <v>0.16969141800000001</v>
      </c>
      <c r="M3175" s="21">
        <v>-1.4915443859999999</v>
      </c>
      <c r="N3175">
        <v>-1.423477071</v>
      </c>
    </row>
    <row r="3176" spans="1:14" x14ac:dyDescent="0.2">
      <c r="A3176" t="s">
        <v>779</v>
      </c>
      <c r="B3176">
        <v>19720</v>
      </c>
      <c r="C3176" t="s">
        <v>58</v>
      </c>
      <c r="D3176" t="s">
        <v>780</v>
      </c>
      <c r="E3176" t="s">
        <v>6434</v>
      </c>
      <c r="G3176" t="s">
        <v>6435</v>
      </c>
      <c r="J3176">
        <v>4.5363847230000003</v>
      </c>
      <c r="K3176">
        <v>0.245646371</v>
      </c>
      <c r="L3176">
        <v>7.5242279999999995E-2</v>
      </c>
      <c r="M3176" s="21">
        <v>-1.4916030090000001</v>
      </c>
      <c r="N3176">
        <v>-1.423778239</v>
      </c>
    </row>
    <row r="3177" spans="1:14" x14ac:dyDescent="0.2">
      <c r="A3177" t="s">
        <v>190</v>
      </c>
      <c r="B3177">
        <v>25480</v>
      </c>
      <c r="C3177" t="s">
        <v>149</v>
      </c>
      <c r="D3177" t="s">
        <v>190</v>
      </c>
      <c r="E3177" t="s">
        <v>6436</v>
      </c>
      <c r="G3177" t="s">
        <v>6437</v>
      </c>
      <c r="J3177">
        <v>5.0381074159999999</v>
      </c>
      <c r="K3177">
        <v>0.81312368999999995</v>
      </c>
      <c r="L3177">
        <v>0.16969141800000001</v>
      </c>
      <c r="M3177" s="21">
        <v>-1.491766294</v>
      </c>
      <c r="N3177">
        <v>-1.4246170949999999</v>
      </c>
    </row>
    <row r="3178" spans="1:14" x14ac:dyDescent="0.2">
      <c r="A3178" t="s">
        <v>663</v>
      </c>
      <c r="B3178">
        <v>19520</v>
      </c>
      <c r="C3178" t="s">
        <v>58</v>
      </c>
      <c r="D3178" t="s">
        <v>663</v>
      </c>
      <c r="E3178" t="s">
        <v>6438</v>
      </c>
      <c r="G3178" t="s">
        <v>6439</v>
      </c>
      <c r="J3178">
        <v>4.5363847230000003</v>
      </c>
      <c r="K3178">
        <v>0.245646371</v>
      </c>
      <c r="L3178">
        <v>7.5242279999999995E-2</v>
      </c>
      <c r="M3178" s="21">
        <v>-1.491796154</v>
      </c>
      <c r="N3178">
        <v>-1.4247704990000001</v>
      </c>
    </row>
    <row r="3179" spans="1:14" x14ac:dyDescent="0.2">
      <c r="A3179" t="s">
        <v>892</v>
      </c>
      <c r="B3179">
        <v>25400</v>
      </c>
      <c r="C3179" t="s">
        <v>149</v>
      </c>
      <c r="D3179" t="s">
        <v>892</v>
      </c>
      <c r="E3179" t="s">
        <v>6440</v>
      </c>
      <c r="G3179" t="s">
        <v>6441</v>
      </c>
      <c r="J3179">
        <v>5.0381074159999999</v>
      </c>
      <c r="K3179">
        <v>0.81312368999999995</v>
      </c>
      <c r="L3179">
        <v>0.16969141800000001</v>
      </c>
      <c r="M3179" s="21">
        <v>-1.4918402630000001</v>
      </c>
      <c r="N3179">
        <v>-1.4249971020000001</v>
      </c>
    </row>
    <row r="3180" spans="1:14" x14ac:dyDescent="0.2">
      <c r="A3180" t="s">
        <v>253</v>
      </c>
      <c r="B3180">
        <v>25360</v>
      </c>
      <c r="C3180" t="s">
        <v>149</v>
      </c>
      <c r="D3180" t="s">
        <v>254</v>
      </c>
      <c r="E3180" t="s">
        <v>6442</v>
      </c>
      <c r="G3180" t="s">
        <v>6443</v>
      </c>
      <c r="J3180">
        <v>5.0381074159999999</v>
      </c>
      <c r="K3180">
        <v>0.81312368999999995</v>
      </c>
      <c r="L3180">
        <v>0.16969141800000001</v>
      </c>
      <c r="M3180" s="21">
        <v>-1.491877248</v>
      </c>
      <c r="N3180">
        <v>-1.4251871060000001</v>
      </c>
    </row>
    <row r="3181" spans="1:14" x14ac:dyDescent="0.2">
      <c r="A3181" t="s">
        <v>537</v>
      </c>
      <c r="B3181">
        <v>25320</v>
      </c>
      <c r="C3181" t="s">
        <v>149</v>
      </c>
      <c r="D3181" t="s">
        <v>538</v>
      </c>
      <c r="E3181" t="s">
        <v>6444</v>
      </c>
      <c r="G3181" t="s">
        <v>6445</v>
      </c>
      <c r="J3181">
        <v>5.0381074159999999</v>
      </c>
      <c r="K3181">
        <v>0.81312368999999995</v>
      </c>
      <c r="L3181">
        <v>0.16969141800000001</v>
      </c>
      <c r="M3181" s="21">
        <v>-1.4919142329999999</v>
      </c>
      <c r="N3181">
        <v>-1.4253771099999999</v>
      </c>
    </row>
    <row r="3182" spans="1:14" x14ac:dyDescent="0.2">
      <c r="A3182" t="s">
        <v>839</v>
      </c>
      <c r="B3182">
        <v>25240</v>
      </c>
      <c r="C3182" t="s">
        <v>149</v>
      </c>
      <c r="D3182" t="s">
        <v>840</v>
      </c>
      <c r="E3182" t="s">
        <v>6446</v>
      </c>
      <c r="G3182" t="s">
        <v>6447</v>
      </c>
      <c r="J3182">
        <v>5.0381074159999999</v>
      </c>
      <c r="K3182">
        <v>0.81312368999999995</v>
      </c>
      <c r="L3182">
        <v>0.16969141800000001</v>
      </c>
      <c r="M3182" s="21">
        <v>-1.4919882019999999</v>
      </c>
      <c r="N3182">
        <v>-1.4257571179999999</v>
      </c>
    </row>
    <row r="3183" spans="1:14" x14ac:dyDescent="0.2">
      <c r="A3183" t="s">
        <v>1954</v>
      </c>
      <c r="B3183">
        <v>19160</v>
      </c>
      <c r="C3183" t="s">
        <v>58</v>
      </c>
      <c r="D3183" t="s">
        <v>1955</v>
      </c>
      <c r="E3183" t="s">
        <v>6448</v>
      </c>
      <c r="G3183" t="s">
        <v>6449</v>
      </c>
      <c r="J3183">
        <v>4.5363847230000003</v>
      </c>
      <c r="K3183">
        <v>0.245646371</v>
      </c>
      <c r="L3183">
        <v>7.5242279999999995E-2</v>
      </c>
      <c r="M3183" s="21">
        <v>-1.492143816</v>
      </c>
      <c r="N3183">
        <v>-1.4265565659999999</v>
      </c>
    </row>
    <row r="3184" spans="1:14" x14ac:dyDescent="0.2">
      <c r="A3184" t="s">
        <v>267</v>
      </c>
      <c r="B3184">
        <v>25640</v>
      </c>
      <c r="C3184" t="s">
        <v>100</v>
      </c>
      <c r="D3184" t="s">
        <v>268</v>
      </c>
      <c r="E3184" t="s">
        <v>6450</v>
      </c>
      <c r="G3184" t="s">
        <v>6451</v>
      </c>
      <c r="J3184">
        <v>5.9110743220000002</v>
      </c>
      <c r="K3184">
        <v>0.71598987199999997</v>
      </c>
      <c r="L3184">
        <v>0.29077365599999999</v>
      </c>
      <c r="M3184" s="21">
        <v>-1.4921476360000001</v>
      </c>
      <c r="N3184">
        <v>-1.426576193</v>
      </c>
    </row>
    <row r="3185" spans="1:14" x14ac:dyDescent="0.2">
      <c r="A3185" t="s">
        <v>232</v>
      </c>
      <c r="B3185">
        <v>24840</v>
      </c>
      <c r="C3185" t="s">
        <v>149</v>
      </c>
      <c r="D3185" t="s">
        <v>233</v>
      </c>
      <c r="E3185" t="s">
        <v>6452</v>
      </c>
      <c r="G3185" t="s">
        <v>6453</v>
      </c>
      <c r="J3185">
        <v>5.0381074159999999</v>
      </c>
      <c r="K3185">
        <v>0.81312368999999995</v>
      </c>
      <c r="L3185">
        <v>0.16969141800000001</v>
      </c>
      <c r="M3185" s="21">
        <v>-1.492358048</v>
      </c>
      <c r="N3185">
        <v>-1.4276571579999999</v>
      </c>
    </row>
    <row r="3186" spans="1:14" x14ac:dyDescent="0.2">
      <c r="A3186" t="s">
        <v>494</v>
      </c>
      <c r="B3186">
        <v>24800</v>
      </c>
      <c r="C3186" t="s">
        <v>149</v>
      </c>
      <c r="D3186" t="s">
        <v>495</v>
      </c>
      <c r="E3186" t="s">
        <v>6454</v>
      </c>
      <c r="G3186" t="s">
        <v>6455</v>
      </c>
      <c r="J3186">
        <v>5.0381074159999999</v>
      </c>
      <c r="K3186">
        <v>0.81312368999999995</v>
      </c>
      <c r="L3186">
        <v>0.16969141800000001</v>
      </c>
      <c r="M3186" s="21">
        <v>-1.492395033</v>
      </c>
      <c r="N3186">
        <v>-1.4278471619999999</v>
      </c>
    </row>
    <row r="3187" spans="1:14" x14ac:dyDescent="0.2">
      <c r="A3187" t="s">
        <v>1593</v>
      </c>
      <c r="B3187">
        <v>18800</v>
      </c>
      <c r="C3187" t="s">
        <v>58</v>
      </c>
      <c r="D3187" t="s">
        <v>1593</v>
      </c>
      <c r="E3187" t="s">
        <v>6456</v>
      </c>
      <c r="G3187" t="s">
        <v>6457</v>
      </c>
      <c r="J3187">
        <v>4.5363847230000003</v>
      </c>
      <c r="K3187">
        <v>0.245646371</v>
      </c>
      <c r="L3187">
        <v>7.5242279999999995E-2</v>
      </c>
      <c r="M3187" s="21">
        <v>-1.492491477</v>
      </c>
      <c r="N3187">
        <v>-1.428342633</v>
      </c>
    </row>
    <row r="3188" spans="1:14" x14ac:dyDescent="0.2">
      <c r="A3188" t="s">
        <v>1062</v>
      </c>
      <c r="B3188">
        <v>24680</v>
      </c>
      <c r="C3188" t="s">
        <v>149</v>
      </c>
      <c r="D3188" t="s">
        <v>1062</v>
      </c>
      <c r="E3188" t="s">
        <v>6458</v>
      </c>
      <c r="G3188" t="s">
        <v>6459</v>
      </c>
      <c r="J3188">
        <v>5.0381074159999999</v>
      </c>
      <c r="K3188">
        <v>0.81312368999999995</v>
      </c>
      <c r="L3188">
        <v>0.16969141800000001</v>
      </c>
      <c r="M3188" s="21">
        <v>-1.4925059869999999</v>
      </c>
      <c r="N3188">
        <v>-1.428417174</v>
      </c>
    </row>
    <row r="3189" spans="1:14" x14ac:dyDescent="0.2">
      <c r="A3189" t="s">
        <v>129</v>
      </c>
      <c r="B3189">
        <v>84840</v>
      </c>
      <c r="C3189" t="s">
        <v>14</v>
      </c>
      <c r="D3189" t="s">
        <v>129</v>
      </c>
      <c r="E3189" t="s">
        <v>6460</v>
      </c>
      <c r="G3189" t="s">
        <v>6461</v>
      </c>
      <c r="J3189">
        <v>6.7484204910000001</v>
      </c>
      <c r="K3189">
        <v>0.48629166299999999</v>
      </c>
      <c r="L3189">
        <v>0.375053939</v>
      </c>
      <c r="M3189" s="21">
        <v>-1.493020249</v>
      </c>
      <c r="N3189">
        <v>-1.43105913</v>
      </c>
    </row>
    <row r="3190" spans="1:14" x14ac:dyDescent="0.2">
      <c r="A3190" t="s">
        <v>995</v>
      </c>
      <c r="B3190">
        <v>24080</v>
      </c>
      <c r="C3190" t="s">
        <v>149</v>
      </c>
      <c r="D3190" t="s">
        <v>995</v>
      </c>
      <c r="E3190" t="s">
        <v>6462</v>
      </c>
      <c r="G3190" t="s">
        <v>6463</v>
      </c>
      <c r="J3190">
        <v>5.0381074159999999</v>
      </c>
      <c r="K3190">
        <v>0.81312368999999995</v>
      </c>
      <c r="L3190">
        <v>0.16969141800000001</v>
      </c>
      <c r="M3190" s="21">
        <v>-1.4930607570000001</v>
      </c>
      <c r="N3190">
        <v>-1.431267233</v>
      </c>
    </row>
    <row r="3191" spans="1:14" x14ac:dyDescent="0.2">
      <c r="A3191" t="s">
        <v>804</v>
      </c>
      <c r="B3191">
        <v>24640</v>
      </c>
      <c r="C3191" t="s">
        <v>100</v>
      </c>
      <c r="D3191" t="s">
        <v>804</v>
      </c>
      <c r="E3191" t="s">
        <v>6464</v>
      </c>
      <c r="G3191" t="s">
        <v>6465</v>
      </c>
      <c r="J3191">
        <v>5.9110743220000002</v>
      </c>
      <c r="K3191">
        <v>0.71598987199999997</v>
      </c>
      <c r="L3191">
        <v>0.29077365599999999</v>
      </c>
      <c r="M3191" s="21">
        <v>-1.49314035</v>
      </c>
      <c r="N3191">
        <v>-1.4316761330000001</v>
      </c>
    </row>
    <row r="3192" spans="1:14" x14ac:dyDescent="0.2">
      <c r="A3192" t="s">
        <v>522</v>
      </c>
      <c r="B3192">
        <v>23920</v>
      </c>
      <c r="C3192" t="s">
        <v>149</v>
      </c>
      <c r="D3192" t="s">
        <v>522</v>
      </c>
      <c r="E3192" t="s">
        <v>6466</v>
      </c>
      <c r="G3192" t="s">
        <v>6467</v>
      </c>
      <c r="J3192">
        <v>5.0381074159999999</v>
      </c>
      <c r="K3192">
        <v>0.81312368999999995</v>
      </c>
      <c r="L3192">
        <v>0.16969141800000001</v>
      </c>
      <c r="M3192" s="21">
        <v>-1.4932086950000001</v>
      </c>
      <c r="N3192">
        <v>-1.4320272489999999</v>
      </c>
    </row>
    <row r="3193" spans="1:14" x14ac:dyDescent="0.2">
      <c r="A3193" t="s">
        <v>94</v>
      </c>
      <c r="B3193">
        <v>24520</v>
      </c>
      <c r="C3193" t="s">
        <v>100</v>
      </c>
      <c r="D3193" t="s">
        <v>95</v>
      </c>
      <c r="E3193" t="s">
        <v>6468</v>
      </c>
      <c r="G3193" t="s">
        <v>6469</v>
      </c>
      <c r="J3193">
        <v>5.9110743220000002</v>
      </c>
      <c r="K3193">
        <v>0.71598987199999997</v>
      </c>
      <c r="L3193">
        <v>0.29077365599999999</v>
      </c>
      <c r="M3193" s="21">
        <v>-1.4932594749999999</v>
      </c>
      <c r="N3193">
        <v>-1.432288126</v>
      </c>
    </row>
    <row r="3194" spans="1:14" x14ac:dyDescent="0.2">
      <c r="A3194" t="s">
        <v>1857</v>
      </c>
      <c r="B3194">
        <v>24520</v>
      </c>
      <c r="C3194" t="s">
        <v>100</v>
      </c>
      <c r="D3194" t="s">
        <v>1858</v>
      </c>
      <c r="E3194" t="s">
        <v>6470</v>
      </c>
      <c r="G3194" t="s">
        <v>6471</v>
      </c>
      <c r="J3194">
        <v>5.9110743220000002</v>
      </c>
      <c r="K3194">
        <v>0.71598987199999997</v>
      </c>
      <c r="L3194">
        <v>0.29077365599999999</v>
      </c>
      <c r="M3194" s="21">
        <v>-1.4932594749999999</v>
      </c>
      <c r="N3194">
        <v>-1.432288126</v>
      </c>
    </row>
    <row r="3195" spans="1:14" x14ac:dyDescent="0.2">
      <c r="A3195" t="s">
        <v>1882</v>
      </c>
      <c r="B3195">
        <v>24400</v>
      </c>
      <c r="C3195" t="s">
        <v>100</v>
      </c>
      <c r="D3195" t="s">
        <v>1882</v>
      </c>
      <c r="E3195" t="s">
        <v>6472</v>
      </c>
      <c r="G3195" t="s">
        <v>6473</v>
      </c>
      <c r="J3195">
        <v>5.9110743220000002</v>
      </c>
      <c r="K3195">
        <v>0.71598987199999997</v>
      </c>
      <c r="L3195">
        <v>0.29077365599999999</v>
      </c>
      <c r="M3195" s="21">
        <v>-1.4933786010000001</v>
      </c>
      <c r="N3195">
        <v>-1.4329001189999999</v>
      </c>
    </row>
    <row r="3196" spans="1:14" x14ac:dyDescent="0.2">
      <c r="A3196" t="s">
        <v>3164</v>
      </c>
      <c r="B3196">
        <v>17520</v>
      </c>
      <c r="C3196" t="s">
        <v>58</v>
      </c>
      <c r="D3196" t="s">
        <v>3165</v>
      </c>
      <c r="E3196" t="s">
        <v>6474</v>
      </c>
      <c r="G3196" t="s">
        <v>6475</v>
      </c>
      <c r="J3196">
        <v>4.5363847230000003</v>
      </c>
      <c r="K3196">
        <v>0.245646371</v>
      </c>
      <c r="L3196">
        <v>7.5242279999999995E-2</v>
      </c>
      <c r="M3196" s="21">
        <v>-1.4937276070000001</v>
      </c>
      <c r="N3196">
        <v>-1.434693094</v>
      </c>
    </row>
    <row r="3197" spans="1:14" x14ac:dyDescent="0.2">
      <c r="A3197" t="s">
        <v>1729</v>
      </c>
      <c r="B3197">
        <v>23320</v>
      </c>
      <c r="C3197" t="s">
        <v>149</v>
      </c>
      <c r="D3197" t="s">
        <v>1729</v>
      </c>
      <c r="E3197" t="s">
        <v>6476</v>
      </c>
      <c r="G3197" t="s">
        <v>6477</v>
      </c>
      <c r="J3197">
        <v>5.0381074159999999</v>
      </c>
      <c r="K3197">
        <v>0.81312368999999995</v>
      </c>
      <c r="L3197">
        <v>0.16969141800000001</v>
      </c>
      <c r="M3197" s="21">
        <v>-1.493763465</v>
      </c>
      <c r="N3197">
        <v>-1.4348773079999999</v>
      </c>
    </row>
    <row r="3198" spans="1:14" x14ac:dyDescent="0.2">
      <c r="A3198" t="s">
        <v>1275</v>
      </c>
      <c r="B3198">
        <v>23320</v>
      </c>
      <c r="C3198" t="s">
        <v>149</v>
      </c>
      <c r="D3198" t="s">
        <v>1276</v>
      </c>
      <c r="E3198" t="s">
        <v>6478</v>
      </c>
      <c r="G3198" t="s">
        <v>6479</v>
      </c>
      <c r="J3198">
        <v>5.0381074159999999</v>
      </c>
      <c r="K3198">
        <v>0.81312368999999995</v>
      </c>
      <c r="L3198">
        <v>0.16969141800000001</v>
      </c>
      <c r="M3198" s="21">
        <v>-1.493763465</v>
      </c>
      <c r="N3198">
        <v>-1.4348773079999999</v>
      </c>
    </row>
    <row r="3199" spans="1:14" x14ac:dyDescent="0.2">
      <c r="A3199" t="s">
        <v>853</v>
      </c>
      <c r="B3199">
        <v>23280</v>
      </c>
      <c r="C3199" t="s">
        <v>149</v>
      </c>
      <c r="D3199" t="s">
        <v>854</v>
      </c>
      <c r="E3199" t="s">
        <v>6480</v>
      </c>
      <c r="G3199" t="s">
        <v>6481</v>
      </c>
      <c r="J3199">
        <v>5.0381074159999999</v>
      </c>
      <c r="K3199">
        <v>0.81312368999999995</v>
      </c>
      <c r="L3199">
        <v>0.16969141800000001</v>
      </c>
      <c r="M3199" s="21">
        <v>-1.4938004490000001</v>
      </c>
      <c r="N3199">
        <v>-1.4350673119999999</v>
      </c>
    </row>
    <row r="3200" spans="1:14" x14ac:dyDescent="0.2">
      <c r="A3200" t="s">
        <v>1013</v>
      </c>
      <c r="B3200">
        <v>23920</v>
      </c>
      <c r="C3200" t="s">
        <v>100</v>
      </c>
      <c r="D3200" t="s">
        <v>1014</v>
      </c>
      <c r="E3200" t="s">
        <v>6482</v>
      </c>
      <c r="G3200" t="s">
        <v>6483</v>
      </c>
      <c r="J3200">
        <v>5.9110743220000002</v>
      </c>
      <c r="K3200">
        <v>0.71598987199999997</v>
      </c>
      <c r="L3200">
        <v>0.29077365599999999</v>
      </c>
      <c r="M3200" s="21">
        <v>-1.4938551040000001</v>
      </c>
      <c r="N3200">
        <v>-1.435348091</v>
      </c>
    </row>
    <row r="3201" spans="1:14" x14ac:dyDescent="0.2">
      <c r="A3201" t="s">
        <v>2791</v>
      </c>
      <c r="B3201">
        <v>23200</v>
      </c>
      <c r="C3201" t="s">
        <v>149</v>
      </c>
      <c r="D3201" t="s">
        <v>2792</v>
      </c>
      <c r="E3201" t="s">
        <v>6484</v>
      </c>
      <c r="G3201" t="s">
        <v>6485</v>
      </c>
      <c r="J3201">
        <v>5.0381074159999999</v>
      </c>
      <c r="K3201">
        <v>0.81312368999999995</v>
      </c>
      <c r="L3201">
        <v>0.16969141800000001</v>
      </c>
      <c r="M3201" s="21">
        <v>-1.493874419</v>
      </c>
      <c r="N3201">
        <v>-1.43544732</v>
      </c>
    </row>
    <row r="3202" spans="1:14" x14ac:dyDescent="0.2">
      <c r="A3202" t="s">
        <v>124</v>
      </c>
      <c r="B3202">
        <v>23160</v>
      </c>
      <c r="C3202" t="s">
        <v>149</v>
      </c>
      <c r="D3202" t="s">
        <v>125</v>
      </c>
      <c r="E3202" t="s">
        <v>6486</v>
      </c>
      <c r="G3202" t="s">
        <v>6487</v>
      </c>
      <c r="J3202">
        <v>5.0381074159999999</v>
      </c>
      <c r="K3202">
        <v>0.81312368999999995</v>
      </c>
      <c r="L3202">
        <v>0.16969141800000001</v>
      </c>
      <c r="M3202" s="21">
        <v>-1.493911403</v>
      </c>
      <c r="N3202">
        <v>-1.435637324</v>
      </c>
    </row>
    <row r="3203" spans="1:14" x14ac:dyDescent="0.2">
      <c r="A3203" t="s">
        <v>507</v>
      </c>
      <c r="B3203">
        <v>23720</v>
      </c>
      <c r="C3203" t="s">
        <v>100</v>
      </c>
      <c r="D3203" t="s">
        <v>508</v>
      </c>
      <c r="E3203" t="s">
        <v>6488</v>
      </c>
      <c r="G3203" t="s">
        <v>6489</v>
      </c>
      <c r="J3203">
        <v>5.9110743220000002</v>
      </c>
      <c r="K3203">
        <v>0.71598987199999997</v>
      </c>
      <c r="L3203">
        <v>0.29077365599999999</v>
      </c>
      <c r="M3203" s="21">
        <v>-1.494053646</v>
      </c>
      <c r="N3203">
        <v>-1.436368079</v>
      </c>
    </row>
    <row r="3204" spans="1:14" x14ac:dyDescent="0.2">
      <c r="A3204" t="s">
        <v>2040</v>
      </c>
      <c r="B3204">
        <v>22800</v>
      </c>
      <c r="C3204" t="s">
        <v>149</v>
      </c>
      <c r="D3204" t="s">
        <v>2040</v>
      </c>
      <c r="E3204" t="s">
        <v>6490</v>
      </c>
      <c r="G3204" t="s">
        <v>6491</v>
      </c>
      <c r="J3204">
        <v>5.0381074159999999</v>
      </c>
      <c r="K3204">
        <v>0.81312368999999995</v>
      </c>
      <c r="L3204">
        <v>0.16969141800000001</v>
      </c>
      <c r="M3204" s="21">
        <v>-1.4942442650000001</v>
      </c>
      <c r="N3204">
        <v>-1.4373473590000001</v>
      </c>
    </row>
    <row r="3205" spans="1:14" x14ac:dyDescent="0.2">
      <c r="A3205" t="s">
        <v>431</v>
      </c>
      <c r="B3205">
        <v>23520</v>
      </c>
      <c r="C3205" t="s">
        <v>100</v>
      </c>
      <c r="D3205" t="s">
        <v>432</v>
      </c>
      <c r="E3205" t="s">
        <v>6492</v>
      </c>
      <c r="G3205" t="s">
        <v>6493</v>
      </c>
      <c r="J3205">
        <v>5.9110743220000002</v>
      </c>
      <c r="K3205">
        <v>0.71598987199999997</v>
      </c>
      <c r="L3205">
        <v>0.29077365599999999</v>
      </c>
      <c r="M3205" s="21">
        <v>-1.494252189</v>
      </c>
      <c r="N3205">
        <v>-1.4373880670000001</v>
      </c>
    </row>
    <row r="3206" spans="1:14" x14ac:dyDescent="0.2">
      <c r="A3206" t="s">
        <v>175</v>
      </c>
      <c r="B3206">
        <v>22520</v>
      </c>
      <c r="C3206" t="s">
        <v>149</v>
      </c>
      <c r="D3206" t="s">
        <v>175</v>
      </c>
      <c r="E3206" t="s">
        <v>6494</v>
      </c>
      <c r="G3206" t="s">
        <v>6495</v>
      </c>
      <c r="J3206">
        <v>5.0381074159999999</v>
      </c>
      <c r="K3206">
        <v>0.81312368999999995</v>
      </c>
      <c r="L3206">
        <v>0.16969141800000001</v>
      </c>
      <c r="M3206" s="21">
        <v>-1.4945031580000001</v>
      </c>
      <c r="N3206">
        <v>-1.438677387</v>
      </c>
    </row>
    <row r="3207" spans="1:14" x14ac:dyDescent="0.2">
      <c r="A3207" t="s">
        <v>397</v>
      </c>
      <c r="B3207">
        <v>22400</v>
      </c>
      <c r="C3207" t="s">
        <v>149</v>
      </c>
      <c r="D3207" t="s">
        <v>397</v>
      </c>
      <c r="E3207" t="s">
        <v>6496</v>
      </c>
      <c r="G3207" t="s">
        <v>6497</v>
      </c>
      <c r="J3207">
        <v>5.0381074159999999</v>
      </c>
      <c r="K3207">
        <v>0.81312368999999995</v>
      </c>
      <c r="L3207">
        <v>0.16969141800000001</v>
      </c>
      <c r="M3207" s="21">
        <v>-1.494614111</v>
      </c>
      <c r="N3207">
        <v>-1.4392473990000001</v>
      </c>
    </row>
    <row r="3208" spans="1:14" x14ac:dyDescent="0.2">
      <c r="A3208" t="s">
        <v>1747</v>
      </c>
      <c r="B3208">
        <v>22400</v>
      </c>
      <c r="C3208" t="s">
        <v>149</v>
      </c>
      <c r="D3208" t="s">
        <v>1747</v>
      </c>
      <c r="E3208" t="s">
        <v>6498</v>
      </c>
      <c r="G3208" t="s">
        <v>6499</v>
      </c>
      <c r="J3208">
        <v>5.0381074159999999</v>
      </c>
      <c r="K3208">
        <v>0.81312368999999995</v>
      </c>
      <c r="L3208">
        <v>0.16969141800000001</v>
      </c>
      <c r="M3208" s="21">
        <v>-1.494614111</v>
      </c>
      <c r="N3208">
        <v>-1.4392473990000001</v>
      </c>
    </row>
    <row r="3209" spans="1:14" x14ac:dyDescent="0.2">
      <c r="A3209" t="s">
        <v>451</v>
      </c>
      <c r="B3209">
        <v>22320</v>
      </c>
      <c r="C3209" t="s">
        <v>149</v>
      </c>
      <c r="D3209" t="s">
        <v>452</v>
      </c>
      <c r="E3209" t="s">
        <v>6500</v>
      </c>
      <c r="G3209" t="s">
        <v>6501</v>
      </c>
      <c r="J3209">
        <v>5.0381074159999999</v>
      </c>
      <c r="K3209">
        <v>0.81312368999999995</v>
      </c>
      <c r="L3209">
        <v>0.16969141800000001</v>
      </c>
      <c r="M3209" s="21">
        <v>-1.4946880810000001</v>
      </c>
      <c r="N3209">
        <v>-1.4396274069999999</v>
      </c>
    </row>
    <row r="3210" spans="1:14" x14ac:dyDescent="0.2">
      <c r="A3210" t="s">
        <v>38</v>
      </c>
      <c r="B3210">
        <v>16280</v>
      </c>
      <c r="C3210" t="s">
        <v>58</v>
      </c>
      <c r="D3210" t="s">
        <v>38</v>
      </c>
      <c r="E3210" t="s">
        <v>6502</v>
      </c>
      <c r="G3210" t="s">
        <v>6503</v>
      </c>
      <c r="J3210">
        <v>4.5363847230000003</v>
      </c>
      <c r="K3210">
        <v>0.245646371</v>
      </c>
      <c r="L3210">
        <v>7.5242279999999995E-2</v>
      </c>
      <c r="M3210" s="21">
        <v>-1.4949251079999999</v>
      </c>
      <c r="N3210">
        <v>-1.4408451040000001</v>
      </c>
    </row>
    <row r="3211" spans="1:14" x14ac:dyDescent="0.2">
      <c r="A3211" t="s">
        <v>1788</v>
      </c>
      <c r="B3211">
        <v>21920</v>
      </c>
      <c r="C3211" t="s">
        <v>149</v>
      </c>
      <c r="D3211" t="s">
        <v>1788</v>
      </c>
      <c r="E3211" t="s">
        <v>6504</v>
      </c>
      <c r="G3211" t="s">
        <v>6505</v>
      </c>
      <c r="J3211">
        <v>5.0381074159999999</v>
      </c>
      <c r="K3211">
        <v>0.81312368999999995</v>
      </c>
      <c r="L3211">
        <v>0.16969141800000001</v>
      </c>
      <c r="M3211" s="21">
        <v>-1.495057927</v>
      </c>
      <c r="N3211">
        <v>-1.441527446</v>
      </c>
    </row>
    <row r="3212" spans="1:14" x14ac:dyDescent="0.2">
      <c r="A3212" t="s">
        <v>2054</v>
      </c>
      <c r="B3212">
        <v>21880</v>
      </c>
      <c r="C3212" t="s">
        <v>149</v>
      </c>
      <c r="D3212" t="s">
        <v>2054</v>
      </c>
      <c r="E3212" t="s">
        <v>6506</v>
      </c>
      <c r="G3212" t="s">
        <v>6507</v>
      </c>
      <c r="J3212">
        <v>5.0381074159999999</v>
      </c>
      <c r="K3212">
        <v>0.81312368999999995</v>
      </c>
      <c r="L3212">
        <v>0.16969141800000001</v>
      </c>
      <c r="M3212" s="21">
        <v>-1.4950949120000001</v>
      </c>
      <c r="N3212">
        <v>-1.4417174500000001</v>
      </c>
    </row>
    <row r="3213" spans="1:14" x14ac:dyDescent="0.2">
      <c r="A3213" t="s">
        <v>541</v>
      </c>
      <c r="B3213">
        <v>22560</v>
      </c>
      <c r="C3213" t="s">
        <v>100</v>
      </c>
      <c r="D3213" t="s">
        <v>542</v>
      </c>
      <c r="E3213" t="s">
        <v>6508</v>
      </c>
      <c r="G3213" t="s">
        <v>6509</v>
      </c>
      <c r="J3213">
        <v>5.9110743220000002</v>
      </c>
      <c r="K3213">
        <v>0.71598987199999997</v>
      </c>
      <c r="L3213">
        <v>0.29077365599999999</v>
      </c>
      <c r="M3213" s="21">
        <v>-1.495205194</v>
      </c>
      <c r="N3213">
        <v>-1.4422840100000001</v>
      </c>
    </row>
    <row r="3214" spans="1:14" x14ac:dyDescent="0.2">
      <c r="A3214" t="s">
        <v>99</v>
      </c>
      <c r="B3214">
        <v>15960</v>
      </c>
      <c r="C3214" t="s">
        <v>58</v>
      </c>
      <c r="D3214" t="s">
        <v>101</v>
      </c>
      <c r="E3214" t="s">
        <v>6510</v>
      </c>
      <c r="G3214" t="s">
        <v>6511</v>
      </c>
      <c r="J3214">
        <v>4.5363847230000003</v>
      </c>
      <c r="K3214">
        <v>0.245646371</v>
      </c>
      <c r="L3214">
        <v>7.5242279999999995E-2</v>
      </c>
      <c r="M3214" s="21">
        <v>-1.49523414</v>
      </c>
      <c r="N3214">
        <v>-1.4424327189999999</v>
      </c>
    </row>
    <row r="3215" spans="1:14" x14ac:dyDescent="0.2">
      <c r="A3215" t="s">
        <v>1163</v>
      </c>
      <c r="B3215">
        <v>15960</v>
      </c>
      <c r="C3215" t="s">
        <v>58</v>
      </c>
      <c r="D3215" t="s">
        <v>1164</v>
      </c>
      <c r="E3215" t="s">
        <v>6512</v>
      </c>
      <c r="G3215" t="s">
        <v>6513</v>
      </c>
      <c r="J3215">
        <v>4.5363847230000003</v>
      </c>
      <c r="K3215">
        <v>0.245646371</v>
      </c>
      <c r="L3215">
        <v>7.5242279999999995E-2</v>
      </c>
      <c r="M3215" s="21">
        <v>-1.49523414</v>
      </c>
      <c r="N3215">
        <v>-1.4424327189999999</v>
      </c>
    </row>
    <row r="3216" spans="1:14" x14ac:dyDescent="0.2">
      <c r="A3216" t="s">
        <v>172</v>
      </c>
      <c r="B3216">
        <v>22360</v>
      </c>
      <c r="C3216" t="s">
        <v>100</v>
      </c>
      <c r="D3216" t="s">
        <v>172</v>
      </c>
      <c r="E3216" t="s">
        <v>6514</v>
      </c>
      <c r="G3216" t="s">
        <v>6515</v>
      </c>
      <c r="J3216">
        <v>5.9110743220000002</v>
      </c>
      <c r="K3216">
        <v>0.71598987199999997</v>
      </c>
      <c r="L3216">
        <v>0.29077365599999999</v>
      </c>
      <c r="M3216" s="21">
        <v>-1.495403737</v>
      </c>
      <c r="N3216">
        <v>-1.443303998</v>
      </c>
    </row>
    <row r="3217" spans="1:14" x14ac:dyDescent="0.2">
      <c r="A3217" t="s">
        <v>1668</v>
      </c>
      <c r="B3217">
        <v>21400</v>
      </c>
      <c r="C3217" t="s">
        <v>149</v>
      </c>
      <c r="D3217" t="s">
        <v>1668</v>
      </c>
      <c r="E3217" t="s">
        <v>6516</v>
      </c>
      <c r="G3217" t="s">
        <v>6517</v>
      </c>
      <c r="J3217">
        <v>5.0381074159999999</v>
      </c>
      <c r="K3217">
        <v>0.81312368999999995</v>
      </c>
      <c r="L3217">
        <v>0.16969141800000001</v>
      </c>
      <c r="M3217" s="21">
        <v>-1.4955387280000001</v>
      </c>
      <c r="N3217">
        <v>-1.4439974980000001</v>
      </c>
    </row>
    <row r="3218" spans="1:14" x14ac:dyDescent="0.2">
      <c r="A3218" t="s">
        <v>1461</v>
      </c>
      <c r="B3218">
        <v>15640</v>
      </c>
      <c r="C3218" t="s">
        <v>58</v>
      </c>
      <c r="D3218" t="s">
        <v>1461</v>
      </c>
      <c r="E3218" t="s">
        <v>6518</v>
      </c>
      <c r="G3218" t="s">
        <v>6519</v>
      </c>
      <c r="J3218">
        <v>4.5363847230000003</v>
      </c>
      <c r="K3218">
        <v>0.245646371</v>
      </c>
      <c r="L3218">
        <v>7.5242279999999995E-2</v>
      </c>
      <c r="M3218" s="21">
        <v>-1.4955431729999999</v>
      </c>
      <c r="N3218">
        <v>-1.444020334</v>
      </c>
    </row>
    <row r="3219" spans="1:14" x14ac:dyDescent="0.2">
      <c r="A3219" t="s">
        <v>444</v>
      </c>
      <c r="B3219">
        <v>22200</v>
      </c>
      <c r="C3219" t="s">
        <v>100</v>
      </c>
      <c r="D3219" t="s">
        <v>445</v>
      </c>
      <c r="E3219" t="s">
        <v>6520</v>
      </c>
      <c r="G3219" t="s">
        <v>6521</v>
      </c>
      <c r="J3219">
        <v>5.9110743220000002</v>
      </c>
      <c r="K3219">
        <v>0.71598987199999997</v>
      </c>
      <c r="L3219">
        <v>0.29077365599999999</v>
      </c>
      <c r="M3219" s="21">
        <v>-1.495562571</v>
      </c>
      <c r="N3219">
        <v>-1.444119989</v>
      </c>
    </row>
    <row r="3220" spans="1:14" x14ac:dyDescent="0.2">
      <c r="A3220" t="s">
        <v>1989</v>
      </c>
      <c r="B3220">
        <v>21360</v>
      </c>
      <c r="C3220" t="s">
        <v>149</v>
      </c>
      <c r="D3220" t="s">
        <v>1990</v>
      </c>
      <c r="E3220" t="s">
        <v>6522</v>
      </c>
      <c r="G3220" t="s">
        <v>6523</v>
      </c>
      <c r="J3220">
        <v>5.0381074159999999</v>
      </c>
      <c r="K3220">
        <v>0.81312368999999995</v>
      </c>
      <c r="L3220">
        <v>0.16969141800000001</v>
      </c>
      <c r="M3220" s="21">
        <v>-1.4955757119999999</v>
      </c>
      <c r="N3220">
        <v>-1.444187501</v>
      </c>
    </row>
    <row r="3221" spans="1:14" x14ac:dyDescent="0.2">
      <c r="A3221" t="s">
        <v>779</v>
      </c>
      <c r="B3221">
        <v>21320</v>
      </c>
      <c r="C3221" t="s">
        <v>149</v>
      </c>
      <c r="D3221" t="s">
        <v>780</v>
      </c>
      <c r="E3221" t="s">
        <v>6524</v>
      </c>
      <c r="G3221" t="s">
        <v>6525</v>
      </c>
      <c r="J3221">
        <v>5.0381074159999999</v>
      </c>
      <c r="K3221">
        <v>0.81312368999999995</v>
      </c>
      <c r="L3221">
        <v>0.16969141800000001</v>
      </c>
      <c r="M3221" s="21">
        <v>-1.4956126970000001</v>
      </c>
      <c r="N3221">
        <v>-1.4443775050000001</v>
      </c>
    </row>
    <row r="3222" spans="1:14" x14ac:dyDescent="0.2">
      <c r="A3222" t="s">
        <v>703</v>
      </c>
      <c r="B3222">
        <v>21320</v>
      </c>
      <c r="C3222" t="s">
        <v>149</v>
      </c>
      <c r="D3222" t="s">
        <v>704</v>
      </c>
      <c r="E3222" t="s">
        <v>6526</v>
      </c>
      <c r="G3222" t="s">
        <v>6527</v>
      </c>
      <c r="J3222">
        <v>5.0381074159999999</v>
      </c>
      <c r="K3222">
        <v>0.81312368999999995</v>
      </c>
      <c r="L3222">
        <v>0.16969141800000001</v>
      </c>
      <c r="M3222" s="21">
        <v>-1.4956126970000001</v>
      </c>
      <c r="N3222">
        <v>-1.4443775050000001</v>
      </c>
    </row>
    <row r="3223" spans="1:14" x14ac:dyDescent="0.2">
      <c r="A3223" t="s">
        <v>519</v>
      </c>
      <c r="B3223">
        <v>21240</v>
      </c>
      <c r="C3223" t="s">
        <v>149</v>
      </c>
      <c r="D3223" t="s">
        <v>519</v>
      </c>
      <c r="E3223" t="s">
        <v>6528</v>
      </c>
      <c r="G3223" t="s">
        <v>6529</v>
      </c>
      <c r="J3223">
        <v>5.0381074159999999</v>
      </c>
      <c r="K3223">
        <v>0.81312368999999995</v>
      </c>
      <c r="L3223">
        <v>0.16969141800000001</v>
      </c>
      <c r="M3223" s="21">
        <v>-1.4956866660000001</v>
      </c>
      <c r="N3223">
        <v>-1.4447575130000001</v>
      </c>
    </row>
    <row r="3224" spans="1:14" x14ac:dyDescent="0.2">
      <c r="A3224" t="s">
        <v>932</v>
      </c>
      <c r="B3224">
        <v>21200</v>
      </c>
      <c r="C3224" t="s">
        <v>149</v>
      </c>
      <c r="D3224" t="s">
        <v>932</v>
      </c>
      <c r="E3224" t="s">
        <v>6530</v>
      </c>
      <c r="G3224" t="s">
        <v>6531</v>
      </c>
      <c r="J3224">
        <v>5.0381074159999999</v>
      </c>
      <c r="K3224">
        <v>0.81312368999999995</v>
      </c>
      <c r="L3224">
        <v>0.16969141800000001</v>
      </c>
      <c r="M3224" s="21">
        <v>-1.495723651</v>
      </c>
      <c r="N3224">
        <v>-1.4449475169999999</v>
      </c>
    </row>
    <row r="3225" spans="1:14" x14ac:dyDescent="0.2">
      <c r="A3225" t="s">
        <v>458</v>
      </c>
      <c r="B3225">
        <v>21040</v>
      </c>
      <c r="C3225" t="s">
        <v>149</v>
      </c>
      <c r="D3225" t="s">
        <v>459</v>
      </c>
      <c r="E3225" t="s">
        <v>6532</v>
      </c>
      <c r="G3225" t="s">
        <v>6533</v>
      </c>
      <c r="J3225">
        <v>5.0381074159999999</v>
      </c>
      <c r="K3225">
        <v>0.81312368999999995</v>
      </c>
      <c r="L3225">
        <v>0.16969141800000001</v>
      </c>
      <c r="M3225" s="21">
        <v>-1.4958715890000001</v>
      </c>
      <c r="N3225">
        <v>-1.445707533</v>
      </c>
    </row>
    <row r="3226" spans="1:14" x14ac:dyDescent="0.2">
      <c r="A3226" t="s">
        <v>1140</v>
      </c>
      <c r="B3226">
        <v>20800</v>
      </c>
      <c r="C3226" t="s">
        <v>149</v>
      </c>
      <c r="D3226" t="s">
        <v>1141</v>
      </c>
      <c r="E3226" t="s">
        <v>6534</v>
      </c>
      <c r="G3226" t="s">
        <v>6535</v>
      </c>
      <c r="J3226">
        <v>5.0381074159999999</v>
      </c>
      <c r="K3226">
        <v>0.81312368999999995</v>
      </c>
      <c r="L3226">
        <v>0.16969141800000001</v>
      </c>
      <c r="M3226" s="21">
        <v>-1.4960934969999999</v>
      </c>
      <c r="N3226">
        <v>-1.4468475569999999</v>
      </c>
    </row>
    <row r="3227" spans="1:14" x14ac:dyDescent="0.2">
      <c r="A3227" t="s">
        <v>243</v>
      </c>
      <c r="B3227">
        <v>21480</v>
      </c>
      <c r="C3227" t="s">
        <v>100</v>
      </c>
      <c r="D3227" t="s">
        <v>243</v>
      </c>
      <c r="E3227" t="s">
        <v>6536</v>
      </c>
      <c r="G3227" t="s">
        <v>6537</v>
      </c>
      <c r="J3227">
        <v>5.9110743220000002</v>
      </c>
      <c r="K3227">
        <v>0.71598987199999997</v>
      </c>
      <c r="L3227">
        <v>0.29077365599999999</v>
      </c>
      <c r="M3227" s="21">
        <v>-1.496277324</v>
      </c>
      <c r="N3227">
        <v>-1.4477919459999999</v>
      </c>
    </row>
    <row r="3228" spans="1:14" x14ac:dyDescent="0.2">
      <c r="A3228" t="s">
        <v>1484</v>
      </c>
      <c r="B3228">
        <v>20400</v>
      </c>
      <c r="C3228" t="s">
        <v>149</v>
      </c>
      <c r="D3228" t="s">
        <v>1484</v>
      </c>
      <c r="E3228" t="s">
        <v>6538</v>
      </c>
      <c r="G3228" t="s">
        <v>6539</v>
      </c>
      <c r="J3228">
        <v>5.0381074159999999</v>
      </c>
      <c r="K3228">
        <v>0.81312368999999995</v>
      </c>
      <c r="L3228">
        <v>0.16969141800000001</v>
      </c>
      <c r="M3228" s="21">
        <v>-1.4964633439999999</v>
      </c>
      <c r="N3228">
        <v>-1.448747596</v>
      </c>
    </row>
    <row r="3229" spans="1:14" x14ac:dyDescent="0.2">
      <c r="A3229" t="s">
        <v>214</v>
      </c>
      <c r="B3229">
        <v>21080</v>
      </c>
      <c r="C3229" t="s">
        <v>100</v>
      </c>
      <c r="D3229" t="s">
        <v>215</v>
      </c>
      <c r="E3229" t="s">
        <v>6540</v>
      </c>
      <c r="G3229" t="s">
        <v>6541</v>
      </c>
      <c r="J3229">
        <v>5.9110743220000002</v>
      </c>
      <c r="K3229">
        <v>0.71598987199999997</v>
      </c>
      <c r="L3229">
        <v>0.29077365599999999</v>
      </c>
      <c r="M3229" s="21">
        <v>-1.49667441</v>
      </c>
      <c r="N3229">
        <v>-1.4498319230000001</v>
      </c>
    </row>
    <row r="3230" spans="1:14" x14ac:dyDescent="0.2">
      <c r="A3230" t="s">
        <v>441</v>
      </c>
      <c r="B3230">
        <v>20040</v>
      </c>
      <c r="C3230" t="s">
        <v>149</v>
      </c>
      <c r="D3230" t="s">
        <v>442</v>
      </c>
      <c r="E3230" t="s">
        <v>6542</v>
      </c>
      <c r="G3230" t="s">
        <v>6543</v>
      </c>
      <c r="J3230">
        <v>5.0381074159999999</v>
      </c>
      <c r="K3230">
        <v>0.81312368999999995</v>
      </c>
      <c r="L3230">
        <v>0.16969141800000001</v>
      </c>
      <c r="M3230" s="21">
        <v>-1.4967962050000001</v>
      </c>
      <c r="N3230">
        <v>-1.450457632</v>
      </c>
    </row>
    <row r="3231" spans="1:14" x14ac:dyDescent="0.2">
      <c r="A3231" t="s">
        <v>775</v>
      </c>
      <c r="B3231">
        <v>20920</v>
      </c>
      <c r="C3231" t="s">
        <v>100</v>
      </c>
      <c r="D3231" t="s">
        <v>776</v>
      </c>
      <c r="E3231" t="s">
        <v>6544</v>
      </c>
      <c r="G3231" t="s">
        <v>6545</v>
      </c>
      <c r="J3231">
        <v>5.9110743220000002</v>
      </c>
      <c r="K3231">
        <v>0.71598987199999997</v>
      </c>
      <c r="L3231">
        <v>0.29077365599999999</v>
      </c>
      <c r="M3231" s="21">
        <v>-1.4968332440000001</v>
      </c>
      <c r="N3231">
        <v>-1.4506479130000001</v>
      </c>
    </row>
    <row r="3232" spans="1:14" x14ac:dyDescent="0.2">
      <c r="A3232" t="s">
        <v>756</v>
      </c>
      <c r="B3232">
        <v>19640</v>
      </c>
      <c r="C3232" t="s">
        <v>149</v>
      </c>
      <c r="D3232" t="s">
        <v>756</v>
      </c>
      <c r="E3232" t="s">
        <v>6546</v>
      </c>
      <c r="G3232" t="s">
        <v>6547</v>
      </c>
      <c r="J3232">
        <v>5.0381074159999999</v>
      </c>
      <c r="K3232">
        <v>0.81312368999999995</v>
      </c>
      <c r="L3232">
        <v>0.16969141800000001</v>
      </c>
      <c r="M3232" s="21">
        <v>-1.4971660520000001</v>
      </c>
      <c r="N3232">
        <v>-1.4523576709999999</v>
      </c>
    </row>
    <row r="3233" spans="1:14" x14ac:dyDescent="0.2">
      <c r="A3233" t="s">
        <v>1535</v>
      </c>
      <c r="B3233">
        <v>19520</v>
      </c>
      <c r="C3233" t="s">
        <v>149</v>
      </c>
      <c r="D3233" t="s">
        <v>1535</v>
      </c>
      <c r="E3233" t="s">
        <v>6548</v>
      </c>
      <c r="G3233" t="s">
        <v>6549</v>
      </c>
      <c r="J3233">
        <v>5.0381074159999999</v>
      </c>
      <c r="K3233">
        <v>0.81312368999999995</v>
      </c>
      <c r="L3233">
        <v>0.16969141800000001</v>
      </c>
      <c r="M3233" s="21">
        <v>-1.497277006</v>
      </c>
      <c r="N3233">
        <v>-1.452927683</v>
      </c>
    </row>
    <row r="3234" spans="1:14" x14ac:dyDescent="0.2">
      <c r="A3234" t="s">
        <v>1108</v>
      </c>
      <c r="B3234">
        <v>19480</v>
      </c>
      <c r="C3234" t="s">
        <v>149</v>
      </c>
      <c r="D3234" t="s">
        <v>1109</v>
      </c>
      <c r="E3234" t="s">
        <v>6550</v>
      </c>
      <c r="G3234" t="s">
        <v>6551</v>
      </c>
      <c r="J3234">
        <v>5.0381074159999999</v>
      </c>
      <c r="K3234">
        <v>0.81312368999999995</v>
      </c>
      <c r="L3234">
        <v>0.16969141800000001</v>
      </c>
      <c r="M3234" s="21">
        <v>-1.4973139900000001</v>
      </c>
      <c r="N3234">
        <v>-1.453117687</v>
      </c>
    </row>
    <row r="3235" spans="1:14" x14ac:dyDescent="0.2">
      <c r="A3235" t="s">
        <v>1198</v>
      </c>
      <c r="B3235">
        <v>80800</v>
      </c>
      <c r="C3235" t="s">
        <v>14</v>
      </c>
      <c r="D3235" t="s">
        <v>1199</v>
      </c>
      <c r="E3235" t="s">
        <v>6552</v>
      </c>
      <c r="G3235" t="s">
        <v>6553</v>
      </c>
      <c r="J3235">
        <v>6.7484204910000001</v>
      </c>
      <c r="K3235">
        <v>0.48629166299999999</v>
      </c>
      <c r="L3235">
        <v>0.375053939</v>
      </c>
      <c r="M3235" s="21">
        <v>-1.4974469669999999</v>
      </c>
      <c r="N3235">
        <v>-1.453800838</v>
      </c>
    </row>
    <row r="3236" spans="1:14" x14ac:dyDescent="0.2">
      <c r="A3236" t="s">
        <v>792</v>
      </c>
      <c r="B3236">
        <v>19200</v>
      </c>
      <c r="C3236" t="s">
        <v>149</v>
      </c>
      <c r="D3236" t="s">
        <v>793</v>
      </c>
      <c r="E3236" t="s">
        <v>6554</v>
      </c>
      <c r="G3236" t="s">
        <v>6555</v>
      </c>
      <c r="J3236">
        <v>5.0381074159999999</v>
      </c>
      <c r="K3236">
        <v>0.81312368999999995</v>
      </c>
      <c r="L3236">
        <v>0.16969141800000001</v>
      </c>
      <c r="M3236" s="21">
        <v>-1.4975728829999999</v>
      </c>
      <c r="N3236">
        <v>-1.4544477149999999</v>
      </c>
    </row>
    <row r="3237" spans="1:14" x14ac:dyDescent="0.2">
      <c r="A3237" t="s">
        <v>444</v>
      </c>
      <c r="B3237">
        <v>80680</v>
      </c>
      <c r="C3237" t="s">
        <v>14</v>
      </c>
      <c r="D3237" t="s">
        <v>445</v>
      </c>
      <c r="E3237" t="s">
        <v>6556</v>
      </c>
      <c r="G3237" t="s">
        <v>6557</v>
      </c>
      <c r="J3237">
        <v>6.7484204910000001</v>
      </c>
      <c r="K3237">
        <v>0.48629166299999999</v>
      </c>
      <c r="L3237">
        <v>0.375053939</v>
      </c>
      <c r="M3237" s="21">
        <v>-1.4975784539999999</v>
      </c>
      <c r="N3237">
        <v>-1.454476334</v>
      </c>
    </row>
    <row r="3238" spans="1:14" x14ac:dyDescent="0.2">
      <c r="A3238" t="s">
        <v>963</v>
      </c>
      <c r="B3238">
        <v>19040</v>
      </c>
      <c r="C3238" t="s">
        <v>149</v>
      </c>
      <c r="D3238" t="s">
        <v>963</v>
      </c>
      <c r="E3238" t="s">
        <v>6558</v>
      </c>
      <c r="G3238" t="s">
        <v>6559</v>
      </c>
      <c r="J3238">
        <v>5.0381074159999999</v>
      </c>
      <c r="K3238">
        <v>0.81312368999999995</v>
      </c>
      <c r="L3238">
        <v>0.16969141800000001</v>
      </c>
      <c r="M3238" s="21">
        <v>-1.4977208209999999</v>
      </c>
      <c r="N3238">
        <v>-1.455207731</v>
      </c>
    </row>
    <row r="3239" spans="1:14" x14ac:dyDescent="0.2">
      <c r="A3239" t="s">
        <v>736</v>
      </c>
      <c r="B3239">
        <v>19920</v>
      </c>
      <c r="C3239" t="s">
        <v>100</v>
      </c>
      <c r="D3239" t="s">
        <v>736</v>
      </c>
      <c r="E3239" t="s">
        <v>6560</v>
      </c>
      <c r="G3239" t="s">
        <v>6561</v>
      </c>
      <c r="J3239">
        <v>5.9110743220000002</v>
      </c>
      <c r="K3239">
        <v>0.71598987199999997</v>
      </c>
      <c r="L3239">
        <v>0.29077365599999999</v>
      </c>
      <c r="M3239" s="21">
        <v>-1.4978259570000001</v>
      </c>
      <c r="N3239">
        <v>-1.455747854</v>
      </c>
    </row>
    <row r="3240" spans="1:14" x14ac:dyDescent="0.2">
      <c r="A3240" t="s">
        <v>246</v>
      </c>
      <c r="B3240">
        <v>19520</v>
      </c>
      <c r="C3240" t="s">
        <v>100</v>
      </c>
      <c r="D3240" t="s">
        <v>246</v>
      </c>
      <c r="E3240" t="s">
        <v>6562</v>
      </c>
      <c r="G3240" t="s">
        <v>6563</v>
      </c>
      <c r="J3240">
        <v>5.9110743220000002</v>
      </c>
      <c r="K3240">
        <v>0.71598987199999997</v>
      </c>
      <c r="L3240">
        <v>0.29077365599999999</v>
      </c>
      <c r="M3240" s="21">
        <v>-1.4982230430000001</v>
      </c>
      <c r="N3240">
        <v>-1.45778783</v>
      </c>
    </row>
    <row r="3241" spans="1:14" x14ac:dyDescent="0.2">
      <c r="A3241" t="s">
        <v>259</v>
      </c>
      <c r="B3241">
        <v>18360</v>
      </c>
      <c r="C3241" t="s">
        <v>149</v>
      </c>
      <c r="D3241" t="s">
        <v>260</v>
      </c>
      <c r="E3241" t="s">
        <v>6564</v>
      </c>
      <c r="G3241" t="s">
        <v>6565</v>
      </c>
      <c r="J3241">
        <v>5.0381074159999999</v>
      </c>
      <c r="K3241">
        <v>0.81312368999999995</v>
      </c>
      <c r="L3241">
        <v>0.16969141800000001</v>
      </c>
      <c r="M3241" s="21">
        <v>-1.4983495600000001</v>
      </c>
      <c r="N3241">
        <v>-1.4584377980000001</v>
      </c>
    </row>
    <row r="3242" spans="1:14" x14ac:dyDescent="0.2">
      <c r="A3242" t="s">
        <v>1436</v>
      </c>
      <c r="B3242">
        <v>17880</v>
      </c>
      <c r="C3242" t="s">
        <v>149</v>
      </c>
      <c r="D3242" t="s">
        <v>1437</v>
      </c>
      <c r="E3242" t="s">
        <v>6566</v>
      </c>
      <c r="G3242" t="s">
        <v>6567</v>
      </c>
      <c r="J3242">
        <v>5.0381074159999999</v>
      </c>
      <c r="K3242">
        <v>0.81312368999999995</v>
      </c>
      <c r="L3242">
        <v>0.16969141800000001</v>
      </c>
      <c r="M3242" s="21">
        <v>-1.4987933760000001</v>
      </c>
      <c r="N3242">
        <v>-1.460717845</v>
      </c>
    </row>
    <row r="3243" spans="1:14" x14ac:dyDescent="0.2">
      <c r="A3243" t="s">
        <v>632</v>
      </c>
      <c r="B3243">
        <v>17880</v>
      </c>
      <c r="C3243" t="s">
        <v>149</v>
      </c>
      <c r="D3243" t="s">
        <v>632</v>
      </c>
      <c r="E3243" t="s">
        <v>6568</v>
      </c>
      <c r="G3243" t="s">
        <v>6569</v>
      </c>
      <c r="J3243">
        <v>5.0381074159999999</v>
      </c>
      <c r="K3243">
        <v>0.81312368999999995</v>
      </c>
      <c r="L3243">
        <v>0.16969141800000001</v>
      </c>
      <c r="M3243" s="21">
        <v>-1.4987933760000001</v>
      </c>
      <c r="N3243">
        <v>-1.460717845</v>
      </c>
    </row>
    <row r="3244" spans="1:14" x14ac:dyDescent="0.2">
      <c r="A3244" t="s">
        <v>207</v>
      </c>
      <c r="B3244">
        <v>18840</v>
      </c>
      <c r="C3244" t="s">
        <v>100</v>
      </c>
      <c r="D3244" t="s">
        <v>207</v>
      </c>
      <c r="E3244" t="s">
        <v>6570</v>
      </c>
      <c r="G3244" t="s">
        <v>6571</v>
      </c>
      <c r="J3244">
        <v>5.9110743220000002</v>
      </c>
      <c r="K3244">
        <v>0.71598987199999997</v>
      </c>
      <c r="L3244">
        <v>0.29077365599999999</v>
      </c>
      <c r="M3244" s="21">
        <v>-1.498898088</v>
      </c>
      <c r="N3244">
        <v>-1.4612557900000001</v>
      </c>
    </row>
    <row r="3245" spans="1:14" x14ac:dyDescent="0.2">
      <c r="A3245" t="s">
        <v>1783</v>
      </c>
      <c r="B3245">
        <v>79440</v>
      </c>
      <c r="C3245" t="s">
        <v>14</v>
      </c>
      <c r="D3245" t="s">
        <v>1783</v>
      </c>
      <c r="E3245" t="s">
        <v>6572</v>
      </c>
      <c r="G3245" t="s">
        <v>6573</v>
      </c>
      <c r="J3245">
        <v>6.7484204910000001</v>
      </c>
      <c r="K3245">
        <v>0.48629166299999999</v>
      </c>
      <c r="L3245">
        <v>0.375053939</v>
      </c>
      <c r="M3245" s="21">
        <v>-1.4989371490000001</v>
      </c>
      <c r="N3245">
        <v>-1.461456463</v>
      </c>
    </row>
    <row r="3246" spans="1:14" x14ac:dyDescent="0.2">
      <c r="A3246" t="s">
        <v>2443</v>
      </c>
      <c r="B3246">
        <v>17400</v>
      </c>
      <c r="C3246" t="s">
        <v>149</v>
      </c>
      <c r="D3246" t="s">
        <v>2444</v>
      </c>
      <c r="E3246" t="s">
        <v>6574</v>
      </c>
      <c r="G3246" t="s">
        <v>6575</v>
      </c>
      <c r="J3246">
        <v>5.0381074159999999</v>
      </c>
      <c r="K3246">
        <v>0.81312368999999995</v>
      </c>
      <c r="L3246">
        <v>0.16969141800000001</v>
      </c>
      <c r="M3246" s="21">
        <v>-1.4992371920000001</v>
      </c>
      <c r="N3246">
        <v>-1.462997893</v>
      </c>
    </row>
    <row r="3247" spans="1:14" x14ac:dyDescent="0.2">
      <c r="A3247" t="s">
        <v>2902</v>
      </c>
      <c r="B3247">
        <v>17040</v>
      </c>
      <c r="C3247" t="s">
        <v>149</v>
      </c>
      <c r="D3247" t="s">
        <v>2903</v>
      </c>
      <c r="E3247" t="s">
        <v>6576</v>
      </c>
      <c r="G3247" t="s">
        <v>6577</v>
      </c>
      <c r="J3247">
        <v>5.0381074159999999</v>
      </c>
      <c r="K3247">
        <v>0.81312368999999995</v>
      </c>
      <c r="L3247">
        <v>0.16969141800000001</v>
      </c>
      <c r="M3247" s="21">
        <v>-1.4995700540000001</v>
      </c>
      <c r="N3247">
        <v>-1.4647079279999999</v>
      </c>
    </row>
    <row r="3248" spans="1:14" x14ac:dyDescent="0.2">
      <c r="A3248" t="s">
        <v>477</v>
      </c>
      <c r="B3248">
        <v>16600</v>
      </c>
      <c r="C3248" t="s">
        <v>149</v>
      </c>
      <c r="D3248" t="s">
        <v>477</v>
      </c>
      <c r="E3248" t="s">
        <v>6578</v>
      </c>
      <c r="G3248" t="s">
        <v>6579</v>
      </c>
      <c r="J3248">
        <v>5.0381074159999999</v>
      </c>
      <c r="K3248">
        <v>0.81312368999999995</v>
      </c>
      <c r="L3248">
        <v>0.16969141800000001</v>
      </c>
      <c r="M3248" s="21">
        <v>-1.4999768849999999</v>
      </c>
      <c r="N3248">
        <v>-1.4667979719999999</v>
      </c>
    </row>
    <row r="3249" spans="1:14" x14ac:dyDescent="0.2">
      <c r="A3249" t="s">
        <v>1104</v>
      </c>
      <c r="B3249">
        <v>16480</v>
      </c>
      <c r="C3249" t="s">
        <v>149</v>
      </c>
      <c r="D3249" t="s">
        <v>1105</v>
      </c>
      <c r="E3249" t="s">
        <v>6580</v>
      </c>
      <c r="G3249" t="s">
        <v>6581</v>
      </c>
      <c r="J3249">
        <v>5.0381074159999999</v>
      </c>
      <c r="K3249">
        <v>0.81312368999999995</v>
      </c>
      <c r="L3249">
        <v>0.16969141800000001</v>
      </c>
      <c r="M3249" s="21">
        <v>-1.5000878390000001</v>
      </c>
      <c r="N3249">
        <v>-1.4673679829999999</v>
      </c>
    </row>
    <row r="3250" spans="1:14" x14ac:dyDescent="0.2">
      <c r="A3250" t="s">
        <v>289</v>
      </c>
      <c r="B3250">
        <v>16000</v>
      </c>
      <c r="C3250" t="s">
        <v>149</v>
      </c>
      <c r="D3250" t="s">
        <v>290</v>
      </c>
      <c r="E3250" t="s">
        <v>6582</v>
      </c>
      <c r="G3250" t="s">
        <v>6583</v>
      </c>
      <c r="J3250">
        <v>5.0381074159999999</v>
      </c>
      <c r="K3250">
        <v>0.81312368999999995</v>
      </c>
      <c r="L3250">
        <v>0.16969141800000001</v>
      </c>
      <c r="M3250" s="21">
        <v>-1.500531654</v>
      </c>
      <c r="N3250">
        <v>-1.469648031</v>
      </c>
    </row>
    <row r="3251" spans="1:14" x14ac:dyDescent="0.2">
      <c r="A3251" t="s">
        <v>2073</v>
      </c>
      <c r="B3251">
        <v>15560</v>
      </c>
      <c r="C3251" t="s">
        <v>149</v>
      </c>
      <c r="D3251" t="s">
        <v>2074</v>
      </c>
      <c r="E3251" t="s">
        <v>6584</v>
      </c>
      <c r="G3251" t="s">
        <v>6585</v>
      </c>
      <c r="J3251">
        <v>5.0381074159999999</v>
      </c>
      <c r="K3251">
        <v>0.81312368999999995</v>
      </c>
      <c r="L3251">
        <v>0.16969141800000001</v>
      </c>
      <c r="M3251" s="21">
        <v>-1.500938485</v>
      </c>
      <c r="N3251">
        <v>-1.4717380739999999</v>
      </c>
    </row>
    <row r="3252" spans="1:14" x14ac:dyDescent="0.2">
      <c r="A3252" t="s">
        <v>191</v>
      </c>
      <c r="B3252">
        <v>15520</v>
      </c>
      <c r="C3252" t="s">
        <v>149</v>
      </c>
      <c r="D3252" t="s">
        <v>192</v>
      </c>
      <c r="E3252" t="s">
        <v>6586</v>
      </c>
      <c r="G3252" t="s">
        <v>6587</v>
      </c>
      <c r="J3252">
        <v>5.0381074159999999</v>
      </c>
      <c r="K3252">
        <v>0.81312368999999995</v>
      </c>
      <c r="L3252">
        <v>0.16969141800000001</v>
      </c>
      <c r="M3252" s="21">
        <v>-1.50097547</v>
      </c>
      <c r="N3252">
        <v>-1.4719280779999999</v>
      </c>
    </row>
    <row r="3253" spans="1:14" x14ac:dyDescent="0.2">
      <c r="A3253" t="s">
        <v>243</v>
      </c>
      <c r="B3253">
        <v>14240</v>
      </c>
      <c r="C3253" t="s">
        <v>149</v>
      </c>
      <c r="D3253" t="s">
        <v>243</v>
      </c>
      <c r="E3253" t="s">
        <v>6588</v>
      </c>
      <c r="G3253" t="s">
        <v>6589</v>
      </c>
      <c r="J3253">
        <v>5.0381074159999999</v>
      </c>
      <c r="K3253">
        <v>0.81312368999999995</v>
      </c>
      <c r="L3253">
        <v>0.16969141800000001</v>
      </c>
      <c r="M3253" s="21">
        <v>-1.502158978</v>
      </c>
      <c r="N3253">
        <v>-1.4780082050000001</v>
      </c>
    </row>
    <row r="3254" spans="1:14" x14ac:dyDescent="0.2">
      <c r="A3254" t="s">
        <v>3164</v>
      </c>
      <c r="B3254">
        <v>13240</v>
      </c>
      <c r="C3254" t="s">
        <v>149</v>
      </c>
      <c r="D3254" t="s">
        <v>3165</v>
      </c>
      <c r="E3254" t="s">
        <v>6590</v>
      </c>
      <c r="G3254" t="s">
        <v>6591</v>
      </c>
      <c r="J3254">
        <v>5.0381074159999999</v>
      </c>
      <c r="K3254">
        <v>0.81312368999999995</v>
      </c>
      <c r="L3254">
        <v>0.16969141800000001</v>
      </c>
      <c r="M3254" s="21">
        <v>-1.5030835950000001</v>
      </c>
      <c r="N3254">
        <v>-1.482758303</v>
      </c>
    </row>
    <row r="3255" spans="1:14" x14ac:dyDescent="0.2">
      <c r="A3255" t="s">
        <v>796</v>
      </c>
      <c r="B3255">
        <v>11480</v>
      </c>
      <c r="C3255" t="s">
        <v>149</v>
      </c>
      <c r="D3255" t="s">
        <v>796</v>
      </c>
      <c r="E3255" t="s">
        <v>6592</v>
      </c>
      <c r="G3255" t="s">
        <v>6593</v>
      </c>
      <c r="J3255">
        <v>5.0381074159999999</v>
      </c>
      <c r="K3255">
        <v>0.81312368999999995</v>
      </c>
      <c r="L3255">
        <v>0.16969141800000001</v>
      </c>
      <c r="M3255" s="21">
        <v>-1.5047109190000001</v>
      </c>
      <c r="N3255">
        <v>-1.4911184770000001</v>
      </c>
    </row>
    <row r="3256" spans="1:14" x14ac:dyDescent="0.2">
      <c r="A3256" t="s">
        <v>619</v>
      </c>
      <c r="B3256">
        <v>11320</v>
      </c>
      <c r="C3256" t="s">
        <v>149</v>
      </c>
      <c r="D3256" t="s">
        <v>619</v>
      </c>
      <c r="E3256" t="s">
        <v>6594</v>
      </c>
      <c r="G3256" t="s">
        <v>6595</v>
      </c>
      <c r="J3256">
        <v>5.0381074159999999</v>
      </c>
      <c r="K3256">
        <v>0.81312368999999995</v>
      </c>
      <c r="L3256">
        <v>0.16969141800000001</v>
      </c>
      <c r="M3256" s="21">
        <v>-1.5048588570000001</v>
      </c>
      <c r="N3256">
        <v>-1.491878493</v>
      </c>
    </row>
    <row r="3257" spans="1:14" x14ac:dyDescent="0.2">
      <c r="A3257" t="s">
        <v>482</v>
      </c>
      <c r="B3257">
        <v>73680</v>
      </c>
      <c r="C3257" t="s">
        <v>14</v>
      </c>
      <c r="D3257" t="s">
        <v>482</v>
      </c>
      <c r="E3257" t="s">
        <v>6596</v>
      </c>
      <c r="G3257" t="s">
        <v>6597</v>
      </c>
      <c r="J3257">
        <v>6.7484204910000001</v>
      </c>
      <c r="K3257">
        <v>0.48629166299999999</v>
      </c>
      <c r="L3257">
        <v>0.375053939</v>
      </c>
      <c r="M3257" s="21">
        <v>-1.5052485099999999</v>
      </c>
      <c r="N3257">
        <v>-1.4938802840000001</v>
      </c>
    </row>
    <row r="3258" spans="1:14" x14ac:dyDescent="0.2">
      <c r="A3258" t="s">
        <v>38</v>
      </c>
      <c r="B3258">
        <v>10040</v>
      </c>
      <c r="C3258" t="s">
        <v>149</v>
      </c>
      <c r="D3258" t="s">
        <v>38</v>
      </c>
      <c r="E3258" t="s">
        <v>6598</v>
      </c>
      <c r="G3258" t="s">
        <v>6599</v>
      </c>
      <c r="J3258">
        <v>5.0381074159999999</v>
      </c>
      <c r="K3258">
        <v>0.81312368999999995</v>
      </c>
      <c r="L3258">
        <v>0.16969141800000001</v>
      </c>
      <c r="M3258" s="21">
        <v>-1.506042366</v>
      </c>
      <c r="N3258">
        <v>-1.497958619</v>
      </c>
    </row>
    <row r="3259" spans="1:14" x14ac:dyDescent="0.2">
      <c r="A3259" t="s">
        <v>1343</v>
      </c>
      <c r="B3259">
        <v>72680</v>
      </c>
      <c r="C3259" t="s">
        <v>14</v>
      </c>
      <c r="D3259" t="s">
        <v>1344</v>
      </c>
      <c r="E3259" t="s">
        <v>6600</v>
      </c>
      <c r="G3259" t="s">
        <v>6601</v>
      </c>
      <c r="J3259">
        <v>6.7484204910000001</v>
      </c>
      <c r="K3259">
        <v>0.48629166299999999</v>
      </c>
      <c r="L3259">
        <v>0.375053939</v>
      </c>
      <c r="M3259" s="21">
        <v>-1.506344232</v>
      </c>
      <c r="N3259">
        <v>-1.499509419</v>
      </c>
    </row>
    <row r="3260" spans="1:14" x14ac:dyDescent="0.2">
      <c r="A3260" t="s">
        <v>656</v>
      </c>
      <c r="B3260">
        <v>72240</v>
      </c>
      <c r="C3260" t="s">
        <v>14</v>
      </c>
      <c r="D3260" t="s">
        <v>656</v>
      </c>
      <c r="E3260" t="s">
        <v>6602</v>
      </c>
      <c r="G3260" t="s">
        <v>6603</v>
      </c>
      <c r="J3260">
        <v>6.7484204910000001</v>
      </c>
      <c r="K3260">
        <v>0.48629166299999999</v>
      </c>
      <c r="L3260">
        <v>0.375053939</v>
      </c>
      <c r="M3260" s="21">
        <v>-1.5068263500000001</v>
      </c>
      <c r="N3260">
        <v>-1.5019862390000001</v>
      </c>
    </row>
    <row r="3261" spans="1:14" x14ac:dyDescent="0.2">
      <c r="A3261" t="s">
        <v>225</v>
      </c>
      <c r="B3261">
        <v>8960</v>
      </c>
      <c r="C3261" t="s">
        <v>149</v>
      </c>
      <c r="D3261" t="s">
        <v>225</v>
      </c>
      <c r="E3261" t="s">
        <v>6604</v>
      </c>
      <c r="G3261" t="s">
        <v>6605</v>
      </c>
      <c r="J3261">
        <v>5.0381074159999999</v>
      </c>
      <c r="K3261">
        <v>0.81312368999999995</v>
      </c>
      <c r="L3261">
        <v>0.16969141800000001</v>
      </c>
      <c r="M3261" s="21">
        <v>-1.507040951</v>
      </c>
      <c r="N3261">
        <v>-1.5030887260000001</v>
      </c>
    </row>
    <row r="3262" spans="1:14" x14ac:dyDescent="0.2">
      <c r="A3262" t="s">
        <v>736</v>
      </c>
      <c r="B3262">
        <v>71760</v>
      </c>
      <c r="C3262" t="s">
        <v>14</v>
      </c>
      <c r="D3262" t="s">
        <v>736</v>
      </c>
      <c r="E3262" t="s">
        <v>6606</v>
      </c>
      <c r="G3262" t="s">
        <v>6607</v>
      </c>
      <c r="J3262">
        <v>6.7484204910000001</v>
      </c>
      <c r="K3262">
        <v>0.48629166299999999</v>
      </c>
      <c r="L3262">
        <v>0.375053939</v>
      </c>
      <c r="M3262" s="21">
        <v>-1.507352297</v>
      </c>
      <c r="N3262">
        <v>-1.5046882239999999</v>
      </c>
    </row>
    <row r="3263" spans="1:14" x14ac:dyDescent="0.2">
      <c r="A3263" t="s">
        <v>3235</v>
      </c>
      <c r="B3263">
        <v>71400</v>
      </c>
      <c r="C3263" t="s">
        <v>14</v>
      </c>
      <c r="D3263" t="s">
        <v>3236</v>
      </c>
      <c r="E3263" t="s">
        <v>6608</v>
      </c>
      <c r="G3263" t="s">
        <v>6609</v>
      </c>
      <c r="J3263">
        <v>6.7484204910000001</v>
      </c>
      <c r="K3263">
        <v>0.48629166299999999</v>
      </c>
      <c r="L3263">
        <v>0.375053939</v>
      </c>
      <c r="M3263" s="21">
        <v>-1.507746757</v>
      </c>
      <c r="N3263">
        <v>-1.506714713</v>
      </c>
    </row>
    <row r="3264" spans="1:14" x14ac:dyDescent="0.2">
      <c r="A3264" t="s">
        <v>663</v>
      </c>
      <c r="B3264">
        <v>8080</v>
      </c>
      <c r="C3264" t="s">
        <v>149</v>
      </c>
      <c r="D3264" t="s">
        <v>663</v>
      </c>
      <c r="E3264" t="s">
        <v>6610</v>
      </c>
      <c r="G3264" t="s">
        <v>6611</v>
      </c>
      <c r="J3264">
        <v>5.0381074159999999</v>
      </c>
      <c r="K3264">
        <v>0.81312368999999995</v>
      </c>
      <c r="L3264">
        <v>0.16969141800000001</v>
      </c>
      <c r="M3264" s="21">
        <v>-1.5078546129999999</v>
      </c>
      <c r="N3264">
        <v>-1.507268813</v>
      </c>
    </row>
    <row r="3265" spans="1:14" x14ac:dyDescent="0.2">
      <c r="A3265" t="s">
        <v>79</v>
      </c>
      <c r="B3265">
        <v>70040</v>
      </c>
      <c r="C3265" t="s">
        <v>14</v>
      </c>
      <c r="D3265" t="s">
        <v>80</v>
      </c>
      <c r="E3265" t="s">
        <v>6612</v>
      </c>
      <c r="G3265" t="s">
        <v>6613</v>
      </c>
      <c r="J3265">
        <v>6.7484204910000001</v>
      </c>
      <c r="K3265">
        <v>0.48629166299999999</v>
      </c>
      <c r="L3265">
        <v>0.375053939</v>
      </c>
      <c r="M3265" s="21">
        <v>-1.509236939</v>
      </c>
      <c r="N3265">
        <v>-1.5143703369999999</v>
      </c>
    </row>
    <row r="3266" spans="1:14" x14ac:dyDescent="0.2">
      <c r="A3266" t="s">
        <v>541</v>
      </c>
      <c r="B3266">
        <v>54000</v>
      </c>
      <c r="C3266" t="s">
        <v>84</v>
      </c>
      <c r="D3266" t="s">
        <v>542</v>
      </c>
      <c r="E3266" t="s">
        <v>6614</v>
      </c>
      <c r="G3266" t="s">
        <v>6615</v>
      </c>
      <c r="J3266">
        <v>3.600219579</v>
      </c>
      <c r="K3266">
        <v>-0.293098474</v>
      </c>
      <c r="L3266">
        <v>-0.153917466</v>
      </c>
      <c r="M3266" s="21">
        <v>-1.510209157</v>
      </c>
      <c r="N3266">
        <v>-1.5193649840000001</v>
      </c>
    </row>
    <row r="3267" spans="1:14" x14ac:dyDescent="0.2">
      <c r="A3267" t="s">
        <v>333</v>
      </c>
      <c r="B3267">
        <v>53760</v>
      </c>
      <c r="C3267" t="s">
        <v>84</v>
      </c>
      <c r="D3267" t="s">
        <v>334</v>
      </c>
      <c r="E3267" t="s">
        <v>6616</v>
      </c>
      <c r="G3267" t="s">
        <v>6617</v>
      </c>
      <c r="J3267">
        <v>3.600219579</v>
      </c>
      <c r="K3267">
        <v>-0.293098474</v>
      </c>
      <c r="L3267">
        <v>-0.153917466</v>
      </c>
      <c r="M3267" s="21">
        <v>-1.5105232850000001</v>
      </c>
      <c r="N3267">
        <v>-1.5209787770000001</v>
      </c>
    </row>
    <row r="3268" spans="1:14" x14ac:dyDescent="0.2">
      <c r="A3268" t="s">
        <v>491</v>
      </c>
      <c r="B3268">
        <v>68400</v>
      </c>
      <c r="C3268" t="s">
        <v>14</v>
      </c>
      <c r="D3268" t="s">
        <v>491</v>
      </c>
      <c r="E3268" t="s">
        <v>6618</v>
      </c>
      <c r="G3268" t="s">
        <v>6619</v>
      </c>
      <c r="J3268">
        <v>6.7484204910000001</v>
      </c>
      <c r="K3268">
        <v>0.48629166299999999</v>
      </c>
      <c r="L3268">
        <v>0.375053939</v>
      </c>
      <c r="M3268" s="21">
        <v>-1.5110339239999999</v>
      </c>
      <c r="N3268">
        <v>-1.5236021200000001</v>
      </c>
    </row>
    <row r="3269" spans="1:14" x14ac:dyDescent="0.2">
      <c r="A3269" t="s">
        <v>2871</v>
      </c>
      <c r="B3269">
        <v>68160</v>
      </c>
      <c r="C3269" t="s">
        <v>14</v>
      </c>
      <c r="D3269" t="s">
        <v>2871</v>
      </c>
      <c r="E3269" t="s">
        <v>6620</v>
      </c>
      <c r="G3269" t="s">
        <v>6621</v>
      </c>
      <c r="J3269">
        <v>6.7484204910000001</v>
      </c>
      <c r="K3269">
        <v>0.48629166299999999</v>
      </c>
      <c r="L3269">
        <v>0.375053939</v>
      </c>
      <c r="M3269" s="21">
        <v>-1.511296897</v>
      </c>
      <c r="N3269">
        <v>-1.5249531119999999</v>
      </c>
    </row>
    <row r="3270" spans="1:14" x14ac:dyDescent="0.2">
      <c r="A3270" t="s">
        <v>901</v>
      </c>
      <c r="B3270">
        <v>53000</v>
      </c>
      <c r="C3270" t="s">
        <v>84</v>
      </c>
      <c r="D3270" t="s">
        <v>902</v>
      </c>
      <c r="E3270" t="s">
        <v>6622</v>
      </c>
      <c r="G3270" t="s">
        <v>6623</v>
      </c>
      <c r="J3270">
        <v>3.600219579</v>
      </c>
      <c r="K3270">
        <v>-0.293098474</v>
      </c>
      <c r="L3270">
        <v>-0.153917466</v>
      </c>
      <c r="M3270" s="21">
        <v>-1.511518023</v>
      </c>
      <c r="N3270">
        <v>-1.52608912</v>
      </c>
    </row>
    <row r="3271" spans="1:14" x14ac:dyDescent="0.2">
      <c r="A3271" t="s">
        <v>2960</v>
      </c>
      <c r="B3271">
        <v>66360</v>
      </c>
      <c r="C3271" t="s">
        <v>14</v>
      </c>
      <c r="D3271" t="s">
        <v>2961</v>
      </c>
      <c r="E3271" t="s">
        <v>6624</v>
      </c>
      <c r="G3271" t="s">
        <v>6625</v>
      </c>
      <c r="J3271">
        <v>6.7484204910000001</v>
      </c>
      <c r="K3271">
        <v>0.48629166299999999</v>
      </c>
      <c r="L3271">
        <v>0.375053939</v>
      </c>
      <c r="M3271" s="21">
        <v>-1.5132691970000001</v>
      </c>
      <c r="N3271">
        <v>-1.5350855560000001</v>
      </c>
    </row>
    <row r="3272" spans="1:14" x14ac:dyDescent="0.2">
      <c r="A3272" t="s">
        <v>868</v>
      </c>
      <c r="B3272">
        <v>65120</v>
      </c>
      <c r="C3272" t="s">
        <v>14</v>
      </c>
      <c r="D3272" t="s">
        <v>869</v>
      </c>
      <c r="E3272" t="s">
        <v>6626</v>
      </c>
      <c r="G3272" t="s">
        <v>6627</v>
      </c>
      <c r="J3272">
        <v>6.7484204910000001</v>
      </c>
      <c r="K3272">
        <v>0.48629166299999999</v>
      </c>
      <c r="L3272">
        <v>0.375053939</v>
      </c>
      <c r="M3272" s="21">
        <v>-1.5146278929999999</v>
      </c>
      <c r="N3272">
        <v>-1.542065684</v>
      </c>
    </row>
    <row r="3273" spans="1:14" x14ac:dyDescent="0.2">
      <c r="A3273" t="s">
        <v>859</v>
      </c>
      <c r="B3273">
        <v>64800</v>
      </c>
      <c r="C3273" t="s">
        <v>14</v>
      </c>
      <c r="D3273" t="s">
        <v>859</v>
      </c>
      <c r="E3273" t="s">
        <v>6628</v>
      </c>
      <c r="G3273" t="s">
        <v>6629</v>
      </c>
      <c r="J3273">
        <v>6.7484204910000001</v>
      </c>
      <c r="K3273">
        <v>0.48629166299999999</v>
      </c>
      <c r="L3273">
        <v>0.375053939</v>
      </c>
      <c r="M3273" s="21">
        <v>-1.514978524</v>
      </c>
      <c r="N3273">
        <v>-1.5438670080000001</v>
      </c>
    </row>
    <row r="3274" spans="1:14" x14ac:dyDescent="0.2">
      <c r="A3274" t="s">
        <v>1550</v>
      </c>
      <c r="B3274">
        <v>64480</v>
      </c>
      <c r="C3274" t="s">
        <v>14</v>
      </c>
      <c r="D3274" t="s">
        <v>1550</v>
      </c>
      <c r="E3274" t="s">
        <v>6630</v>
      </c>
      <c r="G3274" t="s">
        <v>6631</v>
      </c>
      <c r="J3274">
        <v>6.7484204910000001</v>
      </c>
      <c r="K3274">
        <v>0.48629166299999999</v>
      </c>
      <c r="L3274">
        <v>0.375053939</v>
      </c>
      <c r="M3274" s="21">
        <v>-1.5153291550000001</v>
      </c>
      <c r="N3274">
        <v>-1.5456683309999999</v>
      </c>
    </row>
    <row r="3275" spans="1:14" x14ac:dyDescent="0.2">
      <c r="A3275" t="s">
        <v>2073</v>
      </c>
      <c r="B3275">
        <v>49920</v>
      </c>
      <c r="C3275" t="s">
        <v>84</v>
      </c>
      <c r="D3275" t="s">
        <v>2074</v>
      </c>
      <c r="E3275" t="s">
        <v>6632</v>
      </c>
      <c r="G3275" t="s">
        <v>6633</v>
      </c>
      <c r="J3275">
        <v>3.600219579</v>
      </c>
      <c r="K3275">
        <v>-0.293098474</v>
      </c>
      <c r="L3275">
        <v>-0.153917466</v>
      </c>
      <c r="M3275" s="21">
        <v>-1.5155493310000001</v>
      </c>
      <c r="N3275">
        <v>-1.546799459</v>
      </c>
    </row>
    <row r="3276" spans="1:14" x14ac:dyDescent="0.2">
      <c r="A3276" t="s">
        <v>57</v>
      </c>
      <c r="B3276">
        <v>61760</v>
      </c>
      <c r="C3276" t="s">
        <v>14</v>
      </c>
      <c r="D3276" t="s">
        <v>59</v>
      </c>
      <c r="E3276" t="s">
        <v>6634</v>
      </c>
      <c r="G3276" t="s">
        <v>6635</v>
      </c>
      <c r="J3276">
        <v>6.7484204910000001</v>
      </c>
      <c r="K3276">
        <v>0.48629166299999999</v>
      </c>
      <c r="L3276">
        <v>0.375053939</v>
      </c>
      <c r="M3276" s="21">
        <v>-1.5183095200000001</v>
      </c>
      <c r="N3276">
        <v>-1.5609795799999999</v>
      </c>
    </row>
    <row r="3277" spans="1:14" x14ac:dyDescent="0.2">
      <c r="A3277" t="s">
        <v>932</v>
      </c>
      <c r="B3277">
        <v>60840</v>
      </c>
      <c r="C3277" t="s">
        <v>14</v>
      </c>
      <c r="D3277" t="s">
        <v>932</v>
      </c>
      <c r="E3277" t="s">
        <v>6636</v>
      </c>
      <c r="G3277" t="s">
        <v>6637</v>
      </c>
      <c r="J3277">
        <v>6.7484204910000001</v>
      </c>
      <c r="K3277">
        <v>0.48629166299999999</v>
      </c>
      <c r="L3277">
        <v>0.375053939</v>
      </c>
      <c r="M3277" s="21">
        <v>-1.5193175839999999</v>
      </c>
      <c r="N3277">
        <v>-1.566158385</v>
      </c>
    </row>
    <row r="3278" spans="1:14" x14ac:dyDescent="0.2">
      <c r="A3278" t="s">
        <v>2224</v>
      </c>
      <c r="B3278">
        <v>60680</v>
      </c>
      <c r="C3278" t="s">
        <v>14</v>
      </c>
      <c r="D3278" t="s">
        <v>2224</v>
      </c>
      <c r="E3278" t="s">
        <v>6638</v>
      </c>
      <c r="G3278" t="s">
        <v>6639</v>
      </c>
      <c r="J3278">
        <v>6.7484204910000001</v>
      </c>
      <c r="K3278">
        <v>0.48629166299999999</v>
      </c>
      <c r="L3278">
        <v>0.375053939</v>
      </c>
      <c r="M3278" s="21">
        <v>-1.5194928999999999</v>
      </c>
      <c r="N3278">
        <v>-1.567059046</v>
      </c>
    </row>
    <row r="3279" spans="1:14" x14ac:dyDescent="0.2">
      <c r="A3279" t="s">
        <v>919</v>
      </c>
      <c r="B3279">
        <v>60400</v>
      </c>
      <c r="C3279" t="s">
        <v>14</v>
      </c>
      <c r="D3279" t="s">
        <v>919</v>
      </c>
      <c r="E3279" t="s">
        <v>6640</v>
      </c>
      <c r="G3279" t="s">
        <v>6641</v>
      </c>
      <c r="J3279">
        <v>6.7484204910000001</v>
      </c>
      <c r="K3279">
        <v>0.48629166299999999</v>
      </c>
      <c r="L3279">
        <v>0.375053939</v>
      </c>
      <c r="M3279" s="21">
        <v>-1.519799702</v>
      </c>
      <c r="N3279">
        <v>-1.568635204</v>
      </c>
    </row>
    <row r="3280" spans="1:14" x14ac:dyDescent="0.2">
      <c r="A3280" t="s">
        <v>567</v>
      </c>
      <c r="B3280">
        <v>59720</v>
      </c>
      <c r="C3280" t="s">
        <v>14</v>
      </c>
      <c r="D3280" t="s">
        <v>567</v>
      </c>
      <c r="E3280" t="s">
        <v>6642</v>
      </c>
      <c r="G3280" t="s">
        <v>6643</v>
      </c>
      <c r="J3280">
        <v>6.7484204910000001</v>
      </c>
      <c r="K3280">
        <v>0.48629166299999999</v>
      </c>
      <c r="L3280">
        <v>0.375053939</v>
      </c>
      <c r="M3280" s="21">
        <v>-1.520544793</v>
      </c>
      <c r="N3280">
        <v>-1.572463017</v>
      </c>
    </row>
    <row r="3281" spans="1:14" x14ac:dyDescent="0.2">
      <c r="A3281" t="s">
        <v>1703</v>
      </c>
      <c r="B3281">
        <v>58920</v>
      </c>
      <c r="C3281" t="s">
        <v>14</v>
      </c>
      <c r="D3281" t="s">
        <v>1703</v>
      </c>
      <c r="E3281" t="s">
        <v>6644</v>
      </c>
      <c r="G3281" t="s">
        <v>6645</v>
      </c>
      <c r="J3281">
        <v>6.7484204910000001</v>
      </c>
      <c r="K3281">
        <v>0.48629166299999999</v>
      </c>
      <c r="L3281">
        <v>0.375053939</v>
      </c>
      <c r="M3281" s="21">
        <v>-1.521421371</v>
      </c>
      <c r="N3281">
        <v>-1.5769663249999999</v>
      </c>
    </row>
    <row r="3282" spans="1:14" x14ac:dyDescent="0.2">
      <c r="A3282" t="s">
        <v>1150</v>
      </c>
      <c r="B3282">
        <v>58280</v>
      </c>
      <c r="C3282" t="s">
        <v>14</v>
      </c>
      <c r="D3282" t="s">
        <v>1150</v>
      </c>
      <c r="E3282" t="s">
        <v>6646</v>
      </c>
      <c r="G3282" t="s">
        <v>6647</v>
      </c>
      <c r="J3282">
        <v>6.7484204910000001</v>
      </c>
      <c r="K3282">
        <v>0.48629166299999999</v>
      </c>
      <c r="L3282">
        <v>0.375053939</v>
      </c>
      <c r="M3282" s="21">
        <v>-1.5221226329999999</v>
      </c>
      <c r="N3282">
        <v>-1.580568972</v>
      </c>
    </row>
    <row r="3283" spans="1:14" x14ac:dyDescent="0.2">
      <c r="A3283" t="s">
        <v>2453</v>
      </c>
      <c r="B3283">
        <v>57960</v>
      </c>
      <c r="C3283" t="s">
        <v>14</v>
      </c>
      <c r="D3283" t="s">
        <v>2454</v>
      </c>
      <c r="E3283" t="s">
        <v>6648</v>
      </c>
      <c r="G3283" t="s">
        <v>6649</v>
      </c>
      <c r="J3283">
        <v>6.7484204910000001</v>
      </c>
      <c r="K3283">
        <v>0.48629166299999999</v>
      </c>
      <c r="L3283">
        <v>0.375053939</v>
      </c>
      <c r="M3283" s="21">
        <v>-1.522473264</v>
      </c>
      <c r="N3283">
        <v>-1.582370295</v>
      </c>
    </row>
    <row r="3284" spans="1:14" x14ac:dyDescent="0.2">
      <c r="A3284" t="s">
        <v>1675</v>
      </c>
      <c r="B3284">
        <v>57240</v>
      </c>
      <c r="C3284" t="s">
        <v>14</v>
      </c>
      <c r="D3284" t="s">
        <v>1675</v>
      </c>
      <c r="E3284" t="s">
        <v>6650</v>
      </c>
      <c r="G3284" t="s">
        <v>6651</v>
      </c>
      <c r="J3284">
        <v>6.7484204910000001</v>
      </c>
      <c r="K3284">
        <v>0.48629166299999999</v>
      </c>
      <c r="L3284">
        <v>0.375053939</v>
      </c>
      <c r="M3284" s="21">
        <v>-1.523262184</v>
      </c>
      <c r="N3284">
        <v>-1.5864232730000001</v>
      </c>
    </row>
    <row r="3285" spans="1:14" x14ac:dyDescent="0.2">
      <c r="A3285" t="s">
        <v>998</v>
      </c>
      <c r="B3285">
        <v>56920</v>
      </c>
      <c r="C3285" t="s">
        <v>14</v>
      </c>
      <c r="D3285" t="s">
        <v>998</v>
      </c>
      <c r="E3285" t="s">
        <v>6652</v>
      </c>
      <c r="G3285" t="s">
        <v>6653</v>
      </c>
      <c r="J3285">
        <v>6.7484204910000001</v>
      </c>
      <c r="K3285">
        <v>0.48629166299999999</v>
      </c>
      <c r="L3285">
        <v>0.375053939</v>
      </c>
      <c r="M3285" s="21">
        <v>-1.523612816</v>
      </c>
      <c r="N3285">
        <v>-1.5882245960000001</v>
      </c>
    </row>
    <row r="3286" spans="1:14" x14ac:dyDescent="0.2">
      <c r="A3286" t="s">
        <v>74</v>
      </c>
      <c r="B3286">
        <v>56880</v>
      </c>
      <c r="C3286" t="s">
        <v>14</v>
      </c>
      <c r="D3286" t="s">
        <v>75</v>
      </c>
      <c r="E3286" t="s">
        <v>6654</v>
      </c>
      <c r="G3286" t="s">
        <v>6655</v>
      </c>
      <c r="J3286">
        <v>6.7484204910000001</v>
      </c>
      <c r="K3286">
        <v>0.48629166299999999</v>
      </c>
      <c r="L3286">
        <v>0.375053939</v>
      </c>
      <c r="M3286" s="21">
        <v>-1.5236566439999999</v>
      </c>
      <c r="N3286">
        <v>-1.588449762</v>
      </c>
    </row>
    <row r="3287" spans="1:14" x14ac:dyDescent="0.2">
      <c r="A3287" t="s">
        <v>2294</v>
      </c>
      <c r="B3287">
        <v>55720</v>
      </c>
      <c r="C3287" t="s">
        <v>14</v>
      </c>
      <c r="D3287" t="s">
        <v>2294</v>
      </c>
      <c r="E3287" t="s">
        <v>6656</v>
      </c>
      <c r="G3287" t="s">
        <v>6657</v>
      </c>
      <c r="J3287">
        <v>6.7484204910000001</v>
      </c>
      <c r="K3287">
        <v>0.48629166299999999</v>
      </c>
      <c r="L3287">
        <v>0.375053939</v>
      </c>
      <c r="M3287" s="21">
        <v>-1.524927682</v>
      </c>
      <c r="N3287">
        <v>-1.594979559</v>
      </c>
    </row>
    <row r="3288" spans="1:14" x14ac:dyDescent="0.2">
      <c r="A3288" t="s">
        <v>293</v>
      </c>
      <c r="B3288">
        <v>55600</v>
      </c>
      <c r="C3288" t="s">
        <v>14</v>
      </c>
      <c r="D3288" t="s">
        <v>293</v>
      </c>
      <c r="E3288" t="s">
        <v>6658</v>
      </c>
      <c r="G3288" t="s">
        <v>6659</v>
      </c>
      <c r="J3288">
        <v>6.7484204910000001</v>
      </c>
      <c r="K3288">
        <v>0.48629166299999999</v>
      </c>
      <c r="L3288">
        <v>0.375053939</v>
      </c>
      <c r="M3288" s="21">
        <v>-1.5250591689999999</v>
      </c>
      <c r="N3288">
        <v>-1.5956550549999999</v>
      </c>
    </row>
    <row r="3289" spans="1:14" x14ac:dyDescent="0.2">
      <c r="A3289" t="s">
        <v>1198</v>
      </c>
      <c r="B3289">
        <v>41440</v>
      </c>
      <c r="C3289" t="s">
        <v>84</v>
      </c>
      <c r="D3289" t="s">
        <v>1199</v>
      </c>
      <c r="E3289" t="s">
        <v>6660</v>
      </c>
      <c r="G3289" t="s">
        <v>6661</v>
      </c>
      <c r="J3289">
        <v>3.600219579</v>
      </c>
      <c r="K3289">
        <v>-0.293098474</v>
      </c>
      <c r="L3289">
        <v>-0.153917466</v>
      </c>
      <c r="M3289" s="21">
        <v>-1.5266485169999999</v>
      </c>
      <c r="N3289">
        <v>-1.603820131</v>
      </c>
    </row>
    <row r="3290" spans="1:14" x14ac:dyDescent="0.2">
      <c r="A3290" t="s">
        <v>1174</v>
      </c>
      <c r="B3290">
        <v>52600</v>
      </c>
      <c r="C3290" t="s">
        <v>14</v>
      </c>
      <c r="D3290" t="s">
        <v>1174</v>
      </c>
      <c r="E3290" t="s">
        <v>6662</v>
      </c>
      <c r="G3290" t="s">
        <v>6663</v>
      </c>
      <c r="J3290">
        <v>6.7484204910000001</v>
      </c>
      <c r="K3290">
        <v>0.48629166299999999</v>
      </c>
      <c r="L3290">
        <v>0.375053939</v>
      </c>
      <c r="M3290" s="21">
        <v>-1.528346336</v>
      </c>
      <c r="N3290">
        <v>-1.612542462</v>
      </c>
    </row>
    <row r="3291" spans="1:14" x14ac:dyDescent="0.2">
      <c r="A3291" t="s">
        <v>325</v>
      </c>
      <c r="B3291">
        <v>40120</v>
      </c>
      <c r="C3291" t="s">
        <v>84</v>
      </c>
      <c r="D3291" t="s">
        <v>326</v>
      </c>
      <c r="E3291" t="s">
        <v>6664</v>
      </c>
      <c r="G3291" t="s">
        <v>6665</v>
      </c>
      <c r="J3291">
        <v>3.600219579</v>
      </c>
      <c r="K3291">
        <v>-0.293098474</v>
      </c>
      <c r="L3291">
        <v>-0.153917466</v>
      </c>
      <c r="M3291" s="21">
        <v>-1.528376221</v>
      </c>
      <c r="N3291">
        <v>-1.6126959910000001</v>
      </c>
    </row>
    <row r="3292" spans="1:14" x14ac:dyDescent="0.2">
      <c r="A3292" t="s">
        <v>935</v>
      </c>
      <c r="B3292">
        <v>52440</v>
      </c>
      <c r="C3292" t="s">
        <v>14</v>
      </c>
      <c r="D3292" t="s">
        <v>935</v>
      </c>
      <c r="E3292" t="s">
        <v>6666</v>
      </c>
      <c r="G3292" t="s">
        <v>6667</v>
      </c>
      <c r="J3292">
        <v>6.7484204910000001</v>
      </c>
      <c r="K3292">
        <v>0.48629166299999999</v>
      </c>
      <c r="L3292">
        <v>0.375053939</v>
      </c>
      <c r="M3292" s="21">
        <v>-1.5285216509999999</v>
      </c>
      <c r="N3292">
        <v>-1.613443124</v>
      </c>
    </row>
    <row r="3293" spans="1:14" x14ac:dyDescent="0.2">
      <c r="A3293" t="s">
        <v>2054</v>
      </c>
      <c r="B3293">
        <v>51640</v>
      </c>
      <c r="C3293" t="s">
        <v>14</v>
      </c>
      <c r="D3293" t="s">
        <v>2054</v>
      </c>
      <c r="E3293" t="s">
        <v>6668</v>
      </c>
      <c r="G3293" t="s">
        <v>6669</v>
      </c>
      <c r="J3293">
        <v>6.7484204910000001</v>
      </c>
      <c r="K3293">
        <v>0.48629166299999999</v>
      </c>
      <c r="L3293">
        <v>0.375053939</v>
      </c>
      <c r="M3293" s="21">
        <v>-1.5293982290000001</v>
      </c>
      <c r="N3293">
        <v>-1.6179464320000001</v>
      </c>
    </row>
    <row r="3294" spans="1:14" x14ac:dyDescent="0.2">
      <c r="A3294" t="s">
        <v>1260</v>
      </c>
      <c r="B3294">
        <v>51640</v>
      </c>
      <c r="C3294" t="s">
        <v>14</v>
      </c>
      <c r="D3294" t="s">
        <v>1260</v>
      </c>
      <c r="E3294" t="s">
        <v>6670</v>
      </c>
      <c r="G3294" t="s">
        <v>6671</v>
      </c>
      <c r="J3294">
        <v>6.7484204910000001</v>
      </c>
      <c r="K3294">
        <v>0.48629166299999999</v>
      </c>
      <c r="L3294">
        <v>0.375053939</v>
      </c>
      <c r="M3294" s="21">
        <v>-1.5293982290000001</v>
      </c>
      <c r="N3294">
        <v>-1.6179464320000001</v>
      </c>
    </row>
    <row r="3295" spans="1:14" x14ac:dyDescent="0.2">
      <c r="A3295" t="s">
        <v>759</v>
      </c>
      <c r="B3295">
        <v>50720</v>
      </c>
      <c r="C3295" t="s">
        <v>14</v>
      </c>
      <c r="D3295" t="s">
        <v>760</v>
      </c>
      <c r="E3295" t="s">
        <v>6672</v>
      </c>
      <c r="G3295" t="s">
        <v>6673</v>
      </c>
      <c r="J3295">
        <v>6.7484204910000001</v>
      </c>
      <c r="K3295">
        <v>0.48629166299999999</v>
      </c>
      <c r="L3295">
        <v>0.375053939</v>
      </c>
      <c r="M3295" s="21">
        <v>-1.5304062940000001</v>
      </c>
      <c r="N3295">
        <v>-1.623125237</v>
      </c>
    </row>
    <row r="3296" spans="1:14" x14ac:dyDescent="0.2">
      <c r="A3296" t="s">
        <v>2139</v>
      </c>
      <c r="B3296">
        <v>38320</v>
      </c>
      <c r="C3296" t="s">
        <v>84</v>
      </c>
      <c r="D3296" t="s">
        <v>2140</v>
      </c>
      <c r="E3296" t="s">
        <v>6674</v>
      </c>
      <c r="G3296" t="s">
        <v>6675</v>
      </c>
      <c r="J3296">
        <v>3.600219579</v>
      </c>
      <c r="K3296">
        <v>-0.293098474</v>
      </c>
      <c r="L3296">
        <v>-0.153917466</v>
      </c>
      <c r="M3296" s="21">
        <v>-1.53073218</v>
      </c>
      <c r="N3296">
        <v>-1.6247994349999999</v>
      </c>
    </row>
    <row r="3297" spans="1:14" x14ac:dyDescent="0.2">
      <c r="A3297" t="s">
        <v>1595</v>
      </c>
      <c r="B3297">
        <v>49960</v>
      </c>
      <c r="C3297" t="s">
        <v>14</v>
      </c>
      <c r="D3297" t="s">
        <v>1595</v>
      </c>
      <c r="E3297" t="s">
        <v>6676</v>
      </c>
      <c r="G3297" t="s">
        <v>6677</v>
      </c>
      <c r="J3297">
        <v>6.7484204910000001</v>
      </c>
      <c r="K3297">
        <v>0.48629166299999999</v>
      </c>
      <c r="L3297">
        <v>0.375053939</v>
      </c>
      <c r="M3297" s="21">
        <v>-1.531239043</v>
      </c>
      <c r="N3297">
        <v>-1.6274033800000001</v>
      </c>
    </row>
    <row r="3298" spans="1:14" x14ac:dyDescent="0.2">
      <c r="A3298" t="s">
        <v>1231</v>
      </c>
      <c r="B3298">
        <v>49840</v>
      </c>
      <c r="C3298" t="s">
        <v>14</v>
      </c>
      <c r="D3298" t="s">
        <v>1231</v>
      </c>
      <c r="E3298" t="s">
        <v>6678</v>
      </c>
      <c r="G3298" t="s">
        <v>6679</v>
      </c>
      <c r="J3298">
        <v>6.7484204910000001</v>
      </c>
      <c r="K3298">
        <v>0.48629166299999999</v>
      </c>
      <c r="L3298">
        <v>0.375053939</v>
      </c>
      <c r="M3298" s="21">
        <v>-1.5313705289999999</v>
      </c>
      <c r="N3298">
        <v>-1.628078876</v>
      </c>
    </row>
    <row r="3299" spans="1:14" x14ac:dyDescent="0.2">
      <c r="A3299" t="s">
        <v>438</v>
      </c>
      <c r="B3299">
        <v>49520</v>
      </c>
      <c r="C3299" t="s">
        <v>14</v>
      </c>
      <c r="D3299" t="s">
        <v>438</v>
      </c>
      <c r="E3299" t="s">
        <v>6680</v>
      </c>
      <c r="G3299" t="s">
        <v>6681</v>
      </c>
      <c r="J3299">
        <v>6.7484204910000001</v>
      </c>
      <c r="K3299">
        <v>0.48629166299999999</v>
      </c>
      <c r="L3299">
        <v>0.375053939</v>
      </c>
      <c r="M3299" s="21">
        <v>-1.5317211610000001</v>
      </c>
      <c r="N3299">
        <v>-1.6298801999999999</v>
      </c>
    </row>
    <row r="3300" spans="1:14" x14ac:dyDescent="0.2">
      <c r="A3300" t="s">
        <v>348</v>
      </c>
      <c r="B3300">
        <v>48960</v>
      </c>
      <c r="C3300" t="s">
        <v>14</v>
      </c>
      <c r="D3300" t="s">
        <v>349</v>
      </c>
      <c r="E3300" t="s">
        <v>6682</v>
      </c>
      <c r="G3300" t="s">
        <v>6683</v>
      </c>
      <c r="J3300">
        <v>6.7484204910000001</v>
      </c>
      <c r="K3300">
        <v>0.48629166299999999</v>
      </c>
      <c r="L3300">
        <v>0.375053939</v>
      </c>
      <c r="M3300" s="21">
        <v>-1.5323347650000001</v>
      </c>
      <c r="N3300">
        <v>-1.6330325160000001</v>
      </c>
    </row>
    <row r="3301" spans="1:14" x14ac:dyDescent="0.2">
      <c r="A3301" t="s">
        <v>1123</v>
      </c>
      <c r="B3301">
        <v>48680</v>
      </c>
      <c r="C3301" t="s">
        <v>14</v>
      </c>
      <c r="D3301" t="s">
        <v>1123</v>
      </c>
      <c r="E3301" t="s">
        <v>6684</v>
      </c>
      <c r="G3301" t="s">
        <v>6685</v>
      </c>
      <c r="J3301">
        <v>6.7484204910000001</v>
      </c>
      <c r="K3301">
        <v>0.48629166299999999</v>
      </c>
      <c r="L3301">
        <v>0.375053939</v>
      </c>
      <c r="M3301" s="21">
        <v>-1.532641567</v>
      </c>
      <c r="N3301">
        <v>-1.6346086740000001</v>
      </c>
    </row>
    <row r="3302" spans="1:14" x14ac:dyDescent="0.2">
      <c r="A3302" t="s">
        <v>143</v>
      </c>
      <c r="B3302">
        <v>48200</v>
      </c>
      <c r="C3302" t="s">
        <v>14</v>
      </c>
      <c r="D3302" t="s">
        <v>144</v>
      </c>
      <c r="E3302" t="s">
        <v>6686</v>
      </c>
      <c r="G3302" t="s">
        <v>6687</v>
      </c>
      <c r="J3302">
        <v>6.7484204910000001</v>
      </c>
      <c r="K3302">
        <v>0.48629166299999999</v>
      </c>
      <c r="L3302">
        <v>0.375053939</v>
      </c>
      <c r="M3302" s="21">
        <v>-1.5331675140000001</v>
      </c>
      <c r="N3302">
        <v>-1.6373106589999999</v>
      </c>
    </row>
    <row r="3303" spans="1:14" x14ac:dyDescent="0.2">
      <c r="A3303" t="s">
        <v>1714</v>
      </c>
      <c r="B3303">
        <v>47760</v>
      </c>
      <c r="C3303" t="s">
        <v>14</v>
      </c>
      <c r="D3303" t="s">
        <v>1715</v>
      </c>
      <c r="E3303" t="s">
        <v>6688</v>
      </c>
      <c r="G3303" t="s">
        <v>6689</v>
      </c>
      <c r="J3303">
        <v>6.7484204910000001</v>
      </c>
      <c r="K3303">
        <v>0.48629166299999999</v>
      </c>
      <c r="L3303">
        <v>0.375053939</v>
      </c>
      <c r="M3303" s="21">
        <v>-1.5336496319999999</v>
      </c>
      <c r="N3303">
        <v>-1.6397874779999999</v>
      </c>
    </row>
    <row r="3304" spans="1:14" x14ac:dyDescent="0.2">
      <c r="A3304" t="s">
        <v>563</v>
      </c>
      <c r="B3304">
        <v>47320</v>
      </c>
      <c r="C3304" t="s">
        <v>14</v>
      </c>
      <c r="D3304" t="s">
        <v>564</v>
      </c>
      <c r="E3304" t="s">
        <v>6690</v>
      </c>
      <c r="G3304" t="s">
        <v>6691</v>
      </c>
      <c r="J3304">
        <v>6.7484204910000001</v>
      </c>
      <c r="K3304">
        <v>0.48629166299999999</v>
      </c>
      <c r="L3304">
        <v>0.375053939</v>
      </c>
      <c r="M3304" s="21">
        <v>-1.53413175</v>
      </c>
      <c r="N3304">
        <v>-1.642264298</v>
      </c>
    </row>
    <row r="3305" spans="1:14" x14ac:dyDescent="0.2">
      <c r="A3305" t="s">
        <v>2335</v>
      </c>
      <c r="B3305">
        <v>47160</v>
      </c>
      <c r="C3305" t="s">
        <v>14</v>
      </c>
      <c r="D3305" t="s">
        <v>2335</v>
      </c>
      <c r="E3305" t="s">
        <v>6692</v>
      </c>
      <c r="G3305" t="s">
        <v>6693</v>
      </c>
      <c r="J3305">
        <v>6.7484204910000001</v>
      </c>
      <c r="K3305">
        <v>0.48629166299999999</v>
      </c>
      <c r="L3305">
        <v>0.375053939</v>
      </c>
      <c r="M3305" s="21">
        <v>-1.5343070649999999</v>
      </c>
      <c r="N3305">
        <v>-1.64316496</v>
      </c>
    </row>
    <row r="3306" spans="1:14" x14ac:dyDescent="0.2">
      <c r="A3306" t="s">
        <v>116</v>
      </c>
      <c r="B3306">
        <v>46960</v>
      </c>
      <c r="C3306" t="s">
        <v>14</v>
      </c>
      <c r="D3306" t="s">
        <v>117</v>
      </c>
      <c r="E3306" t="s">
        <v>6694</v>
      </c>
      <c r="G3306" t="s">
        <v>6695</v>
      </c>
      <c r="J3306">
        <v>6.7484204910000001</v>
      </c>
      <c r="K3306">
        <v>0.48629166299999999</v>
      </c>
      <c r="L3306">
        <v>0.375053939</v>
      </c>
      <c r="M3306" s="21">
        <v>-1.5345262099999999</v>
      </c>
      <c r="N3306">
        <v>-1.6442907870000001</v>
      </c>
    </row>
    <row r="3307" spans="1:14" x14ac:dyDescent="0.2">
      <c r="A3307" t="s">
        <v>2167</v>
      </c>
      <c r="B3307">
        <v>46520</v>
      </c>
      <c r="C3307" t="s">
        <v>14</v>
      </c>
      <c r="D3307" t="s">
        <v>2168</v>
      </c>
      <c r="E3307" t="s">
        <v>6696</v>
      </c>
      <c r="G3307" t="s">
        <v>6697</v>
      </c>
      <c r="J3307">
        <v>6.7484204910000001</v>
      </c>
      <c r="K3307">
        <v>0.48629166299999999</v>
      </c>
      <c r="L3307">
        <v>0.375053939</v>
      </c>
      <c r="M3307" s="21">
        <v>-1.5350083269999999</v>
      </c>
      <c r="N3307">
        <v>-1.6467676069999999</v>
      </c>
    </row>
    <row r="3308" spans="1:14" x14ac:dyDescent="0.2">
      <c r="A3308" t="s">
        <v>2791</v>
      </c>
      <c r="B3308">
        <v>45520</v>
      </c>
      <c r="C3308" t="s">
        <v>14</v>
      </c>
      <c r="D3308" t="s">
        <v>2792</v>
      </c>
      <c r="E3308" t="s">
        <v>6698</v>
      </c>
      <c r="G3308" t="s">
        <v>6699</v>
      </c>
      <c r="J3308">
        <v>6.7484204910000001</v>
      </c>
      <c r="K3308">
        <v>0.48629166299999999</v>
      </c>
      <c r="L3308">
        <v>0.375053939</v>
      </c>
      <c r="M3308" s="21">
        <v>-1.5361040500000001</v>
      </c>
      <c r="N3308">
        <v>-1.6523967420000001</v>
      </c>
    </row>
    <row r="3309" spans="1:14" x14ac:dyDescent="0.2">
      <c r="A3309" t="s">
        <v>1049</v>
      </c>
      <c r="B3309">
        <v>45040</v>
      </c>
      <c r="C3309" t="s">
        <v>14</v>
      </c>
      <c r="D3309" t="s">
        <v>1049</v>
      </c>
      <c r="E3309" t="s">
        <v>6700</v>
      </c>
      <c r="G3309" t="s">
        <v>6701</v>
      </c>
      <c r="J3309">
        <v>6.7484204910000001</v>
      </c>
      <c r="K3309">
        <v>0.48629166299999999</v>
      </c>
      <c r="L3309">
        <v>0.375053939</v>
      </c>
      <c r="M3309" s="21">
        <v>-1.5366299960000001</v>
      </c>
      <c r="N3309">
        <v>-1.6550987269999999</v>
      </c>
    </row>
    <row r="3310" spans="1:14" x14ac:dyDescent="0.2">
      <c r="A3310" t="s">
        <v>1825</v>
      </c>
      <c r="B3310">
        <v>44960</v>
      </c>
      <c r="C3310" t="s">
        <v>14</v>
      </c>
      <c r="D3310" t="s">
        <v>1826</v>
      </c>
      <c r="E3310" t="s">
        <v>6702</v>
      </c>
      <c r="G3310" t="s">
        <v>6703</v>
      </c>
      <c r="J3310">
        <v>6.7484204910000001</v>
      </c>
      <c r="K3310">
        <v>0.48629166299999999</v>
      </c>
      <c r="L3310">
        <v>0.375053939</v>
      </c>
      <c r="M3310" s="21">
        <v>-1.536717654</v>
      </c>
      <c r="N3310">
        <v>-1.6555490580000001</v>
      </c>
    </row>
    <row r="3311" spans="1:14" x14ac:dyDescent="0.2">
      <c r="A3311" t="s">
        <v>956</v>
      </c>
      <c r="B3311">
        <v>44840</v>
      </c>
      <c r="C3311" t="s">
        <v>14</v>
      </c>
      <c r="D3311" t="s">
        <v>956</v>
      </c>
      <c r="E3311" t="s">
        <v>6704</v>
      </c>
      <c r="G3311" t="s">
        <v>6705</v>
      </c>
      <c r="J3311">
        <v>6.7484204910000001</v>
      </c>
      <c r="K3311">
        <v>0.48629166299999999</v>
      </c>
      <c r="L3311">
        <v>0.375053939</v>
      </c>
      <c r="M3311" s="21">
        <v>-1.536849141</v>
      </c>
      <c r="N3311">
        <v>-1.656224554</v>
      </c>
    </row>
    <row r="3312" spans="1:14" x14ac:dyDescent="0.2">
      <c r="A3312" t="s">
        <v>1073</v>
      </c>
      <c r="B3312">
        <v>43920</v>
      </c>
      <c r="C3312" t="s">
        <v>14</v>
      </c>
      <c r="D3312" t="s">
        <v>1073</v>
      </c>
      <c r="E3312" t="s">
        <v>6706</v>
      </c>
      <c r="G3312" t="s">
        <v>6707</v>
      </c>
      <c r="J3312">
        <v>6.7484204910000001</v>
      </c>
      <c r="K3312">
        <v>0.48629166299999999</v>
      </c>
      <c r="L3312">
        <v>0.375053939</v>
      </c>
      <c r="M3312" s="21">
        <v>-1.5378572049999999</v>
      </c>
      <c r="N3312">
        <v>-1.6614033589999999</v>
      </c>
    </row>
    <row r="3313" spans="1:14" x14ac:dyDescent="0.2">
      <c r="A3313" t="s">
        <v>307</v>
      </c>
      <c r="B3313">
        <v>43760</v>
      </c>
      <c r="C3313" t="s">
        <v>14</v>
      </c>
      <c r="D3313" t="s">
        <v>308</v>
      </c>
      <c r="E3313" t="s">
        <v>6708</v>
      </c>
      <c r="G3313" t="s">
        <v>6709</v>
      </c>
      <c r="J3313">
        <v>6.7484204910000001</v>
      </c>
      <c r="K3313">
        <v>0.48629166299999999</v>
      </c>
      <c r="L3313">
        <v>0.375053939</v>
      </c>
      <c r="M3313" s="21">
        <v>-1.5380325210000001</v>
      </c>
      <c r="N3313">
        <v>-1.662304021</v>
      </c>
    </row>
    <row r="3314" spans="1:14" x14ac:dyDescent="0.2">
      <c r="A3314" t="s">
        <v>1668</v>
      </c>
      <c r="B3314">
        <v>43240</v>
      </c>
      <c r="C3314" t="s">
        <v>14</v>
      </c>
      <c r="D3314" t="s">
        <v>1668</v>
      </c>
      <c r="E3314" t="s">
        <v>6710</v>
      </c>
      <c r="G3314" t="s">
        <v>6711</v>
      </c>
      <c r="J3314">
        <v>6.7484204910000001</v>
      </c>
      <c r="K3314">
        <v>0.48629166299999999</v>
      </c>
      <c r="L3314">
        <v>0.375053939</v>
      </c>
      <c r="M3314" s="21">
        <v>-1.538602297</v>
      </c>
      <c r="N3314">
        <v>-1.6652311710000001</v>
      </c>
    </row>
    <row r="3315" spans="1:14" x14ac:dyDescent="0.2">
      <c r="A3315" t="s">
        <v>1491</v>
      </c>
      <c r="B3315">
        <v>43200</v>
      </c>
      <c r="C3315" t="s">
        <v>14</v>
      </c>
      <c r="D3315" t="s">
        <v>1491</v>
      </c>
      <c r="E3315" t="s">
        <v>6712</v>
      </c>
      <c r="G3315" t="s">
        <v>6713</v>
      </c>
      <c r="J3315">
        <v>6.7484204910000001</v>
      </c>
      <c r="K3315">
        <v>0.48629166299999999</v>
      </c>
      <c r="L3315">
        <v>0.375053939</v>
      </c>
      <c r="M3315" s="21">
        <v>-1.5386461259999999</v>
      </c>
      <c r="N3315">
        <v>-1.665456337</v>
      </c>
    </row>
    <row r="3316" spans="1:14" x14ac:dyDescent="0.2">
      <c r="A3316" t="s">
        <v>462</v>
      </c>
      <c r="B3316">
        <v>43120</v>
      </c>
      <c r="C3316" t="s">
        <v>14</v>
      </c>
      <c r="D3316" t="s">
        <v>462</v>
      </c>
      <c r="E3316" t="s">
        <v>6714</v>
      </c>
      <c r="G3316" t="s">
        <v>6715</v>
      </c>
      <c r="J3316">
        <v>6.7484204910000001</v>
      </c>
      <c r="K3316">
        <v>0.48629166299999999</v>
      </c>
      <c r="L3316">
        <v>0.375053939</v>
      </c>
      <c r="M3316" s="21">
        <v>-1.5387337830000001</v>
      </c>
      <c r="N3316">
        <v>-1.6659066680000001</v>
      </c>
    </row>
    <row r="3317" spans="1:14" x14ac:dyDescent="0.2">
      <c r="A3317" t="s">
        <v>1764</v>
      </c>
      <c r="B3317">
        <v>42360</v>
      </c>
      <c r="C3317" t="s">
        <v>14</v>
      </c>
      <c r="D3317" t="s">
        <v>1764</v>
      </c>
      <c r="E3317" t="s">
        <v>6716</v>
      </c>
      <c r="G3317" t="s">
        <v>6717</v>
      </c>
      <c r="J3317">
        <v>6.7484204910000001</v>
      </c>
      <c r="K3317">
        <v>0.48629166299999999</v>
      </c>
      <c r="L3317">
        <v>0.375053939</v>
      </c>
      <c r="M3317" s="21">
        <v>-1.539566532</v>
      </c>
      <c r="N3317">
        <v>-1.6701848109999999</v>
      </c>
    </row>
    <row r="3318" spans="1:14" x14ac:dyDescent="0.2">
      <c r="A3318" t="s">
        <v>977</v>
      </c>
      <c r="B3318">
        <v>41880</v>
      </c>
      <c r="C3318" t="s">
        <v>14</v>
      </c>
      <c r="D3318" t="s">
        <v>978</v>
      </c>
      <c r="E3318" t="s">
        <v>6718</v>
      </c>
      <c r="G3318" t="s">
        <v>6719</v>
      </c>
      <c r="J3318">
        <v>6.7484204910000001</v>
      </c>
      <c r="K3318">
        <v>0.48629166299999999</v>
      </c>
      <c r="L3318">
        <v>0.375053939</v>
      </c>
      <c r="M3318" s="21">
        <v>-1.5400924789999999</v>
      </c>
      <c r="N3318">
        <v>-1.672886796</v>
      </c>
    </row>
    <row r="3319" spans="1:14" x14ac:dyDescent="0.2">
      <c r="A3319" t="s">
        <v>1617</v>
      </c>
      <c r="B3319">
        <v>41400</v>
      </c>
      <c r="C3319" t="s">
        <v>14</v>
      </c>
      <c r="D3319" t="s">
        <v>1617</v>
      </c>
      <c r="E3319" t="s">
        <v>6720</v>
      </c>
      <c r="G3319" t="s">
        <v>6721</v>
      </c>
      <c r="J3319">
        <v>6.7484204910000001</v>
      </c>
      <c r="K3319">
        <v>0.48629166299999999</v>
      </c>
      <c r="L3319">
        <v>0.375053939</v>
      </c>
      <c r="M3319" s="21">
        <v>-1.540618426</v>
      </c>
      <c r="N3319">
        <v>-1.6755887810000001</v>
      </c>
    </row>
    <row r="3320" spans="1:14" x14ac:dyDescent="0.2">
      <c r="A3320" t="s">
        <v>909</v>
      </c>
      <c r="B3320">
        <v>41280</v>
      </c>
      <c r="C3320" t="s">
        <v>14</v>
      </c>
      <c r="D3320" t="s">
        <v>909</v>
      </c>
      <c r="E3320" t="s">
        <v>6722</v>
      </c>
      <c r="G3320" t="s">
        <v>6723</v>
      </c>
      <c r="J3320">
        <v>6.7484204910000001</v>
      </c>
      <c r="K3320">
        <v>0.48629166299999999</v>
      </c>
      <c r="L3320">
        <v>0.375053939</v>
      </c>
      <c r="M3320" s="21">
        <v>-1.5407499120000001</v>
      </c>
      <c r="N3320">
        <v>-1.676264277</v>
      </c>
    </row>
    <row r="3321" spans="1:14" x14ac:dyDescent="0.2">
      <c r="A3321" t="s">
        <v>1295</v>
      </c>
      <c r="B3321">
        <v>41120</v>
      </c>
      <c r="C3321" t="s">
        <v>14</v>
      </c>
      <c r="D3321" t="s">
        <v>1296</v>
      </c>
      <c r="E3321" t="s">
        <v>6724</v>
      </c>
      <c r="G3321" t="s">
        <v>6725</v>
      </c>
      <c r="J3321">
        <v>6.7484204910000001</v>
      </c>
      <c r="K3321">
        <v>0.48629166299999999</v>
      </c>
      <c r="L3321">
        <v>0.375053939</v>
      </c>
      <c r="M3321" s="21">
        <v>-1.5409252280000001</v>
      </c>
      <c r="N3321">
        <v>-1.6771649390000001</v>
      </c>
    </row>
    <row r="3322" spans="1:14" x14ac:dyDescent="0.2">
      <c r="A3322" t="s">
        <v>1076</v>
      </c>
      <c r="B3322">
        <v>40800</v>
      </c>
      <c r="C3322" t="s">
        <v>14</v>
      </c>
      <c r="D3322" t="s">
        <v>1077</v>
      </c>
      <c r="E3322" t="s">
        <v>6726</v>
      </c>
      <c r="G3322" t="s">
        <v>6727</v>
      </c>
      <c r="J3322">
        <v>6.7484204910000001</v>
      </c>
      <c r="K3322">
        <v>0.48629166299999999</v>
      </c>
      <c r="L3322">
        <v>0.375053939</v>
      </c>
      <c r="M3322" s="21">
        <v>-1.541275859</v>
      </c>
      <c r="N3322">
        <v>-1.6789662620000001</v>
      </c>
    </row>
    <row r="3323" spans="1:14" x14ac:dyDescent="0.2">
      <c r="A3323" t="s">
        <v>2040</v>
      </c>
      <c r="B3323">
        <v>40800</v>
      </c>
      <c r="C3323" t="s">
        <v>14</v>
      </c>
      <c r="D3323" t="s">
        <v>2040</v>
      </c>
      <c r="E3323" t="s">
        <v>6728</v>
      </c>
      <c r="G3323" t="s">
        <v>6729</v>
      </c>
      <c r="J3323">
        <v>6.7484204910000001</v>
      </c>
      <c r="K3323">
        <v>0.48629166299999999</v>
      </c>
      <c r="L3323">
        <v>0.375053939</v>
      </c>
      <c r="M3323" s="21">
        <v>-1.541275859</v>
      </c>
      <c r="N3323">
        <v>-1.6789662620000001</v>
      </c>
    </row>
    <row r="3324" spans="1:14" x14ac:dyDescent="0.2">
      <c r="A3324" t="s">
        <v>772</v>
      </c>
      <c r="B3324">
        <v>40280</v>
      </c>
      <c r="C3324" t="s">
        <v>14</v>
      </c>
      <c r="D3324" t="s">
        <v>772</v>
      </c>
      <c r="E3324" t="s">
        <v>6730</v>
      </c>
      <c r="G3324" t="s">
        <v>6731</v>
      </c>
      <c r="J3324">
        <v>6.7484204910000001</v>
      </c>
      <c r="K3324">
        <v>0.48629166299999999</v>
      </c>
      <c r="L3324">
        <v>0.375053939</v>
      </c>
      <c r="M3324" s="21">
        <v>-1.541845635</v>
      </c>
      <c r="N3324">
        <v>-1.6818934130000001</v>
      </c>
    </row>
    <row r="3325" spans="1:14" x14ac:dyDescent="0.2">
      <c r="A3325" t="s">
        <v>1431</v>
      </c>
      <c r="B3325">
        <v>40080</v>
      </c>
      <c r="C3325" t="s">
        <v>14</v>
      </c>
      <c r="D3325" t="s">
        <v>1431</v>
      </c>
      <c r="E3325" t="s">
        <v>6732</v>
      </c>
      <c r="G3325" t="s">
        <v>6733</v>
      </c>
      <c r="J3325">
        <v>6.7484204910000001</v>
      </c>
      <c r="K3325">
        <v>0.48629166299999999</v>
      </c>
      <c r="L3325">
        <v>0.375053939</v>
      </c>
      <c r="M3325" s="21">
        <v>-1.5420647789999999</v>
      </c>
      <c r="N3325">
        <v>-1.6830192399999999</v>
      </c>
    </row>
    <row r="3326" spans="1:14" x14ac:dyDescent="0.2">
      <c r="A3326" t="s">
        <v>2031</v>
      </c>
      <c r="B3326">
        <v>40040</v>
      </c>
      <c r="C3326" t="s">
        <v>14</v>
      </c>
      <c r="D3326" t="s">
        <v>2032</v>
      </c>
      <c r="E3326" t="s">
        <v>6734</v>
      </c>
      <c r="G3326" t="s">
        <v>6735</v>
      </c>
      <c r="J3326">
        <v>6.7484204910000001</v>
      </c>
      <c r="K3326">
        <v>0.48629166299999999</v>
      </c>
      <c r="L3326">
        <v>0.375053939</v>
      </c>
      <c r="M3326" s="21">
        <v>-1.5421086079999999</v>
      </c>
      <c r="N3326">
        <v>-1.6832444049999999</v>
      </c>
    </row>
    <row r="3327" spans="1:14" x14ac:dyDescent="0.2">
      <c r="A3327" t="s">
        <v>1330</v>
      </c>
      <c r="B3327">
        <v>40000</v>
      </c>
      <c r="C3327" t="s">
        <v>14</v>
      </c>
      <c r="D3327" t="s">
        <v>1330</v>
      </c>
      <c r="E3327" t="s">
        <v>6736</v>
      </c>
      <c r="G3327" t="s">
        <v>6737</v>
      </c>
      <c r="J3327">
        <v>6.7484204910000001</v>
      </c>
      <c r="K3327">
        <v>0.48629166299999999</v>
      </c>
      <c r="L3327">
        <v>0.375053939</v>
      </c>
      <c r="M3327" s="21">
        <v>-1.5421524369999999</v>
      </c>
      <c r="N3327">
        <v>-1.6834695710000001</v>
      </c>
    </row>
    <row r="3328" spans="1:14" x14ac:dyDescent="0.2">
      <c r="A3328" t="s">
        <v>689</v>
      </c>
      <c r="B3328">
        <v>39960</v>
      </c>
      <c r="C3328" t="s">
        <v>14</v>
      </c>
      <c r="D3328" t="s">
        <v>690</v>
      </c>
      <c r="E3328" t="s">
        <v>6738</v>
      </c>
      <c r="G3328" t="s">
        <v>6739</v>
      </c>
      <c r="J3328">
        <v>6.7484204910000001</v>
      </c>
      <c r="K3328">
        <v>0.48629166299999999</v>
      </c>
      <c r="L3328">
        <v>0.375053939</v>
      </c>
      <c r="M3328" s="21">
        <v>-1.5421962659999999</v>
      </c>
      <c r="N3328">
        <v>-1.6836947360000001</v>
      </c>
    </row>
    <row r="3329" spans="1:14" x14ac:dyDescent="0.2">
      <c r="A3329" t="s">
        <v>2341</v>
      </c>
      <c r="B3329">
        <v>39560</v>
      </c>
      <c r="C3329" t="s">
        <v>14</v>
      </c>
      <c r="D3329" t="s">
        <v>2341</v>
      </c>
      <c r="E3329" t="s">
        <v>6740</v>
      </c>
      <c r="G3329" t="s">
        <v>6741</v>
      </c>
      <c r="J3329">
        <v>6.7484204910000001</v>
      </c>
      <c r="K3329">
        <v>0.48629166299999999</v>
      </c>
      <c r="L3329">
        <v>0.375053939</v>
      </c>
      <c r="M3329" s="21">
        <v>-1.542634555</v>
      </c>
      <c r="N3329">
        <v>-1.68594639</v>
      </c>
    </row>
    <row r="3330" spans="1:14" x14ac:dyDescent="0.2">
      <c r="A3330" t="s">
        <v>408</v>
      </c>
      <c r="B3330">
        <v>39240</v>
      </c>
      <c r="C3330" t="s">
        <v>14</v>
      </c>
      <c r="D3330" t="s">
        <v>408</v>
      </c>
      <c r="E3330" t="s">
        <v>6742</v>
      </c>
      <c r="G3330" t="s">
        <v>6743</v>
      </c>
      <c r="J3330">
        <v>6.7484204910000001</v>
      </c>
      <c r="K3330">
        <v>0.48629166299999999</v>
      </c>
      <c r="L3330">
        <v>0.375053939</v>
      </c>
      <c r="M3330" s="21">
        <v>-1.5429851859999999</v>
      </c>
      <c r="N3330">
        <v>-1.6877477139999999</v>
      </c>
    </row>
    <row r="3331" spans="1:14" x14ac:dyDescent="0.2">
      <c r="A3331" t="s">
        <v>746</v>
      </c>
      <c r="B3331">
        <v>39200</v>
      </c>
      <c r="C3331" t="s">
        <v>14</v>
      </c>
      <c r="D3331" t="s">
        <v>746</v>
      </c>
      <c r="E3331" t="s">
        <v>6744</v>
      </c>
      <c r="G3331" t="s">
        <v>6745</v>
      </c>
      <c r="J3331">
        <v>6.7484204910000001</v>
      </c>
      <c r="K3331">
        <v>0.48629166299999999</v>
      </c>
      <c r="L3331">
        <v>0.375053939</v>
      </c>
      <c r="M3331" s="21">
        <v>-1.5430290149999999</v>
      </c>
      <c r="N3331">
        <v>-1.6879728789999999</v>
      </c>
    </row>
    <row r="3332" spans="1:14" x14ac:dyDescent="0.2">
      <c r="A3332" t="s">
        <v>889</v>
      </c>
      <c r="B3332">
        <v>39080</v>
      </c>
      <c r="C3332" t="s">
        <v>14</v>
      </c>
      <c r="D3332" t="s">
        <v>889</v>
      </c>
      <c r="E3332" t="s">
        <v>6746</v>
      </c>
      <c r="G3332" t="s">
        <v>6747</v>
      </c>
      <c r="J3332">
        <v>6.7484204910000001</v>
      </c>
      <c r="K3332">
        <v>0.48629166299999999</v>
      </c>
      <c r="L3332">
        <v>0.375053939</v>
      </c>
      <c r="M3332" s="21">
        <v>-1.543160501</v>
      </c>
      <c r="N3332">
        <v>-1.6886483750000001</v>
      </c>
    </row>
    <row r="3333" spans="1:14" x14ac:dyDescent="0.2">
      <c r="A3333" t="s">
        <v>529</v>
      </c>
      <c r="B3333">
        <v>38960</v>
      </c>
      <c r="C3333" t="s">
        <v>14</v>
      </c>
      <c r="D3333" t="s">
        <v>529</v>
      </c>
      <c r="E3333" t="s">
        <v>6748</v>
      </c>
      <c r="G3333" t="s">
        <v>6749</v>
      </c>
      <c r="J3333">
        <v>6.7484204910000001</v>
      </c>
      <c r="K3333">
        <v>0.48629166299999999</v>
      </c>
      <c r="L3333">
        <v>0.375053939</v>
      </c>
      <c r="M3333" s="21">
        <v>-1.543291988</v>
      </c>
      <c r="N3333">
        <v>-1.6893238719999999</v>
      </c>
    </row>
    <row r="3334" spans="1:14" x14ac:dyDescent="0.2">
      <c r="A3334" t="s">
        <v>1598</v>
      </c>
      <c r="B3334">
        <v>38600</v>
      </c>
      <c r="C3334" t="s">
        <v>14</v>
      </c>
      <c r="D3334" t="s">
        <v>1598</v>
      </c>
      <c r="E3334" t="s">
        <v>6750</v>
      </c>
      <c r="G3334" t="s">
        <v>6751</v>
      </c>
      <c r="J3334">
        <v>6.7484204910000001</v>
      </c>
      <c r="K3334">
        <v>0.48629166299999999</v>
      </c>
      <c r="L3334">
        <v>0.375053939</v>
      </c>
      <c r="M3334" s="21">
        <v>-1.5436864480000001</v>
      </c>
      <c r="N3334">
        <v>-1.691350361</v>
      </c>
    </row>
    <row r="3335" spans="1:14" x14ac:dyDescent="0.2">
      <c r="A3335" t="s">
        <v>169</v>
      </c>
      <c r="B3335">
        <v>38240</v>
      </c>
      <c r="C3335" t="s">
        <v>14</v>
      </c>
      <c r="D3335" t="s">
        <v>169</v>
      </c>
      <c r="E3335" t="s">
        <v>6752</v>
      </c>
      <c r="G3335" t="s">
        <v>6753</v>
      </c>
      <c r="J3335">
        <v>6.7484204910000001</v>
      </c>
      <c r="K3335">
        <v>0.48629166299999999</v>
      </c>
      <c r="L3335">
        <v>0.375053939</v>
      </c>
      <c r="M3335" s="21">
        <v>-1.544080908</v>
      </c>
      <c r="N3335">
        <v>-1.6933768490000001</v>
      </c>
    </row>
    <row r="3336" spans="1:14" x14ac:dyDescent="0.2">
      <c r="A3336" t="s">
        <v>1939</v>
      </c>
      <c r="B3336">
        <v>37760</v>
      </c>
      <c r="C3336" t="s">
        <v>14</v>
      </c>
      <c r="D3336" t="s">
        <v>1939</v>
      </c>
      <c r="E3336" t="s">
        <v>6754</v>
      </c>
      <c r="G3336" t="s">
        <v>6755</v>
      </c>
      <c r="J3336">
        <v>6.7484204910000001</v>
      </c>
      <c r="K3336">
        <v>0.48629166299999999</v>
      </c>
      <c r="L3336">
        <v>0.375053939</v>
      </c>
      <c r="M3336" s="21">
        <v>-1.5446068550000001</v>
      </c>
      <c r="N3336">
        <v>-1.6960788339999999</v>
      </c>
    </row>
    <row r="3337" spans="1:14" x14ac:dyDescent="0.2">
      <c r="A3337" t="s">
        <v>1456</v>
      </c>
      <c r="B3337">
        <v>37560</v>
      </c>
      <c r="C3337" t="s">
        <v>14</v>
      </c>
      <c r="D3337" t="s">
        <v>1457</v>
      </c>
      <c r="E3337" t="s">
        <v>6756</v>
      </c>
      <c r="G3337" t="s">
        <v>6757</v>
      </c>
      <c r="J3337">
        <v>6.7484204910000001</v>
      </c>
      <c r="K3337">
        <v>0.48629166299999999</v>
      </c>
      <c r="L3337">
        <v>0.375053939</v>
      </c>
      <c r="M3337" s="21">
        <v>-1.5448259989999999</v>
      </c>
      <c r="N3337">
        <v>-1.6972046620000001</v>
      </c>
    </row>
    <row r="3338" spans="1:14" x14ac:dyDescent="0.2">
      <c r="A3338" t="s">
        <v>1263</v>
      </c>
      <c r="B3338">
        <v>37240</v>
      </c>
      <c r="C3338" t="s">
        <v>14</v>
      </c>
      <c r="D3338" t="s">
        <v>1264</v>
      </c>
      <c r="E3338" t="s">
        <v>6758</v>
      </c>
      <c r="G3338" t="s">
        <v>6759</v>
      </c>
      <c r="J3338">
        <v>6.7484204910000001</v>
      </c>
      <c r="K3338">
        <v>0.48629166299999999</v>
      </c>
      <c r="L3338">
        <v>0.375053939</v>
      </c>
      <c r="M3338" s="21">
        <v>-1.5451766300000001</v>
      </c>
      <c r="N3338">
        <v>-1.6990059850000001</v>
      </c>
    </row>
    <row r="3339" spans="1:14" x14ac:dyDescent="0.2">
      <c r="A3339" t="s">
        <v>846</v>
      </c>
      <c r="B3339">
        <v>36840</v>
      </c>
      <c r="C3339" t="s">
        <v>14</v>
      </c>
      <c r="D3339" t="s">
        <v>847</v>
      </c>
      <c r="E3339" t="s">
        <v>6760</v>
      </c>
      <c r="G3339" t="s">
        <v>6761</v>
      </c>
      <c r="J3339">
        <v>6.7484204910000001</v>
      </c>
      <c r="K3339">
        <v>0.48629166299999999</v>
      </c>
      <c r="L3339">
        <v>0.375053939</v>
      </c>
      <c r="M3339" s="21">
        <v>-1.5456149189999999</v>
      </c>
      <c r="N3339">
        <v>-1.701257639</v>
      </c>
    </row>
    <row r="3340" spans="1:14" x14ac:dyDescent="0.2">
      <c r="A3340" t="s">
        <v>944</v>
      </c>
      <c r="B3340">
        <v>36760</v>
      </c>
      <c r="C3340" t="s">
        <v>14</v>
      </c>
      <c r="D3340" t="s">
        <v>944</v>
      </c>
      <c r="E3340" t="s">
        <v>6762</v>
      </c>
      <c r="G3340" t="s">
        <v>6763</v>
      </c>
      <c r="J3340">
        <v>6.7484204910000001</v>
      </c>
      <c r="K3340">
        <v>0.48629166299999999</v>
      </c>
      <c r="L3340">
        <v>0.375053939</v>
      </c>
      <c r="M3340" s="21">
        <v>-1.5457025769999999</v>
      </c>
      <c r="N3340">
        <v>-1.70170797</v>
      </c>
    </row>
    <row r="3341" spans="1:14" x14ac:dyDescent="0.2">
      <c r="A3341" t="s">
        <v>1101</v>
      </c>
      <c r="B3341">
        <v>36640</v>
      </c>
      <c r="C3341" t="s">
        <v>14</v>
      </c>
      <c r="D3341" t="s">
        <v>1101</v>
      </c>
      <c r="E3341" t="s">
        <v>6764</v>
      </c>
      <c r="G3341" t="s">
        <v>6765</v>
      </c>
      <c r="J3341">
        <v>6.7484204910000001</v>
      </c>
      <c r="K3341">
        <v>0.48629166299999999</v>
      </c>
      <c r="L3341">
        <v>0.375053939</v>
      </c>
      <c r="M3341" s="21">
        <v>-1.5458340639999999</v>
      </c>
      <c r="N3341">
        <v>-1.7023834659999999</v>
      </c>
    </row>
    <row r="3342" spans="1:14" x14ac:dyDescent="0.2">
      <c r="A3342" t="s">
        <v>703</v>
      </c>
      <c r="B3342">
        <v>36600</v>
      </c>
      <c r="C3342" t="s">
        <v>14</v>
      </c>
      <c r="D3342" t="s">
        <v>704</v>
      </c>
      <c r="E3342" t="s">
        <v>6766</v>
      </c>
      <c r="G3342" t="s">
        <v>6767</v>
      </c>
      <c r="J3342">
        <v>6.7484204910000001</v>
      </c>
      <c r="K3342">
        <v>0.48629166299999999</v>
      </c>
      <c r="L3342">
        <v>0.375053939</v>
      </c>
      <c r="M3342" s="21">
        <v>-1.5458778929999999</v>
      </c>
      <c r="N3342">
        <v>-1.702608632</v>
      </c>
    </row>
    <row r="3343" spans="1:14" x14ac:dyDescent="0.2">
      <c r="A3343" t="s">
        <v>1688</v>
      </c>
      <c r="B3343">
        <v>36560</v>
      </c>
      <c r="C3343" t="s">
        <v>14</v>
      </c>
      <c r="D3343" t="s">
        <v>1688</v>
      </c>
      <c r="E3343" t="s">
        <v>6768</v>
      </c>
      <c r="G3343" t="s">
        <v>6769</v>
      </c>
      <c r="J3343">
        <v>6.7484204910000001</v>
      </c>
      <c r="K3343">
        <v>0.48629166299999999</v>
      </c>
      <c r="L3343">
        <v>0.375053939</v>
      </c>
      <c r="M3343" s="21">
        <v>-1.5459217220000001</v>
      </c>
      <c r="N3343">
        <v>-1.702833797</v>
      </c>
    </row>
    <row r="3344" spans="1:14" x14ac:dyDescent="0.2">
      <c r="A3344" t="s">
        <v>218</v>
      </c>
      <c r="B3344">
        <v>36440</v>
      </c>
      <c r="C3344" t="s">
        <v>14</v>
      </c>
      <c r="D3344" t="s">
        <v>218</v>
      </c>
      <c r="E3344" t="s">
        <v>6770</v>
      </c>
      <c r="G3344" t="s">
        <v>6771</v>
      </c>
      <c r="J3344">
        <v>6.7484204910000001</v>
      </c>
      <c r="K3344">
        <v>0.48629166299999999</v>
      </c>
      <c r="L3344">
        <v>0.375053939</v>
      </c>
      <c r="M3344" s="21">
        <v>-1.546053208</v>
      </c>
      <c r="N3344">
        <v>-1.703509293</v>
      </c>
    </row>
    <row r="3345" spans="1:14" x14ac:dyDescent="0.2">
      <c r="A3345" t="s">
        <v>1065</v>
      </c>
      <c r="B3345">
        <v>35720</v>
      </c>
      <c r="C3345" t="s">
        <v>14</v>
      </c>
      <c r="D3345" t="s">
        <v>1066</v>
      </c>
      <c r="E3345" t="s">
        <v>6772</v>
      </c>
      <c r="G3345" t="s">
        <v>6773</v>
      </c>
      <c r="J3345">
        <v>6.7484204910000001</v>
      </c>
      <c r="K3345">
        <v>0.48629166299999999</v>
      </c>
      <c r="L3345">
        <v>0.375053939</v>
      </c>
      <c r="M3345" s="21">
        <v>-1.546842128</v>
      </c>
      <c r="N3345">
        <v>-1.707562271</v>
      </c>
    </row>
    <row r="3346" spans="1:14" x14ac:dyDescent="0.2">
      <c r="A3346" t="s">
        <v>259</v>
      </c>
      <c r="B3346">
        <v>33680</v>
      </c>
      <c r="C3346" t="s">
        <v>14</v>
      </c>
      <c r="D3346" t="s">
        <v>260</v>
      </c>
      <c r="E3346" t="s">
        <v>6774</v>
      </c>
      <c r="G3346" t="s">
        <v>6775</v>
      </c>
      <c r="J3346">
        <v>6.7484204910000001</v>
      </c>
      <c r="K3346">
        <v>0.48629166299999999</v>
      </c>
      <c r="L3346">
        <v>0.375053939</v>
      </c>
      <c r="M3346" s="21">
        <v>-1.549077402</v>
      </c>
      <c r="N3346">
        <v>-1.7190457079999999</v>
      </c>
    </row>
    <row r="3347" spans="1:14" x14ac:dyDescent="0.2">
      <c r="A3347" t="s">
        <v>1426</v>
      </c>
      <c r="B3347">
        <v>32600</v>
      </c>
      <c r="C3347" t="s">
        <v>14</v>
      </c>
      <c r="D3347" t="s">
        <v>1426</v>
      </c>
      <c r="E3347" t="s">
        <v>6776</v>
      </c>
      <c r="G3347" t="s">
        <v>6777</v>
      </c>
      <c r="J3347">
        <v>6.7484204910000001</v>
      </c>
      <c r="K3347">
        <v>0.48629166299999999</v>
      </c>
      <c r="L3347">
        <v>0.375053939</v>
      </c>
      <c r="M3347" s="21">
        <v>-1.5502607820000001</v>
      </c>
      <c r="N3347">
        <v>-1.725125174</v>
      </c>
    </row>
    <row r="3348" spans="1:14" x14ac:dyDescent="0.2">
      <c r="A3348" t="s">
        <v>2319</v>
      </c>
      <c r="B3348">
        <v>32560</v>
      </c>
      <c r="C3348" t="s">
        <v>14</v>
      </c>
      <c r="D3348" t="s">
        <v>2320</v>
      </c>
      <c r="E3348" t="s">
        <v>6778</v>
      </c>
      <c r="G3348" t="s">
        <v>6779</v>
      </c>
      <c r="J3348">
        <v>6.7484204910000001</v>
      </c>
      <c r="K3348">
        <v>0.48629166299999999</v>
      </c>
      <c r="L3348">
        <v>0.375053939</v>
      </c>
      <c r="M3348" s="21">
        <v>-1.5503046110000001</v>
      </c>
      <c r="N3348">
        <v>-1.7253503400000001</v>
      </c>
    </row>
    <row r="3349" spans="1:14" x14ac:dyDescent="0.2">
      <c r="A3349" t="s">
        <v>668</v>
      </c>
      <c r="B3349">
        <v>32520</v>
      </c>
      <c r="C3349" t="s">
        <v>14</v>
      </c>
      <c r="D3349" t="s">
        <v>668</v>
      </c>
      <c r="E3349" t="s">
        <v>6780</v>
      </c>
      <c r="G3349" t="s">
        <v>6781</v>
      </c>
      <c r="J3349">
        <v>6.7484204910000001</v>
      </c>
      <c r="K3349">
        <v>0.48629166299999999</v>
      </c>
      <c r="L3349">
        <v>0.375053939</v>
      </c>
      <c r="M3349" s="21">
        <v>-1.55034844</v>
      </c>
      <c r="N3349">
        <v>-1.7255755049999999</v>
      </c>
    </row>
    <row r="3350" spans="1:14" x14ac:dyDescent="0.2">
      <c r="A3350" t="s">
        <v>1058</v>
      </c>
      <c r="B3350">
        <v>32520</v>
      </c>
      <c r="C3350" t="s">
        <v>14</v>
      </c>
      <c r="D3350" t="s">
        <v>1059</v>
      </c>
      <c r="E3350" t="s">
        <v>6782</v>
      </c>
      <c r="G3350" t="s">
        <v>6783</v>
      </c>
      <c r="J3350">
        <v>6.7484204910000001</v>
      </c>
      <c r="K3350">
        <v>0.48629166299999999</v>
      </c>
      <c r="L3350">
        <v>0.375053939</v>
      </c>
      <c r="M3350" s="21">
        <v>-1.55034844</v>
      </c>
      <c r="N3350">
        <v>-1.7255755049999999</v>
      </c>
    </row>
    <row r="3351" spans="1:14" x14ac:dyDescent="0.2">
      <c r="A3351" t="s">
        <v>765</v>
      </c>
      <c r="B3351">
        <v>31880</v>
      </c>
      <c r="C3351" t="s">
        <v>14</v>
      </c>
      <c r="D3351" t="s">
        <v>766</v>
      </c>
      <c r="E3351" t="s">
        <v>6784</v>
      </c>
      <c r="G3351" t="s">
        <v>6785</v>
      </c>
      <c r="J3351">
        <v>6.7484204910000001</v>
      </c>
      <c r="K3351">
        <v>0.48629166299999999</v>
      </c>
      <c r="L3351">
        <v>0.375053939</v>
      </c>
      <c r="M3351" s="21">
        <v>-1.551049702</v>
      </c>
      <c r="N3351">
        <v>-1.729178152</v>
      </c>
    </row>
    <row r="3352" spans="1:14" x14ac:dyDescent="0.2">
      <c r="A3352" t="s">
        <v>807</v>
      </c>
      <c r="B3352">
        <v>31560</v>
      </c>
      <c r="C3352" t="s">
        <v>14</v>
      </c>
      <c r="D3352" t="s">
        <v>807</v>
      </c>
      <c r="E3352" t="s">
        <v>6786</v>
      </c>
      <c r="G3352" t="s">
        <v>6787</v>
      </c>
      <c r="J3352">
        <v>6.7484204910000001</v>
      </c>
      <c r="K3352">
        <v>0.48629166299999999</v>
      </c>
      <c r="L3352">
        <v>0.375053939</v>
      </c>
      <c r="M3352" s="21">
        <v>-1.5514003329999999</v>
      </c>
      <c r="N3352">
        <v>-1.730979475</v>
      </c>
    </row>
    <row r="3353" spans="1:14" x14ac:dyDescent="0.2">
      <c r="A3353" t="s">
        <v>195</v>
      </c>
      <c r="B3353">
        <v>31440</v>
      </c>
      <c r="C3353" t="s">
        <v>14</v>
      </c>
      <c r="D3353" t="s">
        <v>195</v>
      </c>
      <c r="E3353" t="s">
        <v>6788</v>
      </c>
      <c r="G3353" t="s">
        <v>6789</v>
      </c>
      <c r="J3353">
        <v>6.7484204910000001</v>
      </c>
      <c r="K3353">
        <v>0.48629166299999999</v>
      </c>
      <c r="L3353">
        <v>0.375053939</v>
      </c>
      <c r="M3353" s="21">
        <v>-1.5515318199999999</v>
      </c>
      <c r="N3353">
        <v>-1.731654971</v>
      </c>
    </row>
    <row r="3354" spans="1:14" x14ac:dyDescent="0.2">
      <c r="A3354" t="s">
        <v>263</v>
      </c>
      <c r="B3354">
        <v>31040</v>
      </c>
      <c r="C3354" t="s">
        <v>14</v>
      </c>
      <c r="D3354" t="s">
        <v>264</v>
      </c>
      <c r="E3354" t="s">
        <v>6790</v>
      </c>
      <c r="G3354" t="s">
        <v>6791</v>
      </c>
      <c r="J3354">
        <v>6.7484204910000001</v>
      </c>
      <c r="K3354">
        <v>0.48629166299999999</v>
      </c>
      <c r="L3354">
        <v>0.375053939</v>
      </c>
      <c r="M3354" s="21">
        <v>-1.551970109</v>
      </c>
      <c r="N3354">
        <v>-1.733906626</v>
      </c>
    </row>
    <row r="3355" spans="1:14" x14ac:dyDescent="0.2">
      <c r="A3355" t="s">
        <v>1112</v>
      </c>
      <c r="B3355">
        <v>30960</v>
      </c>
      <c r="C3355" t="s">
        <v>14</v>
      </c>
      <c r="D3355" t="s">
        <v>1112</v>
      </c>
      <c r="E3355" t="s">
        <v>6792</v>
      </c>
      <c r="G3355" t="s">
        <v>6793</v>
      </c>
      <c r="J3355">
        <v>6.7484204910000001</v>
      </c>
      <c r="K3355">
        <v>0.48629166299999999</v>
      </c>
      <c r="L3355">
        <v>0.375053939</v>
      </c>
      <c r="M3355" s="21">
        <v>-1.5520577659999999</v>
      </c>
      <c r="N3355">
        <v>-1.7343569569999999</v>
      </c>
    </row>
    <row r="3356" spans="1:14" x14ac:dyDescent="0.2">
      <c r="A3356" t="s">
        <v>892</v>
      </c>
      <c r="B3356">
        <v>30840</v>
      </c>
      <c r="C3356" t="s">
        <v>14</v>
      </c>
      <c r="D3356" t="s">
        <v>892</v>
      </c>
      <c r="E3356" t="s">
        <v>6794</v>
      </c>
      <c r="G3356" t="s">
        <v>6795</v>
      </c>
      <c r="J3356">
        <v>6.7484204910000001</v>
      </c>
      <c r="K3356">
        <v>0.48629166299999999</v>
      </c>
      <c r="L3356">
        <v>0.375053939</v>
      </c>
      <c r="M3356" s="21">
        <v>-1.5521892530000001</v>
      </c>
      <c r="N3356">
        <v>-1.7350324530000001</v>
      </c>
    </row>
    <row r="3357" spans="1:14" x14ac:dyDescent="0.2">
      <c r="A3357" t="s">
        <v>2206</v>
      </c>
      <c r="B3357">
        <v>30840</v>
      </c>
      <c r="C3357" t="s">
        <v>14</v>
      </c>
      <c r="D3357" t="s">
        <v>2207</v>
      </c>
      <c r="E3357" t="s">
        <v>6796</v>
      </c>
      <c r="G3357" t="s">
        <v>6797</v>
      </c>
      <c r="J3357">
        <v>6.7484204910000001</v>
      </c>
      <c r="K3357">
        <v>0.48629166299999999</v>
      </c>
      <c r="L3357">
        <v>0.375053939</v>
      </c>
      <c r="M3357" s="21">
        <v>-1.5521892530000001</v>
      </c>
      <c r="N3357">
        <v>-1.7350324530000001</v>
      </c>
    </row>
    <row r="3358" spans="1:14" x14ac:dyDescent="0.2">
      <c r="A3358" t="s">
        <v>1290</v>
      </c>
      <c r="B3358">
        <v>30600</v>
      </c>
      <c r="C3358" t="s">
        <v>14</v>
      </c>
      <c r="D3358" t="s">
        <v>1291</v>
      </c>
      <c r="E3358" t="s">
        <v>6798</v>
      </c>
      <c r="G3358" t="s">
        <v>6799</v>
      </c>
      <c r="J3358">
        <v>6.7484204910000001</v>
      </c>
      <c r="K3358">
        <v>0.48629166299999999</v>
      </c>
      <c r="L3358">
        <v>0.375053939</v>
      </c>
      <c r="M3358" s="21">
        <v>-1.5524522270000001</v>
      </c>
      <c r="N3358">
        <v>-1.736383445</v>
      </c>
    </row>
    <row r="3359" spans="1:14" x14ac:dyDescent="0.2">
      <c r="A3359" t="s">
        <v>671</v>
      </c>
      <c r="B3359">
        <v>30240</v>
      </c>
      <c r="C3359" t="s">
        <v>14</v>
      </c>
      <c r="D3359" t="s">
        <v>672</v>
      </c>
      <c r="E3359" t="s">
        <v>6800</v>
      </c>
      <c r="G3359" t="s">
        <v>6801</v>
      </c>
      <c r="J3359">
        <v>6.7484204910000001</v>
      </c>
      <c r="K3359">
        <v>0.48629166299999999</v>
      </c>
      <c r="L3359">
        <v>0.375053939</v>
      </c>
      <c r="M3359" s="21">
        <v>-1.5528466869999999</v>
      </c>
      <c r="N3359">
        <v>-1.7384099340000001</v>
      </c>
    </row>
    <row r="3360" spans="1:14" x14ac:dyDescent="0.2">
      <c r="A3360" t="s">
        <v>465</v>
      </c>
      <c r="B3360">
        <v>30160</v>
      </c>
      <c r="C3360" t="s">
        <v>14</v>
      </c>
      <c r="D3360" t="s">
        <v>466</v>
      </c>
      <c r="E3360" t="s">
        <v>6802</v>
      </c>
      <c r="G3360" t="s">
        <v>6803</v>
      </c>
      <c r="J3360">
        <v>6.7484204910000001</v>
      </c>
      <c r="K3360">
        <v>0.48629166299999999</v>
      </c>
      <c r="L3360">
        <v>0.375053939</v>
      </c>
      <c r="M3360" s="21">
        <v>-1.5529343440000001</v>
      </c>
      <c r="N3360">
        <v>-1.738860265</v>
      </c>
    </row>
    <row r="3361" spans="1:14" x14ac:dyDescent="0.2">
      <c r="A3361" t="s">
        <v>1010</v>
      </c>
      <c r="B3361">
        <v>29760</v>
      </c>
      <c r="C3361" t="s">
        <v>14</v>
      </c>
      <c r="D3361" t="s">
        <v>1010</v>
      </c>
      <c r="E3361" t="s">
        <v>6804</v>
      </c>
      <c r="G3361" t="s">
        <v>6805</v>
      </c>
      <c r="J3361">
        <v>6.7484204910000001</v>
      </c>
      <c r="K3361">
        <v>0.48629166299999999</v>
      </c>
      <c r="L3361">
        <v>0.375053939</v>
      </c>
      <c r="M3361" s="21">
        <v>-1.5533726329999999</v>
      </c>
      <c r="N3361">
        <v>-1.741111919</v>
      </c>
    </row>
    <row r="3362" spans="1:14" x14ac:dyDescent="0.2">
      <c r="A3362" t="s">
        <v>2118</v>
      </c>
      <c r="B3362">
        <v>29200</v>
      </c>
      <c r="C3362" t="s">
        <v>14</v>
      </c>
      <c r="D3362" t="s">
        <v>2119</v>
      </c>
      <c r="E3362" t="s">
        <v>6806</v>
      </c>
      <c r="G3362" t="s">
        <v>6807</v>
      </c>
      <c r="J3362">
        <v>6.7484204910000001</v>
      </c>
      <c r="K3362">
        <v>0.48629166299999999</v>
      </c>
      <c r="L3362">
        <v>0.375053939</v>
      </c>
      <c r="M3362" s="21">
        <v>-1.553986238</v>
      </c>
      <c r="N3362">
        <v>-1.7442642349999999</v>
      </c>
    </row>
    <row r="3363" spans="1:14" x14ac:dyDescent="0.2">
      <c r="A3363" t="s">
        <v>1335</v>
      </c>
      <c r="B3363">
        <v>29160</v>
      </c>
      <c r="C3363" t="s">
        <v>14</v>
      </c>
      <c r="D3363" t="s">
        <v>1335</v>
      </c>
      <c r="E3363" t="s">
        <v>6808</v>
      </c>
      <c r="G3363" t="s">
        <v>6809</v>
      </c>
      <c r="J3363">
        <v>6.7484204910000001</v>
      </c>
      <c r="K3363">
        <v>0.48629166299999999</v>
      </c>
      <c r="L3363">
        <v>0.375053939</v>
      </c>
      <c r="M3363" s="21">
        <v>-1.554030067</v>
      </c>
      <c r="N3363">
        <v>-1.7444894010000001</v>
      </c>
    </row>
    <row r="3364" spans="1:14" x14ac:dyDescent="0.2">
      <c r="A3364" t="s">
        <v>625</v>
      </c>
      <c r="B3364">
        <v>28880</v>
      </c>
      <c r="C3364" t="s">
        <v>14</v>
      </c>
      <c r="D3364" t="s">
        <v>625</v>
      </c>
      <c r="E3364" t="s">
        <v>6810</v>
      </c>
      <c r="G3364" t="s">
        <v>6811</v>
      </c>
      <c r="J3364">
        <v>6.7484204910000001</v>
      </c>
      <c r="K3364">
        <v>0.48629166299999999</v>
      </c>
      <c r="L3364">
        <v>0.375053939</v>
      </c>
      <c r="M3364" s="21">
        <v>-1.5543368689999999</v>
      </c>
      <c r="N3364">
        <v>-1.746065559</v>
      </c>
    </row>
    <row r="3365" spans="1:14" x14ac:dyDescent="0.2">
      <c r="A3365" t="s">
        <v>94</v>
      </c>
      <c r="B3365">
        <v>28600</v>
      </c>
      <c r="C3365" t="s">
        <v>14</v>
      </c>
      <c r="D3365" t="s">
        <v>95</v>
      </c>
      <c r="E3365" t="s">
        <v>6812</v>
      </c>
      <c r="G3365" t="s">
        <v>6813</v>
      </c>
      <c r="J3365">
        <v>6.7484204910000001</v>
      </c>
      <c r="K3365">
        <v>0.48629166299999999</v>
      </c>
      <c r="L3365">
        <v>0.375053939</v>
      </c>
      <c r="M3365" s="21">
        <v>-1.554643671</v>
      </c>
      <c r="N3365">
        <v>-1.747641717</v>
      </c>
    </row>
    <row r="3366" spans="1:14" x14ac:dyDescent="0.2">
      <c r="A3366" t="s">
        <v>693</v>
      </c>
      <c r="B3366">
        <v>27880</v>
      </c>
      <c r="C3366" t="s">
        <v>14</v>
      </c>
      <c r="D3366" t="s">
        <v>693</v>
      </c>
      <c r="E3366" t="s">
        <v>6814</v>
      </c>
      <c r="G3366" t="s">
        <v>6815</v>
      </c>
      <c r="J3366">
        <v>6.7484204910000001</v>
      </c>
      <c r="K3366">
        <v>0.48629166299999999</v>
      </c>
      <c r="L3366">
        <v>0.375053939</v>
      </c>
      <c r="M3366" s="21">
        <v>-1.555432591</v>
      </c>
      <c r="N3366">
        <v>-1.751694694</v>
      </c>
    </row>
    <row r="3367" spans="1:14" x14ac:dyDescent="0.2">
      <c r="A3367" t="s">
        <v>1736</v>
      </c>
      <c r="B3367">
        <v>26520</v>
      </c>
      <c r="C3367" t="s">
        <v>14</v>
      </c>
      <c r="D3367" t="s">
        <v>1736</v>
      </c>
      <c r="E3367" t="s">
        <v>6816</v>
      </c>
      <c r="G3367" t="s">
        <v>6817</v>
      </c>
      <c r="J3367">
        <v>6.7484204910000001</v>
      </c>
      <c r="K3367">
        <v>0.48629166299999999</v>
      </c>
      <c r="L3367">
        <v>0.375053939</v>
      </c>
      <c r="M3367" s="21">
        <v>-1.5569227729999999</v>
      </c>
      <c r="N3367">
        <v>-1.7593503189999999</v>
      </c>
    </row>
    <row r="3368" spans="1:14" x14ac:dyDescent="0.2">
      <c r="A3368" t="s">
        <v>1593</v>
      </c>
      <c r="B3368">
        <v>26240</v>
      </c>
      <c r="C3368" t="s">
        <v>14</v>
      </c>
      <c r="D3368" t="s">
        <v>1593</v>
      </c>
      <c r="E3368" t="s">
        <v>6818</v>
      </c>
      <c r="G3368" t="s">
        <v>6819</v>
      </c>
      <c r="J3368">
        <v>6.7484204910000001</v>
      </c>
      <c r="K3368">
        <v>0.48629166299999999</v>
      </c>
      <c r="L3368">
        <v>0.375053939</v>
      </c>
      <c r="M3368" s="21">
        <v>-1.5572295759999999</v>
      </c>
      <c r="N3368">
        <v>-1.7609264769999999</v>
      </c>
    </row>
    <row r="3369" spans="1:14" x14ac:dyDescent="0.2">
      <c r="A3369" t="s">
        <v>1729</v>
      </c>
      <c r="B3369">
        <v>26200</v>
      </c>
      <c r="C3369" t="s">
        <v>14</v>
      </c>
      <c r="D3369" t="s">
        <v>1729</v>
      </c>
      <c r="E3369" t="s">
        <v>6820</v>
      </c>
      <c r="G3369" t="s">
        <v>6821</v>
      </c>
      <c r="J3369">
        <v>6.7484204910000001</v>
      </c>
      <c r="K3369">
        <v>0.48629166299999999</v>
      </c>
      <c r="L3369">
        <v>0.375053939</v>
      </c>
      <c r="M3369" s="21">
        <v>-1.5572734050000001</v>
      </c>
      <c r="N3369">
        <v>-1.761151642</v>
      </c>
    </row>
    <row r="3370" spans="1:14" x14ac:dyDescent="0.2">
      <c r="A3370" t="s">
        <v>1882</v>
      </c>
      <c r="B3370">
        <v>25280</v>
      </c>
      <c r="C3370" t="s">
        <v>14</v>
      </c>
      <c r="D3370" t="s">
        <v>1882</v>
      </c>
      <c r="E3370" t="s">
        <v>6822</v>
      </c>
      <c r="G3370" t="s">
        <v>6823</v>
      </c>
      <c r="J3370">
        <v>6.7484204910000001</v>
      </c>
      <c r="K3370">
        <v>0.48629166299999999</v>
      </c>
      <c r="L3370">
        <v>0.375053939</v>
      </c>
      <c r="M3370" s="21">
        <v>-1.558281469</v>
      </c>
      <c r="N3370">
        <v>-1.7663304470000001</v>
      </c>
    </row>
    <row r="3371" spans="1:14" x14ac:dyDescent="0.2">
      <c r="A3371" t="s">
        <v>1160</v>
      </c>
      <c r="B3371">
        <v>25120</v>
      </c>
      <c r="C3371" t="s">
        <v>14</v>
      </c>
      <c r="D3371" t="s">
        <v>1160</v>
      </c>
      <c r="E3371" t="s">
        <v>6824</v>
      </c>
      <c r="G3371" t="s">
        <v>6825</v>
      </c>
      <c r="J3371">
        <v>6.7484204910000001</v>
      </c>
      <c r="K3371">
        <v>0.48629166299999999</v>
      </c>
      <c r="L3371">
        <v>0.375053939</v>
      </c>
      <c r="M3371" s="21">
        <v>-1.558456785</v>
      </c>
      <c r="N3371">
        <v>-1.7672311080000001</v>
      </c>
    </row>
    <row r="3372" spans="1:14" x14ac:dyDescent="0.2">
      <c r="A3372" t="s">
        <v>300</v>
      </c>
      <c r="B3372">
        <v>24720</v>
      </c>
      <c r="C3372" t="s">
        <v>14</v>
      </c>
      <c r="D3372" t="s">
        <v>300</v>
      </c>
      <c r="E3372" t="s">
        <v>6826</v>
      </c>
      <c r="G3372" t="s">
        <v>6827</v>
      </c>
      <c r="J3372">
        <v>6.7484204910000001</v>
      </c>
      <c r="K3372">
        <v>0.48629166299999999</v>
      </c>
      <c r="L3372">
        <v>0.375053939</v>
      </c>
      <c r="M3372" s="21">
        <v>-1.558895074</v>
      </c>
      <c r="N3372">
        <v>-1.7694827630000001</v>
      </c>
    </row>
    <row r="3373" spans="1:14" x14ac:dyDescent="0.2">
      <c r="A3373" t="s">
        <v>1001</v>
      </c>
      <c r="B3373">
        <v>24520</v>
      </c>
      <c r="C3373" t="s">
        <v>14</v>
      </c>
      <c r="D3373" t="s">
        <v>1001</v>
      </c>
      <c r="E3373" t="s">
        <v>6828</v>
      </c>
      <c r="G3373" t="s">
        <v>6829</v>
      </c>
      <c r="J3373">
        <v>6.7484204910000001</v>
      </c>
      <c r="K3373">
        <v>0.48629166299999999</v>
      </c>
      <c r="L3373">
        <v>0.375053939</v>
      </c>
      <c r="M3373" s="21">
        <v>-1.5591142179999999</v>
      </c>
      <c r="N3373">
        <v>-1.7706085899999999</v>
      </c>
    </row>
    <row r="3374" spans="1:14" x14ac:dyDescent="0.2">
      <c r="A3374" t="s">
        <v>236</v>
      </c>
      <c r="B3374">
        <v>24360</v>
      </c>
      <c r="C3374" t="s">
        <v>14</v>
      </c>
      <c r="D3374" t="s">
        <v>236</v>
      </c>
      <c r="E3374" t="s">
        <v>6830</v>
      </c>
      <c r="G3374" t="s">
        <v>6831</v>
      </c>
      <c r="J3374">
        <v>6.7484204910000001</v>
      </c>
      <c r="K3374">
        <v>0.48629166299999999</v>
      </c>
      <c r="L3374">
        <v>0.375053939</v>
      </c>
      <c r="M3374" s="21">
        <v>-1.5592895339999999</v>
      </c>
      <c r="N3374">
        <v>-1.771509252</v>
      </c>
    </row>
    <row r="3375" spans="1:14" x14ac:dyDescent="0.2">
      <c r="A3375" t="s">
        <v>1215</v>
      </c>
      <c r="B3375">
        <v>23880</v>
      </c>
      <c r="C3375" t="s">
        <v>14</v>
      </c>
      <c r="D3375" t="s">
        <v>1215</v>
      </c>
      <c r="E3375" t="s">
        <v>6832</v>
      </c>
      <c r="G3375" t="s">
        <v>6833</v>
      </c>
      <c r="J3375">
        <v>6.7484204910000001</v>
      </c>
      <c r="K3375">
        <v>0.48629166299999999</v>
      </c>
      <c r="L3375">
        <v>0.375053939</v>
      </c>
      <c r="M3375" s="21">
        <v>-1.5598154799999999</v>
      </c>
      <c r="N3375">
        <v>-1.7742112370000001</v>
      </c>
    </row>
    <row r="3376" spans="1:14" x14ac:dyDescent="0.2">
      <c r="A3376" t="s">
        <v>1954</v>
      </c>
      <c r="B3376">
        <v>15960</v>
      </c>
      <c r="C3376" t="s">
        <v>84</v>
      </c>
      <c r="D3376" t="s">
        <v>1955</v>
      </c>
      <c r="E3376" t="s">
        <v>6834</v>
      </c>
      <c r="G3376" t="s">
        <v>6835</v>
      </c>
      <c r="J3376">
        <v>3.600219579</v>
      </c>
      <c r="K3376">
        <v>-0.293098474</v>
      </c>
      <c r="L3376">
        <v>-0.153917466</v>
      </c>
      <c r="M3376" s="21">
        <v>-1.559998429</v>
      </c>
      <c r="N3376">
        <v>-1.775151114</v>
      </c>
    </row>
    <row r="3377" spans="1:14" x14ac:dyDescent="0.2">
      <c r="A3377" t="s">
        <v>572</v>
      </c>
      <c r="B3377">
        <v>22840</v>
      </c>
      <c r="C3377" t="s">
        <v>14</v>
      </c>
      <c r="D3377" t="s">
        <v>572</v>
      </c>
      <c r="E3377" t="s">
        <v>6836</v>
      </c>
      <c r="G3377" t="s">
        <v>6837</v>
      </c>
      <c r="J3377">
        <v>6.7484204910000001</v>
      </c>
      <c r="K3377">
        <v>0.48629166299999999</v>
      </c>
      <c r="L3377">
        <v>0.375053939</v>
      </c>
      <c r="M3377" s="21">
        <v>-1.5609550320000001</v>
      </c>
      <c r="N3377">
        <v>-1.7800655379999999</v>
      </c>
    </row>
    <row r="3378" spans="1:14" x14ac:dyDescent="0.2">
      <c r="A3378" t="s">
        <v>3164</v>
      </c>
      <c r="B3378">
        <v>21960</v>
      </c>
      <c r="C3378" t="s">
        <v>14</v>
      </c>
      <c r="D3378" t="s">
        <v>3165</v>
      </c>
      <c r="E3378" t="s">
        <v>6838</v>
      </c>
      <c r="G3378" t="s">
        <v>6839</v>
      </c>
      <c r="J3378">
        <v>6.7484204910000001</v>
      </c>
      <c r="K3378">
        <v>0.48629166299999999</v>
      </c>
      <c r="L3378">
        <v>0.375053939</v>
      </c>
      <c r="M3378" s="21">
        <v>-1.5619192669999999</v>
      </c>
      <c r="N3378">
        <v>-1.7850191769999999</v>
      </c>
    </row>
    <row r="3379" spans="1:14" x14ac:dyDescent="0.2">
      <c r="A3379" t="s">
        <v>52</v>
      </c>
      <c r="B3379">
        <v>14040</v>
      </c>
      <c r="C3379" t="s">
        <v>84</v>
      </c>
      <c r="D3379" t="s">
        <v>53</v>
      </c>
      <c r="E3379" t="s">
        <v>6840</v>
      </c>
      <c r="G3379" t="s">
        <v>6841</v>
      </c>
      <c r="J3379">
        <v>3.600219579</v>
      </c>
      <c r="K3379">
        <v>-0.293098474</v>
      </c>
      <c r="L3379">
        <v>-0.153917466</v>
      </c>
      <c r="M3379" s="21">
        <v>-1.5625114529999999</v>
      </c>
      <c r="N3379">
        <v>-1.788061455</v>
      </c>
    </row>
    <row r="3380" spans="1:14" x14ac:dyDescent="0.2">
      <c r="A3380" t="s">
        <v>894</v>
      </c>
      <c r="B3380">
        <v>20200</v>
      </c>
      <c r="C3380" t="s">
        <v>14</v>
      </c>
      <c r="D3380" t="s">
        <v>894</v>
      </c>
      <c r="E3380" t="s">
        <v>6842</v>
      </c>
      <c r="G3380" t="s">
        <v>6843</v>
      </c>
      <c r="J3380">
        <v>6.7484204910000001</v>
      </c>
      <c r="K3380">
        <v>0.48629166299999999</v>
      </c>
      <c r="L3380">
        <v>0.375053939</v>
      </c>
      <c r="M3380" s="21">
        <v>-1.563847738</v>
      </c>
      <c r="N3380">
        <v>-1.794926456</v>
      </c>
    </row>
    <row r="3381" spans="1:14" x14ac:dyDescent="0.2">
      <c r="A3381" t="s">
        <v>963</v>
      </c>
      <c r="B3381">
        <v>19560</v>
      </c>
      <c r="C3381" t="s">
        <v>14</v>
      </c>
      <c r="D3381" t="s">
        <v>963</v>
      </c>
      <c r="E3381" t="s">
        <v>6844</v>
      </c>
      <c r="G3381" t="s">
        <v>6845</v>
      </c>
      <c r="J3381">
        <v>6.7484204910000001</v>
      </c>
      <c r="K3381">
        <v>0.48629166299999999</v>
      </c>
      <c r="L3381">
        <v>0.375053939</v>
      </c>
      <c r="M3381" s="21">
        <v>-1.5645490010000001</v>
      </c>
      <c r="N3381">
        <v>-1.798529102</v>
      </c>
    </row>
    <row r="3382" spans="1:14" x14ac:dyDescent="0.2">
      <c r="A3382" t="s">
        <v>99</v>
      </c>
      <c r="B3382">
        <v>19000</v>
      </c>
      <c r="C3382" t="s">
        <v>14</v>
      </c>
      <c r="D3382" t="s">
        <v>101</v>
      </c>
      <c r="E3382" t="s">
        <v>6846</v>
      </c>
      <c r="G3382" t="s">
        <v>6847</v>
      </c>
      <c r="J3382">
        <v>6.7484204910000001</v>
      </c>
      <c r="K3382">
        <v>0.48629166299999999</v>
      </c>
      <c r="L3382">
        <v>0.375053939</v>
      </c>
      <c r="M3382" s="21">
        <v>-1.565162605</v>
      </c>
      <c r="N3382">
        <v>-1.801681418</v>
      </c>
    </row>
    <row r="3383" spans="1:14" x14ac:dyDescent="0.2">
      <c r="A3383" t="s">
        <v>198</v>
      </c>
      <c r="B3383">
        <v>17400</v>
      </c>
      <c r="C3383" t="s">
        <v>14</v>
      </c>
      <c r="D3383" t="s">
        <v>199</v>
      </c>
      <c r="E3383" t="s">
        <v>6848</v>
      </c>
      <c r="G3383" t="s">
        <v>6849</v>
      </c>
      <c r="J3383">
        <v>6.7484204910000001</v>
      </c>
      <c r="K3383">
        <v>0.48629166299999999</v>
      </c>
      <c r="L3383">
        <v>0.375053939</v>
      </c>
      <c r="M3383" s="21">
        <v>-1.566915761</v>
      </c>
      <c r="N3383">
        <v>-1.8106880350000001</v>
      </c>
    </row>
    <row r="3384" spans="1:14" x14ac:dyDescent="0.2">
      <c r="A3384" t="s">
        <v>47</v>
      </c>
      <c r="B3384">
        <v>17120</v>
      </c>
      <c r="C3384" t="s">
        <v>14</v>
      </c>
      <c r="D3384" t="s">
        <v>48</v>
      </c>
      <c r="E3384" t="s">
        <v>6850</v>
      </c>
      <c r="G3384" t="s">
        <v>6851</v>
      </c>
      <c r="J3384">
        <v>6.7484204910000001</v>
      </c>
      <c r="K3384">
        <v>0.48629166299999999</v>
      </c>
      <c r="L3384">
        <v>0.375053939</v>
      </c>
      <c r="M3384" s="21">
        <v>-1.5672225630000001</v>
      </c>
      <c r="N3384">
        <v>-1.8122641930000001</v>
      </c>
    </row>
    <row r="3385" spans="1:14" x14ac:dyDescent="0.2">
      <c r="A3385" t="s">
        <v>243</v>
      </c>
      <c r="B3385">
        <v>15920</v>
      </c>
      <c r="C3385" t="s">
        <v>14</v>
      </c>
      <c r="D3385" t="s">
        <v>243</v>
      </c>
      <c r="E3385" t="s">
        <v>6852</v>
      </c>
      <c r="G3385" t="s">
        <v>6853</v>
      </c>
      <c r="J3385">
        <v>6.7484204910000001</v>
      </c>
      <c r="K3385">
        <v>0.48629166299999999</v>
      </c>
      <c r="L3385">
        <v>0.375053939</v>
      </c>
      <c r="M3385" s="21">
        <v>-1.5685374299999999</v>
      </c>
      <c r="N3385">
        <v>-1.819019156</v>
      </c>
    </row>
    <row r="3386" spans="1:14" x14ac:dyDescent="0.2">
      <c r="L3386" t="s">
        <v>6854</v>
      </c>
      <c r="M3386" s="21">
        <f>AVERAGE(M2:M3385)</f>
        <v>-1.2154336274577426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FC7FD-C325-4189-9C39-268C2B2D8EA0}">
  <dimension ref="B3:J27"/>
  <sheetViews>
    <sheetView topLeftCell="F7" workbookViewId="0">
      <selection activeCell="H7" sqref="H7"/>
    </sheetView>
  </sheetViews>
  <sheetFormatPr baseColWidth="10" defaultColWidth="8.83203125" defaultRowHeight="15" x14ac:dyDescent="0.2"/>
  <cols>
    <col min="2" max="2" width="5.1640625" customWidth="1"/>
    <col min="3" max="3" width="18.5" customWidth="1"/>
    <col min="4" max="4" width="25.33203125" customWidth="1"/>
    <col min="5" max="5" width="52.83203125" customWidth="1"/>
    <col min="8" max="8" width="32" customWidth="1"/>
    <col min="9" max="9" width="18.6640625" customWidth="1"/>
    <col min="10" max="10" width="54.1640625" customWidth="1"/>
  </cols>
  <sheetData>
    <row r="3" spans="2:10" ht="16" x14ac:dyDescent="0.2">
      <c r="B3" s="5"/>
      <c r="C3" s="5" t="s">
        <v>5</v>
      </c>
      <c r="D3" s="5" t="s">
        <v>6</v>
      </c>
      <c r="E3" s="9" t="s">
        <v>7</v>
      </c>
      <c r="G3" s="5"/>
      <c r="H3" s="5" t="s">
        <v>5</v>
      </c>
      <c r="I3" s="9" t="s">
        <v>6</v>
      </c>
      <c r="J3" s="9" t="s">
        <v>7</v>
      </c>
    </row>
    <row r="4" spans="2:10" ht="19.5" customHeight="1" x14ac:dyDescent="0.2">
      <c r="B4" s="5">
        <v>1</v>
      </c>
      <c r="C4" s="5" t="s">
        <v>16</v>
      </c>
      <c r="D4" s="5" t="s">
        <v>17</v>
      </c>
      <c r="E4" s="9" t="s">
        <v>6855</v>
      </c>
      <c r="G4" s="5">
        <v>1</v>
      </c>
      <c r="H4" s="5" t="s">
        <v>3001</v>
      </c>
      <c r="I4" s="9" t="s">
        <v>6856</v>
      </c>
      <c r="J4" s="9"/>
    </row>
    <row r="5" spans="2:10" ht="18" customHeight="1" x14ac:dyDescent="0.2">
      <c r="B5" s="5">
        <v>2</v>
      </c>
      <c r="C5" s="5" t="s">
        <v>21</v>
      </c>
      <c r="D5" s="5" t="s">
        <v>22</v>
      </c>
      <c r="E5" s="9" t="s">
        <v>6857</v>
      </c>
      <c r="G5" s="5">
        <v>2</v>
      </c>
      <c r="H5" s="5" t="s">
        <v>4355</v>
      </c>
      <c r="I5" s="9" t="s">
        <v>6858</v>
      </c>
      <c r="J5" s="9" t="s">
        <v>6859</v>
      </c>
    </row>
    <row r="6" spans="2:10" ht="18.75" customHeight="1" x14ac:dyDescent="0.2">
      <c r="B6" s="5">
        <v>3</v>
      </c>
      <c r="C6" s="7" t="s">
        <v>6860</v>
      </c>
      <c r="D6" s="5" t="s">
        <v>6861</v>
      </c>
      <c r="E6" s="5" t="s">
        <v>6862</v>
      </c>
      <c r="G6" s="5">
        <v>3</v>
      </c>
      <c r="H6" s="5" t="s">
        <v>6719</v>
      </c>
      <c r="I6" s="9" t="s">
        <v>6863</v>
      </c>
      <c r="J6" s="9" t="s">
        <v>6864</v>
      </c>
    </row>
    <row r="7" spans="2:10" ht="20.25" customHeight="1" x14ac:dyDescent="0.2">
      <c r="B7" s="5">
        <v>4</v>
      </c>
      <c r="C7" s="5" t="s">
        <v>25</v>
      </c>
      <c r="D7" s="5" t="s">
        <v>26</v>
      </c>
      <c r="E7" s="9" t="s">
        <v>6865</v>
      </c>
      <c r="G7" s="5">
        <v>4</v>
      </c>
      <c r="H7" s="5" t="s">
        <v>65</v>
      </c>
      <c r="I7" s="9" t="s">
        <v>66</v>
      </c>
      <c r="J7" s="9" t="s">
        <v>6866</v>
      </c>
    </row>
    <row r="8" spans="2:10" ht="20.25" customHeight="1" x14ac:dyDescent="0.2">
      <c r="B8" s="5">
        <v>5</v>
      </c>
      <c r="C8" s="5" t="s">
        <v>31</v>
      </c>
      <c r="D8" s="5" t="s">
        <v>32</v>
      </c>
      <c r="E8" s="9" t="s">
        <v>6867</v>
      </c>
      <c r="G8" s="5">
        <v>5</v>
      </c>
      <c r="H8" s="5" t="s">
        <v>16</v>
      </c>
      <c r="I8" s="9" t="s">
        <v>6868</v>
      </c>
      <c r="J8" s="9" t="s">
        <v>6855</v>
      </c>
    </row>
    <row r="9" spans="2:10" ht="18" customHeight="1" x14ac:dyDescent="0.2">
      <c r="B9" s="5">
        <v>6</v>
      </c>
      <c r="C9" s="5" t="s">
        <v>36</v>
      </c>
      <c r="D9" s="5" t="s">
        <v>37</v>
      </c>
      <c r="E9" s="9"/>
      <c r="G9" s="5">
        <v>6</v>
      </c>
      <c r="H9" s="5" t="s">
        <v>6643</v>
      </c>
      <c r="I9" s="9" t="s">
        <v>6869</v>
      </c>
      <c r="J9" s="9" t="s">
        <v>6870</v>
      </c>
    </row>
    <row r="10" spans="2:10" ht="19.5" customHeight="1" x14ac:dyDescent="0.2">
      <c r="B10" s="5">
        <v>7</v>
      </c>
      <c r="C10" s="5" t="s">
        <v>40</v>
      </c>
      <c r="D10" s="5" t="s">
        <v>41</v>
      </c>
      <c r="E10" s="9"/>
      <c r="G10" s="5">
        <v>7</v>
      </c>
      <c r="H10" s="5" t="s">
        <v>6871</v>
      </c>
      <c r="I10" s="9" t="s">
        <v>6872</v>
      </c>
      <c r="J10" s="9" t="s">
        <v>6873</v>
      </c>
    </row>
    <row r="11" spans="2:10" ht="19.5" customHeight="1" x14ac:dyDescent="0.2">
      <c r="B11" s="5">
        <v>8</v>
      </c>
      <c r="C11" s="5" t="s">
        <v>44</v>
      </c>
      <c r="D11" s="5" t="s">
        <v>45</v>
      </c>
      <c r="E11" s="9" t="s">
        <v>46</v>
      </c>
      <c r="G11" s="5">
        <v>8</v>
      </c>
      <c r="H11" s="5" t="s">
        <v>2334</v>
      </c>
      <c r="I11" s="9" t="s">
        <v>6874</v>
      </c>
      <c r="J11" s="9" t="s">
        <v>6875</v>
      </c>
    </row>
    <row r="12" spans="2:10" ht="16" x14ac:dyDescent="0.2">
      <c r="B12" s="5">
        <v>9</v>
      </c>
      <c r="C12" s="5" t="s">
        <v>50</v>
      </c>
      <c r="D12" s="5" t="s">
        <v>51</v>
      </c>
      <c r="E12" s="9"/>
      <c r="G12" s="5">
        <v>9</v>
      </c>
      <c r="H12" s="5" t="s">
        <v>546</v>
      </c>
      <c r="I12" s="9" t="s">
        <v>6876</v>
      </c>
      <c r="J12" s="9"/>
    </row>
    <row r="13" spans="2:10" ht="21" customHeight="1" x14ac:dyDescent="0.2">
      <c r="B13" s="5">
        <v>10</v>
      </c>
      <c r="C13" s="5" t="s">
        <v>55</v>
      </c>
      <c r="D13" s="5" t="s">
        <v>56</v>
      </c>
      <c r="E13" s="9"/>
      <c r="G13" s="5">
        <v>10</v>
      </c>
      <c r="H13" s="5" t="s">
        <v>2310</v>
      </c>
      <c r="I13" s="9" t="s">
        <v>6877</v>
      </c>
      <c r="J13" s="9" t="s">
        <v>6878</v>
      </c>
    </row>
    <row r="14" spans="2:10" ht="18.75" customHeight="1" x14ac:dyDescent="0.2">
      <c r="B14" s="5">
        <v>11</v>
      </c>
      <c r="C14" s="5" t="s">
        <v>61</v>
      </c>
      <c r="D14" s="5" t="s">
        <v>62</v>
      </c>
      <c r="E14" s="9"/>
      <c r="G14" s="5">
        <v>11</v>
      </c>
      <c r="H14" s="5" t="s">
        <v>5737</v>
      </c>
      <c r="I14" s="9" t="s">
        <v>6879</v>
      </c>
      <c r="J14" s="9"/>
    </row>
    <row r="15" spans="2:10" ht="18" customHeight="1" x14ac:dyDescent="0.2">
      <c r="B15" s="5">
        <v>12</v>
      </c>
      <c r="C15" s="5" t="s">
        <v>65</v>
      </c>
      <c r="D15" s="5" t="s">
        <v>66</v>
      </c>
      <c r="E15" s="9" t="s">
        <v>6866</v>
      </c>
      <c r="G15" s="5">
        <v>12</v>
      </c>
      <c r="H15" s="5" t="s">
        <v>740</v>
      </c>
      <c r="I15" s="9" t="s">
        <v>6880</v>
      </c>
      <c r="J15" s="9"/>
    </row>
    <row r="16" spans="2:10" ht="30" customHeight="1" x14ac:dyDescent="0.2">
      <c r="B16" s="5">
        <v>13</v>
      </c>
      <c r="C16" s="5" t="s">
        <v>71</v>
      </c>
      <c r="D16" s="5" t="s">
        <v>72</v>
      </c>
      <c r="E16" s="9" t="s">
        <v>73</v>
      </c>
      <c r="G16" s="5">
        <v>13</v>
      </c>
      <c r="H16" s="5" t="s">
        <v>6219</v>
      </c>
      <c r="I16" s="9" t="s">
        <v>6881</v>
      </c>
      <c r="J16" s="9"/>
    </row>
    <row r="17" spans="2:10" ht="16.5" customHeight="1" x14ac:dyDescent="0.2">
      <c r="B17" s="5">
        <v>14</v>
      </c>
      <c r="C17" s="5" t="s">
        <v>77</v>
      </c>
      <c r="D17" s="5" t="s">
        <v>78</v>
      </c>
      <c r="E17" s="9"/>
      <c r="G17" s="5">
        <v>14</v>
      </c>
      <c r="H17" s="5" t="s">
        <v>3831</v>
      </c>
      <c r="I17" s="9" t="s">
        <v>6882</v>
      </c>
      <c r="J17" s="9"/>
    </row>
    <row r="18" spans="2:10" ht="16" x14ac:dyDescent="0.2">
      <c r="B18" s="5">
        <v>15</v>
      </c>
      <c r="C18" s="5" t="s">
        <v>82</v>
      </c>
      <c r="D18" s="5" t="s">
        <v>83</v>
      </c>
      <c r="E18" s="9"/>
      <c r="G18" s="5">
        <v>15</v>
      </c>
      <c r="H18" s="5" t="s">
        <v>6103</v>
      </c>
      <c r="I18" s="9" t="s">
        <v>6883</v>
      </c>
      <c r="J18" s="9"/>
    </row>
    <row r="19" spans="2:10" ht="22.5" customHeight="1" x14ac:dyDescent="0.2">
      <c r="B19" s="5">
        <v>16</v>
      </c>
      <c r="C19" s="5" t="s">
        <v>86</v>
      </c>
      <c r="D19" s="5" t="s">
        <v>87</v>
      </c>
      <c r="E19" s="9" t="s">
        <v>88</v>
      </c>
      <c r="G19" s="5">
        <v>16</v>
      </c>
      <c r="H19" s="5" t="s">
        <v>5557</v>
      </c>
      <c r="I19" s="9" t="s">
        <v>6884</v>
      </c>
      <c r="J19" s="9" t="s">
        <v>6885</v>
      </c>
    </row>
    <row r="20" spans="2:10" ht="23.25" customHeight="1" x14ac:dyDescent="0.2">
      <c r="B20" s="5">
        <v>17</v>
      </c>
      <c r="C20" s="5" t="s">
        <v>92</v>
      </c>
      <c r="D20" s="5" t="s">
        <v>93</v>
      </c>
      <c r="E20" s="9"/>
      <c r="G20" s="5">
        <v>17</v>
      </c>
      <c r="H20" s="5" t="s">
        <v>5845</v>
      </c>
      <c r="I20" s="9" t="s">
        <v>6886</v>
      </c>
      <c r="J20" s="9"/>
    </row>
    <row r="21" spans="2:10" ht="16" x14ac:dyDescent="0.2">
      <c r="B21" s="5">
        <v>18</v>
      </c>
      <c r="C21" s="5" t="s">
        <v>97</v>
      </c>
      <c r="D21" s="5" t="s">
        <v>98</v>
      </c>
      <c r="E21" s="9"/>
      <c r="G21" s="5">
        <v>18</v>
      </c>
      <c r="H21" s="5" t="s">
        <v>25</v>
      </c>
      <c r="I21" s="9" t="s">
        <v>26</v>
      </c>
      <c r="J21" s="5"/>
    </row>
    <row r="22" spans="2:10" ht="33" customHeight="1" x14ac:dyDescent="0.2">
      <c r="B22" s="5">
        <v>19</v>
      </c>
      <c r="C22" s="5" t="s">
        <v>103</v>
      </c>
      <c r="D22" s="5" t="s">
        <v>104</v>
      </c>
      <c r="E22" s="9" t="s">
        <v>105</v>
      </c>
      <c r="G22" s="5">
        <v>19</v>
      </c>
      <c r="H22" s="19" t="s">
        <v>151</v>
      </c>
      <c r="I22" s="18" t="s">
        <v>6887</v>
      </c>
      <c r="J22" s="18" t="s">
        <v>6888</v>
      </c>
    </row>
    <row r="23" spans="2:10" ht="17.25" customHeight="1" x14ac:dyDescent="0.2">
      <c r="B23" s="5">
        <v>20</v>
      </c>
      <c r="C23" s="5" t="s">
        <v>109</v>
      </c>
      <c r="D23" s="5" t="s">
        <v>110</v>
      </c>
      <c r="E23" s="9"/>
      <c r="G23" s="5">
        <v>20</v>
      </c>
      <c r="H23" s="5" t="s">
        <v>784</v>
      </c>
      <c r="I23" s="9" t="s">
        <v>6889</v>
      </c>
      <c r="J23" s="5" t="s">
        <v>6890</v>
      </c>
    </row>
    <row r="24" spans="2:10" ht="16" x14ac:dyDescent="0.2">
      <c r="B24" s="5">
        <v>21</v>
      </c>
      <c r="C24" s="5" t="s">
        <v>114</v>
      </c>
      <c r="D24" s="5" t="s">
        <v>115</v>
      </c>
      <c r="E24" s="9"/>
      <c r="G24" s="5">
        <v>21</v>
      </c>
      <c r="H24" s="5" t="s">
        <v>2107</v>
      </c>
      <c r="I24" s="9" t="s">
        <v>6891</v>
      </c>
      <c r="J24" s="5" t="s">
        <v>6892</v>
      </c>
    </row>
    <row r="25" spans="2:10" x14ac:dyDescent="0.2">
      <c r="B25" s="5">
        <v>22</v>
      </c>
      <c r="C25" s="7" t="s">
        <v>6893</v>
      </c>
      <c r="D25" s="5" t="s">
        <v>6894</v>
      </c>
      <c r="E25" s="5"/>
    </row>
    <row r="26" spans="2:10" ht="20.25" customHeight="1" x14ac:dyDescent="0.2">
      <c r="B26" s="5">
        <v>23</v>
      </c>
      <c r="C26" s="7" t="s">
        <v>6895</v>
      </c>
      <c r="D26" s="5" t="s">
        <v>6896</v>
      </c>
      <c r="E26" s="9" t="s">
        <v>6897</v>
      </c>
    </row>
    <row r="27" spans="2:10" x14ac:dyDescent="0.2">
      <c r="B27" s="5">
        <v>24</v>
      </c>
      <c r="C27" s="7" t="s">
        <v>6898</v>
      </c>
      <c r="D27" s="5" t="s">
        <v>6899</v>
      </c>
      <c r="E27" s="5"/>
    </row>
  </sheetData>
  <conditionalFormatting sqref="C1:C1048576 H1:H1048576">
    <cfRule type="duplicateValues" dxfId="8" priority="1"/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764"/>
  <sheetViews>
    <sheetView topLeftCell="I12" workbookViewId="0">
      <selection activeCell="I1" sqref="I1:J22"/>
    </sheetView>
  </sheetViews>
  <sheetFormatPr baseColWidth="10" defaultColWidth="26.1640625" defaultRowHeight="15" x14ac:dyDescent="0.2"/>
  <cols>
    <col min="8" max="8" width="45.1640625" customWidth="1"/>
    <col min="9" max="9" width="5.33203125" customWidth="1"/>
    <col min="10" max="10" width="18.33203125" customWidth="1"/>
    <col min="11" max="11" width="24.83203125" customWidth="1"/>
    <col min="19" max="19" width="26.1640625" style="13"/>
  </cols>
  <sheetData>
    <row r="1" spans="1:21" ht="16" x14ac:dyDescent="0.2">
      <c r="A1" t="s">
        <v>0</v>
      </c>
      <c r="B1" t="s">
        <v>1</v>
      </c>
      <c r="C1" t="s">
        <v>2</v>
      </c>
      <c r="D1" t="s">
        <v>3</v>
      </c>
      <c r="E1" t="s">
        <v>6900</v>
      </c>
      <c r="F1" t="s">
        <v>6901</v>
      </c>
      <c r="G1" t="s">
        <v>6902</v>
      </c>
      <c r="H1" t="s">
        <v>4</v>
      </c>
      <c r="I1" s="5"/>
      <c r="J1" s="5" t="s">
        <v>5</v>
      </c>
      <c r="K1" s="9" t="s">
        <v>6</v>
      </c>
      <c r="L1" s="9" t="s">
        <v>7</v>
      </c>
      <c r="M1" t="s">
        <v>6903</v>
      </c>
      <c r="N1" t="s">
        <v>6904</v>
      </c>
      <c r="O1" t="s">
        <v>8</v>
      </c>
      <c r="P1" t="s">
        <v>9</v>
      </c>
      <c r="Q1" t="s">
        <v>10</v>
      </c>
      <c r="S1" s="13" t="s">
        <v>11</v>
      </c>
      <c r="T1" t="s">
        <v>12</v>
      </c>
      <c r="U1" t="s">
        <v>6905</v>
      </c>
    </row>
    <row r="2" spans="1:21" ht="16" x14ac:dyDescent="0.2">
      <c r="A2" t="s">
        <v>1535</v>
      </c>
      <c r="B2">
        <v>2202640</v>
      </c>
      <c r="C2" t="s">
        <v>6906</v>
      </c>
      <c r="D2" t="s">
        <v>1535</v>
      </c>
      <c r="E2" t="s">
        <v>6907</v>
      </c>
      <c r="F2">
        <v>19</v>
      </c>
      <c r="G2">
        <v>4</v>
      </c>
      <c r="H2" t="s">
        <v>6908</v>
      </c>
      <c r="I2" s="5">
        <v>1</v>
      </c>
      <c r="J2" s="5" t="s">
        <v>3001</v>
      </c>
      <c r="K2" s="9" t="s">
        <v>6856</v>
      </c>
      <c r="L2" s="9"/>
      <c r="M2" t="s">
        <v>6909</v>
      </c>
      <c r="N2">
        <v>1.813871112</v>
      </c>
      <c r="O2">
        <v>2.6633694910000001</v>
      </c>
      <c r="P2">
        <v>-0.29586356800000002</v>
      </c>
      <c r="Q2">
        <v>-0.59018158399999998</v>
      </c>
      <c r="S2" s="13">
        <v>0.966777891</v>
      </c>
      <c r="T2">
        <v>10.14979138</v>
      </c>
      <c r="U2">
        <v>0.38248207499999998</v>
      </c>
    </row>
    <row r="3" spans="1:21" ht="32" x14ac:dyDescent="0.2">
      <c r="A3" t="s">
        <v>1498</v>
      </c>
      <c r="B3">
        <v>2566360</v>
      </c>
      <c r="C3" t="s">
        <v>6910</v>
      </c>
      <c r="D3" t="s">
        <v>1498</v>
      </c>
      <c r="E3" t="s">
        <v>6911</v>
      </c>
      <c r="F3">
        <v>17</v>
      </c>
      <c r="G3">
        <v>12</v>
      </c>
      <c r="H3" t="s">
        <v>6912</v>
      </c>
      <c r="I3" s="5">
        <v>2</v>
      </c>
      <c r="J3" s="5" t="s">
        <v>4355</v>
      </c>
      <c r="K3" s="9" t="s">
        <v>6858</v>
      </c>
      <c r="L3" s="9" t="s">
        <v>6859</v>
      </c>
      <c r="M3" t="s">
        <v>6913</v>
      </c>
      <c r="N3">
        <v>1.9874741039999999</v>
      </c>
      <c r="O3">
        <v>3.7453511220000002</v>
      </c>
      <c r="P3">
        <v>0.451009722</v>
      </c>
      <c r="Q3">
        <v>-0.102386592</v>
      </c>
      <c r="S3" s="13">
        <v>0.74844533400000002</v>
      </c>
      <c r="T3">
        <v>9.1957280200000007</v>
      </c>
      <c r="U3">
        <v>0.45486343800000001</v>
      </c>
    </row>
    <row r="4" spans="1:21" ht="48" x14ac:dyDescent="0.2">
      <c r="A4" t="s">
        <v>977</v>
      </c>
      <c r="B4">
        <v>1915480</v>
      </c>
      <c r="C4" t="s">
        <v>6914</v>
      </c>
      <c r="D4" t="s">
        <v>978</v>
      </c>
      <c r="E4" t="s">
        <v>6915</v>
      </c>
      <c r="F4">
        <v>5</v>
      </c>
      <c r="G4">
        <v>13</v>
      </c>
      <c r="H4" t="s">
        <v>6916</v>
      </c>
      <c r="I4" s="5">
        <v>3</v>
      </c>
      <c r="J4" s="5" t="s">
        <v>6719</v>
      </c>
      <c r="K4" s="9" t="s">
        <v>6863</v>
      </c>
      <c r="L4" s="9" t="s">
        <v>6864</v>
      </c>
      <c r="M4" t="s">
        <v>6917</v>
      </c>
      <c r="N4">
        <v>1.8217074179999999</v>
      </c>
      <c r="O4">
        <v>4.1700741289999996</v>
      </c>
      <c r="P4">
        <v>0.189705977</v>
      </c>
      <c r="Q4">
        <v>-1.7194070999999998E-2</v>
      </c>
      <c r="S4" s="13">
        <v>8.6887493999999996E-2</v>
      </c>
      <c r="T4">
        <v>6.3048714869999998</v>
      </c>
      <c r="U4">
        <v>0.28617201399999997</v>
      </c>
    </row>
    <row r="5" spans="1:21" ht="16" x14ac:dyDescent="0.2">
      <c r="A5" t="s">
        <v>63</v>
      </c>
      <c r="B5">
        <v>1538640</v>
      </c>
      <c r="C5" t="s">
        <v>6906</v>
      </c>
      <c r="D5" t="s">
        <v>63</v>
      </c>
      <c r="E5" t="s">
        <v>6918</v>
      </c>
      <c r="F5">
        <v>23</v>
      </c>
      <c r="G5">
        <v>1</v>
      </c>
      <c r="H5" t="s">
        <v>6919</v>
      </c>
      <c r="I5" s="5">
        <v>4</v>
      </c>
      <c r="J5" s="5" t="s">
        <v>65</v>
      </c>
      <c r="K5" s="9" t="s">
        <v>66</v>
      </c>
      <c r="L5" s="9" t="s">
        <v>6866</v>
      </c>
      <c r="M5" t="s">
        <v>6920</v>
      </c>
      <c r="N5">
        <v>1.813871112</v>
      </c>
      <c r="O5">
        <v>2.6633694910000001</v>
      </c>
      <c r="P5">
        <v>-0.29586356800000002</v>
      </c>
      <c r="Q5">
        <v>-0.59018158399999998</v>
      </c>
      <c r="S5" s="13">
        <v>3.481793E-3</v>
      </c>
      <c r="T5">
        <v>5.9404076420000003</v>
      </c>
      <c r="U5">
        <v>0.22865536</v>
      </c>
    </row>
    <row r="6" spans="1:21" ht="32" x14ac:dyDescent="0.2">
      <c r="A6" t="s">
        <v>13</v>
      </c>
      <c r="B6">
        <v>1720760</v>
      </c>
      <c r="C6" t="s">
        <v>6914</v>
      </c>
      <c r="D6" t="s">
        <v>13</v>
      </c>
      <c r="E6" t="s">
        <v>6921</v>
      </c>
      <c r="F6">
        <v>22</v>
      </c>
      <c r="G6">
        <v>8</v>
      </c>
      <c r="H6" t="s">
        <v>6922</v>
      </c>
      <c r="I6" s="5">
        <v>5</v>
      </c>
      <c r="J6" s="5" t="s">
        <v>16</v>
      </c>
      <c r="K6" s="9" t="s">
        <v>6868</v>
      </c>
      <c r="L6" s="9" t="s">
        <v>6855</v>
      </c>
      <c r="M6" t="s">
        <v>6923</v>
      </c>
      <c r="N6">
        <v>1.8217074179999999</v>
      </c>
      <c r="O6">
        <v>4.1700741289999996</v>
      </c>
      <c r="P6">
        <v>0.189705977</v>
      </c>
      <c r="Q6">
        <v>-1.7194070999999998E-2</v>
      </c>
      <c r="S6" s="13">
        <v>-0.14731423299999999</v>
      </c>
      <c r="T6">
        <v>5.281463477</v>
      </c>
      <c r="U6">
        <v>0.23596057500000001</v>
      </c>
    </row>
    <row r="7" spans="1:21" ht="16" x14ac:dyDescent="0.2">
      <c r="A7" t="s">
        <v>567</v>
      </c>
      <c r="B7">
        <v>1673920</v>
      </c>
      <c r="C7" t="s">
        <v>6914</v>
      </c>
      <c r="D7" t="s">
        <v>567</v>
      </c>
      <c r="E7" t="s">
        <v>6924</v>
      </c>
      <c r="F7">
        <v>24</v>
      </c>
      <c r="G7">
        <v>6</v>
      </c>
      <c r="H7" t="s">
        <v>6925</v>
      </c>
      <c r="I7" s="5">
        <v>6</v>
      </c>
      <c r="J7" s="5" t="s">
        <v>6643</v>
      </c>
      <c r="K7" s="9" t="s">
        <v>6869</v>
      </c>
      <c r="L7" s="9" t="s">
        <v>6870</v>
      </c>
      <c r="M7" t="s">
        <v>6926</v>
      </c>
      <c r="N7">
        <v>1.8217074179999999</v>
      </c>
      <c r="O7">
        <v>4.1700741289999996</v>
      </c>
      <c r="P7">
        <v>0.189705977</v>
      </c>
      <c r="Q7">
        <v>-1.7194070999999998E-2</v>
      </c>
      <c r="S7" s="13">
        <v>-0.203651584</v>
      </c>
      <c r="T7">
        <v>5.0352821329999999</v>
      </c>
      <c r="U7">
        <v>0.22296370500000001</v>
      </c>
    </row>
    <row r="8" spans="1:21" ht="80" x14ac:dyDescent="0.2">
      <c r="A8" t="s">
        <v>1049</v>
      </c>
      <c r="B8">
        <v>1630960</v>
      </c>
      <c r="C8" t="s">
        <v>6927</v>
      </c>
      <c r="D8" t="s">
        <v>1049</v>
      </c>
      <c r="E8" t="s">
        <v>6928</v>
      </c>
      <c r="F8">
        <v>23</v>
      </c>
      <c r="G8">
        <v>16</v>
      </c>
      <c r="H8" t="s">
        <v>6929</v>
      </c>
      <c r="I8" s="5">
        <v>7</v>
      </c>
      <c r="J8" s="5" t="s">
        <v>6871</v>
      </c>
      <c r="K8" s="9" t="s">
        <v>6872</v>
      </c>
      <c r="L8" s="9" t="s">
        <v>6873</v>
      </c>
      <c r="M8" t="s">
        <v>6930</v>
      </c>
      <c r="N8">
        <v>1.982575982</v>
      </c>
      <c r="O8">
        <v>3.4571926419999999</v>
      </c>
      <c r="P8">
        <v>-0.114791479</v>
      </c>
      <c r="Q8">
        <v>1.868949E-3</v>
      </c>
      <c r="S8" s="13">
        <v>-0.32540934300000002</v>
      </c>
      <c r="T8">
        <v>4.5032285610000002</v>
      </c>
      <c r="U8">
        <v>0.233311828</v>
      </c>
    </row>
    <row r="9" spans="1:21" ht="32" x14ac:dyDescent="0.2">
      <c r="A9" t="s">
        <v>18</v>
      </c>
      <c r="B9">
        <v>1326200</v>
      </c>
      <c r="C9" t="s">
        <v>6931</v>
      </c>
      <c r="D9" t="s">
        <v>19</v>
      </c>
      <c r="E9" t="s">
        <v>6928</v>
      </c>
      <c r="F9">
        <v>1</v>
      </c>
      <c r="G9">
        <v>16</v>
      </c>
      <c r="H9" t="s">
        <v>6932</v>
      </c>
      <c r="I9" s="5">
        <v>8</v>
      </c>
      <c r="J9" s="5" t="s">
        <v>2334</v>
      </c>
      <c r="K9" s="9" t="s">
        <v>6874</v>
      </c>
      <c r="L9" s="9" t="s">
        <v>6875</v>
      </c>
      <c r="M9" t="s">
        <v>6933</v>
      </c>
      <c r="N9">
        <v>1.9323965059999999</v>
      </c>
      <c r="O9">
        <v>3.0528020530000002</v>
      </c>
      <c r="P9">
        <v>2.6493138999999999E-2</v>
      </c>
      <c r="Q9">
        <v>-0.38692188</v>
      </c>
      <c r="S9" s="13">
        <v>-0.32991262100000002</v>
      </c>
      <c r="T9">
        <v>4.483550266</v>
      </c>
      <c r="U9">
        <v>0.201627209</v>
      </c>
    </row>
    <row r="10" spans="1:21" ht="16" x14ac:dyDescent="0.2">
      <c r="A10" t="s">
        <v>225</v>
      </c>
      <c r="B10">
        <v>1308640</v>
      </c>
      <c r="C10" t="s">
        <v>6906</v>
      </c>
      <c r="D10" t="s">
        <v>225</v>
      </c>
      <c r="E10" t="s">
        <v>6918</v>
      </c>
      <c r="F10">
        <v>20</v>
      </c>
      <c r="G10">
        <v>1</v>
      </c>
      <c r="H10" t="s">
        <v>6934</v>
      </c>
      <c r="I10" s="5">
        <v>9</v>
      </c>
      <c r="J10" s="5" t="s">
        <v>546</v>
      </c>
      <c r="K10" s="9" t="s">
        <v>6876</v>
      </c>
      <c r="L10" s="9"/>
      <c r="M10" t="s">
        <v>6935</v>
      </c>
      <c r="N10">
        <v>1.813871112</v>
      </c>
      <c r="O10">
        <v>2.6633694910000001</v>
      </c>
      <c r="P10">
        <v>-0.29586356800000002</v>
      </c>
      <c r="Q10">
        <v>-0.59018158399999998</v>
      </c>
      <c r="S10" s="13">
        <v>-0.33019004800000001</v>
      </c>
      <c r="T10">
        <v>4.4823379719999998</v>
      </c>
      <c r="U10">
        <v>0.15948863499999999</v>
      </c>
    </row>
    <row r="11" spans="1:21" ht="48" x14ac:dyDescent="0.2">
      <c r="A11" t="s">
        <v>2139</v>
      </c>
      <c r="B11">
        <v>1244800</v>
      </c>
      <c r="C11" t="s">
        <v>6906</v>
      </c>
      <c r="D11" t="s">
        <v>2140</v>
      </c>
      <c r="E11" t="s">
        <v>6924</v>
      </c>
      <c r="F11">
        <v>1</v>
      </c>
      <c r="G11">
        <v>6</v>
      </c>
      <c r="H11" t="s">
        <v>6936</v>
      </c>
      <c r="I11" s="5">
        <v>10</v>
      </c>
      <c r="J11" s="5" t="s">
        <v>2310</v>
      </c>
      <c r="K11" s="9" t="s">
        <v>6877</v>
      </c>
      <c r="L11" s="9" t="s">
        <v>6878</v>
      </c>
      <c r="M11" t="s">
        <v>6937</v>
      </c>
      <c r="N11">
        <v>1.813871112</v>
      </c>
      <c r="O11">
        <v>2.6633694910000001</v>
      </c>
      <c r="P11">
        <v>-0.29586356800000002</v>
      </c>
      <c r="Q11">
        <v>-0.59018158399999998</v>
      </c>
      <c r="S11" s="13">
        <v>-0.42280574500000001</v>
      </c>
      <c r="T11">
        <v>4.0776285479999999</v>
      </c>
      <c r="U11">
        <v>0.138161908</v>
      </c>
    </row>
    <row r="12" spans="1:21" ht="16" x14ac:dyDescent="0.2">
      <c r="A12" t="s">
        <v>431</v>
      </c>
      <c r="B12">
        <v>1720440</v>
      </c>
      <c r="C12" t="s">
        <v>6938</v>
      </c>
      <c r="D12" t="s">
        <v>432</v>
      </c>
      <c r="E12" t="s">
        <v>6939</v>
      </c>
      <c r="F12">
        <v>3</v>
      </c>
      <c r="G12">
        <v>2</v>
      </c>
      <c r="H12" t="s">
        <v>6940</v>
      </c>
      <c r="I12" s="5">
        <v>11</v>
      </c>
      <c r="J12" s="5" t="s">
        <v>5737</v>
      </c>
      <c r="K12" s="9" t="s">
        <v>6879</v>
      </c>
      <c r="L12" s="9"/>
      <c r="M12" t="s">
        <v>6941</v>
      </c>
      <c r="N12">
        <v>2.092758737</v>
      </c>
      <c r="O12">
        <v>5.3323610669999999</v>
      </c>
      <c r="P12">
        <v>0.70420098600000003</v>
      </c>
      <c r="Q12">
        <v>0.41355372699999998</v>
      </c>
      <c r="S12" s="13">
        <v>-0.43758158699999999</v>
      </c>
      <c r="T12">
        <v>4.0130614949999996</v>
      </c>
      <c r="U12">
        <v>0.248261014</v>
      </c>
    </row>
    <row r="13" spans="1:21" ht="16" x14ac:dyDescent="0.2">
      <c r="A13" t="s">
        <v>431</v>
      </c>
      <c r="B13">
        <v>1485320</v>
      </c>
      <c r="C13" t="s">
        <v>6942</v>
      </c>
      <c r="D13" t="s">
        <v>432</v>
      </c>
      <c r="E13" t="s">
        <v>6939</v>
      </c>
      <c r="F13">
        <v>3</v>
      </c>
      <c r="G13">
        <v>2</v>
      </c>
      <c r="H13" t="s">
        <v>6943</v>
      </c>
      <c r="I13" s="5">
        <v>12</v>
      </c>
      <c r="J13" s="5" t="s">
        <v>740</v>
      </c>
      <c r="K13" s="9" t="s">
        <v>6880</v>
      </c>
      <c r="L13" s="9"/>
      <c r="M13" t="s">
        <v>6944</v>
      </c>
      <c r="N13">
        <v>2.0902262079999998</v>
      </c>
      <c r="O13">
        <v>4.2704203920000001</v>
      </c>
      <c r="P13">
        <v>0.23425843900000001</v>
      </c>
      <c r="Q13">
        <v>1.6181978999999999E-2</v>
      </c>
      <c r="S13" s="13">
        <v>-0.45941542499999999</v>
      </c>
      <c r="T13">
        <v>3.9176526140000001</v>
      </c>
      <c r="U13">
        <v>0.199789049</v>
      </c>
    </row>
    <row r="14" spans="1:21" ht="16" x14ac:dyDescent="0.2">
      <c r="A14" t="s">
        <v>644</v>
      </c>
      <c r="B14">
        <v>1436440</v>
      </c>
      <c r="C14" t="s">
        <v>6945</v>
      </c>
      <c r="D14" t="s">
        <v>644</v>
      </c>
      <c r="E14" t="s">
        <v>6946</v>
      </c>
      <c r="F14">
        <v>11</v>
      </c>
      <c r="G14">
        <v>11</v>
      </c>
      <c r="H14" t="s">
        <v>6947</v>
      </c>
      <c r="I14" s="5">
        <v>13</v>
      </c>
      <c r="J14" s="5" t="s">
        <v>6219</v>
      </c>
      <c r="K14" s="9" t="s">
        <v>6881</v>
      </c>
      <c r="L14" s="9"/>
      <c r="M14" t="s">
        <v>6948</v>
      </c>
      <c r="N14">
        <v>2.2220813349999999</v>
      </c>
      <c r="O14">
        <v>6.5440947090000003</v>
      </c>
      <c r="P14">
        <v>0.58228215500000002</v>
      </c>
      <c r="Q14">
        <v>0.35188233000000002</v>
      </c>
      <c r="S14" s="13">
        <v>-0.46337414399999999</v>
      </c>
      <c r="T14">
        <v>3.9003539169999999</v>
      </c>
      <c r="U14">
        <v>0.20624740699999999</v>
      </c>
    </row>
    <row r="15" spans="1:21" ht="16" x14ac:dyDescent="0.2">
      <c r="A15" t="s">
        <v>622</v>
      </c>
      <c r="B15">
        <v>1436200</v>
      </c>
      <c r="C15" t="s">
        <v>6945</v>
      </c>
      <c r="D15" t="s">
        <v>622</v>
      </c>
      <c r="E15" t="s">
        <v>6928</v>
      </c>
      <c r="F15">
        <v>10</v>
      </c>
      <c r="G15">
        <v>16</v>
      </c>
      <c r="H15" t="s">
        <v>6949</v>
      </c>
      <c r="I15" s="5">
        <v>14</v>
      </c>
      <c r="J15" s="5" t="s">
        <v>3831</v>
      </c>
      <c r="K15" s="9" t="s">
        <v>6882</v>
      </c>
      <c r="L15" s="9"/>
      <c r="M15" t="s">
        <v>6950</v>
      </c>
      <c r="N15">
        <v>2.2220813349999999</v>
      </c>
      <c r="O15">
        <v>6.5440947090000003</v>
      </c>
      <c r="P15">
        <v>0.58228215500000002</v>
      </c>
      <c r="Q15">
        <v>0.35188233000000002</v>
      </c>
      <c r="S15" s="13">
        <v>-0.46360052099999999</v>
      </c>
      <c r="T15">
        <v>3.8993647029999998</v>
      </c>
      <c r="U15">
        <v>0.206177148</v>
      </c>
    </row>
    <row r="16" spans="1:21" ht="16" x14ac:dyDescent="0.2">
      <c r="A16" t="s">
        <v>1356</v>
      </c>
      <c r="B16">
        <v>1373560</v>
      </c>
      <c r="C16" t="s">
        <v>6945</v>
      </c>
      <c r="D16" t="s">
        <v>1356</v>
      </c>
      <c r="E16" t="s">
        <v>6921</v>
      </c>
      <c r="F16">
        <v>19</v>
      </c>
      <c r="G16">
        <v>8</v>
      </c>
      <c r="H16" t="s">
        <v>6951</v>
      </c>
      <c r="I16" s="5">
        <v>15</v>
      </c>
      <c r="J16" s="5" t="s">
        <v>6103</v>
      </c>
      <c r="K16" s="9" t="s">
        <v>6883</v>
      </c>
      <c r="L16" s="9"/>
      <c r="M16" t="s">
        <v>6952</v>
      </c>
      <c r="N16">
        <v>2.2220813349999999</v>
      </c>
      <c r="O16">
        <v>6.5440947090000003</v>
      </c>
      <c r="P16">
        <v>0.58228215500000002</v>
      </c>
      <c r="Q16">
        <v>0.35188233000000002</v>
      </c>
      <c r="S16" s="13">
        <v>-0.52268482699999996</v>
      </c>
      <c r="T16">
        <v>3.6411797899999998</v>
      </c>
      <c r="U16">
        <v>0.187439724</v>
      </c>
    </row>
    <row r="17" spans="1:21" ht="32" x14ac:dyDescent="0.2">
      <c r="A17" t="s">
        <v>1461</v>
      </c>
      <c r="B17">
        <v>1504680</v>
      </c>
      <c r="C17" t="s">
        <v>6953</v>
      </c>
      <c r="D17" t="s">
        <v>1461</v>
      </c>
      <c r="E17" t="s">
        <v>6918</v>
      </c>
      <c r="F17">
        <v>21</v>
      </c>
      <c r="G17">
        <v>1</v>
      </c>
      <c r="H17" t="s">
        <v>6954</v>
      </c>
      <c r="I17" s="5">
        <v>16</v>
      </c>
      <c r="J17" s="5" t="s">
        <v>5557</v>
      </c>
      <c r="K17" s="9" t="s">
        <v>6884</v>
      </c>
      <c r="L17" s="9" t="s">
        <v>6885</v>
      </c>
      <c r="M17" t="s">
        <v>6955</v>
      </c>
      <c r="N17">
        <v>1.921480887</v>
      </c>
      <c r="O17">
        <v>3.0856645180000002</v>
      </c>
      <c r="P17">
        <v>0.44706724399999997</v>
      </c>
      <c r="Q17">
        <v>-0.354940863</v>
      </c>
      <c r="S17" s="13">
        <v>-0.52391723899999998</v>
      </c>
      <c r="T17">
        <v>3.635794432</v>
      </c>
      <c r="U17">
        <v>0.201999822</v>
      </c>
    </row>
    <row r="18" spans="1:21" ht="48" x14ac:dyDescent="0.2">
      <c r="A18" t="s">
        <v>656</v>
      </c>
      <c r="B18">
        <v>1370280</v>
      </c>
      <c r="C18" t="s">
        <v>6945</v>
      </c>
      <c r="D18" t="s">
        <v>656</v>
      </c>
      <c r="E18" t="s">
        <v>6956</v>
      </c>
      <c r="F18">
        <v>24</v>
      </c>
      <c r="G18">
        <v>7</v>
      </c>
      <c r="H18" t="s">
        <v>6957</v>
      </c>
      <c r="I18" s="5">
        <v>17</v>
      </c>
      <c r="J18" s="5" t="s">
        <v>5845</v>
      </c>
      <c r="K18" s="9" t="s">
        <v>6886</v>
      </c>
      <c r="L18" s="9"/>
      <c r="M18" t="s">
        <v>6958</v>
      </c>
      <c r="N18">
        <v>2.2220813349999999</v>
      </c>
      <c r="O18">
        <v>6.5440947090000003</v>
      </c>
      <c r="P18">
        <v>0.58228215500000002</v>
      </c>
      <c r="Q18">
        <v>0.35188233000000002</v>
      </c>
      <c r="S18" s="13">
        <v>-0.52577864100000005</v>
      </c>
      <c r="T18">
        <v>3.6276605289999999</v>
      </c>
      <c r="U18">
        <v>0.18643594999999999</v>
      </c>
    </row>
    <row r="19" spans="1:21" ht="16" x14ac:dyDescent="0.2">
      <c r="A19" t="s">
        <v>23</v>
      </c>
      <c r="B19">
        <v>1365280</v>
      </c>
      <c r="C19" t="s">
        <v>6914</v>
      </c>
      <c r="D19" t="s">
        <v>23</v>
      </c>
      <c r="E19" t="s">
        <v>6907</v>
      </c>
      <c r="F19">
        <v>18</v>
      </c>
      <c r="G19">
        <v>4</v>
      </c>
      <c r="H19" t="s">
        <v>6959</v>
      </c>
      <c r="I19" s="5">
        <v>18</v>
      </c>
      <c r="J19" s="5" t="s">
        <v>25</v>
      </c>
      <c r="K19" s="9" t="s">
        <v>26</v>
      </c>
      <c r="L19" s="5"/>
      <c r="M19" t="s">
        <v>6960</v>
      </c>
      <c r="N19">
        <v>1.8217074179999999</v>
      </c>
      <c r="O19">
        <v>4.1700741289999996</v>
      </c>
      <c r="P19">
        <v>0.189705977</v>
      </c>
      <c r="Q19">
        <v>-1.7194070999999998E-2</v>
      </c>
      <c r="S19" s="13">
        <v>-0.57487190600000004</v>
      </c>
      <c r="T19">
        <v>3.4131341860000002</v>
      </c>
      <c r="U19">
        <v>0.125960027</v>
      </c>
    </row>
    <row r="20" spans="1:21" ht="50.25" customHeight="1" x14ac:dyDescent="0.2">
      <c r="A20" t="s">
        <v>148</v>
      </c>
      <c r="B20">
        <v>1223080</v>
      </c>
      <c r="C20" t="s">
        <v>6961</v>
      </c>
      <c r="D20" t="s">
        <v>148</v>
      </c>
      <c r="E20" t="s">
        <v>6915</v>
      </c>
      <c r="F20">
        <v>17</v>
      </c>
      <c r="G20">
        <v>13</v>
      </c>
      <c r="H20" t="s">
        <v>6962</v>
      </c>
      <c r="I20" s="5">
        <v>19</v>
      </c>
      <c r="J20" s="19" t="s">
        <v>151</v>
      </c>
      <c r="K20" s="18" t="s">
        <v>6887</v>
      </c>
      <c r="L20" s="18" t="s">
        <v>6888</v>
      </c>
      <c r="M20" t="s">
        <v>6963</v>
      </c>
      <c r="N20">
        <v>2.7247480949999998</v>
      </c>
      <c r="O20">
        <v>7.0822175119999997</v>
      </c>
      <c r="P20">
        <v>0.61298291999999999</v>
      </c>
      <c r="Q20">
        <v>0.48262032500000002</v>
      </c>
      <c r="S20" s="13">
        <v>-0.61158608000000003</v>
      </c>
      <c r="T20">
        <v>3.2527016369999999</v>
      </c>
      <c r="U20">
        <v>0.19063751500000001</v>
      </c>
    </row>
    <row r="21" spans="1:21" ht="32" x14ac:dyDescent="0.2">
      <c r="A21" t="s">
        <v>158</v>
      </c>
      <c r="B21">
        <v>1321440</v>
      </c>
      <c r="C21" t="s">
        <v>6914</v>
      </c>
      <c r="D21" t="s">
        <v>158</v>
      </c>
      <c r="E21" t="s">
        <v>6918</v>
      </c>
      <c r="F21">
        <v>24</v>
      </c>
      <c r="G21">
        <v>1</v>
      </c>
      <c r="H21" t="s">
        <v>6964</v>
      </c>
      <c r="I21" s="5">
        <v>20</v>
      </c>
      <c r="J21" s="5" t="s">
        <v>784</v>
      </c>
      <c r="K21" s="9" t="s">
        <v>6889</v>
      </c>
      <c r="L21" s="5" t="s">
        <v>6890</v>
      </c>
      <c r="M21" t="s">
        <v>6965</v>
      </c>
      <c r="N21">
        <v>1.8217074179999999</v>
      </c>
      <c r="O21">
        <v>4.1700741289999996</v>
      </c>
      <c r="P21">
        <v>0.189705977</v>
      </c>
      <c r="Q21">
        <v>-1.7194070999999998E-2</v>
      </c>
      <c r="S21" s="13">
        <v>-0.62760097199999998</v>
      </c>
      <c r="T21">
        <v>3.1827202209999998</v>
      </c>
      <c r="U21">
        <v>0.110240229</v>
      </c>
    </row>
    <row r="22" spans="1:21" ht="16" x14ac:dyDescent="0.2">
      <c r="A22" t="s">
        <v>832</v>
      </c>
      <c r="B22">
        <v>1306480</v>
      </c>
      <c r="C22" t="s">
        <v>6942</v>
      </c>
      <c r="D22" t="s">
        <v>832</v>
      </c>
      <c r="E22" t="s">
        <v>6924</v>
      </c>
      <c r="F22">
        <v>21</v>
      </c>
      <c r="G22">
        <v>6</v>
      </c>
      <c r="H22" t="s">
        <v>6966</v>
      </c>
      <c r="I22" s="5">
        <v>21</v>
      </c>
      <c r="J22" s="5" t="s">
        <v>2107</v>
      </c>
      <c r="K22" s="9" t="s">
        <v>6891</v>
      </c>
      <c r="L22" s="5" t="s">
        <v>6892</v>
      </c>
      <c r="M22" t="s">
        <v>6967</v>
      </c>
      <c r="N22">
        <v>2.0902262079999998</v>
      </c>
      <c r="O22">
        <v>4.2704203920000001</v>
      </c>
      <c r="P22">
        <v>0.23425843900000001</v>
      </c>
      <c r="Q22">
        <v>1.6181978999999999E-2</v>
      </c>
      <c r="S22" s="13">
        <v>-0.63494493799999996</v>
      </c>
      <c r="T22">
        <v>3.1506287660000001</v>
      </c>
      <c r="U22">
        <v>0.143112137</v>
      </c>
    </row>
    <row r="23" spans="1:21" x14ac:dyDescent="0.2">
      <c r="A23" t="s">
        <v>148</v>
      </c>
      <c r="B23">
        <v>1098240</v>
      </c>
      <c r="C23" t="s">
        <v>6906</v>
      </c>
      <c r="D23" t="s">
        <v>148</v>
      </c>
      <c r="E23" t="s">
        <v>6915</v>
      </c>
      <c r="F23">
        <v>17</v>
      </c>
      <c r="G23">
        <v>13</v>
      </c>
      <c r="H23" t="s">
        <v>6968</v>
      </c>
      <c r="J23" t="s">
        <v>3963</v>
      </c>
      <c r="M23" t="s">
        <v>6969</v>
      </c>
      <c r="N23">
        <v>1.813871112</v>
      </c>
      <c r="O23">
        <v>2.6633694910000001</v>
      </c>
      <c r="P23">
        <v>-0.29586356800000002</v>
      </c>
      <c r="Q23">
        <v>-0.59018158399999998</v>
      </c>
      <c r="S23" s="13">
        <v>-0.63542724500000003</v>
      </c>
      <c r="T23">
        <v>3.1485211959999999</v>
      </c>
      <c r="U23">
        <v>8.4835252999999999E-2</v>
      </c>
    </row>
    <row r="24" spans="1:21" x14ac:dyDescent="0.2">
      <c r="A24" t="s">
        <v>671</v>
      </c>
      <c r="B24">
        <v>1091520</v>
      </c>
      <c r="C24" t="s">
        <v>6906</v>
      </c>
      <c r="D24" t="s">
        <v>672</v>
      </c>
      <c r="E24" t="s">
        <v>6970</v>
      </c>
      <c r="F24">
        <v>6</v>
      </c>
      <c r="G24">
        <v>14</v>
      </c>
      <c r="H24" t="s">
        <v>6971</v>
      </c>
      <c r="J24" t="s">
        <v>674</v>
      </c>
      <c r="K24" t="s">
        <v>6972</v>
      </c>
      <c r="M24" t="s">
        <v>6973</v>
      </c>
      <c r="N24">
        <v>1.813871112</v>
      </c>
      <c r="O24">
        <v>2.6633694910000001</v>
      </c>
      <c r="P24">
        <v>-0.29586356800000002</v>
      </c>
      <c r="Q24">
        <v>-0.59018158399999998</v>
      </c>
      <c r="S24" s="13">
        <v>-0.645176266</v>
      </c>
      <c r="T24">
        <v>3.1059202039999998</v>
      </c>
      <c r="U24">
        <v>8.2225866999999994E-2</v>
      </c>
    </row>
    <row r="25" spans="1:21" x14ac:dyDescent="0.2">
      <c r="A25" t="s">
        <v>448</v>
      </c>
      <c r="B25">
        <v>1084840</v>
      </c>
      <c r="C25" t="s">
        <v>6931</v>
      </c>
      <c r="D25" t="s">
        <v>448</v>
      </c>
      <c r="E25" t="s">
        <v>6974</v>
      </c>
      <c r="F25">
        <v>22</v>
      </c>
      <c r="G25">
        <v>15</v>
      </c>
      <c r="H25" t="s">
        <v>6975</v>
      </c>
      <c r="N25">
        <v>1.9323965059999999</v>
      </c>
      <c r="O25">
        <v>3.0528020530000002</v>
      </c>
      <c r="P25">
        <v>2.6493138999999999E-2</v>
      </c>
      <c r="Q25">
        <v>-0.38692188</v>
      </c>
      <c r="S25" s="13">
        <v>-0.64705341299999997</v>
      </c>
      <c r="T25">
        <v>3.0977174999999999</v>
      </c>
      <c r="U25">
        <v>0.123615366</v>
      </c>
    </row>
    <row r="26" spans="1:21" x14ac:dyDescent="0.2">
      <c r="A26" t="s">
        <v>2315</v>
      </c>
      <c r="B26">
        <v>1070200</v>
      </c>
      <c r="C26" t="s">
        <v>6931</v>
      </c>
      <c r="D26" t="s">
        <v>2316</v>
      </c>
      <c r="E26" t="s">
        <v>6911</v>
      </c>
      <c r="F26">
        <v>4</v>
      </c>
      <c r="G26">
        <v>12</v>
      </c>
      <c r="H26" t="s">
        <v>6976</v>
      </c>
      <c r="N26">
        <v>1.9323965059999999</v>
      </c>
      <c r="O26">
        <v>3.0528020530000002</v>
      </c>
      <c r="P26">
        <v>2.6493138999999999E-2</v>
      </c>
      <c r="Q26">
        <v>-0.38692188</v>
      </c>
      <c r="S26" s="13">
        <v>-0.666289994</v>
      </c>
      <c r="T26">
        <v>3.013658038</v>
      </c>
      <c r="U26">
        <v>0.118400649</v>
      </c>
    </row>
    <row r="27" spans="1:21" x14ac:dyDescent="0.2">
      <c r="A27" t="s">
        <v>1076</v>
      </c>
      <c r="B27">
        <v>1270960</v>
      </c>
      <c r="C27" t="s">
        <v>6942</v>
      </c>
      <c r="D27" t="s">
        <v>1077</v>
      </c>
      <c r="E27" t="s">
        <v>6977</v>
      </c>
      <c r="F27">
        <v>7</v>
      </c>
      <c r="G27">
        <v>5</v>
      </c>
      <c r="H27" t="s">
        <v>6978</v>
      </c>
      <c r="J27" t="s">
        <v>3779</v>
      </c>
      <c r="K27" t="s">
        <v>6979</v>
      </c>
      <c r="M27" t="s">
        <v>6980</v>
      </c>
      <c r="N27">
        <v>2.0902262079999998</v>
      </c>
      <c r="O27">
        <v>4.2704203920000001</v>
      </c>
      <c r="P27">
        <v>0.23425843900000001</v>
      </c>
      <c r="Q27">
        <v>1.6181978999999999E-2</v>
      </c>
      <c r="S27" s="13">
        <v>-0.66980743200000004</v>
      </c>
      <c r="T27">
        <v>2.9982876389999999</v>
      </c>
      <c r="U27">
        <v>0.13091820400000001</v>
      </c>
    </row>
    <row r="28" spans="1:21" x14ac:dyDescent="0.2">
      <c r="A28" t="s">
        <v>554</v>
      </c>
      <c r="B28">
        <v>1063200</v>
      </c>
      <c r="C28" t="s">
        <v>6931</v>
      </c>
      <c r="D28" t="s">
        <v>555</v>
      </c>
      <c r="E28" t="s">
        <v>6928</v>
      </c>
      <c r="F28">
        <v>3</v>
      </c>
      <c r="G28">
        <v>16</v>
      </c>
      <c r="H28" t="s">
        <v>6981</v>
      </c>
      <c r="N28">
        <v>1.9323965059999999</v>
      </c>
      <c r="O28">
        <v>3.0528020530000002</v>
      </c>
      <c r="P28">
        <v>2.6493138999999999E-2</v>
      </c>
      <c r="Q28">
        <v>-0.38692188</v>
      </c>
      <c r="S28" s="13">
        <v>-0.67548781300000005</v>
      </c>
      <c r="T28">
        <v>2.9734656720000001</v>
      </c>
      <c r="U28">
        <v>0.115884972</v>
      </c>
    </row>
    <row r="29" spans="1:21" x14ac:dyDescent="0.2">
      <c r="A29" t="s">
        <v>583</v>
      </c>
      <c r="B29">
        <v>1272600</v>
      </c>
      <c r="C29" t="s">
        <v>6927</v>
      </c>
      <c r="D29" t="s">
        <v>583</v>
      </c>
      <c r="E29" t="s">
        <v>6907</v>
      </c>
      <c r="F29">
        <v>23</v>
      </c>
      <c r="G29">
        <v>4</v>
      </c>
      <c r="H29" t="s">
        <v>6982</v>
      </c>
      <c r="J29" t="s">
        <v>6983</v>
      </c>
      <c r="M29" t="s">
        <v>6984</v>
      </c>
      <c r="N29">
        <v>1.982575982</v>
      </c>
      <c r="O29">
        <v>3.4571926419999999</v>
      </c>
      <c r="P29">
        <v>-0.114791479</v>
      </c>
      <c r="Q29">
        <v>1.868949E-3</v>
      </c>
      <c r="S29" s="13">
        <v>-0.69725237100000004</v>
      </c>
      <c r="T29">
        <v>2.8783595289999999</v>
      </c>
      <c r="U29">
        <v>0.121521333</v>
      </c>
    </row>
    <row r="30" spans="1:21" x14ac:dyDescent="0.2">
      <c r="A30" t="s">
        <v>293</v>
      </c>
      <c r="B30">
        <v>1104400</v>
      </c>
      <c r="C30" t="s">
        <v>6961</v>
      </c>
      <c r="D30" t="s">
        <v>293</v>
      </c>
      <c r="E30" t="s">
        <v>6977</v>
      </c>
      <c r="F30">
        <v>24</v>
      </c>
      <c r="G30">
        <v>5</v>
      </c>
      <c r="H30" t="s">
        <v>6985</v>
      </c>
      <c r="J30" t="s">
        <v>3315</v>
      </c>
      <c r="M30" t="s">
        <v>6986</v>
      </c>
      <c r="N30">
        <v>2.7247480949999998</v>
      </c>
      <c r="O30">
        <v>7.0822175119999997</v>
      </c>
      <c r="P30">
        <v>0.61298291999999999</v>
      </c>
      <c r="Q30">
        <v>0.48262032500000002</v>
      </c>
      <c r="S30" s="13">
        <v>-0.70553497399999998</v>
      </c>
      <c r="T30">
        <v>2.842166449</v>
      </c>
      <c r="U30">
        <v>0.15304503699999999</v>
      </c>
    </row>
    <row r="31" spans="1:21" x14ac:dyDescent="0.2">
      <c r="A31" t="s">
        <v>563</v>
      </c>
      <c r="B31">
        <v>1264320</v>
      </c>
      <c r="C31" t="s">
        <v>6927</v>
      </c>
      <c r="D31" t="s">
        <v>564</v>
      </c>
      <c r="E31" t="s">
        <v>6928</v>
      </c>
      <c r="F31">
        <v>9</v>
      </c>
      <c r="G31">
        <v>16</v>
      </c>
      <c r="H31" t="s">
        <v>6987</v>
      </c>
      <c r="J31" t="s">
        <v>6988</v>
      </c>
      <c r="M31" t="s">
        <v>6989</v>
      </c>
      <c r="N31">
        <v>1.982575982</v>
      </c>
      <c r="O31">
        <v>3.4571926419999999</v>
      </c>
      <c r="P31">
        <v>-0.114791479</v>
      </c>
      <c r="Q31">
        <v>1.868949E-3</v>
      </c>
      <c r="S31" s="13">
        <v>-0.70584389999999997</v>
      </c>
      <c r="T31">
        <v>2.840816512</v>
      </c>
      <c r="U31">
        <v>0.118565456</v>
      </c>
    </row>
    <row r="32" spans="1:21" x14ac:dyDescent="0.2">
      <c r="A32" t="s">
        <v>622</v>
      </c>
      <c r="B32">
        <v>1196840</v>
      </c>
      <c r="C32" t="s">
        <v>6910</v>
      </c>
      <c r="D32" t="s">
        <v>622</v>
      </c>
      <c r="E32" t="s">
        <v>6928</v>
      </c>
      <c r="F32">
        <v>10</v>
      </c>
      <c r="G32">
        <v>16</v>
      </c>
      <c r="H32" t="s">
        <v>6990</v>
      </c>
      <c r="J32" t="s">
        <v>624</v>
      </c>
      <c r="M32" t="s">
        <v>6991</v>
      </c>
      <c r="N32">
        <v>1.9874741039999999</v>
      </c>
      <c r="O32">
        <v>3.7453511220000002</v>
      </c>
      <c r="P32">
        <v>0.451009722</v>
      </c>
      <c r="Q32">
        <v>-0.102386592</v>
      </c>
      <c r="S32" s="13">
        <v>-0.72501237299999999</v>
      </c>
      <c r="T32">
        <v>2.7570546669999998</v>
      </c>
      <c r="U32">
        <v>0.135434678</v>
      </c>
    </row>
    <row r="33" spans="1:21" x14ac:dyDescent="0.2">
      <c r="A33" t="s">
        <v>551</v>
      </c>
      <c r="B33">
        <v>1183120</v>
      </c>
      <c r="C33" t="s">
        <v>6910</v>
      </c>
      <c r="D33" t="s">
        <v>551</v>
      </c>
      <c r="E33" t="s">
        <v>6928</v>
      </c>
      <c r="F33">
        <v>11</v>
      </c>
      <c r="G33">
        <v>16</v>
      </c>
      <c r="H33" t="s">
        <v>6992</v>
      </c>
      <c r="J33" t="s">
        <v>867</v>
      </c>
      <c r="M33" t="s">
        <v>6993</v>
      </c>
      <c r="N33">
        <v>1.9874741039999999</v>
      </c>
      <c r="O33">
        <v>3.7453511220000002</v>
      </c>
      <c r="P33">
        <v>0.451009722</v>
      </c>
      <c r="Q33">
        <v>-0.102386592</v>
      </c>
      <c r="S33" s="13">
        <v>-0.73977363200000001</v>
      </c>
      <c r="T33">
        <v>2.6925513379999999</v>
      </c>
      <c r="U33">
        <v>0.13068138900000001</v>
      </c>
    </row>
    <row r="34" spans="1:21" x14ac:dyDescent="0.2">
      <c r="A34" t="s">
        <v>1119</v>
      </c>
      <c r="B34">
        <v>1059200</v>
      </c>
      <c r="C34" t="s">
        <v>6961</v>
      </c>
      <c r="D34" t="s">
        <v>1120</v>
      </c>
      <c r="E34" t="s">
        <v>6915</v>
      </c>
      <c r="F34">
        <v>9</v>
      </c>
      <c r="G34">
        <v>13</v>
      </c>
      <c r="H34" t="s">
        <v>6994</v>
      </c>
      <c r="J34" t="s">
        <v>4650</v>
      </c>
      <c r="M34" t="s">
        <v>6995</v>
      </c>
      <c r="N34">
        <v>2.7247480949999998</v>
      </c>
      <c r="O34">
        <v>7.0822175119999997</v>
      </c>
      <c r="P34">
        <v>0.61298291999999999</v>
      </c>
      <c r="Q34">
        <v>0.48262032500000002</v>
      </c>
      <c r="S34" s="13">
        <v>-0.74131598099999996</v>
      </c>
      <c r="T34">
        <v>2.6858116249999999</v>
      </c>
      <c r="U34">
        <v>0.137826222</v>
      </c>
    </row>
    <row r="35" spans="1:21" x14ac:dyDescent="0.2">
      <c r="A35" t="s">
        <v>124</v>
      </c>
      <c r="B35">
        <v>1051520</v>
      </c>
      <c r="C35" t="s">
        <v>6961</v>
      </c>
      <c r="D35" t="s">
        <v>125</v>
      </c>
      <c r="E35" t="s">
        <v>6918</v>
      </c>
      <c r="F35">
        <v>7</v>
      </c>
      <c r="G35">
        <v>1</v>
      </c>
      <c r="H35" t="s">
        <v>6996</v>
      </c>
      <c r="J35" t="s">
        <v>6487</v>
      </c>
      <c r="M35" t="s">
        <v>6997</v>
      </c>
      <c r="N35">
        <v>2.7247480949999998</v>
      </c>
      <c r="O35">
        <v>7.0822175119999997</v>
      </c>
      <c r="P35">
        <v>0.61298291999999999</v>
      </c>
      <c r="Q35">
        <v>0.48262032500000002</v>
      </c>
      <c r="S35" s="13">
        <v>-0.747395586</v>
      </c>
      <c r="T35">
        <v>2.6592451420000001</v>
      </c>
      <c r="U35">
        <v>0.135186523</v>
      </c>
    </row>
    <row r="36" spans="1:21" x14ac:dyDescent="0.2">
      <c r="A36" t="s">
        <v>239</v>
      </c>
      <c r="B36">
        <v>1044520</v>
      </c>
      <c r="C36" t="s">
        <v>6961</v>
      </c>
      <c r="D36" t="s">
        <v>240</v>
      </c>
      <c r="E36" t="s">
        <v>6977</v>
      </c>
      <c r="F36">
        <v>1</v>
      </c>
      <c r="G36">
        <v>5</v>
      </c>
      <c r="H36" t="s">
        <v>6998</v>
      </c>
      <c r="J36" t="s">
        <v>1086</v>
      </c>
      <c r="M36" t="s">
        <v>6999</v>
      </c>
      <c r="N36">
        <v>2.7247480949999998</v>
      </c>
      <c r="O36">
        <v>7.0822175119999997</v>
      </c>
      <c r="P36">
        <v>0.61298291999999999</v>
      </c>
      <c r="Q36">
        <v>0.48262032500000002</v>
      </c>
      <c r="S36" s="13">
        <v>-0.75293689200000002</v>
      </c>
      <c r="T36">
        <v>2.6350308990000002</v>
      </c>
      <c r="U36">
        <v>0.13276648999999999</v>
      </c>
    </row>
    <row r="37" spans="1:21" x14ac:dyDescent="0.2">
      <c r="A37" t="s">
        <v>963</v>
      </c>
      <c r="B37">
        <v>1032200</v>
      </c>
      <c r="C37" t="s">
        <v>6961</v>
      </c>
      <c r="D37" t="s">
        <v>963</v>
      </c>
      <c r="E37" t="s">
        <v>6939</v>
      </c>
      <c r="F37">
        <v>20</v>
      </c>
      <c r="G37">
        <v>2</v>
      </c>
      <c r="H37" t="s">
        <v>7000</v>
      </c>
      <c r="J37" t="s">
        <v>6559</v>
      </c>
      <c r="M37" t="s">
        <v>7001</v>
      </c>
      <c r="N37">
        <v>2.7247480949999998</v>
      </c>
      <c r="O37">
        <v>7.0822175119999997</v>
      </c>
      <c r="P37">
        <v>0.61298291999999999</v>
      </c>
      <c r="Q37">
        <v>0.48262032500000002</v>
      </c>
      <c r="S37" s="13">
        <v>-0.76268959199999997</v>
      </c>
      <c r="T37">
        <v>2.5924138320000001</v>
      </c>
      <c r="U37">
        <v>0.12847420200000001</v>
      </c>
    </row>
    <row r="38" spans="1:21" x14ac:dyDescent="0.2">
      <c r="A38" t="s">
        <v>846</v>
      </c>
      <c r="B38">
        <v>1030040</v>
      </c>
      <c r="C38" t="s">
        <v>6961</v>
      </c>
      <c r="D38" t="s">
        <v>847</v>
      </c>
      <c r="E38" t="s">
        <v>6911</v>
      </c>
      <c r="F38">
        <v>9</v>
      </c>
      <c r="G38">
        <v>12</v>
      </c>
      <c r="H38" t="s">
        <v>7002</v>
      </c>
      <c r="J38" t="s">
        <v>5509</v>
      </c>
      <c r="M38" t="s">
        <v>7003</v>
      </c>
      <c r="N38">
        <v>2.7247480949999998</v>
      </c>
      <c r="O38">
        <v>7.0822175119999997</v>
      </c>
      <c r="P38">
        <v>0.61298291999999999</v>
      </c>
      <c r="Q38">
        <v>0.48262032500000002</v>
      </c>
      <c r="S38" s="13">
        <v>-0.76439948099999999</v>
      </c>
      <c r="T38">
        <v>2.5849420090000002</v>
      </c>
      <c r="U38">
        <v>0.12771726799999999</v>
      </c>
    </row>
    <row r="39" spans="1:21" x14ac:dyDescent="0.2">
      <c r="A39" t="s">
        <v>52</v>
      </c>
      <c r="B39">
        <v>1029960</v>
      </c>
      <c r="C39" t="s">
        <v>6961</v>
      </c>
      <c r="D39" t="s">
        <v>53</v>
      </c>
      <c r="E39" t="s">
        <v>6918</v>
      </c>
      <c r="F39">
        <v>2</v>
      </c>
      <c r="G39">
        <v>1</v>
      </c>
      <c r="H39" t="s">
        <v>7004</v>
      </c>
      <c r="J39" t="s">
        <v>946</v>
      </c>
      <c r="M39" t="s">
        <v>7005</v>
      </c>
      <c r="N39">
        <v>2.7247480949999998</v>
      </c>
      <c r="O39">
        <v>7.0822175119999997</v>
      </c>
      <c r="P39">
        <v>0.61298291999999999</v>
      </c>
      <c r="Q39">
        <v>0.48262032500000002</v>
      </c>
      <c r="S39" s="13">
        <v>-0.76446281000000005</v>
      </c>
      <c r="T39">
        <v>2.5846652749999999</v>
      </c>
      <c r="U39">
        <v>0.127689208</v>
      </c>
    </row>
    <row r="40" spans="1:21" x14ac:dyDescent="0.2">
      <c r="A40" t="s">
        <v>2443</v>
      </c>
      <c r="B40">
        <v>991440</v>
      </c>
      <c r="C40" t="s">
        <v>6931</v>
      </c>
      <c r="D40" t="s">
        <v>2444</v>
      </c>
      <c r="E40" t="s">
        <v>7006</v>
      </c>
      <c r="F40">
        <v>1</v>
      </c>
      <c r="G40">
        <v>3</v>
      </c>
      <c r="H40" t="s">
        <v>7007</v>
      </c>
      <c r="J40" t="s">
        <v>4609</v>
      </c>
      <c r="M40" t="s">
        <v>7008</v>
      </c>
      <c r="N40">
        <v>1.9323965059999999</v>
      </c>
      <c r="O40">
        <v>3.0528020530000002</v>
      </c>
      <c r="P40">
        <v>2.6493138999999999E-2</v>
      </c>
      <c r="Q40">
        <v>-0.38692188</v>
      </c>
      <c r="S40" s="13">
        <v>-0.76977859500000001</v>
      </c>
      <c r="T40">
        <v>2.5614365069999998</v>
      </c>
      <c r="U40">
        <v>8.9218679999999995E-2</v>
      </c>
    </row>
    <row r="41" spans="1:21" x14ac:dyDescent="0.2">
      <c r="A41" t="s">
        <v>165</v>
      </c>
      <c r="B41">
        <v>1151920</v>
      </c>
      <c r="C41" t="s">
        <v>6910</v>
      </c>
      <c r="D41" t="s">
        <v>166</v>
      </c>
      <c r="E41" t="s">
        <v>6928</v>
      </c>
      <c r="F41">
        <v>2</v>
      </c>
      <c r="G41">
        <v>16</v>
      </c>
      <c r="H41" t="s">
        <v>7009</v>
      </c>
      <c r="J41" t="s">
        <v>4006</v>
      </c>
      <c r="M41" t="s">
        <v>7010</v>
      </c>
      <c r="N41">
        <v>1.9874741039999999</v>
      </c>
      <c r="O41">
        <v>3.7453511220000002</v>
      </c>
      <c r="P41">
        <v>0.451009722</v>
      </c>
      <c r="Q41">
        <v>-0.102386592</v>
      </c>
      <c r="S41" s="13">
        <v>-0.77334150999999995</v>
      </c>
      <c r="T41">
        <v>2.5458673840000001</v>
      </c>
      <c r="U41">
        <v>0.119674482</v>
      </c>
    </row>
    <row r="42" spans="1:21" x14ac:dyDescent="0.2">
      <c r="A42" t="s">
        <v>33</v>
      </c>
      <c r="B42">
        <v>1104400</v>
      </c>
      <c r="C42" t="s">
        <v>6945</v>
      </c>
      <c r="D42" t="s">
        <v>33</v>
      </c>
      <c r="E42" t="s">
        <v>6918</v>
      </c>
      <c r="F42">
        <v>17</v>
      </c>
      <c r="G42">
        <v>1</v>
      </c>
      <c r="H42" t="s">
        <v>7011</v>
      </c>
      <c r="J42" t="s">
        <v>3254</v>
      </c>
      <c r="M42" t="s">
        <v>7012</v>
      </c>
      <c r="N42">
        <v>2.2220813349999999</v>
      </c>
      <c r="O42">
        <v>6.5440947090000003</v>
      </c>
      <c r="P42">
        <v>0.58228215500000002</v>
      </c>
      <c r="Q42">
        <v>0.35188233000000002</v>
      </c>
      <c r="S42" s="13">
        <v>-0.77656624299999999</v>
      </c>
      <c r="T42">
        <v>2.5317760370000002</v>
      </c>
      <c r="U42">
        <v>9.6221373999999998E-2</v>
      </c>
    </row>
    <row r="43" spans="1:21" x14ac:dyDescent="0.2">
      <c r="A43" t="s">
        <v>89</v>
      </c>
      <c r="B43">
        <v>999320</v>
      </c>
      <c r="C43" t="s">
        <v>6906</v>
      </c>
      <c r="D43" t="s">
        <v>90</v>
      </c>
      <c r="E43" t="s">
        <v>6921</v>
      </c>
      <c r="F43">
        <v>1</v>
      </c>
      <c r="G43">
        <v>8</v>
      </c>
      <c r="H43" t="s">
        <v>7013</v>
      </c>
      <c r="J43" t="s">
        <v>641</v>
      </c>
      <c r="M43" t="s">
        <v>7014</v>
      </c>
      <c r="N43">
        <v>1.813871112</v>
      </c>
      <c r="O43">
        <v>2.6633694910000001</v>
      </c>
      <c r="P43">
        <v>-0.29586356800000002</v>
      </c>
      <c r="Q43">
        <v>-0.59018158399999998</v>
      </c>
      <c r="S43" s="13">
        <v>-0.77893515199999996</v>
      </c>
      <c r="T43">
        <v>2.52142445</v>
      </c>
      <c r="U43">
        <v>4.4744879000000001E-2</v>
      </c>
    </row>
    <row r="44" spans="1:21" x14ac:dyDescent="0.2">
      <c r="A44" t="s">
        <v>385</v>
      </c>
      <c r="B44">
        <v>995240</v>
      </c>
      <c r="C44" t="s">
        <v>6906</v>
      </c>
      <c r="D44" t="s">
        <v>386</v>
      </c>
      <c r="E44" t="s">
        <v>6928</v>
      </c>
      <c r="F44">
        <v>7</v>
      </c>
      <c r="G44">
        <v>16</v>
      </c>
      <c r="H44" t="s">
        <v>7015</v>
      </c>
      <c r="J44" t="s">
        <v>388</v>
      </c>
      <c r="M44" t="s">
        <v>7016</v>
      </c>
      <c r="N44">
        <v>1.813871112</v>
      </c>
      <c r="O44">
        <v>2.6633694910000001</v>
      </c>
      <c r="P44">
        <v>-0.29586356800000002</v>
      </c>
      <c r="Q44">
        <v>-0.59018158399999998</v>
      </c>
      <c r="S44" s="13">
        <v>-0.78485419999999995</v>
      </c>
      <c r="T44">
        <v>2.495559562</v>
      </c>
      <c r="U44">
        <v>4.3009144999999999E-2</v>
      </c>
    </row>
    <row r="45" spans="1:21" x14ac:dyDescent="0.2">
      <c r="A45" t="s">
        <v>169</v>
      </c>
      <c r="B45">
        <v>1138000</v>
      </c>
      <c r="C45" t="s">
        <v>6910</v>
      </c>
      <c r="D45" t="s">
        <v>169</v>
      </c>
      <c r="E45" t="s">
        <v>6918</v>
      </c>
      <c r="F45">
        <v>16</v>
      </c>
      <c r="G45">
        <v>1</v>
      </c>
      <c r="H45" t="s">
        <v>7017</v>
      </c>
      <c r="J45" t="s">
        <v>2182</v>
      </c>
      <c r="M45" t="s">
        <v>7018</v>
      </c>
      <c r="N45">
        <v>1.9874741039999999</v>
      </c>
      <c r="O45">
        <v>3.7453511220000002</v>
      </c>
      <c r="P45">
        <v>0.451009722</v>
      </c>
      <c r="Q45">
        <v>-0.102386592</v>
      </c>
      <c r="S45" s="13">
        <v>-0.78831794799999999</v>
      </c>
      <c r="T45">
        <v>2.4804237740000001</v>
      </c>
      <c r="U45">
        <v>0.114672251</v>
      </c>
    </row>
    <row r="46" spans="1:21" x14ac:dyDescent="0.2">
      <c r="A46" t="s">
        <v>221</v>
      </c>
      <c r="B46">
        <v>1147880</v>
      </c>
      <c r="C46" t="s">
        <v>6942</v>
      </c>
      <c r="D46" t="s">
        <v>221</v>
      </c>
      <c r="E46" t="s">
        <v>6928</v>
      </c>
      <c r="F46">
        <v>12</v>
      </c>
      <c r="G46">
        <v>16</v>
      </c>
      <c r="H46" t="s">
        <v>7019</v>
      </c>
      <c r="J46" t="s">
        <v>678</v>
      </c>
      <c r="M46" t="s">
        <v>7020</v>
      </c>
      <c r="N46">
        <v>2.0902262079999998</v>
      </c>
      <c r="O46">
        <v>4.2704203920000001</v>
      </c>
      <c r="P46">
        <v>0.23425843900000001</v>
      </c>
      <c r="Q46">
        <v>1.6181978999999999E-2</v>
      </c>
      <c r="S46" s="13">
        <v>-0.79060911199999995</v>
      </c>
      <c r="T46">
        <v>2.4704119109999998</v>
      </c>
      <c r="U46">
        <v>8.5802020000000007E-2</v>
      </c>
    </row>
    <row r="47" spans="1:21" x14ac:dyDescent="0.2">
      <c r="A47" t="s">
        <v>912</v>
      </c>
      <c r="B47">
        <v>983920</v>
      </c>
      <c r="C47" t="s">
        <v>6961</v>
      </c>
      <c r="D47" t="s">
        <v>912</v>
      </c>
      <c r="E47" t="s">
        <v>6921</v>
      </c>
      <c r="F47">
        <v>23</v>
      </c>
      <c r="G47">
        <v>8</v>
      </c>
      <c r="H47" t="s">
        <v>7021</v>
      </c>
      <c r="J47" t="s">
        <v>5691</v>
      </c>
      <c r="M47" t="s">
        <v>7022</v>
      </c>
      <c r="N47">
        <v>2.7247480949999998</v>
      </c>
      <c r="O47">
        <v>7.0822175119999997</v>
      </c>
      <c r="P47">
        <v>0.61298291999999999</v>
      </c>
      <c r="Q47">
        <v>0.48262032500000002</v>
      </c>
      <c r="S47" s="13">
        <v>-0.80090877400000005</v>
      </c>
      <c r="T47">
        <v>2.425404742</v>
      </c>
      <c r="U47">
        <v>0.111232277</v>
      </c>
    </row>
    <row r="48" spans="1:21" x14ac:dyDescent="0.2">
      <c r="A48" t="s">
        <v>572</v>
      </c>
      <c r="B48">
        <v>1136680</v>
      </c>
      <c r="C48" t="s">
        <v>6942</v>
      </c>
      <c r="D48" t="s">
        <v>572</v>
      </c>
      <c r="E48" t="s">
        <v>7006</v>
      </c>
      <c r="F48">
        <v>13</v>
      </c>
      <c r="G48">
        <v>3</v>
      </c>
      <c r="H48" t="s">
        <v>7023</v>
      </c>
      <c r="J48" t="s">
        <v>2185</v>
      </c>
      <c r="M48" t="s">
        <v>7024</v>
      </c>
      <c r="N48">
        <v>2.0902262079999998</v>
      </c>
      <c r="O48">
        <v>4.2704203920000001</v>
      </c>
      <c r="P48">
        <v>0.23425843900000001</v>
      </c>
      <c r="Q48">
        <v>1.6181978999999999E-2</v>
      </c>
      <c r="S48" s="13">
        <v>-0.80160178999999998</v>
      </c>
      <c r="T48">
        <v>2.42237642</v>
      </c>
      <c r="U48">
        <v>8.1454030999999996E-2</v>
      </c>
    </row>
    <row r="49" spans="1:21" x14ac:dyDescent="0.2">
      <c r="A49" t="s">
        <v>408</v>
      </c>
      <c r="B49">
        <v>970280</v>
      </c>
      <c r="C49" t="s">
        <v>6961</v>
      </c>
      <c r="D49" t="s">
        <v>408</v>
      </c>
      <c r="E49" t="s">
        <v>6918</v>
      </c>
      <c r="F49">
        <v>10</v>
      </c>
      <c r="G49">
        <v>1</v>
      </c>
      <c r="H49" t="s">
        <v>7025</v>
      </c>
      <c r="J49" t="s">
        <v>2095</v>
      </c>
      <c r="M49" t="s">
        <v>7026</v>
      </c>
      <c r="N49">
        <v>2.7247480949999998</v>
      </c>
      <c r="O49">
        <v>7.0822175119999997</v>
      </c>
      <c r="P49">
        <v>0.61298291999999999</v>
      </c>
      <c r="Q49">
        <v>0.48262032500000002</v>
      </c>
      <c r="S49" s="13">
        <v>-0.81170640599999999</v>
      </c>
      <c r="T49">
        <v>2.3782215610000002</v>
      </c>
      <c r="U49">
        <v>0.10623447699999999</v>
      </c>
    </row>
    <row r="50" spans="1:21" x14ac:dyDescent="0.2">
      <c r="A50" t="s">
        <v>263</v>
      </c>
      <c r="B50">
        <v>970200</v>
      </c>
      <c r="C50" t="s">
        <v>6961</v>
      </c>
      <c r="D50" t="s">
        <v>264</v>
      </c>
      <c r="E50" t="s">
        <v>6974</v>
      </c>
      <c r="F50">
        <v>5</v>
      </c>
      <c r="G50">
        <v>15</v>
      </c>
      <c r="H50" t="s">
        <v>7027</v>
      </c>
      <c r="J50" t="s">
        <v>5313</v>
      </c>
      <c r="M50" t="s">
        <v>7028</v>
      </c>
      <c r="N50">
        <v>2.7247480949999998</v>
      </c>
      <c r="O50">
        <v>7.0822175119999997</v>
      </c>
      <c r="P50">
        <v>0.61298291999999999</v>
      </c>
      <c r="Q50">
        <v>0.48262032500000002</v>
      </c>
      <c r="S50" s="13">
        <v>-0.81176973500000005</v>
      </c>
      <c r="T50">
        <v>2.3779448259999998</v>
      </c>
      <c r="U50">
        <v>0.106204994</v>
      </c>
    </row>
    <row r="51" spans="1:21" x14ac:dyDescent="0.2">
      <c r="A51" t="s">
        <v>1215</v>
      </c>
      <c r="B51">
        <v>967240</v>
      </c>
      <c r="C51" t="s">
        <v>6961</v>
      </c>
      <c r="D51" t="s">
        <v>1215</v>
      </c>
      <c r="E51" t="s">
        <v>6970</v>
      </c>
      <c r="F51">
        <v>18</v>
      </c>
      <c r="G51">
        <v>14</v>
      </c>
      <c r="H51" t="s">
        <v>7029</v>
      </c>
      <c r="J51" t="s">
        <v>6309</v>
      </c>
      <c r="M51" t="s">
        <v>7030</v>
      </c>
      <c r="N51">
        <v>2.7247480949999998</v>
      </c>
      <c r="O51">
        <v>7.0822175119999997</v>
      </c>
      <c r="P51">
        <v>0.61298291999999999</v>
      </c>
      <c r="Q51">
        <v>0.48262032500000002</v>
      </c>
      <c r="S51" s="13">
        <v>-0.81411291600000002</v>
      </c>
      <c r="T51">
        <v>2.367705661</v>
      </c>
      <c r="U51">
        <v>0.10511271699999999</v>
      </c>
    </row>
    <row r="52" spans="1:21" x14ac:dyDescent="0.2">
      <c r="A52" t="s">
        <v>158</v>
      </c>
      <c r="B52">
        <v>963240</v>
      </c>
      <c r="C52" t="s">
        <v>6961</v>
      </c>
      <c r="D52" t="s">
        <v>158</v>
      </c>
      <c r="E52" t="s">
        <v>6918</v>
      </c>
      <c r="F52">
        <v>24</v>
      </c>
      <c r="G52">
        <v>1</v>
      </c>
      <c r="H52" t="s">
        <v>7031</v>
      </c>
      <c r="J52" t="s">
        <v>368</v>
      </c>
      <c r="M52" t="s">
        <v>7032</v>
      </c>
      <c r="N52">
        <v>2.7247480949999998</v>
      </c>
      <c r="O52">
        <v>7.0822175119999997</v>
      </c>
      <c r="P52">
        <v>0.61298291999999999</v>
      </c>
      <c r="Q52">
        <v>0.48262032500000002</v>
      </c>
      <c r="S52" s="13">
        <v>-0.81727937699999997</v>
      </c>
      <c r="T52">
        <v>2.3538689509999999</v>
      </c>
      <c r="U52">
        <v>0.103632288</v>
      </c>
    </row>
    <row r="53" spans="1:21" x14ac:dyDescent="0.2">
      <c r="A53" t="s">
        <v>438</v>
      </c>
      <c r="B53">
        <v>962440</v>
      </c>
      <c r="C53" t="s">
        <v>6961</v>
      </c>
      <c r="D53" t="s">
        <v>438</v>
      </c>
      <c r="E53" t="s">
        <v>6956</v>
      </c>
      <c r="F53">
        <v>11</v>
      </c>
      <c r="G53">
        <v>7</v>
      </c>
      <c r="H53" t="s">
        <v>7033</v>
      </c>
      <c r="J53" t="s">
        <v>2134</v>
      </c>
      <c r="M53" t="s">
        <v>7034</v>
      </c>
      <c r="N53">
        <v>2.7247480949999998</v>
      </c>
      <c r="O53">
        <v>7.0822175119999997</v>
      </c>
      <c r="P53">
        <v>0.61298291999999999</v>
      </c>
      <c r="Q53">
        <v>0.48262032500000002</v>
      </c>
      <c r="S53" s="13">
        <v>-0.81791266900000004</v>
      </c>
      <c r="T53">
        <v>2.3511016090000001</v>
      </c>
      <c r="U53">
        <v>0.103335596</v>
      </c>
    </row>
    <row r="54" spans="1:21" x14ac:dyDescent="0.2">
      <c r="A54" t="s">
        <v>63</v>
      </c>
      <c r="B54">
        <v>1107320</v>
      </c>
      <c r="C54" t="s">
        <v>6910</v>
      </c>
      <c r="D54" t="s">
        <v>63</v>
      </c>
      <c r="E54" t="s">
        <v>6918</v>
      </c>
      <c r="F54">
        <v>23</v>
      </c>
      <c r="G54">
        <v>1</v>
      </c>
      <c r="H54" t="s">
        <v>7035</v>
      </c>
      <c r="J54" t="s">
        <v>1388</v>
      </c>
      <c r="M54" t="s">
        <v>7036</v>
      </c>
      <c r="N54">
        <v>1.9874741039999999</v>
      </c>
      <c r="O54">
        <v>3.7453511220000002</v>
      </c>
      <c r="P54">
        <v>0.451009722</v>
      </c>
      <c r="Q54">
        <v>-0.102386592</v>
      </c>
      <c r="S54" s="13">
        <v>-0.82132636199999998</v>
      </c>
      <c r="T54">
        <v>2.3361845529999998</v>
      </c>
      <c r="U54">
        <v>0.103439461</v>
      </c>
    </row>
    <row r="55" spans="1:21" x14ac:dyDescent="0.2">
      <c r="A55" t="s">
        <v>293</v>
      </c>
      <c r="B55">
        <v>1056520</v>
      </c>
      <c r="C55" t="s">
        <v>6945</v>
      </c>
      <c r="D55" t="s">
        <v>293</v>
      </c>
      <c r="E55" t="s">
        <v>6977</v>
      </c>
      <c r="F55">
        <v>24</v>
      </c>
      <c r="G55">
        <v>5</v>
      </c>
      <c r="H55" t="s">
        <v>7037</v>
      </c>
      <c r="J55" t="s">
        <v>2953</v>
      </c>
      <c r="M55" t="s">
        <v>7038</v>
      </c>
      <c r="N55">
        <v>2.2220813349999999</v>
      </c>
      <c r="O55">
        <v>6.5440947090000003</v>
      </c>
      <c r="P55">
        <v>0.58228215500000002</v>
      </c>
      <c r="Q55">
        <v>0.35188233000000002</v>
      </c>
      <c r="S55" s="13">
        <v>-0.82172838599999998</v>
      </c>
      <c r="T55">
        <v>2.3344277990000002</v>
      </c>
      <c r="U55">
        <v>7.7778792999999999E-2</v>
      </c>
    </row>
    <row r="56" spans="1:21" x14ac:dyDescent="0.2">
      <c r="A56" t="s">
        <v>583</v>
      </c>
      <c r="B56">
        <v>1104200</v>
      </c>
      <c r="C56" t="s">
        <v>6910</v>
      </c>
      <c r="D56" t="s">
        <v>583</v>
      </c>
      <c r="E56" t="s">
        <v>6907</v>
      </c>
      <c r="F56">
        <v>23</v>
      </c>
      <c r="G56">
        <v>4</v>
      </c>
      <c r="H56" t="s">
        <v>7039</v>
      </c>
      <c r="J56" t="s">
        <v>3113</v>
      </c>
      <c r="M56" t="s">
        <v>7040</v>
      </c>
      <c r="N56">
        <v>1.9874741039999999</v>
      </c>
      <c r="O56">
        <v>3.7453511220000002</v>
      </c>
      <c r="P56">
        <v>0.451009722</v>
      </c>
      <c r="Q56">
        <v>-0.102386592</v>
      </c>
      <c r="S56" s="13">
        <v>-0.82468314899999995</v>
      </c>
      <c r="T56">
        <v>2.321516157</v>
      </c>
      <c r="U56">
        <v>0.102280698</v>
      </c>
    </row>
    <row r="57" spans="1:21" x14ac:dyDescent="0.2">
      <c r="A57" t="s">
        <v>259</v>
      </c>
      <c r="B57">
        <v>966400</v>
      </c>
      <c r="C57" t="s">
        <v>6906</v>
      </c>
      <c r="D57" t="s">
        <v>260</v>
      </c>
      <c r="E57" t="s">
        <v>6956</v>
      </c>
      <c r="F57">
        <v>1</v>
      </c>
      <c r="G57">
        <v>7</v>
      </c>
      <c r="H57" t="s">
        <v>7041</v>
      </c>
      <c r="J57" t="s">
        <v>2890</v>
      </c>
      <c r="M57" t="s">
        <v>7042</v>
      </c>
      <c r="N57">
        <v>1.813871112</v>
      </c>
      <c r="O57">
        <v>2.6633694910000001</v>
      </c>
      <c r="P57">
        <v>-0.29586356800000002</v>
      </c>
      <c r="Q57">
        <v>-0.59018158399999998</v>
      </c>
      <c r="S57" s="13">
        <v>-0.82669374699999998</v>
      </c>
      <c r="T57">
        <v>2.312730304</v>
      </c>
      <c r="U57">
        <v>3.0537979999999999E-2</v>
      </c>
    </row>
    <row r="58" spans="1:21" x14ac:dyDescent="0.2">
      <c r="A58" t="s">
        <v>709</v>
      </c>
      <c r="B58">
        <v>1258800</v>
      </c>
      <c r="C58" t="s">
        <v>6938</v>
      </c>
      <c r="D58" t="s">
        <v>709</v>
      </c>
      <c r="E58" t="s">
        <v>6928</v>
      </c>
      <c r="F58">
        <v>20</v>
      </c>
      <c r="G58">
        <v>16</v>
      </c>
      <c r="H58" t="s">
        <v>7043</v>
      </c>
      <c r="J58" t="s">
        <v>4756</v>
      </c>
      <c r="M58" t="s">
        <v>7044</v>
      </c>
      <c r="N58">
        <v>2.092758737</v>
      </c>
      <c r="O58">
        <v>5.3323610669999999</v>
      </c>
      <c r="P58">
        <v>0.70420098600000003</v>
      </c>
      <c r="Q58">
        <v>0.41355372699999998</v>
      </c>
      <c r="S58" s="13">
        <v>-0.83404328400000005</v>
      </c>
      <c r="T58">
        <v>2.2806145080000002</v>
      </c>
      <c r="U58">
        <v>0.10410657500000001</v>
      </c>
    </row>
    <row r="59" spans="1:21" x14ac:dyDescent="0.2">
      <c r="A59" t="s">
        <v>663</v>
      </c>
      <c r="B59">
        <v>939960</v>
      </c>
      <c r="C59" t="s">
        <v>6961</v>
      </c>
      <c r="D59" t="s">
        <v>663</v>
      </c>
      <c r="E59" t="s">
        <v>6918</v>
      </c>
      <c r="F59">
        <v>15</v>
      </c>
      <c r="G59">
        <v>1</v>
      </c>
      <c r="H59" t="s">
        <v>7045</v>
      </c>
      <c r="J59" t="s">
        <v>6611</v>
      </c>
      <c r="M59" t="s">
        <v>7046</v>
      </c>
      <c r="N59">
        <v>2.7247480949999998</v>
      </c>
      <c r="O59">
        <v>7.0822175119999997</v>
      </c>
      <c r="P59">
        <v>0.61298291999999999</v>
      </c>
      <c r="Q59">
        <v>0.48262032500000002</v>
      </c>
      <c r="S59" s="13">
        <v>-0.83570817900000005</v>
      </c>
      <c r="T59">
        <v>2.2733392979999998</v>
      </c>
      <c r="U59">
        <v>9.4914576E-2</v>
      </c>
    </row>
    <row r="60" spans="1:21" x14ac:dyDescent="0.2">
      <c r="A60" t="s">
        <v>385</v>
      </c>
      <c r="B60">
        <v>936800</v>
      </c>
      <c r="C60" t="s">
        <v>6961</v>
      </c>
      <c r="D60" t="s">
        <v>386</v>
      </c>
      <c r="E60" t="s">
        <v>6928</v>
      </c>
      <c r="F60">
        <v>7</v>
      </c>
      <c r="G60">
        <v>16</v>
      </c>
      <c r="H60" t="s">
        <v>7047</v>
      </c>
      <c r="J60" t="s">
        <v>4641</v>
      </c>
      <c r="M60" t="s">
        <v>7048</v>
      </c>
      <c r="N60">
        <v>2.7247480949999998</v>
      </c>
      <c r="O60">
        <v>7.0822175119999997</v>
      </c>
      <c r="P60">
        <v>0.61298291999999999</v>
      </c>
      <c r="Q60">
        <v>0.48262032500000002</v>
      </c>
      <c r="S60" s="13">
        <v>-0.83820968299999998</v>
      </c>
      <c r="T60">
        <v>2.2624082969999999</v>
      </c>
      <c r="U60">
        <v>9.3717640000000005E-2</v>
      </c>
    </row>
    <row r="61" spans="1:21" x14ac:dyDescent="0.2">
      <c r="A61" t="s">
        <v>372</v>
      </c>
      <c r="B61">
        <v>1032040</v>
      </c>
      <c r="C61" t="s">
        <v>6945</v>
      </c>
      <c r="D61" t="s">
        <v>372</v>
      </c>
      <c r="E61" t="s">
        <v>7006</v>
      </c>
      <c r="F61">
        <v>23</v>
      </c>
      <c r="G61">
        <v>3</v>
      </c>
      <c r="H61" t="s">
        <v>7049</v>
      </c>
      <c r="J61" t="s">
        <v>1393</v>
      </c>
      <c r="M61" t="s">
        <v>7050</v>
      </c>
      <c r="N61">
        <v>2.2220813349999999</v>
      </c>
      <c r="O61">
        <v>6.5440947090000003</v>
      </c>
      <c r="P61">
        <v>0.58228215500000002</v>
      </c>
      <c r="Q61">
        <v>0.35188233000000002</v>
      </c>
      <c r="S61" s="13">
        <v>-0.84481880399999998</v>
      </c>
      <c r="T61">
        <v>2.2335279479999999</v>
      </c>
      <c r="U61">
        <v>6.8038003E-2</v>
      </c>
    </row>
    <row r="62" spans="1:21" x14ac:dyDescent="0.2">
      <c r="A62" t="s">
        <v>89</v>
      </c>
      <c r="B62">
        <v>925720</v>
      </c>
      <c r="C62" t="s">
        <v>6961</v>
      </c>
      <c r="D62" t="s">
        <v>90</v>
      </c>
      <c r="E62" t="s">
        <v>6921</v>
      </c>
      <c r="F62">
        <v>1</v>
      </c>
      <c r="G62">
        <v>8</v>
      </c>
      <c r="H62" t="s">
        <v>7051</v>
      </c>
      <c r="J62" t="s">
        <v>2827</v>
      </c>
      <c r="M62" t="s">
        <v>7052</v>
      </c>
      <c r="N62">
        <v>2.7247480949999998</v>
      </c>
      <c r="O62">
        <v>7.0822175119999997</v>
      </c>
      <c r="P62">
        <v>0.61298291999999999</v>
      </c>
      <c r="Q62">
        <v>0.48262032500000002</v>
      </c>
      <c r="S62" s="13">
        <v>-0.84698077999999999</v>
      </c>
      <c r="T62">
        <v>2.2240806100000001</v>
      </c>
      <c r="U62">
        <v>8.9494532000000002E-2</v>
      </c>
    </row>
    <row r="63" spans="1:21" x14ac:dyDescent="0.2">
      <c r="A63" t="s">
        <v>94</v>
      </c>
      <c r="B63">
        <v>922360</v>
      </c>
      <c r="C63" t="s">
        <v>6961</v>
      </c>
      <c r="D63" t="s">
        <v>95</v>
      </c>
      <c r="E63" t="s">
        <v>6939</v>
      </c>
      <c r="F63">
        <v>1</v>
      </c>
      <c r="G63">
        <v>2</v>
      </c>
      <c r="H63" t="s">
        <v>7053</v>
      </c>
      <c r="J63" t="s">
        <v>3811</v>
      </c>
      <c r="M63" t="s">
        <v>7054</v>
      </c>
      <c r="N63">
        <v>2.7247480949999998</v>
      </c>
      <c r="O63">
        <v>7.0822175119999997</v>
      </c>
      <c r="P63">
        <v>0.61298291999999999</v>
      </c>
      <c r="Q63">
        <v>0.48262032500000002</v>
      </c>
      <c r="S63" s="13">
        <v>-0.84964060699999999</v>
      </c>
      <c r="T63">
        <v>2.2124577740000002</v>
      </c>
      <c r="U63">
        <v>8.8205720000000001E-2</v>
      </c>
    </row>
    <row r="64" spans="1:21" x14ac:dyDescent="0.2">
      <c r="A64" t="s">
        <v>775</v>
      </c>
      <c r="B64">
        <v>1134320</v>
      </c>
      <c r="C64" t="s">
        <v>6914</v>
      </c>
      <c r="D64" t="s">
        <v>776</v>
      </c>
      <c r="E64" t="s">
        <v>6939</v>
      </c>
      <c r="F64">
        <v>2</v>
      </c>
      <c r="G64">
        <v>2</v>
      </c>
      <c r="H64" t="s">
        <v>7055</v>
      </c>
      <c r="J64" t="s">
        <v>778</v>
      </c>
      <c r="M64" t="s">
        <v>7056</v>
      </c>
      <c r="N64">
        <v>1.8217074179999999</v>
      </c>
      <c r="O64">
        <v>4.1700741289999996</v>
      </c>
      <c r="P64">
        <v>0.189705977</v>
      </c>
      <c r="Q64">
        <v>-1.7194070999999998E-2</v>
      </c>
      <c r="S64" s="13">
        <v>-0.85266171099999999</v>
      </c>
      <c r="T64">
        <v>2.1992562370000002</v>
      </c>
      <c r="U64">
        <v>3.5900676999999999E-2</v>
      </c>
    </row>
    <row r="65" spans="1:21" x14ac:dyDescent="0.2">
      <c r="A65" t="s">
        <v>598</v>
      </c>
      <c r="B65">
        <v>1022680</v>
      </c>
      <c r="C65" t="s">
        <v>6945</v>
      </c>
      <c r="D65" t="s">
        <v>598</v>
      </c>
      <c r="E65" t="s">
        <v>7006</v>
      </c>
      <c r="F65">
        <v>22</v>
      </c>
      <c r="G65">
        <v>3</v>
      </c>
      <c r="H65" t="s">
        <v>7057</v>
      </c>
      <c r="J65" t="s">
        <v>786</v>
      </c>
      <c r="M65" t="s">
        <v>7058</v>
      </c>
      <c r="N65">
        <v>2.2220813349999999</v>
      </c>
      <c r="O65">
        <v>6.5440947090000003</v>
      </c>
      <c r="P65">
        <v>0.58228215500000002</v>
      </c>
      <c r="Q65">
        <v>0.35188233000000002</v>
      </c>
      <c r="S65" s="13">
        <v>-0.85364749399999995</v>
      </c>
      <c r="T65">
        <v>2.1949485929999999</v>
      </c>
      <c r="U65">
        <v>6.4255073999999995E-2</v>
      </c>
    </row>
    <row r="66" spans="1:21" x14ac:dyDescent="0.2">
      <c r="A66" t="s">
        <v>280</v>
      </c>
      <c r="B66">
        <v>913400</v>
      </c>
      <c r="C66" t="s">
        <v>6961</v>
      </c>
      <c r="D66" t="s">
        <v>280</v>
      </c>
      <c r="E66" t="s">
        <v>6921</v>
      </c>
      <c r="F66">
        <v>24</v>
      </c>
      <c r="G66">
        <v>8</v>
      </c>
      <c r="H66" t="s">
        <v>7059</v>
      </c>
      <c r="J66" t="s">
        <v>2587</v>
      </c>
      <c r="M66" t="s">
        <v>7060</v>
      </c>
      <c r="N66">
        <v>2.7247480949999998</v>
      </c>
      <c r="O66">
        <v>7.0822175119999997</v>
      </c>
      <c r="P66">
        <v>0.61298291999999999</v>
      </c>
      <c r="Q66">
        <v>0.48262032500000002</v>
      </c>
      <c r="S66" s="13">
        <v>-0.85673347899999996</v>
      </c>
      <c r="T66">
        <v>2.181463543</v>
      </c>
      <c r="U66">
        <v>8.4750074999999994E-2</v>
      </c>
    </row>
    <row r="67" spans="1:21" x14ac:dyDescent="0.2">
      <c r="A67" t="s">
        <v>203</v>
      </c>
      <c r="B67">
        <v>909760</v>
      </c>
      <c r="C67" t="s">
        <v>6961</v>
      </c>
      <c r="D67" t="s">
        <v>204</v>
      </c>
      <c r="E67" t="s">
        <v>6915</v>
      </c>
      <c r="F67">
        <v>1</v>
      </c>
      <c r="G67">
        <v>13</v>
      </c>
      <c r="H67" t="s">
        <v>7061</v>
      </c>
      <c r="J67" t="s">
        <v>5063</v>
      </c>
      <c r="M67" t="s">
        <v>7062</v>
      </c>
      <c r="N67">
        <v>2.7247480949999998</v>
      </c>
      <c r="O67">
        <v>7.0822175119999997</v>
      </c>
      <c r="P67">
        <v>0.61298291999999999</v>
      </c>
      <c r="Q67">
        <v>0.48262032500000002</v>
      </c>
      <c r="S67" s="13">
        <v>-0.85961495799999998</v>
      </c>
      <c r="T67">
        <v>2.1688721370000001</v>
      </c>
      <c r="U67">
        <v>8.3338326000000004E-2</v>
      </c>
    </row>
    <row r="68" spans="1:21" x14ac:dyDescent="0.2">
      <c r="A68" t="s">
        <v>283</v>
      </c>
      <c r="B68">
        <v>916240</v>
      </c>
      <c r="C68" t="s">
        <v>6931</v>
      </c>
      <c r="D68" t="s">
        <v>284</v>
      </c>
      <c r="E68" t="s">
        <v>6928</v>
      </c>
      <c r="F68">
        <v>6</v>
      </c>
      <c r="G68">
        <v>16</v>
      </c>
      <c r="H68" t="s">
        <v>7063</v>
      </c>
      <c r="N68">
        <v>1.9323965059999999</v>
      </c>
      <c r="O68">
        <v>3.0528020530000002</v>
      </c>
      <c r="P68">
        <v>2.6493138999999999E-2</v>
      </c>
      <c r="Q68">
        <v>-0.38692188</v>
      </c>
      <c r="S68" s="13">
        <v>-0.86858944900000001</v>
      </c>
      <c r="T68">
        <v>2.1296556660000001</v>
      </c>
      <c r="U68">
        <v>5.9397509000000001E-2</v>
      </c>
    </row>
    <row r="69" spans="1:21" x14ac:dyDescent="0.2">
      <c r="A69" t="s">
        <v>477</v>
      </c>
      <c r="B69">
        <v>1119880</v>
      </c>
      <c r="C69" t="s">
        <v>6914</v>
      </c>
      <c r="D69" t="s">
        <v>477</v>
      </c>
      <c r="E69" t="s">
        <v>6918</v>
      </c>
      <c r="F69">
        <v>12</v>
      </c>
      <c r="G69">
        <v>1</v>
      </c>
      <c r="H69" t="s">
        <v>7064</v>
      </c>
      <c r="J69" t="s">
        <v>479</v>
      </c>
      <c r="M69" t="s">
        <v>7065</v>
      </c>
      <c r="N69">
        <v>1.8217074179999999</v>
      </c>
      <c r="O69">
        <v>4.1700741289999996</v>
      </c>
      <c r="P69">
        <v>0.189705977</v>
      </c>
      <c r="Q69">
        <v>-1.7194070999999998E-2</v>
      </c>
      <c r="S69" s="13">
        <v>-0.87002958799999996</v>
      </c>
      <c r="T69">
        <v>2.1233625869999999</v>
      </c>
      <c r="U69">
        <v>2.9598157999999999E-2</v>
      </c>
    </row>
    <row r="70" spans="1:21" x14ac:dyDescent="0.2">
      <c r="A70" t="s">
        <v>656</v>
      </c>
      <c r="B70">
        <v>1066880</v>
      </c>
      <c r="C70" t="s">
        <v>6942</v>
      </c>
      <c r="D70" t="s">
        <v>656</v>
      </c>
      <c r="E70" t="s">
        <v>6956</v>
      </c>
      <c r="F70">
        <v>24</v>
      </c>
      <c r="G70">
        <v>7</v>
      </c>
      <c r="H70" t="s">
        <v>7066</v>
      </c>
      <c r="J70" t="s">
        <v>658</v>
      </c>
      <c r="M70" t="s">
        <v>7067</v>
      </c>
      <c r="N70">
        <v>2.0902262079999998</v>
      </c>
      <c r="O70">
        <v>4.2704203920000001</v>
      </c>
      <c r="P70">
        <v>0.23425843900000001</v>
      </c>
      <c r="Q70">
        <v>1.6181978999999999E-2</v>
      </c>
      <c r="S70" s="13">
        <v>-0.87010973000000003</v>
      </c>
      <c r="T70">
        <v>2.1230123820000002</v>
      </c>
      <c r="U70">
        <v>5.3329316000000002E-2</v>
      </c>
    </row>
    <row r="71" spans="1:21" x14ac:dyDescent="0.2">
      <c r="A71" t="s">
        <v>932</v>
      </c>
      <c r="B71">
        <v>896080</v>
      </c>
      <c r="C71" t="s">
        <v>6961</v>
      </c>
      <c r="D71" t="s">
        <v>932</v>
      </c>
      <c r="E71" t="s">
        <v>7006</v>
      </c>
      <c r="F71">
        <v>12</v>
      </c>
      <c r="G71">
        <v>3</v>
      </c>
      <c r="H71" t="s">
        <v>7068</v>
      </c>
      <c r="J71" t="s">
        <v>6531</v>
      </c>
      <c r="M71" t="s">
        <v>7069</v>
      </c>
      <c r="N71">
        <v>2.7247480949999998</v>
      </c>
      <c r="O71">
        <v>7.0822175119999997</v>
      </c>
      <c r="P71">
        <v>0.61298291999999999</v>
      </c>
      <c r="Q71">
        <v>0.48262032500000002</v>
      </c>
      <c r="S71" s="13">
        <v>-0.87044425400000003</v>
      </c>
      <c r="T71">
        <v>2.1215505889999999</v>
      </c>
      <c r="U71">
        <v>7.799122E-2</v>
      </c>
    </row>
    <row r="72" spans="1:21" x14ac:dyDescent="0.2">
      <c r="A72" t="s">
        <v>560</v>
      </c>
      <c r="B72">
        <v>1003480</v>
      </c>
      <c r="C72" t="s">
        <v>6945</v>
      </c>
      <c r="D72" t="s">
        <v>560</v>
      </c>
      <c r="E72" t="s">
        <v>6928</v>
      </c>
      <c r="F72">
        <v>13</v>
      </c>
      <c r="G72">
        <v>16</v>
      </c>
      <c r="H72" t="s">
        <v>7070</v>
      </c>
      <c r="J72" t="s">
        <v>3212</v>
      </c>
      <c r="M72" t="s">
        <v>7071</v>
      </c>
      <c r="N72">
        <v>2.2220813349999999</v>
      </c>
      <c r="O72">
        <v>6.5440947090000003</v>
      </c>
      <c r="P72">
        <v>0.58228215500000002</v>
      </c>
      <c r="Q72">
        <v>0.35188233000000002</v>
      </c>
      <c r="S72" s="13">
        <v>-0.87175762599999995</v>
      </c>
      <c r="T72">
        <v>2.1158114549999998</v>
      </c>
      <c r="U72">
        <v>5.6390545E-2</v>
      </c>
    </row>
    <row r="73" spans="1:21" x14ac:dyDescent="0.2">
      <c r="A73" t="s">
        <v>337</v>
      </c>
      <c r="B73">
        <v>893960</v>
      </c>
      <c r="C73" t="s">
        <v>6961</v>
      </c>
      <c r="D73" t="s">
        <v>337</v>
      </c>
      <c r="E73" t="s">
        <v>6974</v>
      </c>
      <c r="F73">
        <v>13</v>
      </c>
      <c r="G73">
        <v>15</v>
      </c>
      <c r="H73" t="s">
        <v>7072</v>
      </c>
      <c r="J73" t="s">
        <v>4054</v>
      </c>
      <c r="M73" t="s">
        <v>7073</v>
      </c>
      <c r="N73">
        <v>2.7247480949999998</v>
      </c>
      <c r="O73">
        <v>7.0822175119999997</v>
      </c>
      <c r="P73">
        <v>0.61298291999999999</v>
      </c>
      <c r="Q73">
        <v>0.48262032500000002</v>
      </c>
      <c r="S73" s="13">
        <v>-0.87212247899999995</v>
      </c>
      <c r="T73">
        <v>2.1142171329999999</v>
      </c>
      <c r="U73">
        <v>7.7156651000000007E-2</v>
      </c>
    </row>
    <row r="74" spans="1:21" x14ac:dyDescent="0.2">
      <c r="A74" t="s">
        <v>1001</v>
      </c>
      <c r="B74">
        <v>892480</v>
      </c>
      <c r="C74" t="s">
        <v>6961</v>
      </c>
      <c r="D74" t="s">
        <v>1001</v>
      </c>
      <c r="E74" t="s">
        <v>7006</v>
      </c>
      <c r="F74">
        <v>14</v>
      </c>
      <c r="G74">
        <v>3</v>
      </c>
      <c r="H74" t="s">
        <v>7074</v>
      </c>
      <c r="J74" t="s">
        <v>2710</v>
      </c>
      <c r="M74" t="s">
        <v>7075</v>
      </c>
      <c r="N74">
        <v>2.7247480949999998</v>
      </c>
      <c r="O74">
        <v>7.0822175119999997</v>
      </c>
      <c r="P74">
        <v>0.61298291999999999</v>
      </c>
      <c r="Q74">
        <v>0.48262032500000002</v>
      </c>
      <c r="S74" s="13">
        <v>-0.87329406899999995</v>
      </c>
      <c r="T74">
        <v>2.10909755</v>
      </c>
      <c r="U74">
        <v>7.6573076000000004E-2</v>
      </c>
    </row>
    <row r="75" spans="1:21" x14ac:dyDescent="0.2">
      <c r="A75" t="s">
        <v>320</v>
      </c>
      <c r="B75">
        <v>999960</v>
      </c>
      <c r="C75" t="s">
        <v>6945</v>
      </c>
      <c r="D75" t="s">
        <v>320</v>
      </c>
      <c r="E75" t="s">
        <v>6907</v>
      </c>
      <c r="F75">
        <v>13</v>
      </c>
      <c r="G75">
        <v>4</v>
      </c>
      <c r="H75" t="s">
        <v>7076</v>
      </c>
      <c r="J75" t="s">
        <v>3591</v>
      </c>
      <c r="M75" t="s">
        <v>7077</v>
      </c>
      <c r="N75">
        <v>2.2220813349999999</v>
      </c>
      <c r="O75">
        <v>6.5440947090000003</v>
      </c>
      <c r="P75">
        <v>0.58228215500000002</v>
      </c>
      <c r="Q75">
        <v>0.35188233000000002</v>
      </c>
      <c r="S75" s="13">
        <v>-0.87507781699999998</v>
      </c>
      <c r="T75">
        <v>2.1013029799999998</v>
      </c>
      <c r="U75">
        <v>5.4933137999999999E-2</v>
      </c>
    </row>
    <row r="76" spans="1:21" x14ac:dyDescent="0.2">
      <c r="A76" t="s">
        <v>124</v>
      </c>
      <c r="B76">
        <v>1055920</v>
      </c>
      <c r="C76" t="s">
        <v>6942</v>
      </c>
      <c r="D76" t="s">
        <v>125</v>
      </c>
      <c r="E76" t="s">
        <v>6918</v>
      </c>
      <c r="F76">
        <v>7</v>
      </c>
      <c r="G76">
        <v>1</v>
      </c>
      <c r="H76" t="s">
        <v>7078</v>
      </c>
      <c r="J76" t="s">
        <v>127</v>
      </c>
      <c r="M76" t="s">
        <v>7079</v>
      </c>
      <c r="N76">
        <v>2.0902262079999998</v>
      </c>
      <c r="O76">
        <v>4.2704203920000001</v>
      </c>
      <c r="P76">
        <v>0.23425843900000001</v>
      </c>
      <c r="Q76">
        <v>1.6181978999999999E-2</v>
      </c>
      <c r="S76" s="13">
        <v>-0.88086685099999995</v>
      </c>
      <c r="T76">
        <v>2.0760062239999999</v>
      </c>
      <c r="U76">
        <v>4.8742908000000001E-2</v>
      </c>
    </row>
    <row r="77" spans="1:21" x14ac:dyDescent="0.2">
      <c r="A77" t="s">
        <v>348</v>
      </c>
      <c r="B77">
        <v>992640</v>
      </c>
      <c r="C77" t="s">
        <v>6945</v>
      </c>
      <c r="D77" t="s">
        <v>349</v>
      </c>
      <c r="E77" t="s">
        <v>6907</v>
      </c>
      <c r="F77">
        <v>1</v>
      </c>
      <c r="G77">
        <v>4</v>
      </c>
      <c r="H77" t="s">
        <v>7080</v>
      </c>
      <c r="J77" t="s">
        <v>676</v>
      </c>
      <c r="M77" t="s">
        <v>7081</v>
      </c>
      <c r="N77">
        <v>2.2220813349999999</v>
      </c>
      <c r="O77">
        <v>6.5440947090000003</v>
      </c>
      <c r="P77">
        <v>0.58228215500000002</v>
      </c>
      <c r="Q77">
        <v>0.35188233000000002</v>
      </c>
      <c r="S77" s="13">
        <v>-0.88198230499999997</v>
      </c>
      <c r="T77">
        <v>2.0711319459999999</v>
      </c>
      <c r="U77">
        <v>5.1886641999999997E-2</v>
      </c>
    </row>
    <row r="78" spans="1:21" x14ac:dyDescent="0.2">
      <c r="A78" t="s">
        <v>195</v>
      </c>
      <c r="B78">
        <v>881240</v>
      </c>
      <c r="C78" t="s">
        <v>6961</v>
      </c>
      <c r="D78" t="s">
        <v>195</v>
      </c>
      <c r="E78" t="s">
        <v>6907</v>
      </c>
      <c r="F78">
        <v>24</v>
      </c>
      <c r="G78">
        <v>4</v>
      </c>
      <c r="H78" t="s">
        <v>7082</v>
      </c>
      <c r="J78" t="s">
        <v>4564</v>
      </c>
      <c r="M78" t="s">
        <v>7083</v>
      </c>
      <c r="N78">
        <v>2.7247480949999998</v>
      </c>
      <c r="O78">
        <v>7.0822175119999997</v>
      </c>
      <c r="P78">
        <v>0.61298291999999999</v>
      </c>
      <c r="Q78">
        <v>0.48262032500000002</v>
      </c>
      <c r="S78" s="13">
        <v>-0.88219182399999996</v>
      </c>
      <c r="T78">
        <v>2.070216394</v>
      </c>
      <c r="U78">
        <v>7.2115277000000005E-2</v>
      </c>
    </row>
    <row r="79" spans="1:21" x14ac:dyDescent="0.2">
      <c r="A79" t="s">
        <v>619</v>
      </c>
      <c r="B79">
        <v>902600</v>
      </c>
      <c r="C79" t="s">
        <v>6931</v>
      </c>
      <c r="D79" t="s">
        <v>619</v>
      </c>
      <c r="E79" t="s">
        <v>6939</v>
      </c>
      <c r="F79">
        <v>22</v>
      </c>
      <c r="G79">
        <v>2</v>
      </c>
      <c r="H79" t="s">
        <v>7084</v>
      </c>
      <c r="N79">
        <v>1.9323965059999999</v>
      </c>
      <c r="O79">
        <v>3.0528020530000002</v>
      </c>
      <c r="P79">
        <v>2.6493138999999999E-2</v>
      </c>
      <c r="Q79">
        <v>-0.38692188</v>
      </c>
      <c r="S79" s="13">
        <v>-0.88651205600000005</v>
      </c>
      <c r="T79">
        <v>2.0513379700000001</v>
      </c>
      <c r="U79">
        <v>5.3762017000000002E-2</v>
      </c>
    </row>
    <row r="80" spans="1:21" x14ac:dyDescent="0.2">
      <c r="A80" t="s">
        <v>2089</v>
      </c>
      <c r="B80">
        <v>874800</v>
      </c>
      <c r="C80" t="s">
        <v>6961</v>
      </c>
      <c r="D80" t="s">
        <v>2090</v>
      </c>
      <c r="E80" t="s">
        <v>7085</v>
      </c>
      <c r="F80">
        <v>3</v>
      </c>
      <c r="G80">
        <v>9</v>
      </c>
      <c r="H80" t="s">
        <v>7086</v>
      </c>
      <c r="J80" t="s">
        <v>2092</v>
      </c>
      <c r="M80" t="s">
        <v>7087</v>
      </c>
      <c r="N80">
        <v>2.7247480949999998</v>
      </c>
      <c r="O80">
        <v>7.0822175119999997</v>
      </c>
      <c r="P80">
        <v>0.61298291999999999</v>
      </c>
      <c r="Q80">
        <v>0.48262032500000002</v>
      </c>
      <c r="S80" s="13">
        <v>-0.88728982599999995</v>
      </c>
      <c r="T80">
        <v>2.0479392910000001</v>
      </c>
      <c r="U80">
        <v>6.9540393000000006E-2</v>
      </c>
    </row>
    <row r="81" spans="1:21" x14ac:dyDescent="0.2">
      <c r="A81" t="s">
        <v>18</v>
      </c>
      <c r="B81">
        <v>870280</v>
      </c>
      <c r="C81" t="s">
        <v>6961</v>
      </c>
      <c r="D81" t="s">
        <v>19</v>
      </c>
      <c r="E81" t="s">
        <v>6928</v>
      </c>
      <c r="F81">
        <v>1</v>
      </c>
      <c r="G81">
        <v>16</v>
      </c>
      <c r="H81" t="s">
        <v>7088</v>
      </c>
      <c r="J81" t="s">
        <v>533</v>
      </c>
      <c r="M81" t="s">
        <v>7089</v>
      </c>
      <c r="N81">
        <v>2.7247480949999998</v>
      </c>
      <c r="O81">
        <v>7.0822175119999997</v>
      </c>
      <c r="P81">
        <v>0.61298291999999999</v>
      </c>
      <c r="Q81">
        <v>0.48262032500000002</v>
      </c>
      <c r="S81" s="13">
        <v>-0.89086792699999995</v>
      </c>
      <c r="T81">
        <v>2.0323038090000001</v>
      </c>
      <c r="U81">
        <v>6.7724014999999999E-2</v>
      </c>
    </row>
    <row r="82" spans="1:21" x14ac:dyDescent="0.2">
      <c r="A82" t="s">
        <v>444</v>
      </c>
      <c r="B82">
        <v>982040</v>
      </c>
      <c r="C82" t="s">
        <v>6945</v>
      </c>
      <c r="D82" t="s">
        <v>445</v>
      </c>
      <c r="E82" t="s">
        <v>7006</v>
      </c>
      <c r="F82">
        <v>2</v>
      </c>
      <c r="G82">
        <v>3</v>
      </c>
      <c r="H82" t="s">
        <v>7090</v>
      </c>
      <c r="J82" t="s">
        <v>3846</v>
      </c>
      <c r="M82" t="s">
        <v>7091</v>
      </c>
      <c r="N82">
        <v>2.2220813349999999</v>
      </c>
      <c r="O82">
        <v>6.5440947090000003</v>
      </c>
      <c r="P82">
        <v>0.58228215500000002</v>
      </c>
      <c r="Q82">
        <v>0.35188233000000002</v>
      </c>
      <c r="S82" s="13">
        <v>-0.89198060700000004</v>
      </c>
      <c r="T82">
        <v>2.0274416510000002</v>
      </c>
      <c r="U82">
        <v>4.7436821999999997E-2</v>
      </c>
    </row>
    <row r="83" spans="1:21" x14ac:dyDescent="0.2">
      <c r="A83" t="s">
        <v>534</v>
      </c>
      <c r="B83">
        <v>1084200</v>
      </c>
      <c r="C83" t="s">
        <v>6927</v>
      </c>
      <c r="D83" t="s">
        <v>534</v>
      </c>
      <c r="E83" t="s">
        <v>6928</v>
      </c>
      <c r="F83">
        <v>22</v>
      </c>
      <c r="G83">
        <v>16</v>
      </c>
      <c r="H83" t="s">
        <v>7092</v>
      </c>
      <c r="J83" t="s">
        <v>7093</v>
      </c>
      <c r="M83" t="s">
        <v>7094</v>
      </c>
      <c r="N83">
        <v>1.982575982</v>
      </c>
      <c r="O83">
        <v>3.4571926419999999</v>
      </c>
      <c r="P83">
        <v>-0.114791479</v>
      </c>
      <c r="Q83">
        <v>1.868949E-3</v>
      </c>
      <c r="S83" s="13">
        <v>-0.89274078099999998</v>
      </c>
      <c r="T83">
        <v>2.0241198659999999</v>
      </c>
      <c r="U83">
        <v>4.8717666E-2</v>
      </c>
    </row>
    <row r="84" spans="1:21" x14ac:dyDescent="0.2">
      <c r="A84" t="s">
        <v>2089</v>
      </c>
      <c r="B84">
        <v>1188840</v>
      </c>
      <c r="C84" t="s">
        <v>6938</v>
      </c>
      <c r="D84" t="s">
        <v>2090</v>
      </c>
      <c r="E84" t="s">
        <v>7085</v>
      </c>
      <c r="F84">
        <v>3</v>
      </c>
      <c r="G84">
        <v>9</v>
      </c>
      <c r="H84" t="s">
        <v>7095</v>
      </c>
      <c r="J84" t="s">
        <v>4420</v>
      </c>
      <c r="M84" t="s">
        <v>7096</v>
      </c>
      <c r="N84">
        <v>2.092758737</v>
      </c>
      <c r="O84">
        <v>5.3323610669999999</v>
      </c>
      <c r="P84">
        <v>0.70420098600000003</v>
      </c>
      <c r="Q84">
        <v>0.41355372699999998</v>
      </c>
      <c r="S84" s="13">
        <v>-0.89412572999999995</v>
      </c>
      <c r="T84">
        <v>2.0180679540000002</v>
      </c>
      <c r="U84">
        <v>7.7393012999999997E-2</v>
      </c>
    </row>
    <row r="85" spans="1:21" x14ac:dyDescent="0.2">
      <c r="A85" t="s">
        <v>2443</v>
      </c>
      <c r="B85">
        <v>863240</v>
      </c>
      <c r="C85" t="s">
        <v>6961</v>
      </c>
      <c r="D85" t="s">
        <v>2444</v>
      </c>
      <c r="E85" t="s">
        <v>7006</v>
      </c>
      <c r="F85">
        <v>1</v>
      </c>
      <c r="G85">
        <v>3</v>
      </c>
      <c r="H85" t="s">
        <v>7097</v>
      </c>
      <c r="J85" t="s">
        <v>6575</v>
      </c>
      <c r="M85" t="s">
        <v>7098</v>
      </c>
      <c r="N85">
        <v>2.7247480949999998</v>
      </c>
      <c r="O85">
        <v>7.0822175119999997</v>
      </c>
      <c r="P85">
        <v>0.61298291999999999</v>
      </c>
      <c r="Q85">
        <v>0.48262032500000002</v>
      </c>
      <c r="S85" s="13">
        <v>-0.89644089800000004</v>
      </c>
      <c r="T85">
        <v>2.0079511989999999</v>
      </c>
      <c r="U85">
        <v>6.4879749E-2</v>
      </c>
    </row>
    <row r="86" spans="1:21" x14ac:dyDescent="0.2">
      <c r="A86" t="s">
        <v>977</v>
      </c>
      <c r="B86">
        <v>862400</v>
      </c>
      <c r="C86" t="s">
        <v>6961</v>
      </c>
      <c r="D86" t="s">
        <v>978</v>
      </c>
      <c r="E86" t="s">
        <v>6915</v>
      </c>
      <c r="F86">
        <v>5</v>
      </c>
      <c r="G86">
        <v>13</v>
      </c>
      <c r="H86" t="s">
        <v>7099</v>
      </c>
      <c r="J86" t="s">
        <v>5575</v>
      </c>
      <c r="M86" t="s">
        <v>7100</v>
      </c>
      <c r="N86">
        <v>2.7247480949999998</v>
      </c>
      <c r="O86">
        <v>7.0822175119999997</v>
      </c>
      <c r="P86">
        <v>0.61298291999999999</v>
      </c>
      <c r="Q86">
        <v>0.48262032500000002</v>
      </c>
      <c r="S86" s="13">
        <v>-0.89710585499999995</v>
      </c>
      <c r="T86">
        <v>2.0050454900000001</v>
      </c>
      <c r="U86">
        <v>6.4539129000000001E-2</v>
      </c>
    </row>
    <row r="87" spans="1:21" x14ac:dyDescent="0.2">
      <c r="A87" t="s">
        <v>572</v>
      </c>
      <c r="B87">
        <v>861720</v>
      </c>
      <c r="C87" t="s">
        <v>6961</v>
      </c>
      <c r="D87" t="s">
        <v>572</v>
      </c>
      <c r="E87" t="s">
        <v>7006</v>
      </c>
      <c r="F87">
        <v>13</v>
      </c>
      <c r="G87">
        <v>3</v>
      </c>
      <c r="H87" t="s">
        <v>7101</v>
      </c>
      <c r="J87" t="s">
        <v>1022</v>
      </c>
      <c r="M87" t="s">
        <v>7102</v>
      </c>
      <c r="N87">
        <v>2.7247480949999998</v>
      </c>
      <c r="O87">
        <v>7.0822175119999997</v>
      </c>
      <c r="P87">
        <v>0.61298291999999999</v>
      </c>
      <c r="Q87">
        <v>0.48262032500000002</v>
      </c>
      <c r="S87" s="13">
        <v>-0.897644153</v>
      </c>
      <c r="T87">
        <v>2.002693249</v>
      </c>
      <c r="U87">
        <v>6.4263192999999996E-2</v>
      </c>
    </row>
    <row r="88" spans="1:21" x14ac:dyDescent="0.2">
      <c r="A88" t="s">
        <v>348</v>
      </c>
      <c r="B88">
        <v>1038080</v>
      </c>
      <c r="C88" t="s">
        <v>6942</v>
      </c>
      <c r="D88" t="s">
        <v>349</v>
      </c>
      <c r="E88" t="s">
        <v>6907</v>
      </c>
      <c r="F88">
        <v>1</v>
      </c>
      <c r="G88">
        <v>4</v>
      </c>
      <c r="H88" t="s">
        <v>7103</v>
      </c>
      <c r="J88" t="s">
        <v>2530</v>
      </c>
      <c r="M88" t="s">
        <v>7104</v>
      </c>
      <c r="N88">
        <v>2.0902262079999998</v>
      </c>
      <c r="O88">
        <v>4.2704203920000001</v>
      </c>
      <c r="P88">
        <v>0.23425843900000001</v>
      </c>
      <c r="Q88">
        <v>1.6181978999999999E-2</v>
      </c>
      <c r="S88" s="13">
        <v>-0.89837661700000004</v>
      </c>
      <c r="T88">
        <v>1.99949255</v>
      </c>
      <c r="U88">
        <v>4.1172278E-2</v>
      </c>
    </row>
    <row r="89" spans="1:21" x14ac:dyDescent="0.2">
      <c r="A89" t="s">
        <v>198</v>
      </c>
      <c r="B89">
        <v>859560</v>
      </c>
      <c r="C89" t="s">
        <v>6961</v>
      </c>
      <c r="D89" t="s">
        <v>199</v>
      </c>
      <c r="E89" t="s">
        <v>6918</v>
      </c>
      <c r="F89">
        <v>3</v>
      </c>
      <c r="G89">
        <v>1</v>
      </c>
      <c r="H89" t="s">
        <v>7105</v>
      </c>
      <c r="J89" t="s">
        <v>1037</v>
      </c>
      <c r="M89" t="s">
        <v>7106</v>
      </c>
      <c r="N89">
        <v>2.7247480949999998</v>
      </c>
      <c r="O89">
        <v>7.0822175119999997</v>
      </c>
      <c r="P89">
        <v>0.61298291999999999</v>
      </c>
      <c r="Q89">
        <v>0.48262032500000002</v>
      </c>
      <c r="S89" s="13">
        <v>-0.89935404200000002</v>
      </c>
      <c r="T89">
        <v>1.9952214260000001</v>
      </c>
      <c r="U89">
        <v>6.3385525999999998E-2</v>
      </c>
    </row>
    <row r="90" spans="1:21" x14ac:dyDescent="0.2">
      <c r="A90" t="s">
        <v>529</v>
      </c>
      <c r="B90">
        <v>858560</v>
      </c>
      <c r="C90" t="s">
        <v>6961</v>
      </c>
      <c r="D90" t="s">
        <v>529</v>
      </c>
      <c r="E90" t="s">
        <v>6956</v>
      </c>
      <c r="F90">
        <v>22</v>
      </c>
      <c r="G90">
        <v>7</v>
      </c>
      <c r="H90" t="s">
        <v>7107</v>
      </c>
      <c r="J90" t="s">
        <v>4523</v>
      </c>
      <c r="M90" t="s">
        <v>7108</v>
      </c>
      <c r="N90">
        <v>2.7247480949999998</v>
      </c>
      <c r="O90">
        <v>7.0822175119999997</v>
      </c>
      <c r="P90">
        <v>0.61298291999999999</v>
      </c>
      <c r="Q90">
        <v>0.48262032500000002</v>
      </c>
      <c r="S90" s="13">
        <v>-0.90014565700000004</v>
      </c>
      <c r="T90">
        <v>1.9917622479999999</v>
      </c>
      <c r="U90">
        <v>6.2978597999999997E-2</v>
      </c>
    </row>
    <row r="91" spans="1:21" x14ac:dyDescent="0.2">
      <c r="A91" t="s">
        <v>470</v>
      </c>
      <c r="B91">
        <v>856640</v>
      </c>
      <c r="C91" t="s">
        <v>6961</v>
      </c>
      <c r="D91" t="s">
        <v>470</v>
      </c>
      <c r="E91" t="s">
        <v>6970</v>
      </c>
      <c r="F91">
        <v>22</v>
      </c>
      <c r="G91">
        <v>14</v>
      </c>
      <c r="H91" t="s">
        <v>7109</v>
      </c>
      <c r="J91" t="s">
        <v>5407</v>
      </c>
      <c r="M91" t="s">
        <v>7110</v>
      </c>
      <c r="N91">
        <v>2.7247480949999998</v>
      </c>
      <c r="O91">
        <v>7.0822175119999997</v>
      </c>
      <c r="P91">
        <v>0.61298291999999999</v>
      </c>
      <c r="Q91">
        <v>0.48262032500000002</v>
      </c>
      <c r="S91" s="13">
        <v>-0.90166555800000003</v>
      </c>
      <c r="T91">
        <v>1.985120628</v>
      </c>
      <c r="U91">
        <v>6.2196224000000001E-2</v>
      </c>
    </row>
    <row r="92" spans="1:21" x14ac:dyDescent="0.2">
      <c r="A92" t="s">
        <v>1031</v>
      </c>
      <c r="B92">
        <v>856200</v>
      </c>
      <c r="C92" t="s">
        <v>6961</v>
      </c>
      <c r="D92" t="s">
        <v>1031</v>
      </c>
      <c r="E92" t="s">
        <v>6956</v>
      </c>
      <c r="F92">
        <v>13</v>
      </c>
      <c r="G92">
        <v>7</v>
      </c>
      <c r="H92" t="s">
        <v>7111</v>
      </c>
      <c r="J92" t="s">
        <v>6401</v>
      </c>
      <c r="M92" t="s">
        <v>7112</v>
      </c>
      <c r="N92">
        <v>2.7247480949999998</v>
      </c>
      <c r="O92">
        <v>7.0822175119999997</v>
      </c>
      <c r="P92">
        <v>0.61298291999999999</v>
      </c>
      <c r="Q92">
        <v>0.48262032500000002</v>
      </c>
      <c r="S92" s="13">
        <v>-0.90201386900000002</v>
      </c>
      <c r="T92">
        <v>1.9835985890000001</v>
      </c>
      <c r="U92">
        <v>6.2016731999999998E-2</v>
      </c>
    </row>
    <row r="93" spans="1:21" x14ac:dyDescent="0.2">
      <c r="A93" t="s">
        <v>191</v>
      </c>
      <c r="B93">
        <v>1034360</v>
      </c>
      <c r="C93" t="s">
        <v>6942</v>
      </c>
      <c r="D93" t="s">
        <v>192</v>
      </c>
      <c r="E93" t="s">
        <v>6911</v>
      </c>
      <c r="F93">
        <v>1</v>
      </c>
      <c r="G93">
        <v>12</v>
      </c>
      <c r="H93" t="s">
        <v>7113</v>
      </c>
      <c r="J93" t="s">
        <v>421</v>
      </c>
      <c r="M93" t="s">
        <v>7114</v>
      </c>
      <c r="N93">
        <v>2.0902262079999998</v>
      </c>
      <c r="O93">
        <v>4.2704203920000001</v>
      </c>
      <c r="P93">
        <v>0.23425843900000001</v>
      </c>
      <c r="Q93">
        <v>1.6181978999999999E-2</v>
      </c>
      <c r="S93" s="13">
        <v>-0.90202775700000004</v>
      </c>
      <c r="T93">
        <v>1.9835379049999999</v>
      </c>
      <c r="U93">
        <v>3.9576883E-2</v>
      </c>
    </row>
    <row r="94" spans="1:21" x14ac:dyDescent="0.2">
      <c r="A94" t="s">
        <v>577</v>
      </c>
      <c r="B94">
        <v>853960</v>
      </c>
      <c r="C94" t="s">
        <v>6961</v>
      </c>
      <c r="D94" t="s">
        <v>578</v>
      </c>
      <c r="E94" t="s">
        <v>7115</v>
      </c>
      <c r="F94">
        <v>1</v>
      </c>
      <c r="G94">
        <v>10</v>
      </c>
      <c r="H94" t="s">
        <v>7116</v>
      </c>
      <c r="J94" t="s">
        <v>5385</v>
      </c>
      <c r="M94" t="s">
        <v>7117</v>
      </c>
      <c r="N94">
        <v>2.7247480949999998</v>
      </c>
      <c r="O94">
        <v>7.0822175119999997</v>
      </c>
      <c r="P94">
        <v>0.61298291999999999</v>
      </c>
      <c r="Q94">
        <v>0.48262032500000002</v>
      </c>
      <c r="S94" s="13">
        <v>-0.90378708699999999</v>
      </c>
      <c r="T94">
        <v>1.9758500320000001</v>
      </c>
      <c r="U94">
        <v>6.1101799999999998E-2</v>
      </c>
    </row>
    <row r="95" spans="1:21" x14ac:dyDescent="0.2">
      <c r="A95" t="s">
        <v>697</v>
      </c>
      <c r="B95">
        <v>848920</v>
      </c>
      <c r="C95" t="s">
        <v>6961</v>
      </c>
      <c r="D95" t="s">
        <v>698</v>
      </c>
      <c r="E95" t="s">
        <v>7115</v>
      </c>
      <c r="F95">
        <v>3</v>
      </c>
      <c r="G95">
        <v>10</v>
      </c>
      <c r="H95" t="s">
        <v>7118</v>
      </c>
      <c r="J95" t="s">
        <v>5849</v>
      </c>
      <c r="M95" t="s">
        <v>7119</v>
      </c>
      <c r="N95">
        <v>2.7247480949999998</v>
      </c>
      <c r="O95">
        <v>7.0822175119999997</v>
      </c>
      <c r="P95">
        <v>0.61298291999999999</v>
      </c>
      <c r="Q95">
        <v>0.48262032500000002</v>
      </c>
      <c r="S95" s="13">
        <v>-0.90777682800000004</v>
      </c>
      <c r="T95">
        <v>1.9584157769999999</v>
      </c>
      <c r="U95">
        <v>5.9036127000000001E-2</v>
      </c>
    </row>
    <row r="96" spans="1:21" x14ac:dyDescent="0.2">
      <c r="A96" t="s">
        <v>625</v>
      </c>
      <c r="B96">
        <v>846880</v>
      </c>
      <c r="C96" t="s">
        <v>6961</v>
      </c>
      <c r="D96" t="s">
        <v>625</v>
      </c>
      <c r="E96" t="s">
        <v>6918</v>
      </c>
      <c r="F96">
        <v>11</v>
      </c>
      <c r="G96">
        <v>1</v>
      </c>
      <c r="H96" t="s">
        <v>7120</v>
      </c>
      <c r="J96" t="s">
        <v>3429</v>
      </c>
      <c r="M96" t="s">
        <v>7121</v>
      </c>
      <c r="N96">
        <v>2.7247480949999998</v>
      </c>
      <c r="O96">
        <v>7.0822175119999997</v>
      </c>
      <c r="P96">
        <v>0.61298291999999999</v>
      </c>
      <c r="Q96">
        <v>0.48262032500000002</v>
      </c>
      <c r="S96" s="13">
        <v>-0.90939172300000004</v>
      </c>
      <c r="T96">
        <v>1.951359055</v>
      </c>
      <c r="U96">
        <v>5.8197221E-2</v>
      </c>
    </row>
    <row r="97" spans="1:21" x14ac:dyDescent="0.2">
      <c r="A97" t="s">
        <v>198</v>
      </c>
      <c r="B97">
        <v>1026480</v>
      </c>
      <c r="C97" t="s">
        <v>6942</v>
      </c>
      <c r="D97" t="s">
        <v>199</v>
      </c>
      <c r="E97" t="s">
        <v>6918</v>
      </c>
      <c r="F97">
        <v>3</v>
      </c>
      <c r="G97">
        <v>1</v>
      </c>
      <c r="H97" t="s">
        <v>7122</v>
      </c>
      <c r="J97" t="s">
        <v>582</v>
      </c>
      <c r="M97" t="s">
        <v>7123</v>
      </c>
      <c r="N97">
        <v>2.0902262079999998</v>
      </c>
      <c r="O97">
        <v>4.2704203920000001</v>
      </c>
      <c r="P97">
        <v>0.23425843900000001</v>
      </c>
      <c r="Q97">
        <v>1.6181978999999999E-2</v>
      </c>
      <c r="S97" s="13">
        <v>-0.90976189100000004</v>
      </c>
      <c r="T97">
        <v>1.9497415060000001</v>
      </c>
      <c r="U97">
        <v>3.6177908000000002E-2</v>
      </c>
    </row>
    <row r="98" spans="1:21" x14ac:dyDescent="0.2">
      <c r="A98" t="s">
        <v>2443</v>
      </c>
      <c r="B98">
        <v>1169600</v>
      </c>
      <c r="C98" t="s">
        <v>6938</v>
      </c>
      <c r="D98" t="s">
        <v>2444</v>
      </c>
      <c r="E98" t="s">
        <v>7006</v>
      </c>
      <c r="F98">
        <v>1</v>
      </c>
      <c r="G98">
        <v>3</v>
      </c>
      <c r="H98" t="s">
        <v>7124</v>
      </c>
      <c r="J98" t="s">
        <v>5759</v>
      </c>
      <c r="M98" t="s">
        <v>7125</v>
      </c>
      <c r="N98">
        <v>2.092758737</v>
      </c>
      <c r="O98">
        <v>5.3323610669999999</v>
      </c>
      <c r="P98">
        <v>0.70420098600000003</v>
      </c>
      <c r="Q98">
        <v>0.41355372699999998</v>
      </c>
      <c r="S98" s="13">
        <v>-0.91064926099999999</v>
      </c>
      <c r="T98">
        <v>1.9458638989999999</v>
      </c>
      <c r="U98">
        <v>6.9748870000000004E-2</v>
      </c>
    </row>
    <row r="99" spans="1:21" x14ac:dyDescent="0.2">
      <c r="A99" t="s">
        <v>18</v>
      </c>
      <c r="B99">
        <v>1065960</v>
      </c>
      <c r="C99" t="s">
        <v>6927</v>
      </c>
      <c r="D99" t="s">
        <v>19</v>
      </c>
      <c r="E99" t="s">
        <v>6928</v>
      </c>
      <c r="F99">
        <v>1</v>
      </c>
      <c r="G99">
        <v>16</v>
      </c>
      <c r="H99" t="s">
        <v>7126</v>
      </c>
      <c r="J99" t="s">
        <v>7127</v>
      </c>
      <c r="M99" t="s">
        <v>7128</v>
      </c>
      <c r="N99">
        <v>1.982575982</v>
      </c>
      <c r="O99">
        <v>3.4571926419999999</v>
      </c>
      <c r="P99">
        <v>-0.114791479</v>
      </c>
      <c r="Q99">
        <v>1.868949E-3</v>
      </c>
      <c r="S99" s="13">
        <v>-0.91166704700000001</v>
      </c>
      <c r="T99">
        <v>1.941416408</v>
      </c>
      <c r="U99">
        <v>4.0975315999999998E-2</v>
      </c>
    </row>
    <row r="100" spans="1:21" x14ac:dyDescent="0.2">
      <c r="A100" t="s">
        <v>765</v>
      </c>
      <c r="B100">
        <v>1065280</v>
      </c>
      <c r="C100" t="s">
        <v>6927</v>
      </c>
      <c r="D100" t="s">
        <v>766</v>
      </c>
      <c r="E100" t="s">
        <v>7006</v>
      </c>
      <c r="F100">
        <v>4</v>
      </c>
      <c r="G100">
        <v>3</v>
      </c>
      <c r="H100" t="s">
        <v>7129</v>
      </c>
      <c r="J100" t="s">
        <v>7130</v>
      </c>
      <c r="M100" t="s">
        <v>7131</v>
      </c>
      <c r="N100">
        <v>1.982575982</v>
      </c>
      <c r="O100">
        <v>3.4571926419999999</v>
      </c>
      <c r="P100">
        <v>-0.114791479</v>
      </c>
      <c r="Q100">
        <v>1.868949E-3</v>
      </c>
      <c r="S100" s="13">
        <v>-0.91237263199999996</v>
      </c>
      <c r="T100">
        <v>1.938333165</v>
      </c>
      <c r="U100">
        <v>4.0683988999999997E-2</v>
      </c>
    </row>
    <row r="101" spans="1:21" x14ac:dyDescent="0.2">
      <c r="A101" t="s">
        <v>516</v>
      </c>
      <c r="B101">
        <v>842600</v>
      </c>
      <c r="C101" t="s">
        <v>6961</v>
      </c>
      <c r="D101" t="s">
        <v>516</v>
      </c>
      <c r="E101" t="s">
        <v>6939</v>
      </c>
      <c r="F101">
        <v>13</v>
      </c>
      <c r="G101">
        <v>2</v>
      </c>
      <c r="H101" t="s">
        <v>7132</v>
      </c>
      <c r="J101" t="s">
        <v>5801</v>
      </c>
      <c r="M101" t="s">
        <v>7133</v>
      </c>
      <c r="N101">
        <v>2.7247480949999998</v>
      </c>
      <c r="O101">
        <v>7.0822175119999997</v>
      </c>
      <c r="P101">
        <v>0.61298291999999999</v>
      </c>
      <c r="Q101">
        <v>0.48262032500000002</v>
      </c>
      <c r="S101" s="13">
        <v>-0.91277983600000001</v>
      </c>
      <c r="T101">
        <v>1.9365537749999999</v>
      </c>
      <c r="U101">
        <v>5.6431876999999998E-2</v>
      </c>
    </row>
    <row r="102" spans="1:21" x14ac:dyDescent="0.2">
      <c r="A102" t="s">
        <v>178</v>
      </c>
      <c r="B102">
        <v>842480</v>
      </c>
      <c r="C102" t="s">
        <v>6961</v>
      </c>
      <c r="D102" t="s">
        <v>178</v>
      </c>
      <c r="E102" t="s">
        <v>6970</v>
      </c>
      <c r="F102">
        <v>14</v>
      </c>
      <c r="G102">
        <v>14</v>
      </c>
      <c r="H102" t="s">
        <v>7134</v>
      </c>
      <c r="J102" t="s">
        <v>2637</v>
      </c>
      <c r="M102" t="s">
        <v>7135</v>
      </c>
      <c r="N102">
        <v>2.7247480949999998</v>
      </c>
      <c r="O102">
        <v>7.0822175119999997</v>
      </c>
      <c r="P102">
        <v>0.61298291999999999</v>
      </c>
      <c r="Q102">
        <v>0.48262032500000002</v>
      </c>
      <c r="S102" s="13">
        <v>-0.91287483000000003</v>
      </c>
      <c r="T102">
        <v>1.9361386739999999</v>
      </c>
      <c r="U102">
        <v>5.6382278000000001E-2</v>
      </c>
    </row>
    <row r="103" spans="1:21" x14ac:dyDescent="0.2">
      <c r="A103" t="s">
        <v>134</v>
      </c>
      <c r="B103">
        <v>957800</v>
      </c>
      <c r="C103" t="s">
        <v>6945</v>
      </c>
      <c r="D103" t="s">
        <v>135</v>
      </c>
      <c r="E103" t="s">
        <v>6970</v>
      </c>
      <c r="F103">
        <v>1</v>
      </c>
      <c r="G103">
        <v>14</v>
      </c>
      <c r="H103" t="s">
        <v>7136</v>
      </c>
      <c r="J103" t="s">
        <v>137</v>
      </c>
      <c r="M103" t="s">
        <v>7137</v>
      </c>
      <c r="N103">
        <v>2.2220813349999999</v>
      </c>
      <c r="O103">
        <v>6.5440947090000003</v>
      </c>
      <c r="P103">
        <v>0.58228215500000002</v>
      </c>
      <c r="Q103">
        <v>0.35188233000000002</v>
      </c>
      <c r="S103" s="13">
        <v>-0.91484464899999995</v>
      </c>
      <c r="T103">
        <v>1.9275310139999999</v>
      </c>
      <c r="U103">
        <v>3.7086329000000001E-2</v>
      </c>
    </row>
    <row r="104" spans="1:21" x14ac:dyDescent="0.2">
      <c r="A104" t="s">
        <v>2073</v>
      </c>
      <c r="B104">
        <v>839200</v>
      </c>
      <c r="C104" t="s">
        <v>6961</v>
      </c>
      <c r="D104" t="s">
        <v>2074</v>
      </c>
      <c r="E104" t="s">
        <v>7085</v>
      </c>
      <c r="F104">
        <v>2</v>
      </c>
      <c r="G104">
        <v>9</v>
      </c>
      <c r="H104" t="s">
        <v>7138</v>
      </c>
      <c r="J104" t="s">
        <v>6585</v>
      </c>
      <c r="M104" t="s">
        <v>7139</v>
      </c>
      <c r="N104">
        <v>2.7247480949999998</v>
      </c>
      <c r="O104">
        <v>7.0822175119999997</v>
      </c>
      <c r="P104">
        <v>0.61298291999999999</v>
      </c>
      <c r="Q104">
        <v>0.48262032500000002</v>
      </c>
      <c r="S104" s="13">
        <v>-0.91547132799999997</v>
      </c>
      <c r="T104">
        <v>1.9247925720000001</v>
      </c>
      <c r="U104">
        <v>5.5024368999999997E-2</v>
      </c>
    </row>
    <row r="105" spans="1:21" x14ac:dyDescent="0.2">
      <c r="A105" t="s">
        <v>303</v>
      </c>
      <c r="B105">
        <v>838880</v>
      </c>
      <c r="C105" t="s">
        <v>6961</v>
      </c>
      <c r="D105" t="s">
        <v>304</v>
      </c>
      <c r="E105" t="s">
        <v>7006</v>
      </c>
      <c r="F105">
        <v>3</v>
      </c>
      <c r="G105">
        <v>3</v>
      </c>
      <c r="H105" t="s">
        <v>7140</v>
      </c>
      <c r="J105" t="s">
        <v>3109</v>
      </c>
      <c r="M105" t="s">
        <v>7141</v>
      </c>
      <c r="N105">
        <v>2.7247480949999998</v>
      </c>
      <c r="O105">
        <v>7.0822175119999997</v>
      </c>
      <c r="P105">
        <v>0.61298291999999999</v>
      </c>
      <c r="Q105">
        <v>0.48262032500000002</v>
      </c>
      <c r="S105" s="13">
        <v>-0.91572464499999995</v>
      </c>
      <c r="T105">
        <v>1.923685635</v>
      </c>
      <c r="U105">
        <v>5.4891663E-2</v>
      </c>
    </row>
    <row r="106" spans="1:21" x14ac:dyDescent="0.2">
      <c r="A106" t="s">
        <v>1550</v>
      </c>
      <c r="B106">
        <v>879840</v>
      </c>
      <c r="C106" t="s">
        <v>6931</v>
      </c>
      <c r="D106" t="s">
        <v>1550</v>
      </c>
      <c r="E106" t="s">
        <v>6974</v>
      </c>
      <c r="F106">
        <v>14</v>
      </c>
      <c r="G106">
        <v>15</v>
      </c>
      <c r="H106" t="s">
        <v>7142</v>
      </c>
      <c r="N106">
        <v>1.9323965059999999</v>
      </c>
      <c r="O106">
        <v>3.0528020530000002</v>
      </c>
      <c r="P106">
        <v>2.6493138999999999E-2</v>
      </c>
      <c r="Q106">
        <v>-0.38692188</v>
      </c>
      <c r="S106" s="13">
        <v>-0.91641810700000004</v>
      </c>
      <c r="T106">
        <v>1.920655365</v>
      </c>
      <c r="U106">
        <v>4.4192579000000003E-2</v>
      </c>
    </row>
    <row r="107" spans="1:21" x14ac:dyDescent="0.2">
      <c r="A107" t="s">
        <v>756</v>
      </c>
      <c r="B107">
        <v>837480</v>
      </c>
      <c r="C107" t="s">
        <v>6961</v>
      </c>
      <c r="D107" t="s">
        <v>756</v>
      </c>
      <c r="E107" t="s">
        <v>7085</v>
      </c>
      <c r="F107">
        <v>23</v>
      </c>
      <c r="G107">
        <v>9</v>
      </c>
      <c r="H107" t="s">
        <v>7143</v>
      </c>
      <c r="J107" t="s">
        <v>6547</v>
      </c>
      <c r="M107" t="s">
        <v>7144</v>
      </c>
      <c r="N107">
        <v>2.7247480949999998</v>
      </c>
      <c r="O107">
        <v>7.0822175119999997</v>
      </c>
      <c r="P107">
        <v>0.61298291999999999</v>
      </c>
      <c r="Q107">
        <v>0.48262032500000002</v>
      </c>
      <c r="S107" s="13">
        <v>-0.916832906</v>
      </c>
      <c r="T107">
        <v>1.9188427859999999</v>
      </c>
      <c r="U107">
        <v>5.4310595000000003E-2</v>
      </c>
    </row>
    <row r="108" spans="1:21" x14ac:dyDescent="0.2">
      <c r="A108" t="s">
        <v>756</v>
      </c>
      <c r="B108">
        <v>1018480</v>
      </c>
      <c r="C108" t="s">
        <v>6910</v>
      </c>
      <c r="D108" t="s">
        <v>756</v>
      </c>
      <c r="E108" t="s">
        <v>7085</v>
      </c>
      <c r="F108">
        <v>23</v>
      </c>
      <c r="G108">
        <v>9</v>
      </c>
      <c r="H108" t="s">
        <v>7145</v>
      </c>
      <c r="J108" t="s">
        <v>2298</v>
      </c>
      <c r="M108" t="s">
        <v>7146</v>
      </c>
      <c r="N108">
        <v>1.9874741039999999</v>
      </c>
      <c r="O108">
        <v>3.7453511220000002</v>
      </c>
      <c r="P108">
        <v>0.451009722</v>
      </c>
      <c r="Q108">
        <v>-0.102386592</v>
      </c>
      <c r="S108" s="13">
        <v>-0.91690874300000003</v>
      </c>
      <c r="T108">
        <v>1.9185113970000001</v>
      </c>
      <c r="U108">
        <v>6.9171303000000003E-2</v>
      </c>
    </row>
    <row r="109" spans="1:21" x14ac:dyDescent="0.2">
      <c r="A109" t="s">
        <v>195</v>
      </c>
      <c r="B109">
        <v>1160480</v>
      </c>
      <c r="C109" t="s">
        <v>6938</v>
      </c>
      <c r="D109" t="s">
        <v>195</v>
      </c>
      <c r="E109" t="s">
        <v>6907</v>
      </c>
      <c r="F109">
        <v>24</v>
      </c>
      <c r="G109">
        <v>4</v>
      </c>
      <c r="H109" t="s">
        <v>7147</v>
      </c>
      <c r="J109" t="s">
        <v>1916</v>
      </c>
      <c r="M109" t="s">
        <v>7148</v>
      </c>
      <c r="N109">
        <v>2.092758737</v>
      </c>
      <c r="O109">
        <v>5.3323610669999999</v>
      </c>
      <c r="P109">
        <v>0.70420098600000003</v>
      </c>
      <c r="Q109">
        <v>0.41355372699999998</v>
      </c>
      <c r="S109" s="13">
        <v>-0.91848162099999997</v>
      </c>
      <c r="T109">
        <v>1.9116382759999999</v>
      </c>
      <c r="U109">
        <v>6.6077904000000007E-2</v>
      </c>
    </row>
    <row r="110" spans="1:21" x14ac:dyDescent="0.2">
      <c r="A110" t="s">
        <v>1181</v>
      </c>
      <c r="B110">
        <v>952240</v>
      </c>
      <c r="C110" t="s">
        <v>6945</v>
      </c>
      <c r="D110" t="s">
        <v>1181</v>
      </c>
      <c r="E110" t="s">
        <v>6956</v>
      </c>
      <c r="F110">
        <v>23</v>
      </c>
      <c r="G110">
        <v>7</v>
      </c>
      <c r="H110" t="s">
        <v>7149</v>
      </c>
      <c r="J110" t="s">
        <v>1508</v>
      </c>
      <c r="M110" t="s">
        <v>7150</v>
      </c>
      <c r="N110">
        <v>2.2220813349999999</v>
      </c>
      <c r="O110">
        <v>6.5440947090000003</v>
      </c>
      <c r="P110">
        <v>0.58228215500000002</v>
      </c>
      <c r="Q110">
        <v>0.35188233000000002</v>
      </c>
      <c r="S110" s="13">
        <v>-0.920089041</v>
      </c>
      <c r="T110">
        <v>1.9046142180000001</v>
      </c>
      <c r="U110">
        <v>3.4677017999999997E-2</v>
      </c>
    </row>
    <row r="111" spans="1:21" x14ac:dyDescent="0.2">
      <c r="A111" t="s">
        <v>67</v>
      </c>
      <c r="B111">
        <v>1055280</v>
      </c>
      <c r="C111" t="s">
        <v>6927</v>
      </c>
      <c r="D111" t="s">
        <v>69</v>
      </c>
      <c r="E111" t="s">
        <v>6974</v>
      </c>
      <c r="F111">
        <v>2</v>
      </c>
      <c r="G111">
        <v>15</v>
      </c>
      <c r="H111" t="s">
        <v>7151</v>
      </c>
      <c r="J111" t="s">
        <v>7152</v>
      </c>
      <c r="M111" t="s">
        <v>7153</v>
      </c>
      <c r="N111">
        <v>1.982575982</v>
      </c>
      <c r="O111">
        <v>3.4571926419999999</v>
      </c>
      <c r="P111">
        <v>-0.114791479</v>
      </c>
      <c r="Q111">
        <v>1.868949E-3</v>
      </c>
      <c r="S111" s="13">
        <v>-0.92274887400000005</v>
      </c>
      <c r="T111">
        <v>1.8929913570000001</v>
      </c>
      <c r="U111">
        <v>3.6377057999999997E-2</v>
      </c>
    </row>
    <row r="112" spans="1:21" x14ac:dyDescent="0.2">
      <c r="A112" t="s">
        <v>243</v>
      </c>
      <c r="B112">
        <v>1012280</v>
      </c>
      <c r="C112" t="s">
        <v>6942</v>
      </c>
      <c r="D112" t="s">
        <v>243</v>
      </c>
      <c r="E112" t="s">
        <v>6918</v>
      </c>
      <c r="F112">
        <v>14</v>
      </c>
      <c r="G112">
        <v>1</v>
      </c>
      <c r="H112" t="s">
        <v>7154</v>
      </c>
      <c r="J112" t="s">
        <v>245</v>
      </c>
      <c r="M112" t="s">
        <v>7155</v>
      </c>
      <c r="N112">
        <v>2.0902262079999998</v>
      </c>
      <c r="O112">
        <v>4.2704203920000001</v>
      </c>
      <c r="P112">
        <v>0.23425843900000001</v>
      </c>
      <c r="Q112">
        <v>1.6181978999999999E-2</v>
      </c>
      <c r="S112" s="13">
        <v>-0.92369903600000003</v>
      </c>
      <c r="T112">
        <v>1.888839366</v>
      </c>
      <c r="U112">
        <v>2.9984872999999999E-2</v>
      </c>
    </row>
    <row r="113" spans="1:21" x14ac:dyDescent="0.2">
      <c r="A113" t="s">
        <v>485</v>
      </c>
      <c r="B113">
        <v>827240</v>
      </c>
      <c r="C113" t="s">
        <v>6961</v>
      </c>
      <c r="D113" t="s">
        <v>486</v>
      </c>
      <c r="E113" t="s">
        <v>6974</v>
      </c>
      <c r="F113">
        <v>8</v>
      </c>
      <c r="G113">
        <v>15</v>
      </c>
      <c r="H113" t="s">
        <v>7156</v>
      </c>
      <c r="J113" t="s">
        <v>4327</v>
      </c>
      <c r="M113" t="s">
        <v>7157</v>
      </c>
      <c r="N113">
        <v>2.7247480949999998</v>
      </c>
      <c r="O113">
        <v>7.0822175119999997</v>
      </c>
      <c r="P113">
        <v>0.61298291999999999</v>
      </c>
      <c r="Q113">
        <v>0.48262032500000002</v>
      </c>
      <c r="S113" s="13">
        <v>-0.92493904599999999</v>
      </c>
      <c r="T113">
        <v>1.883420809</v>
      </c>
      <c r="U113">
        <v>5.0036690000000002E-2</v>
      </c>
    </row>
    <row r="114" spans="1:21" x14ac:dyDescent="0.2">
      <c r="A114" t="s">
        <v>232</v>
      </c>
      <c r="B114">
        <v>1151880</v>
      </c>
      <c r="C114" t="s">
        <v>6938</v>
      </c>
      <c r="D114" t="s">
        <v>233</v>
      </c>
      <c r="E114" t="s">
        <v>7085</v>
      </c>
      <c r="F114">
        <v>1</v>
      </c>
      <c r="G114">
        <v>9</v>
      </c>
      <c r="H114" t="s">
        <v>7158</v>
      </c>
      <c r="J114" t="s">
        <v>5565</v>
      </c>
      <c r="M114" t="s">
        <v>7159</v>
      </c>
      <c r="N114">
        <v>2.092758737</v>
      </c>
      <c r="O114">
        <v>5.3323610669999999</v>
      </c>
      <c r="P114">
        <v>0.70420098600000003</v>
      </c>
      <c r="Q114">
        <v>0.41355372699999998</v>
      </c>
      <c r="S114" s="13">
        <v>-0.92586740000000001</v>
      </c>
      <c r="T114">
        <v>1.8793641139999999</v>
      </c>
      <c r="U114">
        <v>6.2587587E-2</v>
      </c>
    </row>
    <row r="115" spans="1:21" x14ac:dyDescent="0.2">
      <c r="A115" t="s">
        <v>796</v>
      </c>
      <c r="B115">
        <v>1009520</v>
      </c>
      <c r="C115" t="s">
        <v>6942</v>
      </c>
      <c r="D115" t="s">
        <v>796</v>
      </c>
      <c r="E115" t="s">
        <v>6918</v>
      </c>
      <c r="F115">
        <v>13</v>
      </c>
      <c r="G115">
        <v>1</v>
      </c>
      <c r="H115" t="s">
        <v>7160</v>
      </c>
      <c r="J115" t="s">
        <v>5036</v>
      </c>
      <c r="M115" t="s">
        <v>7161</v>
      </c>
      <c r="N115">
        <v>2.0902262079999998</v>
      </c>
      <c r="O115">
        <v>4.2704203920000001</v>
      </c>
      <c r="P115">
        <v>0.23425843900000001</v>
      </c>
      <c r="Q115">
        <v>1.6181978999999999E-2</v>
      </c>
      <c r="S115" s="13">
        <v>-0.92640794599999998</v>
      </c>
      <c r="T115">
        <v>1.8770020489999999</v>
      </c>
      <c r="U115">
        <v>2.8770837E-2</v>
      </c>
    </row>
    <row r="116" spans="1:21" x14ac:dyDescent="0.2">
      <c r="A116" t="s">
        <v>38</v>
      </c>
      <c r="B116">
        <v>825320</v>
      </c>
      <c r="C116" t="s">
        <v>6961</v>
      </c>
      <c r="D116" t="s">
        <v>38</v>
      </c>
      <c r="E116" t="s">
        <v>6939</v>
      </c>
      <c r="F116">
        <v>24</v>
      </c>
      <c r="G116">
        <v>2</v>
      </c>
      <c r="H116" t="s">
        <v>7162</v>
      </c>
      <c r="J116" t="s">
        <v>6599</v>
      </c>
      <c r="M116" t="s">
        <v>7163</v>
      </c>
      <c r="N116">
        <v>2.7247480949999998</v>
      </c>
      <c r="O116">
        <v>7.0822175119999997</v>
      </c>
      <c r="P116">
        <v>0.61298291999999999</v>
      </c>
      <c r="Q116">
        <v>0.48262032500000002</v>
      </c>
      <c r="S116" s="13">
        <v>-0.92645894699999998</v>
      </c>
      <c r="T116">
        <v>1.876779188</v>
      </c>
      <c r="U116">
        <v>4.9230628999999998E-2</v>
      </c>
    </row>
    <row r="117" spans="1:21" x14ac:dyDescent="0.2">
      <c r="A117" t="s">
        <v>537</v>
      </c>
      <c r="B117">
        <v>871440</v>
      </c>
      <c r="C117" t="s">
        <v>6931</v>
      </c>
      <c r="D117" t="s">
        <v>538</v>
      </c>
      <c r="E117" t="s">
        <v>6928</v>
      </c>
      <c r="F117">
        <v>8</v>
      </c>
      <c r="G117">
        <v>16</v>
      </c>
      <c r="H117" t="s">
        <v>7164</v>
      </c>
      <c r="N117">
        <v>1.9323965059999999</v>
      </c>
      <c r="O117">
        <v>3.0528020530000002</v>
      </c>
      <c r="P117">
        <v>2.6493138999999999E-2</v>
      </c>
      <c r="Q117">
        <v>-0.38692188</v>
      </c>
      <c r="S117" s="13">
        <v>-0.92745548899999997</v>
      </c>
      <c r="T117">
        <v>1.8724245260000001</v>
      </c>
      <c r="U117">
        <v>4.0606840999999998E-2</v>
      </c>
    </row>
    <row r="118" spans="1:21" x14ac:dyDescent="0.2">
      <c r="A118" t="s">
        <v>415</v>
      </c>
      <c r="B118">
        <v>1007320</v>
      </c>
      <c r="C118" t="s">
        <v>6910</v>
      </c>
      <c r="D118" t="s">
        <v>415</v>
      </c>
      <c r="E118" t="s">
        <v>6924</v>
      </c>
      <c r="F118">
        <v>19</v>
      </c>
      <c r="G118">
        <v>6</v>
      </c>
      <c r="H118" t="s">
        <v>7165</v>
      </c>
      <c r="J118" t="s">
        <v>4808</v>
      </c>
      <c r="M118" t="s">
        <v>7166</v>
      </c>
      <c r="N118">
        <v>1.9874741039999999</v>
      </c>
      <c r="O118">
        <v>3.7453511220000002</v>
      </c>
      <c r="P118">
        <v>0.451009722</v>
      </c>
      <c r="Q118">
        <v>-0.102386592</v>
      </c>
      <c r="S118" s="13">
        <v>-0.92891571500000003</v>
      </c>
      <c r="T118">
        <v>1.866043675</v>
      </c>
      <c r="U118">
        <v>6.4668920000000005E-2</v>
      </c>
    </row>
    <row r="119" spans="1:21" x14ac:dyDescent="0.2">
      <c r="A119" t="s">
        <v>33</v>
      </c>
      <c r="B119">
        <v>821800</v>
      </c>
      <c r="C119" t="s">
        <v>6961</v>
      </c>
      <c r="D119" t="s">
        <v>33</v>
      </c>
      <c r="E119" t="s">
        <v>6918</v>
      </c>
      <c r="F119">
        <v>17</v>
      </c>
      <c r="G119">
        <v>1</v>
      </c>
      <c r="H119" t="s">
        <v>7167</v>
      </c>
      <c r="J119" t="s">
        <v>2300</v>
      </c>
      <c r="M119" t="s">
        <v>7168</v>
      </c>
      <c r="N119">
        <v>2.7247480949999998</v>
      </c>
      <c r="O119">
        <v>7.0822175119999997</v>
      </c>
      <c r="P119">
        <v>0.61298291999999999</v>
      </c>
      <c r="Q119">
        <v>0.48262032500000002</v>
      </c>
      <c r="S119" s="13">
        <v>-0.92924543199999998</v>
      </c>
      <c r="T119">
        <v>1.8646028830000001</v>
      </c>
      <c r="U119">
        <v>4.7748954000000003E-2</v>
      </c>
    </row>
    <row r="120" spans="1:21" x14ac:dyDescent="0.2">
      <c r="A120" t="s">
        <v>422</v>
      </c>
      <c r="B120">
        <v>1006120</v>
      </c>
      <c r="C120" t="s">
        <v>6910</v>
      </c>
      <c r="D120" t="s">
        <v>423</v>
      </c>
      <c r="E120" t="s">
        <v>6974</v>
      </c>
      <c r="F120">
        <v>3</v>
      </c>
      <c r="G120">
        <v>15</v>
      </c>
      <c r="H120" t="s">
        <v>7169</v>
      </c>
      <c r="J120" t="s">
        <v>3010</v>
      </c>
      <c r="M120" t="s">
        <v>7170</v>
      </c>
      <c r="N120">
        <v>1.9874741039999999</v>
      </c>
      <c r="O120">
        <v>3.7453511220000002</v>
      </c>
      <c r="P120">
        <v>0.451009722</v>
      </c>
      <c r="Q120">
        <v>-0.102386592</v>
      </c>
      <c r="S120" s="13">
        <v>-0.93020678700000003</v>
      </c>
      <c r="T120">
        <v>1.8604019839999999</v>
      </c>
      <c r="U120">
        <v>6.4182002000000002E-2</v>
      </c>
    </row>
    <row r="121" spans="1:21" x14ac:dyDescent="0.2">
      <c r="A121" t="s">
        <v>63</v>
      </c>
      <c r="B121">
        <v>819520</v>
      </c>
      <c r="C121" t="s">
        <v>6961</v>
      </c>
      <c r="D121" t="s">
        <v>63</v>
      </c>
      <c r="E121" t="s">
        <v>6918</v>
      </c>
      <c r="F121">
        <v>23</v>
      </c>
      <c r="G121">
        <v>1</v>
      </c>
      <c r="H121" t="s">
        <v>7171</v>
      </c>
      <c r="J121" t="s">
        <v>2681</v>
      </c>
      <c r="M121" t="s">
        <v>7172</v>
      </c>
      <c r="N121">
        <v>2.7247480949999998</v>
      </c>
      <c r="O121">
        <v>7.0822175119999997</v>
      </c>
      <c r="P121">
        <v>0.61298291999999999</v>
      </c>
      <c r="Q121">
        <v>0.48262032500000002</v>
      </c>
      <c r="S121" s="13">
        <v>-0.93105031500000002</v>
      </c>
      <c r="T121">
        <v>1.8567159580000001</v>
      </c>
      <c r="U121">
        <v>4.6786529E-2</v>
      </c>
    </row>
    <row r="122" spans="1:21" x14ac:dyDescent="0.2">
      <c r="A122" t="s">
        <v>221</v>
      </c>
      <c r="B122">
        <v>1047080</v>
      </c>
      <c r="C122" t="s">
        <v>6927</v>
      </c>
      <c r="D122" t="s">
        <v>221</v>
      </c>
      <c r="E122" t="s">
        <v>6928</v>
      </c>
      <c r="F122">
        <v>12</v>
      </c>
      <c r="G122">
        <v>16</v>
      </c>
      <c r="H122" t="s">
        <v>7173</v>
      </c>
      <c r="J122" t="s">
        <v>7174</v>
      </c>
      <c r="M122" t="s">
        <v>7175</v>
      </c>
      <c r="N122">
        <v>1.982575982</v>
      </c>
      <c r="O122">
        <v>3.4571926419999999</v>
      </c>
      <c r="P122">
        <v>-0.114791479</v>
      </c>
      <c r="Q122">
        <v>1.868949E-3</v>
      </c>
      <c r="S122" s="13">
        <v>-0.93125739299999999</v>
      </c>
      <c r="T122">
        <v>1.8558110750000001</v>
      </c>
      <c r="U122">
        <v>3.2813222000000003E-2</v>
      </c>
    </row>
    <row r="123" spans="1:21" x14ac:dyDescent="0.2">
      <c r="A123" t="s">
        <v>2443</v>
      </c>
      <c r="B123">
        <v>1111680</v>
      </c>
      <c r="C123" t="s">
        <v>6953</v>
      </c>
      <c r="D123" t="s">
        <v>2444</v>
      </c>
      <c r="E123" t="s">
        <v>7006</v>
      </c>
      <c r="F123">
        <v>1</v>
      </c>
      <c r="G123">
        <v>3</v>
      </c>
      <c r="H123" t="s">
        <v>7176</v>
      </c>
      <c r="J123" t="s">
        <v>3741</v>
      </c>
      <c r="M123" t="s">
        <v>7177</v>
      </c>
      <c r="N123">
        <v>1.921480887</v>
      </c>
      <c r="O123">
        <v>3.0856645180000002</v>
      </c>
      <c r="P123">
        <v>0.44706724399999997</v>
      </c>
      <c r="Q123">
        <v>-0.354940863</v>
      </c>
      <c r="S123" s="13">
        <v>-0.93170357199999998</v>
      </c>
      <c r="T123">
        <v>1.8538613770000001</v>
      </c>
      <c r="U123">
        <v>6.6812969E-2</v>
      </c>
    </row>
    <row r="124" spans="1:21" x14ac:dyDescent="0.2">
      <c r="A124" t="s">
        <v>995</v>
      </c>
      <c r="B124">
        <v>818360</v>
      </c>
      <c r="C124" t="s">
        <v>6961</v>
      </c>
      <c r="D124" t="s">
        <v>995</v>
      </c>
      <c r="E124" t="s">
        <v>6907</v>
      </c>
      <c r="F124">
        <v>20</v>
      </c>
      <c r="G124">
        <v>4</v>
      </c>
      <c r="H124" t="s">
        <v>7178</v>
      </c>
      <c r="J124" t="s">
        <v>6463</v>
      </c>
      <c r="M124" t="s">
        <v>7179</v>
      </c>
      <c r="N124">
        <v>2.7247480949999998</v>
      </c>
      <c r="O124">
        <v>7.0822175119999997</v>
      </c>
      <c r="P124">
        <v>0.61298291999999999</v>
      </c>
      <c r="Q124">
        <v>0.48262032500000002</v>
      </c>
      <c r="S124" s="13">
        <v>-0.93196858900000001</v>
      </c>
      <c r="T124">
        <v>1.852703312</v>
      </c>
      <c r="U124">
        <v>4.6296052999999997E-2</v>
      </c>
    </row>
    <row r="125" spans="1:21" x14ac:dyDescent="0.2">
      <c r="A125" t="s">
        <v>422</v>
      </c>
      <c r="B125">
        <v>1043840</v>
      </c>
      <c r="C125" t="s">
        <v>6927</v>
      </c>
      <c r="D125" t="s">
        <v>423</v>
      </c>
      <c r="E125" t="s">
        <v>6974</v>
      </c>
      <c r="F125">
        <v>3</v>
      </c>
      <c r="G125">
        <v>15</v>
      </c>
      <c r="H125" t="s">
        <v>7180</v>
      </c>
      <c r="J125" t="s">
        <v>7181</v>
      </c>
      <c r="M125" t="s">
        <v>7182</v>
      </c>
      <c r="N125">
        <v>1.982575982</v>
      </c>
      <c r="O125">
        <v>3.4571926419999999</v>
      </c>
      <c r="P125">
        <v>-0.114791479</v>
      </c>
      <c r="Q125">
        <v>1.868949E-3</v>
      </c>
      <c r="S125" s="13">
        <v>-0.93461929600000004</v>
      </c>
      <c r="T125">
        <v>1.841120329</v>
      </c>
      <c r="U125">
        <v>3.1396971000000003E-2</v>
      </c>
    </row>
    <row r="126" spans="1:21" x14ac:dyDescent="0.2">
      <c r="A126" t="s">
        <v>801</v>
      </c>
      <c r="B126">
        <v>814200</v>
      </c>
      <c r="C126" t="s">
        <v>6961</v>
      </c>
      <c r="D126" t="s">
        <v>801</v>
      </c>
      <c r="E126" t="s">
        <v>6911</v>
      </c>
      <c r="F126">
        <v>23</v>
      </c>
      <c r="G126">
        <v>12</v>
      </c>
      <c r="H126" t="s">
        <v>7183</v>
      </c>
      <c r="J126" t="s">
        <v>2178</v>
      </c>
      <c r="M126" t="s">
        <v>7184</v>
      </c>
      <c r="N126">
        <v>2.7247480949999998</v>
      </c>
      <c r="O126">
        <v>7.0822175119999997</v>
      </c>
      <c r="P126">
        <v>0.61298291999999999</v>
      </c>
      <c r="Q126">
        <v>0.48262032500000002</v>
      </c>
      <c r="S126" s="13">
        <v>-0.93526170799999997</v>
      </c>
      <c r="T126">
        <v>1.8383131340000001</v>
      </c>
      <c r="U126">
        <v>4.4532539000000003E-2</v>
      </c>
    </row>
    <row r="127" spans="1:21" x14ac:dyDescent="0.2">
      <c r="A127" t="s">
        <v>243</v>
      </c>
      <c r="B127">
        <v>813760</v>
      </c>
      <c r="C127" t="s">
        <v>6961</v>
      </c>
      <c r="D127" t="s">
        <v>243</v>
      </c>
      <c r="E127" t="s">
        <v>6918</v>
      </c>
      <c r="F127">
        <v>14</v>
      </c>
      <c r="G127">
        <v>1</v>
      </c>
      <c r="H127" t="s">
        <v>7185</v>
      </c>
      <c r="J127" t="s">
        <v>6589</v>
      </c>
      <c r="M127" t="s">
        <v>7186</v>
      </c>
      <c r="N127">
        <v>2.7247480949999998</v>
      </c>
      <c r="O127">
        <v>7.0822175119999997</v>
      </c>
      <c r="P127">
        <v>0.61298291999999999</v>
      </c>
      <c r="Q127">
        <v>0.48262032500000002</v>
      </c>
      <c r="S127" s="13">
        <v>-0.93561001899999996</v>
      </c>
      <c r="T127">
        <v>1.836791096</v>
      </c>
      <c r="U127">
        <v>4.4345594000000002E-2</v>
      </c>
    </row>
    <row r="128" spans="1:21" x14ac:dyDescent="0.2">
      <c r="A128" t="s">
        <v>158</v>
      </c>
      <c r="B128">
        <v>935080</v>
      </c>
      <c r="C128" t="s">
        <v>6945</v>
      </c>
      <c r="D128" t="s">
        <v>158</v>
      </c>
      <c r="E128" t="s">
        <v>6918</v>
      </c>
      <c r="F128">
        <v>24</v>
      </c>
      <c r="G128">
        <v>1</v>
      </c>
      <c r="H128" t="s">
        <v>7187</v>
      </c>
      <c r="J128" t="s">
        <v>160</v>
      </c>
      <c r="M128" t="s">
        <v>7188</v>
      </c>
      <c r="N128">
        <v>2.2220813349999999</v>
      </c>
      <c r="O128">
        <v>6.5440947090000003</v>
      </c>
      <c r="P128">
        <v>0.58228215500000002</v>
      </c>
      <c r="Q128">
        <v>0.35188233000000002</v>
      </c>
      <c r="S128" s="13">
        <v>-0.93627497199999998</v>
      </c>
      <c r="T128">
        <v>1.8338854010000001</v>
      </c>
      <c r="U128">
        <v>2.7155669E-2</v>
      </c>
    </row>
    <row r="129" spans="1:21" x14ac:dyDescent="0.2">
      <c r="A129" t="s">
        <v>2230</v>
      </c>
      <c r="B129">
        <v>811200</v>
      </c>
      <c r="C129" t="s">
        <v>6961</v>
      </c>
      <c r="D129" t="s">
        <v>2231</v>
      </c>
      <c r="E129" t="s">
        <v>7115</v>
      </c>
      <c r="F129">
        <v>2</v>
      </c>
      <c r="G129">
        <v>10</v>
      </c>
      <c r="H129" t="s">
        <v>7189</v>
      </c>
      <c r="J129" t="s">
        <v>3319</v>
      </c>
      <c r="M129" t="s">
        <v>7190</v>
      </c>
      <c r="N129">
        <v>2.7247480949999998</v>
      </c>
      <c r="O129">
        <v>7.0822175119999997</v>
      </c>
      <c r="P129">
        <v>0.61298291999999999</v>
      </c>
      <c r="Q129">
        <v>0.48262032500000002</v>
      </c>
      <c r="S129" s="13">
        <v>-0.93763655400000001</v>
      </c>
      <c r="T129">
        <v>1.8279356010000001</v>
      </c>
      <c r="U129">
        <v>4.3256314999999997E-2</v>
      </c>
    </row>
    <row r="130" spans="1:21" x14ac:dyDescent="0.2">
      <c r="A130" t="s">
        <v>730</v>
      </c>
      <c r="B130">
        <v>811040</v>
      </c>
      <c r="C130" t="s">
        <v>6961</v>
      </c>
      <c r="D130" t="s">
        <v>731</v>
      </c>
      <c r="E130" t="s">
        <v>6946</v>
      </c>
      <c r="F130">
        <v>4</v>
      </c>
      <c r="G130">
        <v>11</v>
      </c>
      <c r="H130" t="s">
        <v>7191</v>
      </c>
      <c r="J130" t="s">
        <v>6107</v>
      </c>
      <c r="M130" t="s">
        <v>7192</v>
      </c>
      <c r="N130">
        <v>2.7247480949999998</v>
      </c>
      <c r="O130">
        <v>7.0822175119999997</v>
      </c>
      <c r="P130">
        <v>0.61298291999999999</v>
      </c>
      <c r="Q130">
        <v>0.48262032500000002</v>
      </c>
      <c r="S130" s="13">
        <v>-0.93776321200000001</v>
      </c>
      <c r="T130">
        <v>1.827382133</v>
      </c>
      <c r="U130">
        <v>4.3188143999999998E-2</v>
      </c>
    </row>
    <row r="131" spans="1:21" x14ac:dyDescent="0.2">
      <c r="A131" t="s">
        <v>1491</v>
      </c>
      <c r="B131">
        <v>863120</v>
      </c>
      <c r="C131" t="s">
        <v>6931</v>
      </c>
      <c r="D131" t="s">
        <v>1491</v>
      </c>
      <c r="E131" t="s">
        <v>6928</v>
      </c>
      <c r="F131">
        <v>15</v>
      </c>
      <c r="G131">
        <v>16</v>
      </c>
      <c r="H131" t="s">
        <v>7193</v>
      </c>
      <c r="N131">
        <v>1.9323965059999999</v>
      </c>
      <c r="O131">
        <v>3.0528020530000002</v>
      </c>
      <c r="P131">
        <v>2.6493138999999999E-2</v>
      </c>
      <c r="Q131">
        <v>-0.38692188</v>
      </c>
      <c r="S131" s="13">
        <v>-0.93838775399999996</v>
      </c>
      <c r="T131">
        <v>1.824653028</v>
      </c>
      <c r="U131">
        <v>3.7025826999999997E-2</v>
      </c>
    </row>
    <row r="132" spans="1:21" x14ac:dyDescent="0.2">
      <c r="A132" t="s">
        <v>207</v>
      </c>
      <c r="B132">
        <v>862200</v>
      </c>
      <c r="C132" t="s">
        <v>6931</v>
      </c>
      <c r="D132" t="s">
        <v>207</v>
      </c>
      <c r="E132" t="s">
        <v>6939</v>
      </c>
      <c r="F132">
        <v>21</v>
      </c>
      <c r="G132">
        <v>2</v>
      </c>
      <c r="H132" t="s">
        <v>7194</v>
      </c>
      <c r="N132">
        <v>1.9323965059999999</v>
      </c>
      <c r="O132">
        <v>3.0528020530000002</v>
      </c>
      <c r="P132">
        <v>2.6493138999999999E-2</v>
      </c>
      <c r="Q132">
        <v>-0.38692188</v>
      </c>
      <c r="S132" s="13">
        <v>-0.93959661000000005</v>
      </c>
      <c r="T132">
        <v>1.8193706030000001</v>
      </c>
      <c r="U132">
        <v>3.6628029999999999E-2</v>
      </c>
    </row>
    <row r="133" spans="1:21" x14ac:dyDescent="0.2">
      <c r="A133" t="s">
        <v>372</v>
      </c>
      <c r="B133">
        <v>1038600</v>
      </c>
      <c r="C133" t="s">
        <v>6927</v>
      </c>
      <c r="D133" t="s">
        <v>372</v>
      </c>
      <c r="E133" t="s">
        <v>7006</v>
      </c>
      <c r="F133">
        <v>23</v>
      </c>
      <c r="G133">
        <v>3</v>
      </c>
      <c r="H133" t="s">
        <v>7195</v>
      </c>
      <c r="J133" t="s">
        <v>7196</v>
      </c>
      <c r="M133" t="s">
        <v>7197</v>
      </c>
      <c r="N133">
        <v>1.982575982</v>
      </c>
      <c r="O133">
        <v>3.4571926419999999</v>
      </c>
      <c r="P133">
        <v>-0.114791479</v>
      </c>
      <c r="Q133">
        <v>1.868949E-3</v>
      </c>
      <c r="S133" s="13">
        <v>-0.94005644700000002</v>
      </c>
      <c r="T133">
        <v>1.8173612210000001</v>
      </c>
      <c r="U133">
        <v>2.9096673E-2</v>
      </c>
    </row>
    <row r="134" spans="1:21" x14ac:dyDescent="0.2">
      <c r="A134" t="s">
        <v>246</v>
      </c>
      <c r="B134">
        <v>807760</v>
      </c>
      <c r="C134" t="s">
        <v>6961</v>
      </c>
      <c r="D134" t="s">
        <v>246</v>
      </c>
      <c r="E134" t="s">
        <v>6939</v>
      </c>
      <c r="F134">
        <v>10</v>
      </c>
      <c r="G134">
        <v>2</v>
      </c>
      <c r="H134" t="s">
        <v>7198</v>
      </c>
      <c r="J134" t="s">
        <v>518</v>
      </c>
      <c r="M134" t="s">
        <v>7199</v>
      </c>
      <c r="N134">
        <v>2.7247480949999998</v>
      </c>
      <c r="O134">
        <v>7.0822175119999997</v>
      </c>
      <c r="P134">
        <v>0.61298291999999999</v>
      </c>
      <c r="Q134">
        <v>0.48262032500000002</v>
      </c>
      <c r="S134" s="13">
        <v>-0.94035970999999996</v>
      </c>
      <c r="T134">
        <v>1.8160360310000001</v>
      </c>
      <c r="U134">
        <v>4.1788280999999997E-2</v>
      </c>
    </row>
    <row r="135" spans="1:21" x14ac:dyDescent="0.2">
      <c r="A135" t="s">
        <v>293</v>
      </c>
      <c r="B135">
        <v>1131080</v>
      </c>
      <c r="C135" t="s">
        <v>6938</v>
      </c>
      <c r="D135" t="s">
        <v>293</v>
      </c>
      <c r="E135" t="s">
        <v>6977</v>
      </c>
      <c r="F135">
        <v>24</v>
      </c>
      <c r="G135">
        <v>5</v>
      </c>
      <c r="H135" t="s">
        <v>7200</v>
      </c>
      <c r="J135" t="s">
        <v>3444</v>
      </c>
      <c r="M135" t="s">
        <v>7201</v>
      </c>
      <c r="N135">
        <v>2.092758737</v>
      </c>
      <c r="O135">
        <v>5.3323610669999999</v>
      </c>
      <c r="P135">
        <v>0.70420098600000003</v>
      </c>
      <c r="Q135">
        <v>0.41355372699999998</v>
      </c>
      <c r="S135" s="13">
        <v>-0.94373067700000002</v>
      </c>
      <c r="T135">
        <v>1.8013056759999999</v>
      </c>
      <c r="U135">
        <v>5.4028080999999999E-2</v>
      </c>
    </row>
    <row r="136" spans="1:21" x14ac:dyDescent="0.2">
      <c r="A136" t="s">
        <v>38</v>
      </c>
      <c r="B136">
        <v>1128920</v>
      </c>
      <c r="C136" t="s">
        <v>6938</v>
      </c>
      <c r="D136" t="s">
        <v>38</v>
      </c>
      <c r="E136" t="s">
        <v>6939</v>
      </c>
      <c r="F136">
        <v>24</v>
      </c>
      <c r="G136">
        <v>2</v>
      </c>
      <c r="H136" t="s">
        <v>7202</v>
      </c>
      <c r="J136" t="s">
        <v>5707</v>
      </c>
      <c r="M136" t="s">
        <v>7203</v>
      </c>
      <c r="N136">
        <v>2.092758737</v>
      </c>
      <c r="O136">
        <v>5.3323610669999999</v>
      </c>
      <c r="P136">
        <v>0.70420098600000003</v>
      </c>
      <c r="Q136">
        <v>0.41355372699999998</v>
      </c>
      <c r="S136" s="13">
        <v>-0.94558570900000005</v>
      </c>
      <c r="T136">
        <v>1.7931996079999999</v>
      </c>
      <c r="U136">
        <v>5.3129463000000002E-2</v>
      </c>
    </row>
    <row r="137" spans="1:21" x14ac:dyDescent="0.2">
      <c r="A137" t="s">
        <v>129</v>
      </c>
      <c r="B137">
        <v>801120</v>
      </c>
      <c r="C137" t="s">
        <v>6961</v>
      </c>
      <c r="D137" t="s">
        <v>129</v>
      </c>
      <c r="E137" t="s">
        <v>7006</v>
      </c>
      <c r="F137">
        <v>24</v>
      </c>
      <c r="G137">
        <v>3</v>
      </c>
      <c r="H137" t="s">
        <v>7204</v>
      </c>
      <c r="J137" t="s">
        <v>4507</v>
      </c>
      <c r="M137" t="s">
        <v>7205</v>
      </c>
      <c r="N137">
        <v>2.7247480949999998</v>
      </c>
      <c r="O137">
        <v>7.0822175119999997</v>
      </c>
      <c r="P137">
        <v>0.61298291999999999</v>
      </c>
      <c r="Q137">
        <v>0.48262032500000002</v>
      </c>
      <c r="S137" s="13">
        <v>-0.94561603500000002</v>
      </c>
      <c r="T137">
        <v>1.793067092</v>
      </c>
      <c r="U137">
        <v>3.8940521999999998E-2</v>
      </c>
    </row>
    <row r="138" spans="1:21" x14ac:dyDescent="0.2">
      <c r="A138" t="s">
        <v>919</v>
      </c>
      <c r="B138">
        <v>800920</v>
      </c>
      <c r="C138" t="s">
        <v>6961</v>
      </c>
      <c r="D138" t="s">
        <v>919</v>
      </c>
      <c r="E138" t="s">
        <v>6946</v>
      </c>
      <c r="F138">
        <v>22</v>
      </c>
      <c r="G138">
        <v>11</v>
      </c>
      <c r="H138" t="s">
        <v>7206</v>
      </c>
      <c r="J138" t="s">
        <v>3894</v>
      </c>
      <c r="M138" t="s">
        <v>7207</v>
      </c>
      <c r="N138">
        <v>2.7247480949999998</v>
      </c>
      <c r="O138">
        <v>7.0822175119999997</v>
      </c>
      <c r="P138">
        <v>0.61298291999999999</v>
      </c>
      <c r="Q138">
        <v>0.48262032500000002</v>
      </c>
      <c r="S138" s="13">
        <v>-0.94577435799999998</v>
      </c>
      <c r="T138">
        <v>1.7923752559999999</v>
      </c>
      <c r="U138">
        <v>3.8854456000000002E-2</v>
      </c>
    </row>
    <row r="139" spans="1:21" x14ac:dyDescent="0.2">
      <c r="A139" t="s">
        <v>99</v>
      </c>
      <c r="B139">
        <v>991320</v>
      </c>
      <c r="C139" t="s">
        <v>6910</v>
      </c>
      <c r="D139" t="s">
        <v>101</v>
      </c>
      <c r="E139" t="s">
        <v>6918</v>
      </c>
      <c r="F139">
        <v>4</v>
      </c>
      <c r="G139">
        <v>1</v>
      </c>
      <c r="H139" t="s">
        <v>7208</v>
      </c>
      <c r="J139" t="s">
        <v>103</v>
      </c>
      <c r="M139" t="s">
        <v>7209</v>
      </c>
      <c r="N139">
        <v>1.9874741039999999</v>
      </c>
      <c r="O139">
        <v>3.7453511220000002</v>
      </c>
      <c r="P139">
        <v>0.451009722</v>
      </c>
      <c r="Q139">
        <v>-0.102386592</v>
      </c>
      <c r="S139" s="13">
        <v>-0.94613001100000005</v>
      </c>
      <c r="T139">
        <v>1.790821134</v>
      </c>
      <c r="U139">
        <v>5.8131355000000003E-2</v>
      </c>
    </row>
    <row r="140" spans="1:21" x14ac:dyDescent="0.2">
      <c r="A140" t="s">
        <v>1365</v>
      </c>
      <c r="B140">
        <v>1032000</v>
      </c>
      <c r="C140" t="s">
        <v>6927</v>
      </c>
      <c r="D140" t="s">
        <v>1365</v>
      </c>
      <c r="E140" t="s">
        <v>6970</v>
      </c>
      <c r="F140">
        <v>21</v>
      </c>
      <c r="G140">
        <v>14</v>
      </c>
      <c r="H140" t="s">
        <v>7210</v>
      </c>
      <c r="J140" t="s">
        <v>7211</v>
      </c>
      <c r="M140" t="s">
        <v>7212</v>
      </c>
      <c r="N140">
        <v>1.982575982</v>
      </c>
      <c r="O140">
        <v>3.4571926419999999</v>
      </c>
      <c r="P140">
        <v>-0.114791479</v>
      </c>
      <c r="Q140">
        <v>1.868949E-3</v>
      </c>
      <c r="S140" s="13">
        <v>-0.94690476700000004</v>
      </c>
      <c r="T140">
        <v>1.7874356280000001</v>
      </c>
      <c r="U140">
        <v>2.6181903999999999E-2</v>
      </c>
    </row>
    <row r="141" spans="1:21" x14ac:dyDescent="0.2">
      <c r="A141" t="s">
        <v>79</v>
      </c>
      <c r="B141">
        <v>855960</v>
      </c>
      <c r="C141" t="s">
        <v>6931</v>
      </c>
      <c r="D141" t="s">
        <v>80</v>
      </c>
      <c r="E141" t="s">
        <v>6946</v>
      </c>
      <c r="F141">
        <v>1</v>
      </c>
      <c r="G141">
        <v>11</v>
      </c>
      <c r="H141" t="s">
        <v>7213</v>
      </c>
      <c r="J141" t="s">
        <v>86</v>
      </c>
      <c r="M141" t="s">
        <v>7214</v>
      </c>
      <c r="N141">
        <v>1.9323965059999999</v>
      </c>
      <c r="O141">
        <v>3.0528020530000002</v>
      </c>
      <c r="P141">
        <v>2.6493138999999999E-2</v>
      </c>
      <c r="Q141">
        <v>-0.38692188</v>
      </c>
      <c r="S141" s="13">
        <v>-0.94779580799999996</v>
      </c>
      <c r="T141">
        <v>1.7835419800000001</v>
      </c>
      <c r="U141">
        <v>3.3920271000000002E-2</v>
      </c>
    </row>
    <row r="142" spans="1:21" x14ac:dyDescent="0.2">
      <c r="A142" t="s">
        <v>619</v>
      </c>
      <c r="B142">
        <v>797960</v>
      </c>
      <c r="C142" t="s">
        <v>6961</v>
      </c>
      <c r="D142" t="s">
        <v>619</v>
      </c>
      <c r="E142" t="s">
        <v>6939</v>
      </c>
      <c r="F142">
        <v>22</v>
      </c>
      <c r="G142">
        <v>2</v>
      </c>
      <c r="H142" t="s">
        <v>7215</v>
      </c>
      <c r="J142" t="s">
        <v>6595</v>
      </c>
      <c r="M142" t="s">
        <v>7216</v>
      </c>
      <c r="N142">
        <v>2.7247480949999998</v>
      </c>
      <c r="O142">
        <v>7.0822175119999997</v>
      </c>
      <c r="P142">
        <v>0.61298291999999999</v>
      </c>
      <c r="Q142">
        <v>0.48262032500000002</v>
      </c>
      <c r="S142" s="13">
        <v>-0.94811753899999995</v>
      </c>
      <c r="T142">
        <v>1.7821360909999999</v>
      </c>
      <c r="U142">
        <v>3.7578677999999997E-2</v>
      </c>
    </row>
    <row r="143" spans="1:21" x14ac:dyDescent="0.2">
      <c r="A143" t="s">
        <v>157</v>
      </c>
      <c r="B143">
        <v>795000</v>
      </c>
      <c r="C143" t="s">
        <v>6961</v>
      </c>
      <c r="D143" t="s">
        <v>157</v>
      </c>
      <c r="E143" t="s">
        <v>6946</v>
      </c>
      <c r="F143">
        <v>14</v>
      </c>
      <c r="G143">
        <v>11</v>
      </c>
      <c r="H143" t="s">
        <v>7217</v>
      </c>
      <c r="J143" t="s">
        <v>2200</v>
      </c>
      <c r="M143" t="s">
        <v>7218</v>
      </c>
      <c r="N143">
        <v>2.7247480949999998</v>
      </c>
      <c r="O143">
        <v>7.0822175119999997</v>
      </c>
      <c r="P143">
        <v>0.61298291999999999</v>
      </c>
      <c r="Q143">
        <v>0.48262032500000002</v>
      </c>
      <c r="S143" s="13">
        <v>-0.95046072000000004</v>
      </c>
      <c r="T143">
        <v>1.7718969259999999</v>
      </c>
      <c r="U143">
        <v>3.6299141E-2</v>
      </c>
    </row>
    <row r="144" spans="1:21" x14ac:dyDescent="0.2">
      <c r="A144" t="s">
        <v>1049</v>
      </c>
      <c r="B144">
        <v>879480</v>
      </c>
      <c r="C144" t="s">
        <v>6906</v>
      </c>
      <c r="D144" t="s">
        <v>1049</v>
      </c>
      <c r="E144" t="s">
        <v>6928</v>
      </c>
      <c r="F144">
        <v>23</v>
      </c>
      <c r="G144">
        <v>16</v>
      </c>
      <c r="H144" t="s">
        <v>7219</v>
      </c>
      <c r="J144" t="s">
        <v>2116</v>
      </c>
      <c r="M144" t="s">
        <v>7220</v>
      </c>
      <c r="N144">
        <v>1.813871112</v>
      </c>
      <c r="O144">
        <v>2.6633694910000001</v>
      </c>
      <c r="P144">
        <v>-0.29586356800000002</v>
      </c>
      <c r="Q144">
        <v>-0.59018158399999998</v>
      </c>
      <c r="S144" s="13">
        <v>-0.95279268800000005</v>
      </c>
      <c r="T144">
        <v>1.7617067580000001</v>
      </c>
      <c r="U144">
        <v>-9.3722570000000002E-3</v>
      </c>
    </row>
    <row r="145" spans="1:21" x14ac:dyDescent="0.2">
      <c r="A145" t="s">
        <v>195</v>
      </c>
      <c r="B145">
        <v>981920</v>
      </c>
      <c r="C145" t="s">
        <v>6942</v>
      </c>
      <c r="D145" t="s">
        <v>195</v>
      </c>
      <c r="E145" t="s">
        <v>6907</v>
      </c>
      <c r="F145">
        <v>24</v>
      </c>
      <c r="G145">
        <v>4</v>
      </c>
      <c r="H145" t="s">
        <v>7221</v>
      </c>
      <c r="J145" t="s">
        <v>197</v>
      </c>
      <c r="M145" t="s">
        <v>7222</v>
      </c>
      <c r="N145">
        <v>2.0902262079999998</v>
      </c>
      <c r="O145">
        <v>4.2704203920000001</v>
      </c>
      <c r="P145">
        <v>0.23425843900000001</v>
      </c>
      <c r="Q145">
        <v>1.6181978999999999E-2</v>
      </c>
      <c r="S145" s="13">
        <v>-0.95349704599999996</v>
      </c>
      <c r="T145">
        <v>1.758628876</v>
      </c>
      <c r="U145">
        <v>1.6440092999999999E-2</v>
      </c>
    </row>
    <row r="146" spans="1:21" x14ac:dyDescent="0.2">
      <c r="A146" t="s">
        <v>63</v>
      </c>
      <c r="B146">
        <v>849560</v>
      </c>
      <c r="C146" t="s">
        <v>6931</v>
      </c>
      <c r="D146" t="s">
        <v>63</v>
      </c>
      <c r="E146" t="s">
        <v>6918</v>
      </c>
      <c r="F146">
        <v>23</v>
      </c>
      <c r="G146">
        <v>1</v>
      </c>
      <c r="H146" t="s">
        <v>7223</v>
      </c>
      <c r="N146">
        <v>1.9323965059999999</v>
      </c>
      <c r="O146">
        <v>3.0528020530000002</v>
      </c>
      <c r="P146">
        <v>2.6493138999999999E-2</v>
      </c>
      <c r="Q146">
        <v>-0.38692188</v>
      </c>
      <c r="S146" s="13">
        <v>-0.95620524299999998</v>
      </c>
      <c r="T146">
        <v>1.746794674</v>
      </c>
      <c r="U146">
        <v>3.1125433000000001E-2</v>
      </c>
    </row>
    <row r="147" spans="1:21" x14ac:dyDescent="0.2">
      <c r="A147" t="s">
        <v>239</v>
      </c>
      <c r="B147">
        <v>1116400</v>
      </c>
      <c r="C147" t="s">
        <v>6938</v>
      </c>
      <c r="D147" t="s">
        <v>240</v>
      </c>
      <c r="E147" t="s">
        <v>6977</v>
      </c>
      <c r="F147">
        <v>1</v>
      </c>
      <c r="G147">
        <v>5</v>
      </c>
      <c r="H147" t="s">
        <v>7224</v>
      </c>
      <c r="J147" t="s">
        <v>404</v>
      </c>
      <c r="M147" t="s">
        <v>7225</v>
      </c>
      <c r="N147">
        <v>2.092758737</v>
      </c>
      <c r="O147">
        <v>5.3323610669999999</v>
      </c>
      <c r="P147">
        <v>0.70420098600000003</v>
      </c>
      <c r="Q147">
        <v>0.41355372699999998</v>
      </c>
      <c r="S147" s="13">
        <v>-0.95633802800000001</v>
      </c>
      <c r="T147">
        <v>1.746214433</v>
      </c>
      <c r="U147">
        <v>4.7883861E-2</v>
      </c>
    </row>
    <row r="148" spans="1:21" x14ac:dyDescent="0.2">
      <c r="A148" t="s">
        <v>1049</v>
      </c>
      <c r="B148">
        <v>786320</v>
      </c>
      <c r="C148" t="s">
        <v>6961</v>
      </c>
      <c r="D148" t="s">
        <v>1049</v>
      </c>
      <c r="E148" t="s">
        <v>6928</v>
      </c>
      <c r="F148">
        <v>23</v>
      </c>
      <c r="G148">
        <v>16</v>
      </c>
      <c r="H148" t="s">
        <v>7226</v>
      </c>
      <c r="J148" t="s">
        <v>1782</v>
      </c>
      <c r="M148" t="s">
        <v>7227</v>
      </c>
      <c r="N148">
        <v>2.7247480949999998</v>
      </c>
      <c r="O148">
        <v>7.0822175119999997</v>
      </c>
      <c r="P148">
        <v>0.61298291999999999</v>
      </c>
      <c r="Q148">
        <v>0.48262032500000002</v>
      </c>
      <c r="S148" s="13">
        <v>-0.95733193999999999</v>
      </c>
      <c r="T148">
        <v>1.7418712649999999</v>
      </c>
      <c r="U148">
        <v>3.2525101000000001E-2</v>
      </c>
    </row>
    <row r="149" spans="1:21" x14ac:dyDescent="0.2">
      <c r="A149" t="s">
        <v>709</v>
      </c>
      <c r="B149">
        <v>786160</v>
      </c>
      <c r="C149" t="s">
        <v>6961</v>
      </c>
      <c r="D149" t="s">
        <v>709</v>
      </c>
      <c r="E149" t="s">
        <v>6928</v>
      </c>
      <c r="F149">
        <v>20</v>
      </c>
      <c r="G149">
        <v>16</v>
      </c>
      <c r="H149" t="s">
        <v>7228</v>
      </c>
      <c r="J149" t="s">
        <v>4782</v>
      </c>
      <c r="M149" t="s">
        <v>7229</v>
      </c>
      <c r="N149">
        <v>2.7247480949999998</v>
      </c>
      <c r="O149">
        <v>7.0822175119999997</v>
      </c>
      <c r="P149">
        <v>0.61298291999999999</v>
      </c>
      <c r="Q149">
        <v>0.48262032500000002</v>
      </c>
      <c r="S149" s="13">
        <v>-0.95745859899999997</v>
      </c>
      <c r="T149">
        <v>1.7413177959999999</v>
      </c>
      <c r="U149">
        <v>3.2455223999999998E-2</v>
      </c>
    </row>
    <row r="150" spans="1:21" x14ac:dyDescent="0.2">
      <c r="A150" t="s">
        <v>191</v>
      </c>
      <c r="B150">
        <v>785520</v>
      </c>
      <c r="C150" t="s">
        <v>6961</v>
      </c>
      <c r="D150" t="s">
        <v>192</v>
      </c>
      <c r="E150" t="s">
        <v>6911</v>
      </c>
      <c r="F150">
        <v>1</v>
      </c>
      <c r="G150">
        <v>12</v>
      </c>
      <c r="H150" t="s">
        <v>7230</v>
      </c>
      <c r="J150" t="s">
        <v>6587</v>
      </c>
      <c r="M150" t="s">
        <v>7231</v>
      </c>
      <c r="N150">
        <v>2.7247480949999998</v>
      </c>
      <c r="O150">
        <v>7.0822175119999997</v>
      </c>
      <c r="P150">
        <v>0.61298291999999999</v>
      </c>
      <c r="Q150">
        <v>0.48262032500000002</v>
      </c>
      <c r="S150" s="13">
        <v>-0.95796523200000006</v>
      </c>
      <c r="T150">
        <v>1.7391039230000001</v>
      </c>
      <c r="U150">
        <v>3.2175606000000002E-2</v>
      </c>
    </row>
    <row r="151" spans="1:21" x14ac:dyDescent="0.2">
      <c r="A151" t="s">
        <v>650</v>
      </c>
      <c r="B151">
        <v>785360</v>
      </c>
      <c r="C151" t="s">
        <v>6961</v>
      </c>
      <c r="D151" t="s">
        <v>651</v>
      </c>
      <c r="E151" t="s">
        <v>7085</v>
      </c>
      <c r="F151">
        <v>9</v>
      </c>
      <c r="G151">
        <v>9</v>
      </c>
      <c r="H151" t="s">
        <v>7232</v>
      </c>
      <c r="J151" t="s">
        <v>4958</v>
      </c>
      <c r="M151" t="s">
        <v>7233</v>
      </c>
      <c r="N151">
        <v>2.7247480949999998</v>
      </c>
      <c r="O151">
        <v>7.0822175119999997</v>
      </c>
      <c r="P151">
        <v>0.61298291999999999</v>
      </c>
      <c r="Q151">
        <v>0.48262032500000002</v>
      </c>
      <c r="S151" s="13">
        <v>-0.95809189100000003</v>
      </c>
      <c r="T151">
        <v>1.7385504540000001</v>
      </c>
      <c r="U151">
        <v>3.2105674000000001E-2</v>
      </c>
    </row>
    <row r="152" spans="1:21" x14ac:dyDescent="0.2">
      <c r="A152" t="s">
        <v>79</v>
      </c>
      <c r="B152">
        <v>1046400</v>
      </c>
      <c r="C152" t="s">
        <v>6914</v>
      </c>
      <c r="D152" t="s">
        <v>80</v>
      </c>
      <c r="E152" t="s">
        <v>6946</v>
      </c>
      <c r="F152">
        <v>1</v>
      </c>
      <c r="G152">
        <v>11</v>
      </c>
      <c r="H152" t="s">
        <v>7234</v>
      </c>
      <c r="J152" t="s">
        <v>6613</v>
      </c>
      <c r="M152" t="s">
        <v>7235</v>
      </c>
      <c r="N152">
        <v>1.8217074179999999</v>
      </c>
      <c r="O152">
        <v>4.1700741289999996</v>
      </c>
      <c r="P152">
        <v>0.189705977</v>
      </c>
      <c r="Q152">
        <v>-1.7194070999999998E-2</v>
      </c>
      <c r="S152" s="13">
        <v>-0.95840850600000005</v>
      </c>
      <c r="T152">
        <v>1.737166918</v>
      </c>
      <c r="U152">
        <v>-3.9715849999999997E-3</v>
      </c>
    </row>
    <row r="153" spans="1:21" x14ac:dyDescent="0.2">
      <c r="A153" t="s">
        <v>1089</v>
      </c>
      <c r="B153">
        <v>975440</v>
      </c>
      <c r="C153" t="s">
        <v>6942</v>
      </c>
      <c r="D153" t="s">
        <v>1089</v>
      </c>
      <c r="E153" t="s">
        <v>6946</v>
      </c>
      <c r="F153">
        <v>21</v>
      </c>
      <c r="G153">
        <v>11</v>
      </c>
      <c r="H153" t="s">
        <v>7236</v>
      </c>
      <c r="J153" t="s">
        <v>1091</v>
      </c>
      <c r="M153" t="s">
        <v>7237</v>
      </c>
      <c r="N153">
        <v>2.0902262079999998</v>
      </c>
      <c r="O153">
        <v>4.2704203920000001</v>
      </c>
      <c r="P153">
        <v>0.23425843900000001</v>
      </c>
      <c r="Q153">
        <v>1.6181978999999999E-2</v>
      </c>
      <c r="S153" s="13">
        <v>-0.95985709500000005</v>
      </c>
      <c r="T153">
        <v>1.7308369139999999</v>
      </c>
      <c r="U153">
        <v>1.3493586E-2</v>
      </c>
    </row>
    <row r="154" spans="1:21" x14ac:dyDescent="0.2">
      <c r="A154" t="s">
        <v>448</v>
      </c>
      <c r="B154">
        <v>783000</v>
      </c>
      <c r="C154" t="s">
        <v>6961</v>
      </c>
      <c r="D154" t="s">
        <v>448</v>
      </c>
      <c r="E154" t="s">
        <v>6974</v>
      </c>
      <c r="F154">
        <v>22</v>
      </c>
      <c r="G154">
        <v>15</v>
      </c>
      <c r="H154" t="s">
        <v>7238</v>
      </c>
      <c r="J154" t="s">
        <v>7239</v>
      </c>
      <c r="M154" t="s">
        <v>7240</v>
      </c>
      <c r="N154">
        <v>2.7247480949999998</v>
      </c>
      <c r="O154">
        <v>7.0822175119999997</v>
      </c>
      <c r="P154">
        <v>0.61298291999999999</v>
      </c>
      <c r="Q154">
        <v>0.48262032500000002</v>
      </c>
      <c r="S154" s="13">
        <v>-0.95996010300000001</v>
      </c>
      <c r="T154">
        <v>1.730386795</v>
      </c>
      <c r="U154">
        <v>3.1072857999999998E-2</v>
      </c>
    </row>
    <row r="155" spans="1:21" x14ac:dyDescent="0.2">
      <c r="A155" t="s">
        <v>380</v>
      </c>
      <c r="B155">
        <v>782840</v>
      </c>
      <c r="C155" t="s">
        <v>6961</v>
      </c>
      <c r="D155" t="s">
        <v>380</v>
      </c>
      <c r="E155" t="s">
        <v>6928</v>
      </c>
      <c r="F155">
        <v>16</v>
      </c>
      <c r="G155">
        <v>16</v>
      </c>
      <c r="H155" t="s">
        <v>7241</v>
      </c>
      <c r="J155" t="s">
        <v>916</v>
      </c>
      <c r="M155" t="s">
        <v>7242</v>
      </c>
      <c r="N155">
        <v>2.7247480949999998</v>
      </c>
      <c r="O155">
        <v>7.0822175119999997</v>
      </c>
      <c r="P155">
        <v>0.61298291999999999</v>
      </c>
      <c r="Q155">
        <v>0.48262032500000002</v>
      </c>
      <c r="S155" s="13">
        <v>-0.96008676100000001</v>
      </c>
      <c r="T155">
        <v>1.7298333269999999</v>
      </c>
      <c r="U155">
        <v>3.1002748E-2</v>
      </c>
    </row>
    <row r="156" spans="1:21" x14ac:dyDescent="0.2">
      <c r="A156" t="s">
        <v>79</v>
      </c>
      <c r="B156">
        <v>909280</v>
      </c>
      <c r="C156" t="s">
        <v>6945</v>
      </c>
      <c r="D156" t="s">
        <v>80</v>
      </c>
      <c r="E156" t="s">
        <v>6946</v>
      </c>
      <c r="F156">
        <v>1</v>
      </c>
      <c r="G156">
        <v>11</v>
      </c>
      <c r="H156" t="s">
        <v>7243</v>
      </c>
      <c r="J156" t="s">
        <v>1614</v>
      </c>
      <c r="M156" t="s">
        <v>7244</v>
      </c>
      <c r="N156">
        <v>2.2220813349999999</v>
      </c>
      <c r="O156">
        <v>6.5440947090000003</v>
      </c>
      <c r="P156">
        <v>0.58228215500000002</v>
      </c>
      <c r="Q156">
        <v>0.35188233000000002</v>
      </c>
      <c r="S156" s="13">
        <v>-0.960610462</v>
      </c>
      <c r="T156">
        <v>1.727544872</v>
      </c>
      <c r="U156">
        <v>1.559638E-2</v>
      </c>
    </row>
    <row r="157" spans="1:21" x14ac:dyDescent="0.2">
      <c r="A157" t="s">
        <v>2118</v>
      </c>
      <c r="B157">
        <v>1110520</v>
      </c>
      <c r="C157" t="s">
        <v>6938</v>
      </c>
      <c r="D157" t="s">
        <v>2119</v>
      </c>
      <c r="E157" t="s">
        <v>6974</v>
      </c>
      <c r="F157">
        <v>4</v>
      </c>
      <c r="G157">
        <v>15</v>
      </c>
      <c r="H157" t="s">
        <v>7245</v>
      </c>
      <c r="J157" t="s">
        <v>5665</v>
      </c>
      <c r="M157" t="s">
        <v>7246</v>
      </c>
      <c r="N157">
        <v>2.092758737</v>
      </c>
      <c r="O157">
        <v>5.3323610669999999</v>
      </c>
      <c r="P157">
        <v>0.70420098600000003</v>
      </c>
      <c r="Q157">
        <v>0.41355372699999998</v>
      </c>
      <c r="S157" s="13">
        <v>-0.96138783900000002</v>
      </c>
      <c r="T157">
        <v>1.7241479129999999</v>
      </c>
      <c r="U157">
        <v>4.5398234000000003E-2</v>
      </c>
    </row>
    <row r="158" spans="1:21" x14ac:dyDescent="0.2">
      <c r="A158" t="s">
        <v>1882</v>
      </c>
      <c r="B158">
        <v>780920</v>
      </c>
      <c r="C158" t="s">
        <v>6961</v>
      </c>
      <c r="D158" t="s">
        <v>1882</v>
      </c>
      <c r="E158" t="s">
        <v>7006</v>
      </c>
      <c r="F158">
        <v>20</v>
      </c>
      <c r="G158">
        <v>3</v>
      </c>
      <c r="H158" t="s">
        <v>7247</v>
      </c>
      <c r="J158" t="s">
        <v>6409</v>
      </c>
      <c r="M158" t="s">
        <v>7248</v>
      </c>
      <c r="N158">
        <v>2.7247480949999998</v>
      </c>
      <c r="O158">
        <v>7.0822175119999997</v>
      </c>
      <c r="P158">
        <v>0.61298291999999999</v>
      </c>
      <c r="Q158">
        <v>0.48262032500000002</v>
      </c>
      <c r="S158" s="13">
        <v>-0.961606662</v>
      </c>
      <c r="T158">
        <v>1.7231917059999999</v>
      </c>
      <c r="U158">
        <v>3.0160539E-2</v>
      </c>
    </row>
    <row r="159" spans="1:21" x14ac:dyDescent="0.2">
      <c r="A159" t="s">
        <v>372</v>
      </c>
      <c r="B159">
        <v>976760</v>
      </c>
      <c r="C159" t="s">
        <v>6910</v>
      </c>
      <c r="D159" t="s">
        <v>372</v>
      </c>
      <c r="E159" t="s">
        <v>7006</v>
      </c>
      <c r="F159">
        <v>23</v>
      </c>
      <c r="G159">
        <v>3</v>
      </c>
      <c r="H159" t="s">
        <v>7249</v>
      </c>
      <c r="J159" t="s">
        <v>3712</v>
      </c>
      <c r="M159" t="s">
        <v>7250</v>
      </c>
      <c r="N159">
        <v>1.9874741039999999</v>
      </c>
      <c r="O159">
        <v>3.7453511220000002</v>
      </c>
      <c r="P159">
        <v>0.451009722</v>
      </c>
      <c r="Q159">
        <v>-0.102386592</v>
      </c>
      <c r="S159" s="13">
        <v>-0.96179502100000003</v>
      </c>
      <c r="T159">
        <v>1.7223686220000001</v>
      </c>
      <c r="U159">
        <v>5.2095417999999998E-2</v>
      </c>
    </row>
    <row r="160" spans="1:21" x14ac:dyDescent="0.2">
      <c r="A160" t="s">
        <v>106</v>
      </c>
      <c r="B160">
        <v>780480</v>
      </c>
      <c r="C160" t="s">
        <v>6961</v>
      </c>
      <c r="D160" t="s">
        <v>107</v>
      </c>
      <c r="E160" t="s">
        <v>6907</v>
      </c>
      <c r="F160">
        <v>2</v>
      </c>
      <c r="G160">
        <v>4</v>
      </c>
      <c r="H160" t="s">
        <v>7251</v>
      </c>
      <c r="J160" t="s">
        <v>4804</v>
      </c>
      <c r="M160" t="s">
        <v>7252</v>
      </c>
      <c r="N160">
        <v>2.7247480949999998</v>
      </c>
      <c r="O160">
        <v>7.0822175119999997</v>
      </c>
      <c r="P160">
        <v>0.61298291999999999</v>
      </c>
      <c r="Q160">
        <v>0.48262032500000002</v>
      </c>
      <c r="S160" s="13">
        <v>-0.96195497299999999</v>
      </c>
      <c r="T160">
        <v>1.7216696680000001</v>
      </c>
      <c r="U160">
        <v>2.9967302000000001E-2</v>
      </c>
    </row>
    <row r="161" spans="1:21" x14ac:dyDescent="0.2">
      <c r="A161" t="s">
        <v>431</v>
      </c>
      <c r="B161">
        <v>780240</v>
      </c>
      <c r="C161" t="s">
        <v>6961</v>
      </c>
      <c r="D161" t="s">
        <v>432</v>
      </c>
      <c r="E161" t="s">
        <v>6939</v>
      </c>
      <c r="F161">
        <v>3</v>
      </c>
      <c r="G161">
        <v>2</v>
      </c>
      <c r="H161" t="s">
        <v>7253</v>
      </c>
      <c r="J161" t="s">
        <v>434</v>
      </c>
      <c r="M161" t="s">
        <v>7254</v>
      </c>
      <c r="N161">
        <v>2.7247480949999998</v>
      </c>
      <c r="O161">
        <v>7.0822175119999997</v>
      </c>
      <c r="P161">
        <v>0.61298291999999999</v>
      </c>
      <c r="Q161">
        <v>0.48262032500000002</v>
      </c>
      <c r="S161" s="13">
        <v>-0.96214496100000002</v>
      </c>
      <c r="T161">
        <v>1.7208394650000001</v>
      </c>
      <c r="U161">
        <v>2.9861863999999998E-2</v>
      </c>
    </row>
    <row r="162" spans="1:21" x14ac:dyDescent="0.2">
      <c r="A162" t="s">
        <v>448</v>
      </c>
      <c r="B162">
        <v>872880</v>
      </c>
      <c r="C162" t="s">
        <v>6906</v>
      </c>
      <c r="D162" t="s">
        <v>448</v>
      </c>
      <c r="E162" t="s">
        <v>6974</v>
      </c>
      <c r="F162">
        <v>22</v>
      </c>
      <c r="G162">
        <v>15</v>
      </c>
      <c r="H162" t="s">
        <v>7255</v>
      </c>
      <c r="J162" t="s">
        <v>450</v>
      </c>
      <c r="M162" t="s">
        <v>7256</v>
      </c>
      <c r="N162">
        <v>1.813871112</v>
      </c>
      <c r="O162">
        <v>2.6633694910000001</v>
      </c>
      <c r="P162">
        <v>-0.29586356800000002</v>
      </c>
      <c r="Q162">
        <v>-0.59018158399999998</v>
      </c>
      <c r="S162" s="13">
        <v>-0.96236761900000001</v>
      </c>
      <c r="T162">
        <v>1.719866498</v>
      </c>
      <c r="U162">
        <v>-1.2557982000000001E-2</v>
      </c>
    </row>
    <row r="163" spans="1:21" x14ac:dyDescent="0.2">
      <c r="A163" t="s">
        <v>2073</v>
      </c>
      <c r="B163">
        <v>906280</v>
      </c>
      <c r="C163" t="s">
        <v>6945</v>
      </c>
      <c r="D163" t="s">
        <v>2074</v>
      </c>
      <c r="E163" t="s">
        <v>7085</v>
      </c>
      <c r="F163">
        <v>2</v>
      </c>
      <c r="G163">
        <v>9</v>
      </c>
      <c r="H163" t="s">
        <v>7257</v>
      </c>
      <c r="J163" t="s">
        <v>6127</v>
      </c>
      <c r="M163" t="s">
        <v>7258</v>
      </c>
      <c r="N163">
        <v>2.2220813349999999</v>
      </c>
      <c r="O163">
        <v>6.5440947090000003</v>
      </c>
      <c r="P163">
        <v>0.58228215500000002</v>
      </c>
      <c r="Q163">
        <v>0.35188233000000002</v>
      </c>
      <c r="S163" s="13">
        <v>-0.96344017100000001</v>
      </c>
      <c r="T163">
        <v>1.7151796939999999</v>
      </c>
      <c r="U163">
        <v>1.4232089E-2</v>
      </c>
    </row>
    <row r="164" spans="1:21" x14ac:dyDescent="0.2">
      <c r="A164" t="s">
        <v>788</v>
      </c>
      <c r="B164">
        <v>906000</v>
      </c>
      <c r="C164" t="s">
        <v>6945</v>
      </c>
      <c r="D164" t="s">
        <v>788</v>
      </c>
      <c r="E164" t="s">
        <v>6921</v>
      </c>
      <c r="F164">
        <v>13</v>
      </c>
      <c r="G164">
        <v>8</v>
      </c>
      <c r="H164" t="s">
        <v>7259</v>
      </c>
      <c r="J164" t="s">
        <v>5609</v>
      </c>
      <c r="M164" t="s">
        <v>7260</v>
      </c>
      <c r="N164">
        <v>2.2220813349999999</v>
      </c>
      <c r="O164">
        <v>6.5440947090000003</v>
      </c>
      <c r="P164">
        <v>0.58228215500000002</v>
      </c>
      <c r="Q164">
        <v>0.35188233000000002</v>
      </c>
      <c r="S164" s="13">
        <v>-0.96370427700000005</v>
      </c>
      <c r="T164">
        <v>1.7140256110000001</v>
      </c>
      <c r="U164">
        <v>1.4104536000000001E-2</v>
      </c>
    </row>
    <row r="165" spans="1:21" x14ac:dyDescent="0.2">
      <c r="A165" t="s">
        <v>38</v>
      </c>
      <c r="B165">
        <v>973840</v>
      </c>
      <c r="C165" t="s">
        <v>6910</v>
      </c>
      <c r="D165" t="s">
        <v>38</v>
      </c>
      <c r="E165" t="s">
        <v>6939</v>
      </c>
      <c r="F165">
        <v>24</v>
      </c>
      <c r="G165">
        <v>2</v>
      </c>
      <c r="H165" t="s">
        <v>7261</v>
      </c>
      <c r="J165" t="s">
        <v>2997</v>
      </c>
      <c r="M165" t="s">
        <v>7262</v>
      </c>
      <c r="N165">
        <v>1.9874741039999999</v>
      </c>
      <c r="O165">
        <v>3.7453511220000002</v>
      </c>
      <c r="P165">
        <v>0.451009722</v>
      </c>
      <c r="Q165">
        <v>-0.102386592</v>
      </c>
      <c r="S165" s="13">
        <v>-0.96493662999999996</v>
      </c>
      <c r="T165">
        <v>1.7086405090000001</v>
      </c>
      <c r="U165">
        <v>5.0874748999999997E-2</v>
      </c>
    </row>
    <row r="166" spans="1:21" x14ac:dyDescent="0.2">
      <c r="A166" t="s">
        <v>1095</v>
      </c>
      <c r="B166">
        <v>1105080</v>
      </c>
      <c r="C166" t="s">
        <v>6938</v>
      </c>
      <c r="D166" t="s">
        <v>1096</v>
      </c>
      <c r="E166" t="s">
        <v>6977</v>
      </c>
      <c r="F166">
        <v>4</v>
      </c>
      <c r="G166">
        <v>5</v>
      </c>
      <c r="H166" t="s">
        <v>7263</v>
      </c>
      <c r="J166" t="s">
        <v>2589</v>
      </c>
      <c r="M166" t="s">
        <v>7264</v>
      </c>
      <c r="N166">
        <v>2.092758737</v>
      </c>
      <c r="O166">
        <v>5.3323610669999999</v>
      </c>
      <c r="P166">
        <v>0.70420098600000003</v>
      </c>
      <c r="Q166">
        <v>0.41355372699999998</v>
      </c>
      <c r="S166" s="13">
        <v>-0.96605977300000001</v>
      </c>
      <c r="T166">
        <v>1.7037326290000001</v>
      </c>
      <c r="U166">
        <v>4.3085867999999999E-2</v>
      </c>
    </row>
    <row r="167" spans="1:21" x14ac:dyDescent="0.2">
      <c r="A167" t="s">
        <v>225</v>
      </c>
      <c r="B167">
        <v>968840</v>
      </c>
      <c r="C167" t="s">
        <v>6942</v>
      </c>
      <c r="D167" t="s">
        <v>225</v>
      </c>
      <c r="E167" t="s">
        <v>6918</v>
      </c>
      <c r="F167">
        <v>20</v>
      </c>
      <c r="G167">
        <v>1</v>
      </c>
      <c r="H167" t="s">
        <v>7265</v>
      </c>
      <c r="J167" t="s">
        <v>227</v>
      </c>
      <c r="M167" t="s">
        <v>7266</v>
      </c>
      <c r="N167">
        <v>2.0902262079999998</v>
      </c>
      <c r="O167">
        <v>4.2704203920000001</v>
      </c>
      <c r="P167">
        <v>0.23425843900000001</v>
      </c>
      <c r="Q167">
        <v>1.6181978999999999E-2</v>
      </c>
      <c r="S167" s="13">
        <v>-0.96633492300000001</v>
      </c>
      <c r="T167">
        <v>1.702530286</v>
      </c>
      <c r="U167">
        <v>1.0471820999999999E-2</v>
      </c>
    </row>
    <row r="168" spans="1:21" x14ac:dyDescent="0.2">
      <c r="A168" t="s">
        <v>352</v>
      </c>
      <c r="B168">
        <v>902280</v>
      </c>
      <c r="C168" t="s">
        <v>6945</v>
      </c>
      <c r="D168" t="s">
        <v>352</v>
      </c>
      <c r="E168" t="s">
        <v>6928</v>
      </c>
      <c r="F168">
        <v>17</v>
      </c>
      <c r="G168">
        <v>16</v>
      </c>
      <c r="H168" t="s">
        <v>7267</v>
      </c>
      <c r="J168" t="s">
        <v>4660</v>
      </c>
      <c r="M168" t="s">
        <v>7268</v>
      </c>
      <c r="N168">
        <v>2.2220813349999999</v>
      </c>
      <c r="O168">
        <v>6.5440947090000003</v>
      </c>
      <c r="P168">
        <v>0.58228215500000002</v>
      </c>
      <c r="Q168">
        <v>0.35188233000000002</v>
      </c>
      <c r="S168" s="13">
        <v>-0.96721311499999996</v>
      </c>
      <c r="T168">
        <v>1.69869279</v>
      </c>
      <c r="U168">
        <v>1.2406341E-2</v>
      </c>
    </row>
    <row r="169" spans="1:21" x14ac:dyDescent="0.2">
      <c r="A169" t="s">
        <v>444</v>
      </c>
      <c r="B169">
        <v>772400</v>
      </c>
      <c r="C169" t="s">
        <v>6961</v>
      </c>
      <c r="D169" t="s">
        <v>445</v>
      </c>
      <c r="E169" t="s">
        <v>7006</v>
      </c>
      <c r="F169">
        <v>2</v>
      </c>
      <c r="G169">
        <v>3</v>
      </c>
      <c r="H169" t="s">
        <v>7269</v>
      </c>
      <c r="J169" t="s">
        <v>2205</v>
      </c>
      <c r="M169" t="s">
        <v>7270</v>
      </c>
      <c r="N169">
        <v>2.7247480949999998</v>
      </c>
      <c r="O169">
        <v>7.0822175119999997</v>
      </c>
      <c r="P169">
        <v>0.61298291999999999</v>
      </c>
      <c r="Q169">
        <v>0.48262032500000002</v>
      </c>
      <c r="S169" s="13">
        <v>-0.96835122399999995</v>
      </c>
      <c r="T169">
        <v>1.6937195140000001</v>
      </c>
      <c r="U169">
        <v>2.6403406000000001E-2</v>
      </c>
    </row>
    <row r="170" spans="1:21" x14ac:dyDescent="0.2">
      <c r="A170" t="s">
        <v>293</v>
      </c>
      <c r="B170">
        <v>1009160</v>
      </c>
      <c r="C170" t="s">
        <v>6927</v>
      </c>
      <c r="D170" t="s">
        <v>293</v>
      </c>
      <c r="E170" t="s">
        <v>6977</v>
      </c>
      <c r="F170">
        <v>24</v>
      </c>
      <c r="G170">
        <v>5</v>
      </c>
      <c r="H170" t="s">
        <v>7271</v>
      </c>
      <c r="J170" t="s">
        <v>7272</v>
      </c>
      <c r="M170" t="s">
        <v>7273</v>
      </c>
      <c r="N170">
        <v>1.982575982</v>
      </c>
      <c r="O170">
        <v>3.4571926419999999</v>
      </c>
      <c r="P170">
        <v>-0.114791479</v>
      </c>
      <c r="Q170">
        <v>1.868949E-3</v>
      </c>
      <c r="S170" s="13">
        <v>-0.97060410500000005</v>
      </c>
      <c r="T170">
        <v>1.6838749390000001</v>
      </c>
      <c r="U170">
        <v>1.5941321000000001E-2</v>
      </c>
    </row>
    <row r="171" spans="1:21" x14ac:dyDescent="0.2">
      <c r="A171" t="s">
        <v>616</v>
      </c>
      <c r="B171">
        <v>968400</v>
      </c>
      <c r="C171" t="s">
        <v>6910</v>
      </c>
      <c r="D171" t="s">
        <v>616</v>
      </c>
      <c r="E171" t="s">
        <v>6974</v>
      </c>
      <c r="F171">
        <v>17</v>
      </c>
      <c r="G171">
        <v>15</v>
      </c>
      <c r="H171" t="s">
        <v>7274</v>
      </c>
      <c r="J171" t="s">
        <v>4568</v>
      </c>
      <c r="M171" t="s">
        <v>7275</v>
      </c>
      <c r="N171">
        <v>1.9874741039999999</v>
      </c>
      <c r="O171">
        <v>3.7453511220000002</v>
      </c>
      <c r="P171">
        <v>0.451009722</v>
      </c>
      <c r="Q171">
        <v>-0.102386592</v>
      </c>
      <c r="S171" s="13">
        <v>-0.970789491</v>
      </c>
      <c r="T171">
        <v>1.6830648450000001</v>
      </c>
      <c r="U171">
        <v>4.8591435000000002E-2</v>
      </c>
    </row>
    <row r="172" spans="1:21" x14ac:dyDescent="0.2">
      <c r="A172" t="s">
        <v>372</v>
      </c>
      <c r="B172">
        <v>768680</v>
      </c>
      <c r="C172" t="s">
        <v>6961</v>
      </c>
      <c r="D172" t="s">
        <v>372</v>
      </c>
      <c r="E172" t="s">
        <v>7006</v>
      </c>
      <c r="F172">
        <v>23</v>
      </c>
      <c r="G172">
        <v>3</v>
      </c>
      <c r="H172" t="s">
        <v>7276</v>
      </c>
      <c r="J172" t="s">
        <v>374</v>
      </c>
      <c r="M172" t="s">
        <v>7277</v>
      </c>
      <c r="N172">
        <v>2.7247480949999998</v>
      </c>
      <c r="O172">
        <v>7.0822175119999997</v>
      </c>
      <c r="P172">
        <v>0.61298291999999999</v>
      </c>
      <c r="Q172">
        <v>0.48262032500000002</v>
      </c>
      <c r="S172" s="13">
        <v>-0.97129603200000003</v>
      </c>
      <c r="T172">
        <v>1.6808513730000001</v>
      </c>
      <c r="U172">
        <v>2.4752718999999999E-2</v>
      </c>
    </row>
    <row r="173" spans="1:21" x14ac:dyDescent="0.2">
      <c r="A173" t="s">
        <v>2118</v>
      </c>
      <c r="B173">
        <v>967560</v>
      </c>
      <c r="C173" t="s">
        <v>6910</v>
      </c>
      <c r="D173" t="s">
        <v>2119</v>
      </c>
      <c r="E173" t="s">
        <v>6974</v>
      </c>
      <c r="F173">
        <v>4</v>
      </c>
      <c r="G173">
        <v>15</v>
      </c>
      <c r="H173" t="s">
        <v>7278</v>
      </c>
      <c r="J173" t="s">
        <v>5879</v>
      </c>
      <c r="M173" t="s">
        <v>7279</v>
      </c>
      <c r="N173">
        <v>1.9874741039999999</v>
      </c>
      <c r="O173">
        <v>3.7453511220000002</v>
      </c>
      <c r="P173">
        <v>0.451009722</v>
      </c>
      <c r="Q173">
        <v>-0.102386592</v>
      </c>
      <c r="S173" s="13">
        <v>-0.97169324099999999</v>
      </c>
      <c r="T173">
        <v>1.6791156620000001</v>
      </c>
      <c r="U173">
        <v>4.8237792000000002E-2</v>
      </c>
    </row>
    <row r="174" spans="1:21" x14ac:dyDescent="0.2">
      <c r="A174" t="s">
        <v>1409</v>
      </c>
      <c r="B174">
        <v>767560</v>
      </c>
      <c r="C174" t="s">
        <v>6961</v>
      </c>
      <c r="D174" t="s">
        <v>1410</v>
      </c>
      <c r="E174" t="s">
        <v>7115</v>
      </c>
      <c r="F174">
        <v>6</v>
      </c>
      <c r="G174">
        <v>10</v>
      </c>
      <c r="H174" t="s">
        <v>7280</v>
      </c>
      <c r="J174" t="s">
        <v>2463</v>
      </c>
      <c r="M174" t="s">
        <v>7281</v>
      </c>
      <c r="N174">
        <v>2.7247480949999998</v>
      </c>
      <c r="O174">
        <v>7.0822175119999997</v>
      </c>
      <c r="P174">
        <v>0.61298291999999999</v>
      </c>
      <c r="Q174">
        <v>0.48262032500000002</v>
      </c>
      <c r="S174" s="13">
        <v>-0.97218264099999996</v>
      </c>
      <c r="T174">
        <v>1.6769770939999999</v>
      </c>
      <c r="U174">
        <v>2.4254505999999999E-2</v>
      </c>
    </row>
    <row r="175" spans="1:21" x14ac:dyDescent="0.2">
      <c r="A175" t="s">
        <v>577</v>
      </c>
      <c r="B175">
        <v>1034880</v>
      </c>
      <c r="C175" t="s">
        <v>6914</v>
      </c>
      <c r="D175" t="s">
        <v>578</v>
      </c>
      <c r="E175" t="s">
        <v>7115</v>
      </c>
      <c r="F175">
        <v>1</v>
      </c>
      <c r="G175">
        <v>10</v>
      </c>
      <c r="H175" t="s">
        <v>7282</v>
      </c>
      <c r="J175" t="s">
        <v>4990</v>
      </c>
      <c r="M175" t="s">
        <v>7283</v>
      </c>
      <c r="N175">
        <v>1.8217074179999999</v>
      </c>
      <c r="O175">
        <v>4.1700741289999996</v>
      </c>
      <c r="P175">
        <v>0.189705977</v>
      </c>
      <c r="Q175">
        <v>-1.7194070999999998E-2</v>
      </c>
      <c r="S175" s="13">
        <v>-0.97226431899999999</v>
      </c>
      <c r="T175">
        <v>1.676620183</v>
      </c>
      <c r="U175">
        <v>-9.4780720000000006E-3</v>
      </c>
    </row>
    <row r="176" spans="1:21" x14ac:dyDescent="0.2">
      <c r="A176" t="s">
        <v>1550</v>
      </c>
      <c r="B176">
        <v>1034680</v>
      </c>
      <c r="C176" t="s">
        <v>6914</v>
      </c>
      <c r="D176" t="s">
        <v>1550</v>
      </c>
      <c r="E176" t="s">
        <v>6974</v>
      </c>
      <c r="F176">
        <v>14</v>
      </c>
      <c r="G176">
        <v>15</v>
      </c>
      <c r="H176" t="s">
        <v>7284</v>
      </c>
      <c r="J176" t="s">
        <v>6631</v>
      </c>
      <c r="M176" t="s">
        <v>7285</v>
      </c>
      <c r="N176">
        <v>1.8217074179999999</v>
      </c>
      <c r="O176">
        <v>4.1700741289999996</v>
      </c>
      <c r="P176">
        <v>0.189705977</v>
      </c>
      <c r="Q176">
        <v>-1.7194070999999998E-2</v>
      </c>
      <c r="S176" s="13">
        <v>-0.97250487100000005</v>
      </c>
      <c r="T176">
        <v>1.6755690240000001</v>
      </c>
      <c r="U176">
        <v>-9.5742899999999992E-3</v>
      </c>
    </row>
    <row r="177" spans="1:21" x14ac:dyDescent="0.2">
      <c r="A177" t="s">
        <v>534</v>
      </c>
      <c r="B177">
        <v>837120</v>
      </c>
      <c r="C177" t="s">
        <v>6931</v>
      </c>
      <c r="D177" t="s">
        <v>534</v>
      </c>
      <c r="E177" t="s">
        <v>6928</v>
      </c>
      <c r="F177">
        <v>22</v>
      </c>
      <c r="G177">
        <v>16</v>
      </c>
      <c r="H177" t="s">
        <v>7286</v>
      </c>
      <c r="N177">
        <v>1.9323965059999999</v>
      </c>
      <c r="O177">
        <v>3.0528020530000002</v>
      </c>
      <c r="P177">
        <v>2.6493138999999999E-2</v>
      </c>
      <c r="Q177">
        <v>-0.38692188</v>
      </c>
      <c r="S177" s="13">
        <v>-0.97255108099999998</v>
      </c>
      <c r="T177">
        <v>1.675367099</v>
      </c>
      <c r="U177">
        <v>2.5640965000000002E-2</v>
      </c>
    </row>
    <row r="178" spans="1:21" x14ac:dyDescent="0.2">
      <c r="A178" t="s">
        <v>111</v>
      </c>
      <c r="B178">
        <v>766320</v>
      </c>
      <c r="C178" t="s">
        <v>6961</v>
      </c>
      <c r="D178" t="s">
        <v>112</v>
      </c>
      <c r="E178" t="s">
        <v>6970</v>
      </c>
      <c r="F178">
        <v>2</v>
      </c>
      <c r="G178">
        <v>14</v>
      </c>
      <c r="H178" t="s">
        <v>7287</v>
      </c>
      <c r="J178" t="s">
        <v>1317</v>
      </c>
      <c r="M178" t="s">
        <v>7288</v>
      </c>
      <c r="N178">
        <v>2.7247480949999998</v>
      </c>
      <c r="O178">
        <v>7.0822175119999997</v>
      </c>
      <c r="P178">
        <v>0.61298291999999999</v>
      </c>
      <c r="Q178">
        <v>0.48262032500000002</v>
      </c>
      <c r="S178" s="13">
        <v>-0.97316424400000001</v>
      </c>
      <c r="T178">
        <v>1.672687714</v>
      </c>
      <c r="U178">
        <v>2.3702246E-2</v>
      </c>
    </row>
    <row r="179" spans="1:21" x14ac:dyDescent="0.2">
      <c r="A179" t="s">
        <v>741</v>
      </c>
      <c r="B179">
        <v>960880</v>
      </c>
      <c r="C179" t="s">
        <v>6942</v>
      </c>
      <c r="D179" t="s">
        <v>741</v>
      </c>
      <c r="E179" t="s">
        <v>6946</v>
      </c>
      <c r="F179">
        <v>17</v>
      </c>
      <c r="G179">
        <v>11</v>
      </c>
      <c r="H179" t="s">
        <v>7289</v>
      </c>
      <c r="J179" t="s">
        <v>743</v>
      </c>
      <c r="M179" t="s">
        <v>7290</v>
      </c>
      <c r="N179">
        <v>2.0902262079999998</v>
      </c>
      <c r="O179">
        <v>4.2704203920000001</v>
      </c>
      <c r="P179">
        <v>0.23425843900000001</v>
      </c>
      <c r="Q179">
        <v>1.6181978999999999E-2</v>
      </c>
      <c r="S179" s="13">
        <v>-0.97414757699999999</v>
      </c>
      <c r="T179">
        <v>1.6683907769999999</v>
      </c>
      <c r="U179">
        <v>6.7991969999999999E-3</v>
      </c>
    </row>
    <row r="180" spans="1:21" x14ac:dyDescent="0.2">
      <c r="A180" t="s">
        <v>1365</v>
      </c>
      <c r="B180">
        <v>764880</v>
      </c>
      <c r="C180" t="s">
        <v>6961</v>
      </c>
      <c r="D180" t="s">
        <v>1365</v>
      </c>
      <c r="E180" t="s">
        <v>6970</v>
      </c>
      <c r="F180">
        <v>21</v>
      </c>
      <c r="G180">
        <v>14</v>
      </c>
      <c r="H180" t="s">
        <v>7291</v>
      </c>
      <c r="J180" t="s">
        <v>1654</v>
      </c>
      <c r="M180" t="s">
        <v>7292</v>
      </c>
      <c r="N180">
        <v>2.7247480949999998</v>
      </c>
      <c r="O180">
        <v>7.0822175119999997</v>
      </c>
      <c r="P180">
        <v>0.61298291999999999</v>
      </c>
      <c r="Q180">
        <v>0.48262032500000002</v>
      </c>
      <c r="S180" s="13">
        <v>-0.97430417000000002</v>
      </c>
      <c r="T180">
        <v>1.6677064989999999</v>
      </c>
      <c r="U180">
        <v>2.3060028999999999E-2</v>
      </c>
    </row>
    <row r="181" spans="1:21" x14ac:dyDescent="0.2">
      <c r="A181" t="s">
        <v>1181</v>
      </c>
      <c r="B181">
        <v>960120</v>
      </c>
      <c r="C181" t="s">
        <v>6942</v>
      </c>
      <c r="D181" t="s">
        <v>1181</v>
      </c>
      <c r="E181" t="s">
        <v>6956</v>
      </c>
      <c r="F181">
        <v>23</v>
      </c>
      <c r="G181">
        <v>7</v>
      </c>
      <c r="H181" t="s">
        <v>7293</v>
      </c>
      <c r="J181" t="s">
        <v>4050</v>
      </c>
      <c r="M181" t="s">
        <v>7294</v>
      </c>
      <c r="N181">
        <v>2.0902262079999998</v>
      </c>
      <c r="O181">
        <v>4.2704203920000001</v>
      </c>
      <c r="P181">
        <v>0.23425843900000001</v>
      </c>
      <c r="Q181">
        <v>1.6181978999999999E-2</v>
      </c>
      <c r="S181" s="13">
        <v>-0.97489350799999996</v>
      </c>
      <c r="T181">
        <v>1.665131226</v>
      </c>
      <c r="U181">
        <v>6.4469139999999998E-3</v>
      </c>
    </row>
    <row r="182" spans="1:21" x14ac:dyDescent="0.2">
      <c r="A182" t="s">
        <v>1349</v>
      </c>
      <c r="B182">
        <v>763760</v>
      </c>
      <c r="C182" t="s">
        <v>6961</v>
      </c>
      <c r="D182" t="s">
        <v>1350</v>
      </c>
      <c r="E182" t="s">
        <v>6939</v>
      </c>
      <c r="F182">
        <v>6</v>
      </c>
      <c r="G182">
        <v>2</v>
      </c>
      <c r="H182" t="s">
        <v>7295</v>
      </c>
      <c r="J182" t="s">
        <v>1445</v>
      </c>
      <c r="M182" t="s">
        <v>7296</v>
      </c>
      <c r="N182">
        <v>2.7247480949999998</v>
      </c>
      <c r="O182">
        <v>7.0822175119999997</v>
      </c>
      <c r="P182">
        <v>0.61298291999999999</v>
      </c>
      <c r="Q182">
        <v>0.48262032500000002</v>
      </c>
      <c r="S182" s="13">
        <v>-0.97519077899999995</v>
      </c>
      <c r="T182">
        <v>1.66383222</v>
      </c>
      <c r="U182">
        <v>2.2559869999999999E-2</v>
      </c>
    </row>
    <row r="183" spans="1:21" x14ac:dyDescent="0.2">
      <c r="A183" t="s">
        <v>689</v>
      </c>
      <c r="B183">
        <v>963920</v>
      </c>
      <c r="C183" t="s">
        <v>6910</v>
      </c>
      <c r="D183" t="s">
        <v>690</v>
      </c>
      <c r="E183" t="s">
        <v>6911</v>
      </c>
      <c r="F183">
        <v>5</v>
      </c>
      <c r="G183">
        <v>12</v>
      </c>
      <c r="H183" t="s">
        <v>7297</v>
      </c>
      <c r="J183" t="s">
        <v>6425</v>
      </c>
      <c r="M183" t="s">
        <v>7298</v>
      </c>
      <c r="N183">
        <v>1.9874741039999999</v>
      </c>
      <c r="O183">
        <v>3.7453511220000002</v>
      </c>
      <c r="P183">
        <v>0.451009722</v>
      </c>
      <c r="Q183">
        <v>-0.102386592</v>
      </c>
      <c r="S183" s="13">
        <v>-0.97560949399999997</v>
      </c>
      <c r="T183">
        <v>1.662002534</v>
      </c>
      <c r="U183">
        <v>4.6702002999999999E-2</v>
      </c>
    </row>
    <row r="184" spans="1:21" x14ac:dyDescent="0.2">
      <c r="A184" t="s">
        <v>1778</v>
      </c>
      <c r="B184">
        <v>833520</v>
      </c>
      <c r="C184" t="s">
        <v>6931</v>
      </c>
      <c r="D184" t="s">
        <v>1778</v>
      </c>
      <c r="E184" t="s">
        <v>6974</v>
      </c>
      <c r="F184">
        <v>21</v>
      </c>
      <c r="G184">
        <v>15</v>
      </c>
      <c r="H184" t="s">
        <v>7299</v>
      </c>
      <c r="N184">
        <v>1.9323965059999999</v>
      </c>
      <c r="O184">
        <v>3.0528020530000002</v>
      </c>
      <c r="P184">
        <v>2.6493138999999999E-2</v>
      </c>
      <c r="Q184">
        <v>-0.38692188</v>
      </c>
      <c r="S184" s="13">
        <v>-0.97728138799999997</v>
      </c>
      <c r="T184">
        <v>1.6546967400000001</v>
      </c>
      <c r="U184">
        <v>2.4040810999999999E-2</v>
      </c>
    </row>
    <row r="185" spans="1:21" x14ac:dyDescent="0.2">
      <c r="A185" t="s">
        <v>369</v>
      </c>
      <c r="B185">
        <v>1029920</v>
      </c>
      <c r="C185" t="s">
        <v>6914</v>
      </c>
      <c r="D185" t="s">
        <v>369</v>
      </c>
      <c r="E185" t="s">
        <v>6939</v>
      </c>
      <c r="F185">
        <v>23</v>
      </c>
      <c r="G185">
        <v>2</v>
      </c>
      <c r="H185" t="s">
        <v>7300</v>
      </c>
      <c r="J185" t="s">
        <v>844</v>
      </c>
      <c r="M185" t="s">
        <v>7301</v>
      </c>
      <c r="N185">
        <v>1.8217074179999999</v>
      </c>
      <c r="O185">
        <v>4.1700741289999996</v>
      </c>
      <c r="P185">
        <v>0.189705977</v>
      </c>
      <c r="Q185">
        <v>-1.7194070999999998E-2</v>
      </c>
      <c r="S185" s="13">
        <v>-0.97823001600000004</v>
      </c>
      <c r="T185">
        <v>1.65055145</v>
      </c>
      <c r="U185">
        <v>-1.1870593E-2</v>
      </c>
    </row>
    <row r="186" spans="1:21" x14ac:dyDescent="0.2">
      <c r="A186" t="s">
        <v>236</v>
      </c>
      <c r="B186">
        <v>757880</v>
      </c>
      <c r="C186" t="s">
        <v>6961</v>
      </c>
      <c r="D186" t="s">
        <v>236</v>
      </c>
      <c r="E186" t="s">
        <v>7006</v>
      </c>
      <c r="F186">
        <v>17</v>
      </c>
      <c r="G186">
        <v>3</v>
      </c>
      <c r="H186" t="s">
        <v>7302</v>
      </c>
      <c r="J186" t="s">
        <v>3369</v>
      </c>
      <c r="M186" t="s">
        <v>7303</v>
      </c>
      <c r="N186">
        <v>2.7247480949999998</v>
      </c>
      <c r="O186">
        <v>7.0822175119999997</v>
      </c>
      <c r="P186">
        <v>0.61298291999999999</v>
      </c>
      <c r="Q186">
        <v>0.48262032500000002</v>
      </c>
      <c r="S186" s="13">
        <v>-0.97984547700000002</v>
      </c>
      <c r="T186">
        <v>1.643492256</v>
      </c>
      <c r="U186">
        <v>1.9924542E-2</v>
      </c>
    </row>
    <row r="187" spans="1:21" x14ac:dyDescent="0.2">
      <c r="A187" t="s">
        <v>1595</v>
      </c>
      <c r="B187">
        <v>757200</v>
      </c>
      <c r="C187" t="s">
        <v>6961</v>
      </c>
      <c r="D187" t="s">
        <v>1595</v>
      </c>
      <c r="E187" t="s">
        <v>6974</v>
      </c>
      <c r="F187">
        <v>23</v>
      </c>
      <c r="G187">
        <v>15</v>
      </c>
      <c r="H187" t="s">
        <v>7304</v>
      </c>
      <c r="J187" t="s">
        <v>2027</v>
      </c>
      <c r="M187" t="s">
        <v>7305</v>
      </c>
      <c r="N187">
        <v>2.7247480949999998</v>
      </c>
      <c r="O187">
        <v>7.0822175119999997</v>
      </c>
      <c r="P187">
        <v>0.61298291999999999</v>
      </c>
      <c r="Q187">
        <v>0.48262032500000002</v>
      </c>
      <c r="S187" s="13">
        <v>-0.98038377499999996</v>
      </c>
      <c r="T187">
        <v>1.641140015</v>
      </c>
      <c r="U187">
        <v>1.9618742000000002E-2</v>
      </c>
    </row>
    <row r="188" spans="1:21" x14ac:dyDescent="0.2">
      <c r="A188" t="s">
        <v>221</v>
      </c>
      <c r="B188">
        <v>959280</v>
      </c>
      <c r="C188" t="s">
        <v>6910</v>
      </c>
      <c r="D188" t="s">
        <v>221</v>
      </c>
      <c r="E188" t="s">
        <v>6928</v>
      </c>
      <c r="F188">
        <v>12</v>
      </c>
      <c r="G188">
        <v>16</v>
      </c>
      <c r="H188" t="s">
        <v>7306</v>
      </c>
      <c r="J188" t="s">
        <v>2551</v>
      </c>
      <c r="M188" t="s">
        <v>7307</v>
      </c>
      <c r="N188">
        <v>1.9874741039999999</v>
      </c>
      <c r="O188">
        <v>3.7453511220000002</v>
      </c>
      <c r="P188">
        <v>0.451009722</v>
      </c>
      <c r="Q188">
        <v>-0.102386592</v>
      </c>
      <c r="S188" s="13">
        <v>-0.98060164000000005</v>
      </c>
      <c r="T188">
        <v>1.640187997</v>
      </c>
      <c r="U188">
        <v>4.4736387000000002E-2</v>
      </c>
    </row>
    <row r="189" spans="1:21" x14ac:dyDescent="0.2">
      <c r="A189" t="s">
        <v>23</v>
      </c>
      <c r="B189">
        <v>755520</v>
      </c>
      <c r="C189" t="s">
        <v>6961</v>
      </c>
      <c r="D189" t="s">
        <v>23</v>
      </c>
      <c r="E189" t="s">
        <v>6907</v>
      </c>
      <c r="F189">
        <v>18</v>
      </c>
      <c r="G189">
        <v>4</v>
      </c>
      <c r="H189" t="s">
        <v>7308</v>
      </c>
      <c r="J189" t="s">
        <v>2801</v>
      </c>
      <c r="M189" t="s">
        <v>7309</v>
      </c>
      <c r="N189">
        <v>2.7247480949999998</v>
      </c>
      <c r="O189">
        <v>7.0822175119999997</v>
      </c>
      <c r="P189">
        <v>0.61298291999999999</v>
      </c>
      <c r="Q189">
        <v>0.48262032500000002</v>
      </c>
      <c r="S189" s="13">
        <v>-0.981713689</v>
      </c>
      <c r="T189">
        <v>1.635328597</v>
      </c>
      <c r="U189">
        <v>1.8862311999999999E-2</v>
      </c>
    </row>
    <row r="190" spans="1:21" x14ac:dyDescent="0.2">
      <c r="A190" t="s">
        <v>1336</v>
      </c>
      <c r="B190">
        <v>753880</v>
      </c>
      <c r="C190" t="s">
        <v>6961</v>
      </c>
      <c r="D190" t="s">
        <v>1336</v>
      </c>
      <c r="E190" t="s">
        <v>6915</v>
      </c>
      <c r="F190">
        <v>15</v>
      </c>
      <c r="G190">
        <v>13</v>
      </c>
      <c r="H190" t="s">
        <v>7310</v>
      </c>
      <c r="J190" t="s">
        <v>1792</v>
      </c>
      <c r="M190" t="s">
        <v>7311</v>
      </c>
      <c r="N190">
        <v>2.7247480949999998</v>
      </c>
      <c r="O190">
        <v>7.0822175119999997</v>
      </c>
      <c r="P190">
        <v>0.61298291999999999</v>
      </c>
      <c r="Q190">
        <v>0.48262032500000002</v>
      </c>
      <c r="S190" s="13">
        <v>-0.98301193799999997</v>
      </c>
      <c r="T190">
        <v>1.629655546</v>
      </c>
      <c r="U190">
        <v>1.8122618E-2</v>
      </c>
    </row>
    <row r="191" spans="1:21" x14ac:dyDescent="0.2">
      <c r="A191" t="s">
        <v>1436</v>
      </c>
      <c r="B191">
        <v>753160</v>
      </c>
      <c r="C191" t="s">
        <v>6961</v>
      </c>
      <c r="D191" t="s">
        <v>1437</v>
      </c>
      <c r="E191" t="s">
        <v>6907</v>
      </c>
      <c r="F191">
        <v>6</v>
      </c>
      <c r="G191">
        <v>4</v>
      </c>
      <c r="H191" t="s">
        <v>7312</v>
      </c>
      <c r="J191" t="s">
        <v>6567</v>
      </c>
      <c r="M191" t="s">
        <v>7313</v>
      </c>
      <c r="N191">
        <v>2.7247480949999998</v>
      </c>
      <c r="O191">
        <v>7.0822175119999997</v>
      </c>
      <c r="P191">
        <v>0.61298291999999999</v>
      </c>
      <c r="Q191">
        <v>0.48262032500000002</v>
      </c>
      <c r="S191" s="13">
        <v>-0.98358190099999998</v>
      </c>
      <c r="T191">
        <v>1.6271649379999999</v>
      </c>
      <c r="U191">
        <v>1.7797476999999999E-2</v>
      </c>
    </row>
    <row r="192" spans="1:21" x14ac:dyDescent="0.2">
      <c r="A192" t="s">
        <v>364</v>
      </c>
      <c r="B192">
        <v>858240</v>
      </c>
      <c r="C192" t="s">
        <v>6906</v>
      </c>
      <c r="D192" t="s">
        <v>364</v>
      </c>
      <c r="E192" t="s">
        <v>6970</v>
      </c>
      <c r="F192">
        <v>23</v>
      </c>
      <c r="G192">
        <v>14</v>
      </c>
      <c r="H192" t="s">
        <v>7314</v>
      </c>
      <c r="J192" t="s">
        <v>934</v>
      </c>
      <c r="M192" t="s">
        <v>7315</v>
      </c>
      <c r="N192">
        <v>1.813871112</v>
      </c>
      <c r="O192">
        <v>2.6633694910000001</v>
      </c>
      <c r="P192">
        <v>-0.29586356800000002</v>
      </c>
      <c r="Q192">
        <v>-0.59018158399999998</v>
      </c>
      <c r="S192" s="13">
        <v>-0.98360655699999999</v>
      </c>
      <c r="T192">
        <v>1.627057193</v>
      </c>
      <c r="U192">
        <v>-1.9709034E-2</v>
      </c>
    </row>
    <row r="193" spans="1:21" x14ac:dyDescent="0.2">
      <c r="A193" t="s">
        <v>622</v>
      </c>
      <c r="B193">
        <v>1061440</v>
      </c>
      <c r="C193" t="s">
        <v>6953</v>
      </c>
      <c r="D193" t="s">
        <v>622</v>
      </c>
      <c r="E193" t="s">
        <v>6928</v>
      </c>
      <c r="F193">
        <v>10</v>
      </c>
      <c r="G193">
        <v>16</v>
      </c>
      <c r="H193" t="s">
        <v>7316</v>
      </c>
      <c r="J193" t="s">
        <v>3174</v>
      </c>
      <c r="M193" t="s">
        <v>7317</v>
      </c>
      <c r="N193">
        <v>1.921480887</v>
      </c>
      <c r="O193">
        <v>3.0856645180000002</v>
      </c>
      <c r="P193">
        <v>0.44706724399999997</v>
      </c>
      <c r="Q193">
        <v>-0.354940863</v>
      </c>
      <c r="S193" s="13">
        <v>-0.98383381400000003</v>
      </c>
      <c r="T193">
        <v>1.6260641330000001</v>
      </c>
      <c r="U193">
        <v>4.6050608E-2</v>
      </c>
    </row>
    <row r="194" spans="1:21" x14ac:dyDescent="0.2">
      <c r="A194" t="s">
        <v>577</v>
      </c>
      <c r="B194">
        <v>955480</v>
      </c>
      <c r="C194" t="s">
        <v>6910</v>
      </c>
      <c r="D194" t="s">
        <v>578</v>
      </c>
      <c r="E194" t="s">
        <v>7115</v>
      </c>
      <c r="F194">
        <v>1</v>
      </c>
      <c r="G194">
        <v>10</v>
      </c>
      <c r="H194" t="s">
        <v>7318</v>
      </c>
      <c r="J194" t="s">
        <v>6249</v>
      </c>
      <c r="M194" t="s">
        <v>7319</v>
      </c>
      <c r="N194">
        <v>1.9874741039999999</v>
      </c>
      <c r="O194">
        <v>3.7453511220000002</v>
      </c>
      <c r="P194">
        <v>0.451009722</v>
      </c>
      <c r="Q194">
        <v>-0.102386592</v>
      </c>
      <c r="S194" s="13">
        <v>-0.98469003499999996</v>
      </c>
      <c r="T194">
        <v>1.622322644</v>
      </c>
      <c r="U194">
        <v>4.3119962999999997E-2</v>
      </c>
    </row>
    <row r="195" spans="1:21" x14ac:dyDescent="0.2">
      <c r="A195" t="s">
        <v>1062</v>
      </c>
      <c r="B195">
        <v>751560</v>
      </c>
      <c r="C195" t="s">
        <v>6961</v>
      </c>
      <c r="D195" t="s">
        <v>1062</v>
      </c>
      <c r="E195" t="s">
        <v>6924</v>
      </c>
      <c r="F195">
        <v>17</v>
      </c>
      <c r="G195">
        <v>6</v>
      </c>
      <c r="H195" t="s">
        <v>7320</v>
      </c>
      <c r="J195" t="s">
        <v>6459</v>
      </c>
      <c r="M195" t="s">
        <v>7321</v>
      </c>
      <c r="N195">
        <v>2.7247480949999998</v>
      </c>
      <c r="O195">
        <v>7.0822175119999997</v>
      </c>
      <c r="P195">
        <v>0.61298291999999999</v>
      </c>
      <c r="Q195">
        <v>0.48262032500000002</v>
      </c>
      <c r="S195" s="13">
        <v>-0.984848485</v>
      </c>
      <c r="T195">
        <v>1.621630254</v>
      </c>
      <c r="U195">
        <v>1.7074066999999998E-2</v>
      </c>
    </row>
    <row r="196" spans="1:21" x14ac:dyDescent="0.2">
      <c r="A196" t="s">
        <v>1049</v>
      </c>
      <c r="B196">
        <v>1060120</v>
      </c>
      <c r="C196" t="s">
        <v>6953</v>
      </c>
      <c r="D196" t="s">
        <v>1049</v>
      </c>
      <c r="E196" t="s">
        <v>6928</v>
      </c>
      <c r="F196">
        <v>23</v>
      </c>
      <c r="G196">
        <v>16</v>
      </c>
      <c r="H196" t="s">
        <v>7322</v>
      </c>
      <c r="J196" t="s">
        <v>1581</v>
      </c>
      <c r="M196" t="s">
        <v>7323</v>
      </c>
      <c r="N196">
        <v>1.921480887</v>
      </c>
      <c r="O196">
        <v>3.0856645180000002</v>
      </c>
      <c r="P196">
        <v>0.44706724399999997</v>
      </c>
      <c r="Q196">
        <v>-0.354940863</v>
      </c>
      <c r="S196" s="13">
        <v>-0.98520347799999997</v>
      </c>
      <c r="T196">
        <v>1.620079015</v>
      </c>
      <c r="U196">
        <v>4.5491491000000002E-2</v>
      </c>
    </row>
    <row r="197" spans="1:21" x14ac:dyDescent="0.2">
      <c r="A197" t="s">
        <v>369</v>
      </c>
      <c r="B197">
        <v>949600</v>
      </c>
      <c r="C197" t="s">
        <v>6942</v>
      </c>
      <c r="D197" t="s">
        <v>369</v>
      </c>
      <c r="E197" t="s">
        <v>6939</v>
      </c>
      <c r="F197">
        <v>23</v>
      </c>
      <c r="G197">
        <v>2</v>
      </c>
      <c r="H197" t="s">
        <v>7324</v>
      </c>
      <c r="J197" t="s">
        <v>1633</v>
      </c>
      <c r="M197" t="s">
        <v>7325</v>
      </c>
      <c r="N197">
        <v>2.0902262079999998</v>
      </c>
      <c r="O197">
        <v>4.2704203920000001</v>
      </c>
      <c r="P197">
        <v>0.23425843900000001</v>
      </c>
      <c r="Q197">
        <v>1.6181978999999999E-2</v>
      </c>
      <c r="S197" s="13">
        <v>-0.98521877400000002</v>
      </c>
      <c r="T197">
        <v>1.6200121759999999</v>
      </c>
      <c r="U197">
        <v>1.541003E-3</v>
      </c>
    </row>
    <row r="198" spans="1:21" x14ac:dyDescent="0.2">
      <c r="A198" t="s">
        <v>1857</v>
      </c>
      <c r="B198">
        <v>826360</v>
      </c>
      <c r="C198" t="s">
        <v>6931</v>
      </c>
      <c r="D198" t="s">
        <v>1858</v>
      </c>
      <c r="E198" t="s">
        <v>6974</v>
      </c>
      <c r="F198">
        <v>6</v>
      </c>
      <c r="G198">
        <v>15</v>
      </c>
      <c r="H198" t="s">
        <v>7326</v>
      </c>
      <c r="N198">
        <v>1.9323965059999999</v>
      </c>
      <c r="O198">
        <v>3.0528020530000002</v>
      </c>
      <c r="P198">
        <v>2.6493138999999999E-2</v>
      </c>
      <c r="Q198">
        <v>-0.38692188</v>
      </c>
      <c r="S198" s="13">
        <v>-0.98668944199999997</v>
      </c>
      <c r="T198">
        <v>1.6135856909999999</v>
      </c>
      <c r="U198">
        <v>2.0840652000000001E-2</v>
      </c>
    </row>
    <row r="199" spans="1:21" x14ac:dyDescent="0.2">
      <c r="A199" t="s">
        <v>687</v>
      </c>
      <c r="B199">
        <v>953560</v>
      </c>
      <c r="C199" t="s">
        <v>6910</v>
      </c>
      <c r="D199" t="s">
        <v>688</v>
      </c>
      <c r="E199" t="s">
        <v>6970</v>
      </c>
      <c r="F199">
        <v>9</v>
      </c>
      <c r="G199">
        <v>14</v>
      </c>
      <c r="H199" t="s">
        <v>7327</v>
      </c>
      <c r="J199" t="s">
        <v>1822</v>
      </c>
      <c r="M199" t="s">
        <v>7328</v>
      </c>
      <c r="N199">
        <v>1.9874741039999999</v>
      </c>
      <c r="O199">
        <v>3.7453511220000002</v>
      </c>
      <c r="P199">
        <v>0.451009722</v>
      </c>
      <c r="Q199">
        <v>-0.102386592</v>
      </c>
      <c r="S199" s="13">
        <v>-0.98675575100000001</v>
      </c>
      <c r="T199">
        <v>1.6132959389999999</v>
      </c>
      <c r="U199">
        <v>4.2300949999999997E-2</v>
      </c>
    </row>
    <row r="200" spans="1:21" x14ac:dyDescent="0.2">
      <c r="A200" t="s">
        <v>1954</v>
      </c>
      <c r="B200">
        <v>1080960</v>
      </c>
      <c r="C200" t="s">
        <v>6938</v>
      </c>
      <c r="D200" t="s">
        <v>1955</v>
      </c>
      <c r="E200" t="s">
        <v>6918</v>
      </c>
      <c r="F200">
        <v>1</v>
      </c>
      <c r="G200">
        <v>1</v>
      </c>
      <c r="H200" t="s">
        <v>7329</v>
      </c>
      <c r="J200" t="s">
        <v>5699</v>
      </c>
      <c r="M200" t="s">
        <v>7330</v>
      </c>
      <c r="N200">
        <v>2.092758737</v>
      </c>
      <c r="O200">
        <v>5.3323610669999999</v>
      </c>
      <c r="P200">
        <v>0.70420098600000003</v>
      </c>
      <c r="Q200">
        <v>0.41355372699999998</v>
      </c>
      <c r="S200" s="13">
        <v>-0.98677430399999999</v>
      </c>
      <c r="T200">
        <v>1.6132148630000001</v>
      </c>
      <c r="U200">
        <v>3.2682281000000001E-2</v>
      </c>
    </row>
    <row r="201" spans="1:21" x14ac:dyDescent="0.2">
      <c r="A201" t="s">
        <v>1343</v>
      </c>
      <c r="B201">
        <v>746800</v>
      </c>
      <c r="C201" t="s">
        <v>6961</v>
      </c>
      <c r="D201" t="s">
        <v>1344</v>
      </c>
      <c r="E201" t="s">
        <v>7085</v>
      </c>
      <c r="F201">
        <v>7</v>
      </c>
      <c r="G201">
        <v>9</v>
      </c>
      <c r="H201" t="s">
        <v>7331</v>
      </c>
      <c r="J201" t="s">
        <v>1539</v>
      </c>
      <c r="M201" t="s">
        <v>7332</v>
      </c>
      <c r="N201">
        <v>2.7247480949999998</v>
      </c>
      <c r="O201">
        <v>7.0822175119999997</v>
      </c>
      <c r="P201">
        <v>0.61298291999999999</v>
      </c>
      <c r="Q201">
        <v>0.48262032500000002</v>
      </c>
      <c r="S201" s="13">
        <v>-0.98861657300000005</v>
      </c>
      <c r="T201">
        <v>1.605164569</v>
      </c>
      <c r="U201">
        <v>1.4914770000000001E-2</v>
      </c>
    </row>
    <row r="202" spans="1:21" x14ac:dyDescent="0.2">
      <c r="A202" t="s">
        <v>389</v>
      </c>
      <c r="B202">
        <v>746240</v>
      </c>
      <c r="C202" t="s">
        <v>6961</v>
      </c>
      <c r="D202" t="s">
        <v>389</v>
      </c>
      <c r="E202" t="s">
        <v>6974</v>
      </c>
      <c r="F202">
        <v>11</v>
      </c>
      <c r="G202">
        <v>15</v>
      </c>
      <c r="H202" t="s">
        <v>7333</v>
      </c>
      <c r="J202" t="s">
        <v>1035</v>
      </c>
      <c r="M202" t="s">
        <v>7334</v>
      </c>
      <c r="N202">
        <v>2.7247480949999998</v>
      </c>
      <c r="O202">
        <v>7.0822175119999997</v>
      </c>
      <c r="P202">
        <v>0.61298291999999999</v>
      </c>
      <c r="Q202">
        <v>0.48262032500000002</v>
      </c>
      <c r="S202" s="13">
        <v>-0.98905987799999995</v>
      </c>
      <c r="T202">
        <v>1.60322743</v>
      </c>
      <c r="U202">
        <v>1.4660028E-2</v>
      </c>
    </row>
    <row r="203" spans="1:21" x14ac:dyDescent="0.2">
      <c r="A203" t="s">
        <v>563</v>
      </c>
      <c r="B203">
        <v>746240</v>
      </c>
      <c r="C203" t="s">
        <v>6961</v>
      </c>
      <c r="D203" t="s">
        <v>564</v>
      </c>
      <c r="E203" t="s">
        <v>6928</v>
      </c>
      <c r="F203">
        <v>9</v>
      </c>
      <c r="G203">
        <v>16</v>
      </c>
      <c r="H203" t="s">
        <v>7335</v>
      </c>
      <c r="J203" t="s">
        <v>6175</v>
      </c>
      <c r="M203" t="s">
        <v>7336</v>
      </c>
      <c r="N203">
        <v>2.7247480949999998</v>
      </c>
      <c r="O203">
        <v>7.0822175119999997</v>
      </c>
      <c r="P203">
        <v>0.61298291999999999</v>
      </c>
      <c r="Q203">
        <v>0.48262032500000002</v>
      </c>
      <c r="S203" s="13">
        <v>-0.98905987799999995</v>
      </c>
      <c r="T203">
        <v>1.60322743</v>
      </c>
      <c r="U203">
        <v>1.4660028E-2</v>
      </c>
    </row>
    <row r="204" spans="1:21" x14ac:dyDescent="0.2">
      <c r="A204" t="s">
        <v>2319</v>
      </c>
      <c r="B204">
        <v>991280</v>
      </c>
      <c r="C204" t="s">
        <v>6927</v>
      </c>
      <c r="D204" t="s">
        <v>2320</v>
      </c>
      <c r="E204" t="s">
        <v>6915</v>
      </c>
      <c r="F204">
        <v>8</v>
      </c>
      <c r="G204">
        <v>13</v>
      </c>
      <c r="H204" t="s">
        <v>7337</v>
      </c>
      <c r="J204" t="s">
        <v>7338</v>
      </c>
      <c r="M204" t="s">
        <v>7339</v>
      </c>
      <c r="N204">
        <v>1.982575982</v>
      </c>
      <c r="O204">
        <v>3.4571926419999999</v>
      </c>
      <c r="P204">
        <v>-0.114791479</v>
      </c>
      <c r="Q204">
        <v>1.868949E-3</v>
      </c>
      <c r="S204" s="13">
        <v>-0.98915682699999996</v>
      </c>
      <c r="T204">
        <v>1.602803786</v>
      </c>
      <c r="U204">
        <v>7.7526319999999998E-3</v>
      </c>
    </row>
    <row r="205" spans="1:21" x14ac:dyDescent="0.2">
      <c r="A205" t="s">
        <v>1356</v>
      </c>
      <c r="B205">
        <v>853960</v>
      </c>
      <c r="C205" t="s">
        <v>6906</v>
      </c>
      <c r="D205" t="s">
        <v>1356</v>
      </c>
      <c r="E205" t="s">
        <v>6921</v>
      </c>
      <c r="F205">
        <v>19</v>
      </c>
      <c r="G205">
        <v>8</v>
      </c>
      <c r="H205" t="s">
        <v>7340</v>
      </c>
      <c r="J205" t="s">
        <v>2277</v>
      </c>
      <c r="M205" t="s">
        <v>7341</v>
      </c>
      <c r="N205">
        <v>1.813871112</v>
      </c>
      <c r="O205">
        <v>2.6633694910000001</v>
      </c>
      <c r="P205">
        <v>-0.29586356800000002</v>
      </c>
      <c r="Q205">
        <v>-0.59018158399999998</v>
      </c>
      <c r="S205" s="13">
        <v>-0.98981575499999996</v>
      </c>
      <c r="T205">
        <v>1.5999244189999999</v>
      </c>
      <c r="U205">
        <v>-2.1822081E-2</v>
      </c>
    </row>
    <row r="206" spans="1:21" x14ac:dyDescent="0.2">
      <c r="A206" t="s">
        <v>143</v>
      </c>
      <c r="B206">
        <v>743800</v>
      </c>
      <c r="C206" t="s">
        <v>6961</v>
      </c>
      <c r="D206" t="s">
        <v>144</v>
      </c>
      <c r="E206" t="s">
        <v>7115</v>
      </c>
      <c r="F206">
        <v>8</v>
      </c>
      <c r="G206">
        <v>10</v>
      </c>
      <c r="H206" t="s">
        <v>7342</v>
      </c>
      <c r="J206" t="s">
        <v>1628</v>
      </c>
      <c r="M206" t="s">
        <v>7343</v>
      </c>
      <c r="N206">
        <v>2.7247480949999998</v>
      </c>
      <c r="O206">
        <v>7.0822175119999997</v>
      </c>
      <c r="P206">
        <v>0.61298291999999999</v>
      </c>
      <c r="Q206">
        <v>0.48262032500000002</v>
      </c>
      <c r="S206" s="13">
        <v>-0.99099141899999998</v>
      </c>
      <c r="T206">
        <v>1.5947870369999999</v>
      </c>
      <c r="U206">
        <v>1.3548332999999999E-2</v>
      </c>
    </row>
    <row r="207" spans="1:21" x14ac:dyDescent="0.2">
      <c r="A207" t="s">
        <v>736</v>
      </c>
      <c r="B207">
        <v>943200</v>
      </c>
      <c r="C207" t="s">
        <v>6942</v>
      </c>
      <c r="D207" t="s">
        <v>736</v>
      </c>
      <c r="E207" t="s">
        <v>6939</v>
      </c>
      <c r="F207">
        <v>15</v>
      </c>
      <c r="G207">
        <v>2</v>
      </c>
      <c r="H207" t="s">
        <v>7344</v>
      </c>
      <c r="J207" t="s">
        <v>738</v>
      </c>
      <c r="M207" t="s">
        <v>7345</v>
      </c>
      <c r="N207">
        <v>2.0902262079999998</v>
      </c>
      <c r="O207">
        <v>4.2704203920000001</v>
      </c>
      <c r="P207">
        <v>0.23425843900000001</v>
      </c>
      <c r="Q207">
        <v>1.6181978999999999E-2</v>
      </c>
      <c r="S207" s="13">
        <v>-0.991500304</v>
      </c>
      <c r="T207">
        <v>1.5925633239999999</v>
      </c>
      <c r="U207">
        <v>-1.470924E-3</v>
      </c>
    </row>
    <row r="208" spans="1:21" x14ac:dyDescent="0.2">
      <c r="A208" t="s">
        <v>232</v>
      </c>
      <c r="B208">
        <v>876200</v>
      </c>
      <c r="C208" t="s">
        <v>6945</v>
      </c>
      <c r="D208" t="s">
        <v>233</v>
      </c>
      <c r="E208" t="s">
        <v>7085</v>
      </c>
      <c r="F208">
        <v>1</v>
      </c>
      <c r="G208">
        <v>9</v>
      </c>
      <c r="H208" t="s">
        <v>7346</v>
      </c>
      <c r="J208" t="s">
        <v>7347</v>
      </c>
      <c r="M208" t="s">
        <v>7348</v>
      </c>
      <c r="N208">
        <v>2.2220813349999999</v>
      </c>
      <c r="O208">
        <v>6.5440947090000003</v>
      </c>
      <c r="P208">
        <v>0.58228215500000002</v>
      </c>
      <c r="Q208">
        <v>0.35188233000000002</v>
      </c>
      <c r="S208" s="13">
        <v>-0.99181271100000001</v>
      </c>
      <c r="T208">
        <v>1.591198178</v>
      </c>
      <c r="U208">
        <v>3.1052E-4</v>
      </c>
    </row>
    <row r="209" spans="1:21" x14ac:dyDescent="0.2">
      <c r="A209" t="s">
        <v>756</v>
      </c>
      <c r="B209">
        <v>942640</v>
      </c>
      <c r="C209" t="s">
        <v>6942</v>
      </c>
      <c r="D209" t="s">
        <v>756</v>
      </c>
      <c r="E209" t="s">
        <v>7085</v>
      </c>
      <c r="F209">
        <v>23</v>
      </c>
      <c r="G209">
        <v>9</v>
      </c>
      <c r="H209" t="s">
        <v>7349</v>
      </c>
      <c r="J209" t="s">
        <v>1380</v>
      </c>
      <c r="M209" t="s">
        <v>7350</v>
      </c>
      <c r="N209">
        <v>2.0902262079999998</v>
      </c>
      <c r="O209">
        <v>4.2704203920000001</v>
      </c>
      <c r="P209">
        <v>0.23425843900000001</v>
      </c>
      <c r="Q209">
        <v>1.6181978999999999E-2</v>
      </c>
      <c r="S209" s="13">
        <v>-0.99204993799999996</v>
      </c>
      <c r="T209">
        <v>1.5901615490000001</v>
      </c>
      <c r="U209">
        <v>-1.7354639999999999E-3</v>
      </c>
    </row>
    <row r="210" spans="1:21" x14ac:dyDescent="0.2">
      <c r="A210" t="s">
        <v>89</v>
      </c>
      <c r="B210">
        <v>821720</v>
      </c>
      <c r="C210" t="s">
        <v>6931</v>
      </c>
      <c r="D210" t="s">
        <v>90</v>
      </c>
      <c r="E210" t="s">
        <v>6921</v>
      </c>
      <c r="F210">
        <v>1</v>
      </c>
      <c r="G210">
        <v>8</v>
      </c>
      <c r="H210" t="s">
        <v>7351</v>
      </c>
      <c r="J210" t="s">
        <v>92</v>
      </c>
      <c r="M210" t="s">
        <v>7352</v>
      </c>
      <c r="N210">
        <v>1.9323965059999999</v>
      </c>
      <c r="O210">
        <v>3.0528020530000002</v>
      </c>
      <c r="P210">
        <v>2.6493138999999999E-2</v>
      </c>
      <c r="Q210">
        <v>-0.38692188</v>
      </c>
      <c r="S210" s="13">
        <v>-0.99278628199999996</v>
      </c>
      <c r="T210">
        <v>1.5869438950000001</v>
      </c>
      <c r="U210">
        <v>1.8754143000000001E-2</v>
      </c>
    </row>
    <row r="211" spans="1:21" x14ac:dyDescent="0.2">
      <c r="A211" t="s">
        <v>191</v>
      </c>
      <c r="B211">
        <v>851080</v>
      </c>
      <c r="C211" t="s">
        <v>6906</v>
      </c>
      <c r="D211" t="s">
        <v>192</v>
      </c>
      <c r="E211" t="s">
        <v>6911</v>
      </c>
      <c r="F211">
        <v>1</v>
      </c>
      <c r="G211">
        <v>12</v>
      </c>
      <c r="H211" t="s">
        <v>7353</v>
      </c>
      <c r="J211" t="s">
        <v>194</v>
      </c>
      <c r="M211" t="s">
        <v>7354</v>
      </c>
      <c r="N211">
        <v>1.813871112</v>
      </c>
      <c r="O211">
        <v>2.6633694910000001</v>
      </c>
      <c r="P211">
        <v>-0.29586356800000002</v>
      </c>
      <c r="Q211">
        <v>-0.59018158399999998</v>
      </c>
      <c r="S211" s="13">
        <v>-0.99399390700000001</v>
      </c>
      <c r="T211">
        <v>1.581666851</v>
      </c>
      <c r="U211">
        <v>-2.3249753000000001E-2</v>
      </c>
    </row>
    <row r="212" spans="1:21" x14ac:dyDescent="0.2">
      <c r="A212" t="s">
        <v>741</v>
      </c>
      <c r="B212">
        <v>739040</v>
      </c>
      <c r="C212" t="s">
        <v>6961</v>
      </c>
      <c r="D212" t="s">
        <v>741</v>
      </c>
      <c r="E212" t="s">
        <v>6946</v>
      </c>
      <c r="F212">
        <v>17</v>
      </c>
      <c r="G212">
        <v>11</v>
      </c>
      <c r="H212" t="s">
        <v>7355</v>
      </c>
      <c r="J212" t="s">
        <v>2815</v>
      </c>
      <c r="M212" t="s">
        <v>7356</v>
      </c>
      <c r="N212">
        <v>2.7247480949999998</v>
      </c>
      <c r="O212">
        <v>7.0822175119999997</v>
      </c>
      <c r="P212">
        <v>0.61298291999999999</v>
      </c>
      <c r="Q212">
        <v>0.48262032500000002</v>
      </c>
      <c r="S212" s="13">
        <v>-0.99475950700000004</v>
      </c>
      <c r="T212">
        <v>1.5783213519999999</v>
      </c>
      <c r="U212">
        <v>1.137139E-2</v>
      </c>
    </row>
    <row r="213" spans="1:21" x14ac:dyDescent="0.2">
      <c r="A213" t="s">
        <v>1318</v>
      </c>
      <c r="B213">
        <v>738280</v>
      </c>
      <c r="C213" t="s">
        <v>6961</v>
      </c>
      <c r="D213" t="s">
        <v>1318</v>
      </c>
      <c r="E213" t="s">
        <v>6946</v>
      </c>
      <c r="F213">
        <v>20</v>
      </c>
      <c r="G213">
        <v>11</v>
      </c>
      <c r="H213" t="s">
        <v>7357</v>
      </c>
      <c r="J213" t="s">
        <v>3005</v>
      </c>
      <c r="M213" t="s">
        <v>7358</v>
      </c>
      <c r="N213">
        <v>2.7247480949999998</v>
      </c>
      <c r="O213">
        <v>7.0822175119999997</v>
      </c>
      <c r="P213">
        <v>0.61298291999999999</v>
      </c>
      <c r="Q213">
        <v>0.48262032500000002</v>
      </c>
      <c r="S213" s="13">
        <v>-0.99536113500000001</v>
      </c>
      <c r="T213">
        <v>1.575692377</v>
      </c>
      <c r="U213">
        <v>1.1022799E-2</v>
      </c>
    </row>
    <row r="214" spans="1:21" x14ac:dyDescent="0.2">
      <c r="A214" t="s">
        <v>300</v>
      </c>
      <c r="B214">
        <v>1069960</v>
      </c>
      <c r="C214" t="s">
        <v>6938</v>
      </c>
      <c r="D214" t="s">
        <v>300</v>
      </c>
      <c r="E214" t="s">
        <v>7006</v>
      </c>
      <c r="F214">
        <v>19</v>
      </c>
      <c r="G214">
        <v>3</v>
      </c>
      <c r="H214" t="s">
        <v>7359</v>
      </c>
      <c r="J214" t="s">
        <v>615</v>
      </c>
      <c r="M214" t="s">
        <v>7360</v>
      </c>
      <c r="N214">
        <v>2.092758737</v>
      </c>
      <c r="O214">
        <v>5.3323610669999999</v>
      </c>
      <c r="P214">
        <v>0.70420098600000003</v>
      </c>
      <c r="Q214">
        <v>0.41355372699999998</v>
      </c>
      <c r="S214" s="13">
        <v>-0.99622122999999996</v>
      </c>
      <c r="T214">
        <v>1.571933958</v>
      </c>
      <c r="U214">
        <v>2.7853664E-2</v>
      </c>
    </row>
    <row r="215" spans="1:21" x14ac:dyDescent="0.2">
      <c r="A215" t="s">
        <v>42</v>
      </c>
      <c r="B215">
        <v>734520</v>
      </c>
      <c r="C215" t="s">
        <v>6961</v>
      </c>
      <c r="D215" t="s">
        <v>42</v>
      </c>
      <c r="E215" t="s">
        <v>6977</v>
      </c>
      <c r="F215">
        <v>13</v>
      </c>
      <c r="G215">
        <v>5</v>
      </c>
      <c r="H215" t="s">
        <v>7361</v>
      </c>
      <c r="J215" t="s">
        <v>2948</v>
      </c>
      <c r="M215" t="s">
        <v>7362</v>
      </c>
      <c r="N215">
        <v>2.7247480949999998</v>
      </c>
      <c r="O215">
        <v>7.0822175119999997</v>
      </c>
      <c r="P215">
        <v>0.61298291999999999</v>
      </c>
      <c r="Q215">
        <v>0.48262032500000002</v>
      </c>
      <c r="S215" s="13">
        <v>-0.99833760800000004</v>
      </c>
      <c r="T215">
        <v>1.5626858690000001</v>
      </c>
      <c r="U215">
        <v>9.2940599999999998E-3</v>
      </c>
    </row>
    <row r="216" spans="1:21" x14ac:dyDescent="0.2">
      <c r="A216" t="s">
        <v>405</v>
      </c>
      <c r="B216">
        <v>941960</v>
      </c>
      <c r="C216" t="s">
        <v>6910</v>
      </c>
      <c r="D216" t="s">
        <v>405</v>
      </c>
      <c r="E216" t="s">
        <v>6946</v>
      </c>
      <c r="F216">
        <v>23</v>
      </c>
      <c r="G216">
        <v>11</v>
      </c>
      <c r="H216" t="s">
        <v>7363</v>
      </c>
      <c r="J216" t="s">
        <v>1178</v>
      </c>
      <c r="M216" t="s">
        <v>7364</v>
      </c>
      <c r="N216">
        <v>1.9874741039999999</v>
      </c>
      <c r="O216">
        <v>3.7453511220000002</v>
      </c>
      <c r="P216">
        <v>0.451009722</v>
      </c>
      <c r="Q216">
        <v>-0.102386592</v>
      </c>
      <c r="S216" s="13">
        <v>-0.99923611599999995</v>
      </c>
      <c r="T216">
        <v>1.5587595970000001</v>
      </c>
      <c r="U216">
        <v>3.7319616E-2</v>
      </c>
    </row>
    <row r="217" spans="1:21" x14ac:dyDescent="0.2">
      <c r="A217" t="s">
        <v>1688</v>
      </c>
      <c r="B217">
        <v>980280</v>
      </c>
      <c r="C217" t="s">
        <v>6927</v>
      </c>
      <c r="D217" t="s">
        <v>1688</v>
      </c>
      <c r="E217" t="s">
        <v>6915</v>
      </c>
      <c r="F217">
        <v>22</v>
      </c>
      <c r="G217">
        <v>13</v>
      </c>
      <c r="H217" t="s">
        <v>7365</v>
      </c>
      <c r="J217" t="s">
        <v>7366</v>
      </c>
      <c r="M217" t="s">
        <v>7367</v>
      </c>
      <c r="N217">
        <v>1.982575982</v>
      </c>
      <c r="O217">
        <v>3.4571926419999999</v>
      </c>
      <c r="P217">
        <v>-0.114791479</v>
      </c>
      <c r="Q217">
        <v>1.868949E-3</v>
      </c>
      <c r="S217" s="13">
        <v>-1.000570693</v>
      </c>
      <c r="T217">
        <v>1.5529277969999999</v>
      </c>
      <c r="U217">
        <v>2.6370439999999998E-3</v>
      </c>
    </row>
    <row r="218" spans="1:21" x14ac:dyDescent="0.2">
      <c r="A218" t="s">
        <v>221</v>
      </c>
      <c r="B218">
        <v>731200</v>
      </c>
      <c r="C218" t="s">
        <v>6961</v>
      </c>
      <c r="D218" t="s">
        <v>221</v>
      </c>
      <c r="E218" t="s">
        <v>6928</v>
      </c>
      <c r="F218">
        <v>12</v>
      </c>
      <c r="G218">
        <v>16</v>
      </c>
      <c r="H218" t="s">
        <v>7368</v>
      </c>
      <c r="J218" t="s">
        <v>5913</v>
      </c>
      <c r="M218" t="s">
        <v>7369</v>
      </c>
      <c r="N218">
        <v>2.7247480949999998</v>
      </c>
      <c r="O218">
        <v>7.0822175119999997</v>
      </c>
      <c r="P218">
        <v>0.61298291999999999</v>
      </c>
      <c r="Q218">
        <v>0.48262032500000002</v>
      </c>
      <c r="S218" s="13">
        <v>-1.0009657709999999</v>
      </c>
      <c r="T218">
        <v>1.5512014000000001</v>
      </c>
      <c r="U218">
        <v>7.7618790000000002E-3</v>
      </c>
    </row>
    <row r="219" spans="1:21" x14ac:dyDescent="0.2">
      <c r="A219" t="s">
        <v>94</v>
      </c>
      <c r="B219">
        <v>815360</v>
      </c>
      <c r="C219" t="s">
        <v>6931</v>
      </c>
      <c r="D219" t="s">
        <v>95</v>
      </c>
      <c r="E219" t="s">
        <v>6939</v>
      </c>
      <c r="F219">
        <v>1</v>
      </c>
      <c r="G219">
        <v>2</v>
      </c>
      <c r="H219" t="s">
        <v>7370</v>
      </c>
      <c r="J219" t="s">
        <v>231</v>
      </c>
      <c r="M219" t="s">
        <v>7371</v>
      </c>
      <c r="N219">
        <v>1.9323965059999999</v>
      </c>
      <c r="O219">
        <v>3.0528020530000002</v>
      </c>
      <c r="P219">
        <v>2.6493138999999999E-2</v>
      </c>
      <c r="Q219">
        <v>-0.38692188</v>
      </c>
      <c r="S219" s="13">
        <v>-1.001143157</v>
      </c>
      <c r="T219">
        <v>1.5504262600000001</v>
      </c>
      <c r="U219">
        <v>1.5877800000000001E-2</v>
      </c>
    </row>
    <row r="220" spans="1:21" x14ac:dyDescent="0.2">
      <c r="A220" t="s">
        <v>405</v>
      </c>
      <c r="B220">
        <v>1010760</v>
      </c>
      <c r="C220" t="s">
        <v>6914</v>
      </c>
      <c r="D220" t="s">
        <v>405</v>
      </c>
      <c r="E220" t="s">
        <v>6946</v>
      </c>
      <c r="F220">
        <v>23</v>
      </c>
      <c r="G220">
        <v>11</v>
      </c>
      <c r="H220" t="s">
        <v>7372</v>
      </c>
      <c r="J220" t="s">
        <v>1854</v>
      </c>
      <c r="M220" t="s">
        <v>7373</v>
      </c>
      <c r="N220">
        <v>1.8217074179999999</v>
      </c>
      <c r="O220">
        <v>4.1700741289999996</v>
      </c>
      <c r="P220">
        <v>0.189705977</v>
      </c>
      <c r="Q220">
        <v>-1.7194070999999998E-2</v>
      </c>
      <c r="S220" s="13">
        <v>-1.0012749270000001</v>
      </c>
      <c r="T220">
        <v>1.5498504559999999</v>
      </c>
      <c r="U220">
        <v>-2.1238485000000001E-2</v>
      </c>
    </row>
    <row r="221" spans="1:21" x14ac:dyDescent="0.2">
      <c r="A221" t="s">
        <v>727</v>
      </c>
      <c r="B221">
        <v>932320</v>
      </c>
      <c r="C221" t="s">
        <v>6942</v>
      </c>
      <c r="D221" t="s">
        <v>727</v>
      </c>
      <c r="E221" t="s">
        <v>7115</v>
      </c>
      <c r="F221">
        <v>23</v>
      </c>
      <c r="G221">
        <v>10</v>
      </c>
      <c r="H221" t="s">
        <v>7374</v>
      </c>
      <c r="J221" t="s">
        <v>1863</v>
      </c>
      <c r="M221" t="s">
        <v>7375</v>
      </c>
      <c r="N221">
        <v>2.0902262079999998</v>
      </c>
      <c r="O221">
        <v>4.2704203920000001</v>
      </c>
      <c r="P221">
        <v>0.23425843900000001</v>
      </c>
      <c r="Q221">
        <v>1.6181978999999999E-2</v>
      </c>
      <c r="S221" s="13">
        <v>-1.0021789059999999</v>
      </c>
      <c r="T221">
        <v>1.545900276</v>
      </c>
      <c r="U221">
        <v>-6.6396299999999997E-3</v>
      </c>
    </row>
    <row r="222" spans="1:21" x14ac:dyDescent="0.2">
      <c r="A222" t="s">
        <v>99</v>
      </c>
      <c r="B222">
        <v>729560</v>
      </c>
      <c r="C222" t="s">
        <v>6961</v>
      </c>
      <c r="D222" t="s">
        <v>101</v>
      </c>
      <c r="E222" t="s">
        <v>6918</v>
      </c>
      <c r="F222">
        <v>4</v>
      </c>
      <c r="G222">
        <v>1</v>
      </c>
      <c r="H222" t="s">
        <v>7376</v>
      </c>
      <c r="J222" t="s">
        <v>1185</v>
      </c>
      <c r="M222" t="s">
        <v>7377</v>
      </c>
      <c r="N222">
        <v>2.7247480949999998</v>
      </c>
      <c r="O222">
        <v>7.0822175119999997</v>
      </c>
      <c r="P222">
        <v>0.61298291999999999</v>
      </c>
      <c r="Q222">
        <v>0.48262032500000002</v>
      </c>
      <c r="S222" s="13">
        <v>-1.0022640199999999</v>
      </c>
      <c r="T222">
        <v>1.545528349</v>
      </c>
      <c r="U222">
        <v>7.0030190000000001E-3</v>
      </c>
    </row>
    <row r="223" spans="1:21" x14ac:dyDescent="0.2">
      <c r="A223" t="s">
        <v>169</v>
      </c>
      <c r="B223">
        <v>728760</v>
      </c>
      <c r="C223" t="s">
        <v>6961</v>
      </c>
      <c r="D223" t="s">
        <v>169</v>
      </c>
      <c r="E223" t="s">
        <v>6918</v>
      </c>
      <c r="F223">
        <v>16</v>
      </c>
      <c r="G223">
        <v>1</v>
      </c>
      <c r="H223" t="s">
        <v>7378</v>
      </c>
      <c r="J223" t="s">
        <v>1237</v>
      </c>
      <c r="M223" t="s">
        <v>7379</v>
      </c>
      <c r="N223">
        <v>2.7247480949999998</v>
      </c>
      <c r="O223">
        <v>7.0822175119999997</v>
      </c>
      <c r="P223">
        <v>0.61298291999999999</v>
      </c>
      <c r="Q223">
        <v>0.48262032500000002</v>
      </c>
      <c r="S223" s="13">
        <v>-1.002897312</v>
      </c>
      <c r="T223">
        <v>1.542761007</v>
      </c>
      <c r="U223">
        <v>6.6323620000000002E-3</v>
      </c>
    </row>
    <row r="224" spans="1:21" x14ac:dyDescent="0.2">
      <c r="A224" t="s">
        <v>1251</v>
      </c>
      <c r="B224">
        <v>727920</v>
      </c>
      <c r="C224" t="s">
        <v>6961</v>
      </c>
      <c r="D224" t="s">
        <v>1251</v>
      </c>
      <c r="E224" t="s">
        <v>6907</v>
      </c>
      <c r="F224">
        <v>17</v>
      </c>
      <c r="G224">
        <v>4</v>
      </c>
      <c r="H224" t="s">
        <v>7380</v>
      </c>
      <c r="J224" t="s">
        <v>3909</v>
      </c>
      <c r="M224" t="s">
        <v>7381</v>
      </c>
      <c r="N224">
        <v>2.7247480949999998</v>
      </c>
      <c r="O224">
        <v>7.0822175119999997</v>
      </c>
      <c r="P224">
        <v>0.61298291999999999</v>
      </c>
      <c r="Q224">
        <v>0.48262032500000002</v>
      </c>
      <c r="S224" s="13">
        <v>-1.003562268</v>
      </c>
      <c r="T224">
        <v>1.539855298</v>
      </c>
      <c r="U224">
        <v>6.2428309999999999E-3</v>
      </c>
    </row>
    <row r="225" spans="1:21" x14ac:dyDescent="0.2">
      <c r="A225" t="s">
        <v>222</v>
      </c>
      <c r="B225">
        <v>863720</v>
      </c>
      <c r="C225" t="s">
        <v>6945</v>
      </c>
      <c r="D225" t="s">
        <v>222</v>
      </c>
      <c r="E225" t="s">
        <v>6924</v>
      </c>
      <c r="F225">
        <v>20</v>
      </c>
      <c r="G225">
        <v>6</v>
      </c>
      <c r="H225" t="s">
        <v>7382</v>
      </c>
      <c r="J225" t="s">
        <v>4768</v>
      </c>
      <c r="M225" t="s">
        <v>7383</v>
      </c>
      <c r="N225">
        <v>2.2220813349999999</v>
      </c>
      <c r="O225">
        <v>6.5440947090000003</v>
      </c>
      <c r="P225">
        <v>0.58228215500000002</v>
      </c>
      <c r="Q225">
        <v>0.35188233000000002</v>
      </c>
      <c r="S225" s="13">
        <v>-1.003584297</v>
      </c>
      <c r="T225">
        <v>1.5397590379999999</v>
      </c>
      <c r="U225">
        <v>-5.599049E-3</v>
      </c>
    </row>
    <row r="226" spans="1:21" x14ac:dyDescent="0.2">
      <c r="A226" t="s">
        <v>203</v>
      </c>
      <c r="B226">
        <v>1061320</v>
      </c>
      <c r="C226" t="s">
        <v>6938</v>
      </c>
      <c r="D226" t="s">
        <v>204</v>
      </c>
      <c r="E226" t="s">
        <v>6915</v>
      </c>
      <c r="F226">
        <v>1</v>
      </c>
      <c r="G226">
        <v>13</v>
      </c>
      <c r="H226" t="s">
        <v>7384</v>
      </c>
      <c r="J226" t="s">
        <v>1235</v>
      </c>
      <c r="M226" t="s">
        <v>7385</v>
      </c>
      <c r="N226">
        <v>2.092758737</v>
      </c>
      <c r="O226">
        <v>5.3323610669999999</v>
      </c>
      <c r="P226">
        <v>0.70420098600000003</v>
      </c>
      <c r="Q226">
        <v>0.41355372699999998</v>
      </c>
      <c r="S226" s="13">
        <v>-1.00364136</v>
      </c>
      <c r="T226">
        <v>1.539509684</v>
      </c>
      <c r="U226">
        <v>2.4022999E-2</v>
      </c>
    </row>
    <row r="227" spans="1:21" x14ac:dyDescent="0.2">
      <c r="A227" t="s">
        <v>1089</v>
      </c>
      <c r="B227">
        <v>863600</v>
      </c>
      <c r="C227" t="s">
        <v>6945</v>
      </c>
      <c r="D227" t="s">
        <v>1089</v>
      </c>
      <c r="E227" t="s">
        <v>6946</v>
      </c>
      <c r="F227">
        <v>21</v>
      </c>
      <c r="G227">
        <v>11</v>
      </c>
      <c r="H227" t="s">
        <v>7386</v>
      </c>
      <c r="J227" t="s">
        <v>1852</v>
      </c>
      <c r="M227" t="s">
        <v>7387</v>
      </c>
      <c r="N227">
        <v>2.2220813349999999</v>
      </c>
      <c r="O227">
        <v>6.5440947090000003</v>
      </c>
      <c r="P227">
        <v>0.58228215500000002</v>
      </c>
      <c r="Q227">
        <v>0.35188233000000002</v>
      </c>
      <c r="S227" s="13">
        <v>-1.003697485</v>
      </c>
      <c r="T227">
        <v>1.5392644310000001</v>
      </c>
      <c r="U227">
        <v>-5.6562640000000003E-3</v>
      </c>
    </row>
    <row r="228" spans="1:21" x14ac:dyDescent="0.2">
      <c r="A228" t="s">
        <v>67</v>
      </c>
      <c r="B228">
        <v>727560</v>
      </c>
      <c r="C228" t="s">
        <v>6961</v>
      </c>
      <c r="D228" t="s">
        <v>69</v>
      </c>
      <c r="E228" t="s">
        <v>6974</v>
      </c>
      <c r="F228">
        <v>2</v>
      </c>
      <c r="G228">
        <v>15</v>
      </c>
      <c r="H228" t="s">
        <v>7388</v>
      </c>
      <c r="J228" t="s">
        <v>6195</v>
      </c>
      <c r="M228" t="s">
        <v>7389</v>
      </c>
      <c r="N228">
        <v>2.7247480949999998</v>
      </c>
      <c r="O228">
        <v>7.0822175119999997</v>
      </c>
      <c r="P228">
        <v>0.61298291999999999</v>
      </c>
      <c r="Q228">
        <v>0.48262032500000002</v>
      </c>
      <c r="S228" s="13">
        <v>-1.00384725</v>
      </c>
      <c r="T228">
        <v>1.538609994</v>
      </c>
      <c r="U228">
        <v>6.0757820000000001E-3</v>
      </c>
    </row>
    <row r="229" spans="1:21" x14ac:dyDescent="0.2">
      <c r="A229" t="s">
        <v>1112</v>
      </c>
      <c r="B229">
        <v>812640</v>
      </c>
      <c r="C229" t="s">
        <v>6931</v>
      </c>
      <c r="D229" t="s">
        <v>1112</v>
      </c>
      <c r="E229" t="s">
        <v>6924</v>
      </c>
      <c r="F229">
        <v>23</v>
      </c>
      <c r="G229">
        <v>6</v>
      </c>
      <c r="H229" t="s">
        <v>7390</v>
      </c>
      <c r="N229">
        <v>1.9323965059999999</v>
      </c>
      <c r="O229">
        <v>3.0528020530000002</v>
      </c>
      <c r="P229">
        <v>2.6493138999999999E-2</v>
      </c>
      <c r="Q229">
        <v>-0.38692188</v>
      </c>
      <c r="S229" s="13">
        <v>-1.0047171669999999</v>
      </c>
      <c r="T229">
        <v>1.534808655</v>
      </c>
      <c r="U229">
        <v>1.4641826E-2</v>
      </c>
    </row>
    <row r="230" spans="1:21" x14ac:dyDescent="0.2">
      <c r="A230" t="s">
        <v>1811</v>
      </c>
      <c r="B230">
        <v>1040240</v>
      </c>
      <c r="C230" t="s">
        <v>6953</v>
      </c>
      <c r="D230" t="s">
        <v>1811</v>
      </c>
      <c r="E230" t="s">
        <v>7085</v>
      </c>
      <c r="F230">
        <v>15</v>
      </c>
      <c r="G230">
        <v>9</v>
      </c>
      <c r="H230" t="s">
        <v>7391</v>
      </c>
      <c r="J230" t="s">
        <v>5355</v>
      </c>
      <c r="M230" t="s">
        <v>7392</v>
      </c>
      <c r="N230">
        <v>1.921480887</v>
      </c>
      <c r="O230">
        <v>3.0856645180000002</v>
      </c>
      <c r="P230">
        <v>0.44706724399999997</v>
      </c>
      <c r="Q230">
        <v>-0.354940863</v>
      </c>
      <c r="S230" s="13">
        <v>-1.0058314479999999</v>
      </c>
      <c r="T230">
        <v>1.5299395</v>
      </c>
      <c r="U230">
        <v>3.6982606000000001E-2</v>
      </c>
    </row>
    <row r="231" spans="1:21" x14ac:dyDescent="0.2">
      <c r="A231" t="s">
        <v>239</v>
      </c>
      <c r="B231">
        <v>935760</v>
      </c>
      <c r="C231" t="s">
        <v>6910</v>
      </c>
      <c r="D231" t="s">
        <v>240</v>
      </c>
      <c r="E231" t="s">
        <v>6977</v>
      </c>
      <c r="F231">
        <v>1</v>
      </c>
      <c r="G231">
        <v>5</v>
      </c>
      <c r="H231" t="s">
        <v>7393</v>
      </c>
      <c r="J231" t="s">
        <v>2016</v>
      </c>
      <c r="M231" t="s">
        <v>7394</v>
      </c>
      <c r="N231">
        <v>1.9874741039999999</v>
      </c>
      <c r="O231">
        <v>3.7453511220000002</v>
      </c>
      <c r="P231">
        <v>0.451009722</v>
      </c>
      <c r="Q231">
        <v>-0.102386592</v>
      </c>
      <c r="S231" s="13">
        <v>-1.005906655</v>
      </c>
      <c r="T231">
        <v>1.529610862</v>
      </c>
      <c r="U231">
        <v>3.4633562999999999E-2</v>
      </c>
    </row>
    <row r="232" spans="1:21" x14ac:dyDescent="0.2">
      <c r="A232" t="s">
        <v>567</v>
      </c>
      <c r="B232">
        <v>1058160</v>
      </c>
      <c r="C232" t="s">
        <v>6938</v>
      </c>
      <c r="D232" t="s">
        <v>567</v>
      </c>
      <c r="E232" t="s">
        <v>6924</v>
      </c>
      <c r="F232">
        <v>24</v>
      </c>
      <c r="G232">
        <v>6</v>
      </c>
      <c r="H232" t="s">
        <v>7395</v>
      </c>
      <c r="J232" t="s">
        <v>1028</v>
      </c>
      <c r="M232" t="s">
        <v>7396</v>
      </c>
      <c r="N232">
        <v>2.092758737</v>
      </c>
      <c r="O232">
        <v>5.3323610669999999</v>
      </c>
      <c r="P232">
        <v>0.70420098600000003</v>
      </c>
      <c r="Q232">
        <v>0.41355372699999998</v>
      </c>
      <c r="S232" s="13">
        <v>-1.0063552039999999</v>
      </c>
      <c r="T232">
        <v>1.527650806</v>
      </c>
      <c r="U232">
        <v>2.2613485999999999E-2</v>
      </c>
    </row>
    <row r="233" spans="1:21" x14ac:dyDescent="0.2">
      <c r="A233" t="s">
        <v>232</v>
      </c>
      <c r="B233">
        <v>811120</v>
      </c>
      <c r="C233" t="s">
        <v>6931</v>
      </c>
      <c r="D233" t="s">
        <v>233</v>
      </c>
      <c r="E233" t="s">
        <v>7085</v>
      </c>
      <c r="F233">
        <v>1</v>
      </c>
      <c r="G233">
        <v>9</v>
      </c>
      <c r="H233" t="s">
        <v>7397</v>
      </c>
      <c r="J233" t="s">
        <v>667</v>
      </c>
      <c r="M233" t="s">
        <v>7398</v>
      </c>
      <c r="N233">
        <v>1.9323965059999999</v>
      </c>
      <c r="O233">
        <v>3.0528020530000002</v>
      </c>
      <c r="P233">
        <v>2.6493138999999999E-2</v>
      </c>
      <c r="Q233">
        <v>-0.38692188</v>
      </c>
      <c r="S233" s="13">
        <v>-1.0067144079999999</v>
      </c>
      <c r="T233">
        <v>1.5260811700000001</v>
      </c>
      <c r="U233">
        <v>1.39496E-2</v>
      </c>
    </row>
    <row r="234" spans="1:21" x14ac:dyDescent="0.2">
      <c r="A234" t="s">
        <v>185</v>
      </c>
      <c r="B234">
        <v>858840</v>
      </c>
      <c r="C234" t="s">
        <v>6945</v>
      </c>
      <c r="D234" t="s">
        <v>185</v>
      </c>
      <c r="E234" t="s">
        <v>6977</v>
      </c>
      <c r="F234">
        <v>23</v>
      </c>
      <c r="G234">
        <v>5</v>
      </c>
      <c r="H234" t="s">
        <v>7399</v>
      </c>
      <c r="J234" t="s">
        <v>2857</v>
      </c>
      <c r="M234" t="s">
        <v>7400</v>
      </c>
      <c r="N234">
        <v>2.2220813349999999</v>
      </c>
      <c r="O234">
        <v>6.5440947090000003</v>
      </c>
      <c r="P234">
        <v>0.58228215500000002</v>
      </c>
      <c r="Q234">
        <v>0.35188233000000002</v>
      </c>
      <c r="S234" s="13">
        <v>-1.0081872890000001</v>
      </c>
      <c r="T234">
        <v>1.519645015</v>
      </c>
      <c r="U234">
        <v>-7.9318889999999993E-3</v>
      </c>
    </row>
    <row r="235" spans="1:21" x14ac:dyDescent="0.2">
      <c r="A235" t="s">
        <v>63</v>
      </c>
      <c r="B235">
        <v>972760</v>
      </c>
      <c r="C235" t="s">
        <v>6927</v>
      </c>
      <c r="D235" t="s">
        <v>63</v>
      </c>
      <c r="E235" t="s">
        <v>6918</v>
      </c>
      <c r="F235">
        <v>23</v>
      </c>
      <c r="G235">
        <v>1</v>
      </c>
      <c r="H235" t="s">
        <v>7401</v>
      </c>
      <c r="J235" t="s">
        <v>6898</v>
      </c>
      <c r="M235" t="s">
        <v>7402</v>
      </c>
      <c r="N235">
        <v>1.982575982</v>
      </c>
      <c r="O235">
        <v>3.4571926419999999</v>
      </c>
      <c r="P235">
        <v>-0.114791479</v>
      </c>
      <c r="Q235">
        <v>1.868949E-3</v>
      </c>
      <c r="S235" s="13">
        <v>-1.008373628</v>
      </c>
      <c r="T235">
        <v>1.518830758</v>
      </c>
      <c r="U235">
        <v>-8.95161E-4</v>
      </c>
    </row>
    <row r="236" spans="1:21" x14ac:dyDescent="0.2">
      <c r="A236" t="s">
        <v>13</v>
      </c>
      <c r="B236">
        <v>720520</v>
      </c>
      <c r="C236" t="s">
        <v>6961</v>
      </c>
      <c r="D236" t="s">
        <v>13</v>
      </c>
      <c r="E236" t="s">
        <v>6921</v>
      </c>
      <c r="F236">
        <v>22</v>
      </c>
      <c r="G236">
        <v>8</v>
      </c>
      <c r="H236" t="s">
        <v>7403</v>
      </c>
      <c r="J236" t="s">
        <v>4333</v>
      </c>
      <c r="M236" t="s">
        <v>7404</v>
      </c>
      <c r="N236">
        <v>2.7247480949999998</v>
      </c>
      <c r="O236">
        <v>7.0822175119999997</v>
      </c>
      <c r="P236">
        <v>0.61298291999999999</v>
      </c>
      <c r="Q236">
        <v>0.48262032500000002</v>
      </c>
      <c r="S236" s="13">
        <v>-1.0094202210000001</v>
      </c>
      <c r="T236">
        <v>1.514257384</v>
      </c>
      <c r="U236">
        <v>2.7960680000000001E-3</v>
      </c>
    </row>
    <row r="237" spans="1:21" x14ac:dyDescent="0.2">
      <c r="A237" t="s">
        <v>909</v>
      </c>
      <c r="B237">
        <v>718280</v>
      </c>
      <c r="C237" t="s">
        <v>6961</v>
      </c>
      <c r="D237" t="s">
        <v>909</v>
      </c>
      <c r="E237" t="s">
        <v>6974</v>
      </c>
      <c r="F237">
        <v>10</v>
      </c>
      <c r="G237">
        <v>15</v>
      </c>
      <c r="H237" t="s">
        <v>7405</v>
      </c>
      <c r="J237" t="s">
        <v>4341</v>
      </c>
      <c r="M237" t="s">
        <v>7406</v>
      </c>
      <c r="N237">
        <v>2.7247480949999998</v>
      </c>
      <c r="O237">
        <v>7.0822175119999997</v>
      </c>
      <c r="P237">
        <v>0.61298291999999999</v>
      </c>
      <c r="Q237">
        <v>0.48262032500000002</v>
      </c>
      <c r="S237" s="13">
        <v>-1.0111934389999999</v>
      </c>
      <c r="T237">
        <v>1.5065088259999999</v>
      </c>
      <c r="U237">
        <v>1.747307E-3</v>
      </c>
    </row>
    <row r="238" spans="1:21" x14ac:dyDescent="0.2">
      <c r="A238" t="s">
        <v>295</v>
      </c>
      <c r="B238">
        <v>717760</v>
      </c>
      <c r="C238" t="s">
        <v>6961</v>
      </c>
      <c r="D238" t="s">
        <v>295</v>
      </c>
      <c r="E238" t="s">
        <v>6911</v>
      </c>
      <c r="F238">
        <v>20</v>
      </c>
      <c r="G238">
        <v>12</v>
      </c>
      <c r="H238" t="s">
        <v>7407</v>
      </c>
      <c r="J238" t="s">
        <v>3485</v>
      </c>
      <c r="M238" t="s">
        <v>7408</v>
      </c>
      <c r="N238">
        <v>2.7247480949999998</v>
      </c>
      <c r="O238">
        <v>7.0822175119999997</v>
      </c>
      <c r="P238">
        <v>0.61298291999999999</v>
      </c>
      <c r="Q238">
        <v>0.48262032500000002</v>
      </c>
      <c r="S238" s="13">
        <v>-1.011605079</v>
      </c>
      <c r="T238">
        <v>1.504710054</v>
      </c>
      <c r="U238">
        <v>1.503482E-3</v>
      </c>
    </row>
    <row r="239" spans="1:21" x14ac:dyDescent="0.2">
      <c r="A239" t="s">
        <v>2348</v>
      </c>
      <c r="B239">
        <v>807360</v>
      </c>
      <c r="C239" t="s">
        <v>6931</v>
      </c>
      <c r="D239" t="s">
        <v>2348</v>
      </c>
      <c r="E239" t="s">
        <v>6911</v>
      </c>
      <c r="F239">
        <v>11</v>
      </c>
      <c r="G239">
        <v>12</v>
      </c>
      <c r="H239" t="s">
        <v>7409</v>
      </c>
      <c r="N239">
        <v>1.9323965059999999</v>
      </c>
      <c r="O239">
        <v>3.0528020530000002</v>
      </c>
      <c r="P239">
        <v>2.6493138999999999E-2</v>
      </c>
      <c r="Q239">
        <v>-0.38692188</v>
      </c>
      <c r="S239" s="13">
        <v>-1.0116549500000001</v>
      </c>
      <c r="T239">
        <v>1.5044921280000001</v>
      </c>
      <c r="U239">
        <v>1.2232494999999999E-2</v>
      </c>
    </row>
    <row r="240" spans="1:21" x14ac:dyDescent="0.2">
      <c r="A240" t="s">
        <v>129</v>
      </c>
      <c r="B240">
        <v>807280</v>
      </c>
      <c r="C240" t="s">
        <v>6931</v>
      </c>
      <c r="D240" t="s">
        <v>129</v>
      </c>
      <c r="E240" t="s">
        <v>7006</v>
      </c>
      <c r="F240">
        <v>24</v>
      </c>
      <c r="G240">
        <v>3</v>
      </c>
      <c r="H240" t="s">
        <v>7410</v>
      </c>
      <c r="N240">
        <v>1.9323965059999999</v>
      </c>
      <c r="O240">
        <v>3.0528020530000002</v>
      </c>
      <c r="P240">
        <v>2.6493138999999999E-2</v>
      </c>
      <c r="Q240">
        <v>-0.38692188</v>
      </c>
      <c r="S240" s="13">
        <v>-1.0117600680000001</v>
      </c>
      <c r="T240">
        <v>1.504032786</v>
      </c>
      <c r="U240">
        <v>1.2195887000000001E-2</v>
      </c>
    </row>
    <row r="241" spans="1:21" x14ac:dyDescent="0.2">
      <c r="A241" t="s">
        <v>1491</v>
      </c>
      <c r="B241">
        <v>714840</v>
      </c>
      <c r="C241" t="s">
        <v>6961</v>
      </c>
      <c r="D241" t="s">
        <v>1491</v>
      </c>
      <c r="E241" t="s">
        <v>6928</v>
      </c>
      <c r="F241">
        <v>15</v>
      </c>
      <c r="G241">
        <v>16</v>
      </c>
      <c r="H241" t="s">
        <v>7411</v>
      </c>
      <c r="J241" t="s">
        <v>1969</v>
      </c>
      <c r="M241" t="s">
        <v>7412</v>
      </c>
      <c r="N241">
        <v>2.7247480949999998</v>
      </c>
      <c r="O241">
        <v>7.0822175119999997</v>
      </c>
      <c r="P241">
        <v>0.61298291999999999</v>
      </c>
      <c r="Q241">
        <v>0.48262032500000002</v>
      </c>
      <c r="S241" s="13">
        <v>-1.013916595</v>
      </c>
      <c r="T241">
        <v>1.4946092559999999</v>
      </c>
      <c r="U241">
        <v>1.3176299999999999E-4</v>
      </c>
    </row>
    <row r="242" spans="1:21" x14ac:dyDescent="0.2">
      <c r="A242" t="s">
        <v>165</v>
      </c>
      <c r="B242">
        <v>714680</v>
      </c>
      <c r="C242" t="s">
        <v>6961</v>
      </c>
      <c r="D242" t="s">
        <v>166</v>
      </c>
      <c r="E242" t="s">
        <v>6928</v>
      </c>
      <c r="F242">
        <v>2</v>
      </c>
      <c r="G242">
        <v>16</v>
      </c>
      <c r="H242" t="s">
        <v>7413</v>
      </c>
      <c r="J242" t="s">
        <v>1787</v>
      </c>
      <c r="M242" t="s">
        <v>7414</v>
      </c>
      <c r="N242">
        <v>2.7247480949999998</v>
      </c>
      <c r="O242">
        <v>7.0822175119999997</v>
      </c>
      <c r="P242">
        <v>0.61298291999999999</v>
      </c>
      <c r="Q242">
        <v>0.48262032500000002</v>
      </c>
      <c r="S242" s="13">
        <v>-1.0140432539999999</v>
      </c>
      <c r="T242">
        <v>1.494055787</v>
      </c>
      <c r="U242" s="1">
        <v>5.6499999999999998E-5</v>
      </c>
    </row>
    <row r="243" spans="1:21" x14ac:dyDescent="0.2">
      <c r="A243" t="s">
        <v>202</v>
      </c>
      <c r="B243">
        <v>713920</v>
      </c>
      <c r="C243" t="s">
        <v>6961</v>
      </c>
      <c r="D243" t="s">
        <v>202</v>
      </c>
      <c r="E243" t="s">
        <v>6907</v>
      </c>
      <c r="F243">
        <v>14</v>
      </c>
      <c r="G243">
        <v>4</v>
      </c>
      <c r="H243" t="s">
        <v>7415</v>
      </c>
      <c r="J243" t="s">
        <v>3286</v>
      </c>
      <c r="M243" t="s">
        <v>7416</v>
      </c>
      <c r="N243">
        <v>2.7247480949999998</v>
      </c>
      <c r="O243">
        <v>7.0822175119999997</v>
      </c>
      <c r="P243">
        <v>0.61298291999999999</v>
      </c>
      <c r="Q243">
        <v>0.48262032500000002</v>
      </c>
      <c r="S243" s="13">
        <v>-1.0146448809999999</v>
      </c>
      <c r="T243">
        <v>1.4914268129999999</v>
      </c>
      <c r="U243">
        <v>-3.0132200000000003E-4</v>
      </c>
    </row>
    <row r="244" spans="1:21" x14ac:dyDescent="0.2">
      <c r="A244" t="s">
        <v>1778</v>
      </c>
      <c r="B244">
        <v>713560</v>
      </c>
      <c r="C244" t="s">
        <v>6961</v>
      </c>
      <c r="D244" t="s">
        <v>1778</v>
      </c>
      <c r="E244" t="s">
        <v>6974</v>
      </c>
      <c r="F244">
        <v>21</v>
      </c>
      <c r="G244">
        <v>15</v>
      </c>
      <c r="H244" t="s">
        <v>7417</v>
      </c>
      <c r="J244" t="s">
        <v>3059</v>
      </c>
      <c r="M244" t="s">
        <v>7418</v>
      </c>
      <c r="N244">
        <v>2.7247480949999998</v>
      </c>
      <c r="O244">
        <v>7.0822175119999997</v>
      </c>
      <c r="P244">
        <v>0.61298291999999999</v>
      </c>
      <c r="Q244">
        <v>0.48262032500000002</v>
      </c>
      <c r="S244" s="13">
        <v>-1.0149298630000001</v>
      </c>
      <c r="T244">
        <v>1.4901815089999999</v>
      </c>
      <c r="U244">
        <v>-4.7090800000000003E-4</v>
      </c>
    </row>
    <row r="245" spans="1:21" x14ac:dyDescent="0.2">
      <c r="A245" t="s">
        <v>541</v>
      </c>
      <c r="B245">
        <v>836280</v>
      </c>
      <c r="C245" t="s">
        <v>6906</v>
      </c>
      <c r="D245" t="s">
        <v>542</v>
      </c>
      <c r="E245" t="s">
        <v>6974</v>
      </c>
      <c r="F245">
        <v>1</v>
      </c>
      <c r="G245">
        <v>15</v>
      </c>
      <c r="H245" t="s">
        <v>7419</v>
      </c>
      <c r="J245" t="s">
        <v>3123</v>
      </c>
      <c r="M245" t="s">
        <v>7420</v>
      </c>
      <c r="N245">
        <v>1.813871112</v>
      </c>
      <c r="O245">
        <v>2.6633694910000001</v>
      </c>
      <c r="P245">
        <v>-0.29586356800000002</v>
      </c>
      <c r="Q245">
        <v>-0.59018158399999998</v>
      </c>
      <c r="S245" s="13">
        <v>-1.015464964</v>
      </c>
      <c r="T245">
        <v>1.4878432370000001</v>
      </c>
      <c r="U245">
        <v>-3.0661358E-2</v>
      </c>
    </row>
    <row r="246" spans="1:21" x14ac:dyDescent="0.2">
      <c r="A246" t="s">
        <v>2335</v>
      </c>
      <c r="B246">
        <v>712280</v>
      </c>
      <c r="C246" t="s">
        <v>6961</v>
      </c>
      <c r="D246" t="s">
        <v>2335</v>
      </c>
      <c r="E246" t="s">
        <v>6915</v>
      </c>
      <c r="F246">
        <v>13</v>
      </c>
      <c r="G246">
        <v>13</v>
      </c>
      <c r="H246" t="s">
        <v>7421</v>
      </c>
      <c r="J246" t="s">
        <v>2337</v>
      </c>
      <c r="M246" t="s">
        <v>7422</v>
      </c>
      <c r="N246">
        <v>2.7247480949999998</v>
      </c>
      <c r="O246">
        <v>7.0822175119999997</v>
      </c>
      <c r="P246">
        <v>0.61298291999999999</v>
      </c>
      <c r="Q246">
        <v>0.48262032500000002</v>
      </c>
      <c r="S246" s="13">
        <v>-1.0159431299999999</v>
      </c>
      <c r="T246">
        <v>1.485753761</v>
      </c>
      <c r="U246">
        <v>-1.074415E-3</v>
      </c>
    </row>
    <row r="247" spans="1:21" x14ac:dyDescent="0.2">
      <c r="A247" t="s">
        <v>1582</v>
      </c>
      <c r="B247">
        <v>711760</v>
      </c>
      <c r="C247" t="s">
        <v>6961</v>
      </c>
      <c r="D247" t="s">
        <v>1583</v>
      </c>
      <c r="E247" t="s">
        <v>7006</v>
      </c>
      <c r="F247">
        <v>9</v>
      </c>
      <c r="G247">
        <v>3</v>
      </c>
      <c r="H247" t="s">
        <v>7423</v>
      </c>
      <c r="J247" t="s">
        <v>2136</v>
      </c>
      <c r="M247" t="s">
        <v>7424</v>
      </c>
      <c r="N247">
        <v>2.7247480949999998</v>
      </c>
      <c r="O247">
        <v>7.0822175119999997</v>
      </c>
      <c r="P247">
        <v>0.61298291999999999</v>
      </c>
      <c r="Q247">
        <v>0.48262032500000002</v>
      </c>
      <c r="S247" s="13">
        <v>-1.01635477</v>
      </c>
      <c r="T247">
        <v>1.4839549889999999</v>
      </c>
      <c r="U247">
        <v>-1.3198299999999999E-3</v>
      </c>
    </row>
    <row r="248" spans="1:21" x14ac:dyDescent="0.2">
      <c r="A248" t="s">
        <v>1163</v>
      </c>
      <c r="B248">
        <v>710760</v>
      </c>
      <c r="C248" t="s">
        <v>6961</v>
      </c>
      <c r="D248" t="s">
        <v>1164</v>
      </c>
      <c r="E248" t="s">
        <v>6918</v>
      </c>
      <c r="F248">
        <v>6</v>
      </c>
      <c r="G248">
        <v>1</v>
      </c>
      <c r="H248" t="s">
        <v>7425</v>
      </c>
      <c r="J248" t="s">
        <v>3619</v>
      </c>
      <c r="M248" t="s">
        <v>7426</v>
      </c>
      <c r="N248">
        <v>2.7247480949999998</v>
      </c>
      <c r="O248">
        <v>7.0822175119999997</v>
      </c>
      <c r="P248">
        <v>0.61298291999999999</v>
      </c>
      <c r="Q248">
        <v>0.48262032500000002</v>
      </c>
      <c r="S248" s="13">
        <v>-1.017146385</v>
      </c>
      <c r="T248">
        <v>1.480495812</v>
      </c>
      <c r="U248">
        <v>-1.7921720000000001E-3</v>
      </c>
    </row>
    <row r="249" spans="1:21" x14ac:dyDescent="0.2">
      <c r="A249" t="s">
        <v>435</v>
      </c>
      <c r="B249">
        <v>710720</v>
      </c>
      <c r="C249" t="s">
        <v>6961</v>
      </c>
      <c r="D249" t="s">
        <v>435</v>
      </c>
      <c r="E249" t="s">
        <v>6915</v>
      </c>
      <c r="F249">
        <v>14</v>
      </c>
      <c r="G249">
        <v>13</v>
      </c>
      <c r="H249" t="s">
        <v>7427</v>
      </c>
      <c r="J249" t="s">
        <v>4576</v>
      </c>
      <c r="M249" t="s">
        <v>7428</v>
      </c>
      <c r="N249">
        <v>2.7247480949999998</v>
      </c>
      <c r="O249">
        <v>7.0822175119999997</v>
      </c>
      <c r="P249">
        <v>0.61298291999999999</v>
      </c>
      <c r="Q249">
        <v>0.48262032500000002</v>
      </c>
      <c r="S249" s="13">
        <v>-1.0171780500000001</v>
      </c>
      <c r="T249">
        <v>1.480357444</v>
      </c>
      <c r="U249">
        <v>-1.811076E-3</v>
      </c>
    </row>
    <row r="250" spans="1:21" x14ac:dyDescent="0.2">
      <c r="A250" t="s">
        <v>106</v>
      </c>
      <c r="B250">
        <v>802760</v>
      </c>
      <c r="C250" t="s">
        <v>6931</v>
      </c>
      <c r="D250" t="s">
        <v>107</v>
      </c>
      <c r="E250" t="s">
        <v>6907</v>
      </c>
      <c r="F250">
        <v>2</v>
      </c>
      <c r="G250">
        <v>4</v>
      </c>
      <c r="H250" t="s">
        <v>7429</v>
      </c>
      <c r="J250" t="s">
        <v>109</v>
      </c>
      <c r="M250" t="s">
        <v>7430</v>
      </c>
      <c r="N250">
        <v>1.9323965059999999</v>
      </c>
      <c r="O250">
        <v>3.0528020530000002</v>
      </c>
      <c r="P250">
        <v>2.6493138999999999E-2</v>
      </c>
      <c r="Q250">
        <v>-0.38692188</v>
      </c>
      <c r="S250" s="13">
        <v>-1.0176992309999999</v>
      </c>
      <c r="T250">
        <v>1.478080002</v>
      </c>
      <c r="U250">
        <v>1.0122506999999999E-2</v>
      </c>
    </row>
    <row r="251" spans="1:21" x14ac:dyDescent="0.2">
      <c r="A251" t="s">
        <v>1783</v>
      </c>
      <c r="B251">
        <v>709760</v>
      </c>
      <c r="C251" t="s">
        <v>6961</v>
      </c>
      <c r="D251" t="s">
        <v>1783</v>
      </c>
      <c r="E251" t="s">
        <v>6915</v>
      </c>
      <c r="F251">
        <v>11</v>
      </c>
      <c r="G251">
        <v>13</v>
      </c>
      <c r="H251" t="s">
        <v>7431</v>
      </c>
      <c r="J251" t="s">
        <v>4816</v>
      </c>
      <c r="M251" t="s">
        <v>7432</v>
      </c>
      <c r="N251">
        <v>2.7247480949999998</v>
      </c>
      <c r="O251">
        <v>7.0822175119999997</v>
      </c>
      <c r="P251">
        <v>0.61298291999999999</v>
      </c>
      <c r="Q251">
        <v>0.48262032500000002</v>
      </c>
      <c r="S251" s="13">
        <v>-1.0179380010000001</v>
      </c>
      <c r="T251">
        <v>1.4770366340000001</v>
      </c>
      <c r="U251">
        <v>-2.2650280000000001E-3</v>
      </c>
    </row>
    <row r="252" spans="1:21" x14ac:dyDescent="0.2">
      <c r="A252" t="s">
        <v>158</v>
      </c>
      <c r="B252">
        <v>1043760</v>
      </c>
      <c r="C252" t="s">
        <v>6938</v>
      </c>
      <c r="D252" t="s">
        <v>158</v>
      </c>
      <c r="E252" t="s">
        <v>6918</v>
      </c>
      <c r="F252">
        <v>24</v>
      </c>
      <c r="G252">
        <v>1</v>
      </c>
      <c r="H252" t="s">
        <v>7433</v>
      </c>
      <c r="J252" t="s">
        <v>189</v>
      </c>
      <c r="M252" t="s">
        <v>7434</v>
      </c>
      <c r="N252">
        <v>2.092758737</v>
      </c>
      <c r="O252">
        <v>5.3323610669999999</v>
      </c>
      <c r="P252">
        <v>0.70420098600000003</v>
      </c>
      <c r="Q252">
        <v>0.41355372699999998</v>
      </c>
      <c r="S252" s="13">
        <v>-1.0187220889999999</v>
      </c>
      <c r="T252">
        <v>1.4736103490000001</v>
      </c>
      <c r="U252">
        <v>1.6131829E-2</v>
      </c>
    </row>
    <row r="253" spans="1:21" x14ac:dyDescent="0.2">
      <c r="A253" t="s">
        <v>236</v>
      </c>
      <c r="B253">
        <v>847520</v>
      </c>
      <c r="C253" t="s">
        <v>6945</v>
      </c>
      <c r="D253" t="s">
        <v>236</v>
      </c>
      <c r="E253" t="s">
        <v>7006</v>
      </c>
      <c r="F253">
        <v>17</v>
      </c>
      <c r="G253">
        <v>3</v>
      </c>
      <c r="H253" t="s">
        <v>7435</v>
      </c>
      <c r="J253" t="s">
        <v>4489</v>
      </c>
      <c r="M253" t="s">
        <v>7436</v>
      </c>
      <c r="N253">
        <v>2.2220813349999999</v>
      </c>
      <c r="O253">
        <v>6.5440947090000003</v>
      </c>
      <c r="P253">
        <v>0.58228215500000002</v>
      </c>
      <c r="Q253">
        <v>0.35188233000000002</v>
      </c>
      <c r="S253" s="13">
        <v>-1.0188647209999999</v>
      </c>
      <c r="T253">
        <v>1.4729870780000001</v>
      </c>
      <c r="U253">
        <v>-1.3392055E-2</v>
      </c>
    </row>
    <row r="254" spans="1:21" x14ac:dyDescent="0.2">
      <c r="A254" t="s">
        <v>1494</v>
      </c>
      <c r="B254">
        <v>708560</v>
      </c>
      <c r="C254" t="s">
        <v>6961</v>
      </c>
      <c r="D254" t="s">
        <v>1494</v>
      </c>
      <c r="E254" t="s">
        <v>7115</v>
      </c>
      <c r="F254">
        <v>12</v>
      </c>
      <c r="G254">
        <v>10</v>
      </c>
      <c r="H254" t="s">
        <v>7437</v>
      </c>
      <c r="J254" t="s">
        <v>3494</v>
      </c>
      <c r="M254" t="s">
        <v>7438</v>
      </c>
      <c r="N254">
        <v>2.7247480949999998</v>
      </c>
      <c r="O254">
        <v>7.0822175119999997</v>
      </c>
      <c r="P254">
        <v>0.61298291999999999</v>
      </c>
      <c r="Q254">
        <v>0.48262032500000002</v>
      </c>
      <c r="S254" s="13">
        <v>-1.0188879390000001</v>
      </c>
      <c r="T254">
        <v>1.4728856210000001</v>
      </c>
      <c r="U254">
        <v>-2.8331350000000001E-3</v>
      </c>
    </row>
    <row r="255" spans="1:21" x14ac:dyDescent="0.2">
      <c r="A255" t="s">
        <v>2188</v>
      </c>
      <c r="B255">
        <v>707960</v>
      </c>
      <c r="C255" t="s">
        <v>6961</v>
      </c>
      <c r="D255" t="s">
        <v>2188</v>
      </c>
      <c r="E255" t="s">
        <v>6907</v>
      </c>
      <c r="F255">
        <v>11</v>
      </c>
      <c r="G255">
        <v>4</v>
      </c>
      <c r="H255" t="s">
        <v>7439</v>
      </c>
      <c r="J255" t="s">
        <v>4668</v>
      </c>
      <c r="M255" t="s">
        <v>7440</v>
      </c>
      <c r="N255">
        <v>2.7247480949999998</v>
      </c>
      <c r="O255">
        <v>7.0822175119999997</v>
      </c>
      <c r="P255">
        <v>0.61298291999999999</v>
      </c>
      <c r="Q255">
        <v>0.48262032500000002</v>
      </c>
      <c r="S255" s="13">
        <v>-1.019362908</v>
      </c>
      <c r="T255">
        <v>1.4708101149999999</v>
      </c>
      <c r="U255">
        <v>-3.117468E-3</v>
      </c>
    </row>
    <row r="256" spans="1:21" x14ac:dyDescent="0.2">
      <c r="A256" t="s">
        <v>736</v>
      </c>
      <c r="B256">
        <v>800960</v>
      </c>
      <c r="C256" t="s">
        <v>6931</v>
      </c>
      <c r="D256" t="s">
        <v>736</v>
      </c>
      <c r="E256" t="s">
        <v>6939</v>
      </c>
      <c r="F256">
        <v>15</v>
      </c>
      <c r="G256">
        <v>2</v>
      </c>
      <c r="H256" t="s">
        <v>7441</v>
      </c>
      <c r="N256">
        <v>1.9323965059999999</v>
      </c>
      <c r="O256">
        <v>3.0528020530000002</v>
      </c>
      <c r="P256">
        <v>2.6493138999999999E-2</v>
      </c>
      <c r="Q256">
        <v>-0.38692188</v>
      </c>
      <c r="S256" s="13">
        <v>-1.020064385</v>
      </c>
      <c r="T256">
        <v>1.467744822</v>
      </c>
      <c r="U256">
        <v>9.2940599999999998E-3</v>
      </c>
    </row>
    <row r="257" spans="1:21" x14ac:dyDescent="0.2">
      <c r="A257" t="s">
        <v>820</v>
      </c>
      <c r="B257">
        <v>706600</v>
      </c>
      <c r="C257" t="s">
        <v>6961</v>
      </c>
      <c r="D257" t="s">
        <v>820</v>
      </c>
      <c r="E257" t="s">
        <v>6974</v>
      </c>
      <c r="F257">
        <v>20</v>
      </c>
      <c r="G257">
        <v>15</v>
      </c>
      <c r="H257" t="s">
        <v>7442</v>
      </c>
      <c r="J257" t="s">
        <v>6201</v>
      </c>
      <c r="M257" t="s">
        <v>7443</v>
      </c>
      <c r="N257">
        <v>2.7247480949999998</v>
      </c>
      <c r="O257">
        <v>7.0822175119999997</v>
      </c>
      <c r="P257">
        <v>0.61298291999999999</v>
      </c>
      <c r="Q257">
        <v>0.48262032500000002</v>
      </c>
      <c r="S257" s="13">
        <v>-1.0204395049999999</v>
      </c>
      <c r="T257">
        <v>1.466105633</v>
      </c>
      <c r="U257">
        <v>-3.7626449999999998E-3</v>
      </c>
    </row>
    <row r="258" spans="1:21" x14ac:dyDescent="0.2">
      <c r="A258" t="s">
        <v>2224</v>
      </c>
      <c r="B258">
        <v>706560</v>
      </c>
      <c r="C258" t="s">
        <v>6961</v>
      </c>
      <c r="D258" t="s">
        <v>2224</v>
      </c>
      <c r="E258" t="s">
        <v>6974</v>
      </c>
      <c r="F258">
        <v>18</v>
      </c>
      <c r="G258">
        <v>15</v>
      </c>
      <c r="H258" t="s">
        <v>7444</v>
      </c>
      <c r="J258" t="s">
        <v>2805</v>
      </c>
      <c r="M258" t="s">
        <v>7445</v>
      </c>
      <c r="N258">
        <v>2.7247480949999998</v>
      </c>
      <c r="O258">
        <v>7.0822175119999997</v>
      </c>
      <c r="P258">
        <v>0.61298291999999999</v>
      </c>
      <c r="Q258">
        <v>0.48262032500000002</v>
      </c>
      <c r="S258" s="13">
        <v>-1.0204711689999999</v>
      </c>
      <c r="T258">
        <v>1.465967266</v>
      </c>
      <c r="U258">
        <v>-3.7816360000000001E-3</v>
      </c>
    </row>
    <row r="259" spans="1:21" x14ac:dyDescent="0.2">
      <c r="A259" t="s">
        <v>2315</v>
      </c>
      <c r="B259">
        <v>921920</v>
      </c>
      <c r="C259" t="s">
        <v>6910</v>
      </c>
      <c r="D259" t="s">
        <v>2316</v>
      </c>
      <c r="E259" t="s">
        <v>6911</v>
      </c>
      <c r="F259">
        <v>4</v>
      </c>
      <c r="G259">
        <v>12</v>
      </c>
      <c r="H259" t="s">
        <v>7446</v>
      </c>
      <c r="J259" t="s">
        <v>6007</v>
      </c>
      <c r="M259" t="s">
        <v>7447</v>
      </c>
      <c r="N259">
        <v>1.9874741039999999</v>
      </c>
      <c r="O259">
        <v>3.7453511220000002</v>
      </c>
      <c r="P259">
        <v>0.451009722</v>
      </c>
      <c r="Q259">
        <v>-0.102386592</v>
      </c>
      <c r="S259" s="13">
        <v>-1.020797022</v>
      </c>
      <c r="T259">
        <v>1.4645433649999999</v>
      </c>
      <c r="U259">
        <v>2.8576982000000001E-2</v>
      </c>
    </row>
    <row r="260" spans="1:21" x14ac:dyDescent="0.2">
      <c r="A260" t="s">
        <v>38</v>
      </c>
      <c r="B260">
        <v>832240</v>
      </c>
      <c r="C260" t="s">
        <v>6906</v>
      </c>
      <c r="D260" t="s">
        <v>38</v>
      </c>
      <c r="E260" t="s">
        <v>6939</v>
      </c>
      <c r="F260">
        <v>24</v>
      </c>
      <c r="G260">
        <v>2</v>
      </c>
      <c r="H260" t="s">
        <v>7448</v>
      </c>
      <c r="J260" t="s">
        <v>40</v>
      </c>
      <c r="M260" t="s">
        <v>7449</v>
      </c>
      <c r="N260">
        <v>1.813871112</v>
      </c>
      <c r="O260">
        <v>2.6633694910000001</v>
      </c>
      <c r="P260">
        <v>-0.29586356800000002</v>
      </c>
      <c r="Q260">
        <v>-0.59018158399999998</v>
      </c>
      <c r="S260" s="13">
        <v>-1.0213259830000001</v>
      </c>
      <c r="T260">
        <v>1.4622319260000001</v>
      </c>
      <c r="U260">
        <v>-3.2706697E-2</v>
      </c>
    </row>
    <row r="261" spans="1:21" x14ac:dyDescent="0.2">
      <c r="A261" t="s">
        <v>283</v>
      </c>
      <c r="B261">
        <v>911880</v>
      </c>
      <c r="C261" t="s">
        <v>6942</v>
      </c>
      <c r="D261" t="s">
        <v>284</v>
      </c>
      <c r="E261" t="s">
        <v>6928</v>
      </c>
      <c r="F261">
        <v>6</v>
      </c>
      <c r="G261">
        <v>16</v>
      </c>
      <c r="H261" t="s">
        <v>7450</v>
      </c>
      <c r="J261" t="s">
        <v>286</v>
      </c>
      <c r="M261" t="s">
        <v>7451</v>
      </c>
      <c r="N261">
        <v>2.0902262079999998</v>
      </c>
      <c r="O261">
        <v>4.2704203920000001</v>
      </c>
      <c r="P261">
        <v>0.23425843900000001</v>
      </c>
      <c r="Q261">
        <v>1.6181978999999999E-2</v>
      </c>
      <c r="S261" s="13">
        <v>-1.0222405429999999</v>
      </c>
      <c r="T261">
        <v>1.4582355060000001</v>
      </c>
      <c r="U261">
        <v>-1.6519503000000001E-2</v>
      </c>
    </row>
    <row r="262" spans="1:21" x14ac:dyDescent="0.2">
      <c r="A262" t="s">
        <v>804</v>
      </c>
      <c r="B262">
        <v>704280</v>
      </c>
      <c r="C262" t="s">
        <v>6961</v>
      </c>
      <c r="D262" t="s">
        <v>804</v>
      </c>
      <c r="E262" t="s">
        <v>6918</v>
      </c>
      <c r="F262">
        <v>18</v>
      </c>
      <c r="G262">
        <v>1</v>
      </c>
      <c r="H262" t="s">
        <v>7452</v>
      </c>
      <c r="J262" t="s">
        <v>5701</v>
      </c>
      <c r="M262" t="s">
        <v>7453</v>
      </c>
      <c r="N262">
        <v>2.7247480949999998</v>
      </c>
      <c r="O262">
        <v>7.0822175119999997</v>
      </c>
      <c r="P262">
        <v>0.61298291999999999</v>
      </c>
      <c r="Q262">
        <v>0.48262032500000002</v>
      </c>
      <c r="S262" s="13">
        <v>-1.022276052</v>
      </c>
      <c r="T262">
        <v>1.4580803410000001</v>
      </c>
      <c r="U262">
        <v>-4.8654589999999999E-3</v>
      </c>
    </row>
    <row r="263" spans="1:21" x14ac:dyDescent="0.2">
      <c r="A263" t="s">
        <v>94</v>
      </c>
      <c r="B263">
        <v>831240</v>
      </c>
      <c r="C263" t="s">
        <v>6906</v>
      </c>
      <c r="D263" t="s">
        <v>95</v>
      </c>
      <c r="E263" t="s">
        <v>6939</v>
      </c>
      <c r="F263">
        <v>1</v>
      </c>
      <c r="G263">
        <v>2</v>
      </c>
      <c r="H263" t="s">
        <v>7454</v>
      </c>
      <c r="J263" t="s">
        <v>97</v>
      </c>
      <c r="M263" t="s">
        <v>7455</v>
      </c>
      <c r="N263">
        <v>1.813871112</v>
      </c>
      <c r="O263">
        <v>2.6633694910000001</v>
      </c>
      <c r="P263">
        <v>-0.29586356800000002</v>
      </c>
      <c r="Q263">
        <v>-0.59018158399999998</v>
      </c>
      <c r="S263" s="13">
        <v>-1.0227767299999999</v>
      </c>
      <c r="T263">
        <v>1.4558924929999999</v>
      </c>
      <c r="U263">
        <v>-3.3214460000000001E-2</v>
      </c>
    </row>
    <row r="264" spans="1:21" x14ac:dyDescent="0.2">
      <c r="A264" t="s">
        <v>470</v>
      </c>
      <c r="B264">
        <v>798560</v>
      </c>
      <c r="C264" t="s">
        <v>6931</v>
      </c>
      <c r="D264" t="s">
        <v>470</v>
      </c>
      <c r="E264" t="s">
        <v>6970</v>
      </c>
      <c r="F264">
        <v>22</v>
      </c>
      <c r="G264">
        <v>14</v>
      </c>
      <c r="H264" t="s">
        <v>7456</v>
      </c>
      <c r="N264">
        <v>1.9323965059999999</v>
      </c>
      <c r="O264">
        <v>3.0528020530000002</v>
      </c>
      <c r="P264">
        <v>2.6493138999999999E-2</v>
      </c>
      <c r="Q264">
        <v>-0.38692188</v>
      </c>
      <c r="S264" s="13">
        <v>-1.023217923</v>
      </c>
      <c r="T264">
        <v>1.453964582</v>
      </c>
      <c r="U264">
        <v>8.1870009999999993E-3</v>
      </c>
    </row>
    <row r="265" spans="1:21" x14ac:dyDescent="0.2">
      <c r="A265" t="s">
        <v>47</v>
      </c>
      <c r="B265">
        <v>702360</v>
      </c>
      <c r="C265" t="s">
        <v>6961</v>
      </c>
      <c r="D265" t="s">
        <v>48</v>
      </c>
      <c r="E265" t="s">
        <v>6918</v>
      </c>
      <c r="F265">
        <v>8</v>
      </c>
      <c r="G265">
        <v>1</v>
      </c>
      <c r="H265" t="s">
        <v>7457</v>
      </c>
      <c r="J265" t="s">
        <v>1846</v>
      </c>
      <c r="M265" t="s">
        <v>7458</v>
      </c>
      <c r="N265">
        <v>2.7247480949999998</v>
      </c>
      <c r="O265">
        <v>7.0822175119999997</v>
      </c>
      <c r="P265">
        <v>0.61298291999999999</v>
      </c>
      <c r="Q265">
        <v>0.48262032500000002</v>
      </c>
      <c r="S265" s="13">
        <v>-1.023795953</v>
      </c>
      <c r="T265">
        <v>1.4514387200000001</v>
      </c>
      <c r="U265">
        <v>-5.7802549999999998E-3</v>
      </c>
    </row>
    <row r="266" spans="1:21" x14ac:dyDescent="0.2">
      <c r="A266" t="s">
        <v>239</v>
      </c>
      <c r="B266">
        <v>797800</v>
      </c>
      <c r="C266" t="s">
        <v>6931</v>
      </c>
      <c r="D266" t="s">
        <v>240</v>
      </c>
      <c r="E266" t="s">
        <v>6977</v>
      </c>
      <c r="F266">
        <v>1</v>
      </c>
      <c r="G266">
        <v>5</v>
      </c>
      <c r="H266" t="s">
        <v>7459</v>
      </c>
      <c r="J266" t="s">
        <v>2471</v>
      </c>
      <c r="M266" t="s">
        <v>7460</v>
      </c>
      <c r="N266">
        <v>1.9323965059999999</v>
      </c>
      <c r="O266">
        <v>3.0528020530000002</v>
      </c>
      <c r="P266">
        <v>2.6493138999999999E-2</v>
      </c>
      <c r="Q266">
        <v>-0.38692188</v>
      </c>
      <c r="S266" s="13">
        <v>-1.0242165430000001</v>
      </c>
      <c r="T266">
        <v>1.44960084</v>
      </c>
      <c r="U266">
        <v>7.8358430000000003E-3</v>
      </c>
    </row>
    <row r="267" spans="1:21" x14ac:dyDescent="0.2">
      <c r="A267" t="s">
        <v>697</v>
      </c>
      <c r="B267">
        <v>841400</v>
      </c>
      <c r="C267" t="s">
        <v>6945</v>
      </c>
      <c r="D267" t="s">
        <v>698</v>
      </c>
      <c r="E267" t="s">
        <v>7115</v>
      </c>
      <c r="F267">
        <v>3</v>
      </c>
      <c r="G267">
        <v>10</v>
      </c>
      <c r="H267" t="s">
        <v>7461</v>
      </c>
      <c r="J267" t="s">
        <v>700</v>
      </c>
      <c r="M267" t="s">
        <v>7462</v>
      </c>
      <c r="N267">
        <v>2.2220813349999999</v>
      </c>
      <c r="O267">
        <v>6.5440947090000003</v>
      </c>
      <c r="P267">
        <v>0.58228215500000002</v>
      </c>
      <c r="Q267">
        <v>0.35188233000000002</v>
      </c>
      <c r="S267" s="13">
        <v>-1.0246373259999999</v>
      </c>
      <c r="T267">
        <v>1.447762115</v>
      </c>
      <c r="U267">
        <v>-1.6372858000000001E-2</v>
      </c>
    </row>
    <row r="268" spans="1:21" x14ac:dyDescent="0.2">
      <c r="A268" t="s">
        <v>507</v>
      </c>
      <c r="B268">
        <v>909360</v>
      </c>
      <c r="C268" t="s">
        <v>6942</v>
      </c>
      <c r="D268" t="s">
        <v>508</v>
      </c>
      <c r="E268" t="s">
        <v>6918</v>
      </c>
      <c r="F268">
        <v>5</v>
      </c>
      <c r="G268">
        <v>1</v>
      </c>
      <c r="H268" t="s">
        <v>7463</v>
      </c>
      <c r="J268" t="s">
        <v>510</v>
      </c>
      <c r="M268" t="s">
        <v>7464</v>
      </c>
      <c r="N268">
        <v>2.0902262079999998</v>
      </c>
      <c r="O268">
        <v>4.2704203920000001</v>
      </c>
      <c r="P268">
        <v>0.23425843900000001</v>
      </c>
      <c r="Q268">
        <v>1.6181978999999999E-2</v>
      </c>
      <c r="S268" s="13">
        <v>-1.024713896</v>
      </c>
      <c r="T268">
        <v>1.4474275210000001</v>
      </c>
      <c r="U268">
        <v>-1.7753280999999999E-2</v>
      </c>
    </row>
    <row r="269" spans="1:21" x14ac:dyDescent="0.2">
      <c r="A269" t="s">
        <v>1335</v>
      </c>
      <c r="B269">
        <v>701120</v>
      </c>
      <c r="C269" t="s">
        <v>6961</v>
      </c>
      <c r="D269" t="s">
        <v>1335</v>
      </c>
      <c r="E269" t="s">
        <v>6915</v>
      </c>
      <c r="F269">
        <v>12</v>
      </c>
      <c r="G269">
        <v>13</v>
      </c>
      <c r="H269" t="s">
        <v>7465</v>
      </c>
      <c r="J269" t="s">
        <v>6307</v>
      </c>
      <c r="M269" t="s">
        <v>7466</v>
      </c>
      <c r="N269">
        <v>2.7247480949999998</v>
      </c>
      <c r="O269">
        <v>7.0822175119999997</v>
      </c>
      <c r="P269">
        <v>0.61298291999999999</v>
      </c>
      <c r="Q269">
        <v>0.48262032500000002</v>
      </c>
      <c r="S269" s="13">
        <v>-1.0247775560000001</v>
      </c>
      <c r="T269">
        <v>1.44714934</v>
      </c>
      <c r="U269">
        <v>-6.3720870000000002E-3</v>
      </c>
    </row>
    <row r="270" spans="1:21" x14ac:dyDescent="0.2">
      <c r="A270" t="s">
        <v>280</v>
      </c>
      <c r="B270">
        <v>1036400</v>
      </c>
      <c r="C270" t="s">
        <v>6938</v>
      </c>
      <c r="D270" t="s">
        <v>280</v>
      </c>
      <c r="E270" t="s">
        <v>6921</v>
      </c>
      <c r="F270">
        <v>24</v>
      </c>
      <c r="G270">
        <v>8</v>
      </c>
      <c r="H270" t="s">
        <v>7467</v>
      </c>
      <c r="J270" t="s">
        <v>319</v>
      </c>
      <c r="M270" t="s">
        <v>7468</v>
      </c>
      <c r="N270">
        <v>2.092758737</v>
      </c>
      <c r="O270">
        <v>5.3323610669999999</v>
      </c>
      <c r="P270">
        <v>0.70420098600000003</v>
      </c>
      <c r="Q270">
        <v>0.41355372699999998</v>
      </c>
      <c r="S270" s="13">
        <v>-1.0250429409999999</v>
      </c>
      <c r="T270">
        <v>1.445989671</v>
      </c>
      <c r="U270">
        <v>1.2781245E-2</v>
      </c>
    </row>
    <row r="271" spans="1:21" x14ac:dyDescent="0.2">
      <c r="A271" t="s">
        <v>1260</v>
      </c>
      <c r="B271">
        <v>700320</v>
      </c>
      <c r="C271" t="s">
        <v>6961</v>
      </c>
      <c r="D271" t="s">
        <v>1260</v>
      </c>
      <c r="E271" t="s">
        <v>6915</v>
      </c>
      <c r="F271">
        <v>19</v>
      </c>
      <c r="G271">
        <v>13</v>
      </c>
      <c r="H271" t="s">
        <v>7469</v>
      </c>
      <c r="J271" t="s">
        <v>3031</v>
      </c>
      <c r="M271" t="s">
        <v>7470</v>
      </c>
      <c r="N271">
        <v>2.7247480949999998</v>
      </c>
      <c r="O271">
        <v>7.0822175119999997</v>
      </c>
      <c r="P271">
        <v>0.61298291999999999</v>
      </c>
      <c r="Q271">
        <v>0.48262032500000002</v>
      </c>
      <c r="S271" s="13">
        <v>-1.0254108479999999</v>
      </c>
      <c r="T271">
        <v>1.4443819979999999</v>
      </c>
      <c r="U271">
        <v>-6.754342E-3</v>
      </c>
    </row>
    <row r="272" spans="1:21" x14ac:dyDescent="0.2">
      <c r="A272" t="s">
        <v>668</v>
      </c>
      <c r="B272">
        <v>1035720</v>
      </c>
      <c r="C272" t="s">
        <v>6938</v>
      </c>
      <c r="D272" t="s">
        <v>668</v>
      </c>
      <c r="E272" t="s">
        <v>6956</v>
      </c>
      <c r="F272">
        <v>21</v>
      </c>
      <c r="G272">
        <v>7</v>
      </c>
      <c r="H272" t="s">
        <v>7471</v>
      </c>
      <c r="J272" t="s">
        <v>5711</v>
      </c>
      <c r="M272" t="s">
        <v>7472</v>
      </c>
      <c r="N272">
        <v>2.092758737</v>
      </c>
      <c r="O272">
        <v>5.3323610669999999</v>
      </c>
      <c r="P272">
        <v>0.70420098600000003</v>
      </c>
      <c r="Q272">
        <v>0.41355372699999998</v>
      </c>
      <c r="S272" s="13">
        <v>-1.025626932</v>
      </c>
      <c r="T272">
        <v>1.4434377599999999</v>
      </c>
      <c r="U272">
        <v>1.2470372E-2</v>
      </c>
    </row>
    <row r="273" spans="1:21" x14ac:dyDescent="0.2">
      <c r="A273" t="s">
        <v>1778</v>
      </c>
      <c r="B273">
        <v>840040</v>
      </c>
      <c r="C273" t="s">
        <v>6945</v>
      </c>
      <c r="D273" t="s">
        <v>1778</v>
      </c>
      <c r="E273" t="s">
        <v>6974</v>
      </c>
      <c r="F273">
        <v>21</v>
      </c>
      <c r="G273">
        <v>15</v>
      </c>
      <c r="H273" t="s">
        <v>7473</v>
      </c>
      <c r="J273" t="s">
        <v>2601</v>
      </c>
      <c r="M273" t="s">
        <v>7474</v>
      </c>
      <c r="N273">
        <v>2.2220813349999999</v>
      </c>
      <c r="O273">
        <v>6.5440947090000003</v>
      </c>
      <c r="P273">
        <v>0.58228215500000002</v>
      </c>
      <c r="Q273">
        <v>0.35188233000000002</v>
      </c>
      <c r="S273" s="13">
        <v>-1.025920127</v>
      </c>
      <c r="T273">
        <v>1.4421565679999999</v>
      </c>
      <c r="U273">
        <v>-1.7038046000000001E-2</v>
      </c>
    </row>
    <row r="274" spans="1:21" x14ac:dyDescent="0.2">
      <c r="A274" t="s">
        <v>1794</v>
      </c>
      <c r="B274">
        <v>699480</v>
      </c>
      <c r="C274" t="s">
        <v>6961</v>
      </c>
      <c r="D274" t="s">
        <v>1794</v>
      </c>
      <c r="E274" t="s">
        <v>7115</v>
      </c>
      <c r="F274">
        <v>13</v>
      </c>
      <c r="G274">
        <v>10</v>
      </c>
      <c r="H274" t="s">
        <v>7475</v>
      </c>
      <c r="J274" t="s">
        <v>5095</v>
      </c>
      <c r="M274" t="s">
        <v>7476</v>
      </c>
      <c r="N274">
        <v>2.7247480949999998</v>
      </c>
      <c r="O274">
        <v>7.0822175119999997</v>
      </c>
      <c r="P274">
        <v>0.61298291999999999</v>
      </c>
      <c r="Q274">
        <v>0.48262032500000002</v>
      </c>
      <c r="S274" s="13">
        <v>-1.0260758050000001</v>
      </c>
      <c r="T274">
        <v>1.4414762889999999</v>
      </c>
      <c r="U274">
        <v>-7.1560720000000003E-3</v>
      </c>
    </row>
    <row r="275" spans="1:21" x14ac:dyDescent="0.2">
      <c r="A275" t="s">
        <v>392</v>
      </c>
      <c r="B275">
        <v>699400</v>
      </c>
      <c r="C275" t="s">
        <v>6961</v>
      </c>
      <c r="D275" t="s">
        <v>392</v>
      </c>
      <c r="E275" t="s">
        <v>7006</v>
      </c>
      <c r="F275">
        <v>21</v>
      </c>
      <c r="G275">
        <v>3</v>
      </c>
      <c r="H275" t="s">
        <v>7477</v>
      </c>
      <c r="J275" t="s">
        <v>3214</v>
      </c>
      <c r="M275" t="s">
        <v>7478</v>
      </c>
      <c r="N275">
        <v>2.7247480949999998</v>
      </c>
      <c r="O275">
        <v>7.0822175119999997</v>
      </c>
      <c r="P275">
        <v>0.61298291999999999</v>
      </c>
      <c r="Q275">
        <v>0.48262032500000002</v>
      </c>
      <c r="S275" s="13">
        <v>-1.0261391339999999</v>
      </c>
      <c r="T275">
        <v>1.4411995550000001</v>
      </c>
      <c r="U275">
        <v>-7.1943520000000002E-3</v>
      </c>
    </row>
    <row r="276" spans="1:21" x14ac:dyDescent="0.2">
      <c r="A276" t="s">
        <v>560</v>
      </c>
      <c r="B276">
        <v>796080</v>
      </c>
      <c r="C276" t="s">
        <v>6931</v>
      </c>
      <c r="D276" t="s">
        <v>560</v>
      </c>
      <c r="E276" t="s">
        <v>6928</v>
      </c>
      <c r="F276">
        <v>13</v>
      </c>
      <c r="G276">
        <v>16</v>
      </c>
      <c r="H276" t="s">
        <v>7479</v>
      </c>
      <c r="N276">
        <v>1.9323965059999999</v>
      </c>
      <c r="O276">
        <v>3.0528020530000002</v>
      </c>
      <c r="P276">
        <v>2.6493138999999999E-2</v>
      </c>
      <c r="Q276">
        <v>-0.38692188</v>
      </c>
      <c r="S276" s="13">
        <v>-1.026476578</v>
      </c>
      <c r="T276">
        <v>1.439725001</v>
      </c>
      <c r="U276">
        <v>7.0400669999999997E-3</v>
      </c>
    </row>
    <row r="277" spans="1:21" x14ac:dyDescent="0.2">
      <c r="A277" t="s">
        <v>1181</v>
      </c>
      <c r="B277">
        <v>698680</v>
      </c>
      <c r="C277" t="s">
        <v>6961</v>
      </c>
      <c r="D277" t="s">
        <v>1181</v>
      </c>
      <c r="E277" t="s">
        <v>6956</v>
      </c>
      <c r="F277">
        <v>23</v>
      </c>
      <c r="G277">
        <v>7</v>
      </c>
      <c r="H277" t="s">
        <v>7480</v>
      </c>
      <c r="J277" t="s">
        <v>4207</v>
      </c>
      <c r="M277" t="s">
        <v>7481</v>
      </c>
      <c r="N277">
        <v>2.7247480949999998</v>
      </c>
      <c r="O277">
        <v>7.0822175119999997</v>
      </c>
      <c r="P277">
        <v>0.61298291999999999</v>
      </c>
      <c r="Q277">
        <v>0.48262032500000002</v>
      </c>
      <c r="S277" s="13">
        <v>-1.0267090969999999</v>
      </c>
      <c r="T277">
        <v>1.4387089470000001</v>
      </c>
      <c r="U277">
        <v>-7.5390190000000001E-3</v>
      </c>
    </row>
    <row r="278" spans="1:21" x14ac:dyDescent="0.2">
      <c r="A278" t="s">
        <v>2139</v>
      </c>
      <c r="B278">
        <v>697840</v>
      </c>
      <c r="C278" t="s">
        <v>6961</v>
      </c>
      <c r="D278" t="s">
        <v>2140</v>
      </c>
      <c r="E278" t="s">
        <v>6924</v>
      </c>
      <c r="F278">
        <v>1</v>
      </c>
      <c r="G278">
        <v>6</v>
      </c>
      <c r="H278" t="s">
        <v>7482</v>
      </c>
      <c r="J278" t="s">
        <v>5291</v>
      </c>
      <c r="M278" t="s">
        <v>7483</v>
      </c>
      <c r="N278">
        <v>2.7247480949999998</v>
      </c>
      <c r="O278">
        <v>7.0822175119999997</v>
      </c>
      <c r="P278">
        <v>0.61298291999999999</v>
      </c>
      <c r="Q278">
        <v>0.48262032500000002</v>
      </c>
      <c r="S278" s="13">
        <v>-1.027374054</v>
      </c>
      <c r="T278">
        <v>1.4358032380000001</v>
      </c>
      <c r="U278">
        <v>-7.9414759999999994E-3</v>
      </c>
    </row>
    <row r="279" spans="1:21" x14ac:dyDescent="0.2">
      <c r="A279" t="s">
        <v>909</v>
      </c>
      <c r="B279">
        <v>794880</v>
      </c>
      <c r="C279" t="s">
        <v>6931</v>
      </c>
      <c r="D279" t="s">
        <v>909</v>
      </c>
      <c r="E279" t="s">
        <v>6974</v>
      </c>
      <c r="F279">
        <v>10</v>
      </c>
      <c r="G279">
        <v>15</v>
      </c>
      <c r="H279" t="s">
        <v>7484</v>
      </c>
      <c r="N279">
        <v>1.9323965059999999</v>
      </c>
      <c r="O279">
        <v>3.0528020530000002</v>
      </c>
      <c r="P279">
        <v>2.6493138999999999E-2</v>
      </c>
      <c r="Q279">
        <v>-0.38692188</v>
      </c>
      <c r="S279" s="13">
        <v>-1.028053347</v>
      </c>
      <c r="T279">
        <v>1.4328348820000001</v>
      </c>
      <c r="U279">
        <v>6.4840100000000001E-3</v>
      </c>
    </row>
    <row r="280" spans="1:21" x14ac:dyDescent="0.2">
      <c r="A280" t="s">
        <v>2335</v>
      </c>
      <c r="B280">
        <v>837040</v>
      </c>
      <c r="C280" t="s">
        <v>6945</v>
      </c>
      <c r="D280" t="s">
        <v>2335</v>
      </c>
      <c r="E280" t="s">
        <v>6915</v>
      </c>
      <c r="F280">
        <v>13</v>
      </c>
      <c r="G280">
        <v>13</v>
      </c>
      <c r="H280" t="s">
        <v>7485</v>
      </c>
      <c r="J280" t="s">
        <v>2731</v>
      </c>
      <c r="M280" t="s">
        <v>7486</v>
      </c>
      <c r="N280">
        <v>2.2220813349999999</v>
      </c>
      <c r="O280">
        <v>6.5440947090000003</v>
      </c>
      <c r="P280">
        <v>0.58228215500000002</v>
      </c>
      <c r="Q280">
        <v>0.35188233000000002</v>
      </c>
      <c r="S280" s="13">
        <v>-1.0287498349999999</v>
      </c>
      <c r="T280">
        <v>1.4297913900000001</v>
      </c>
      <c r="U280">
        <v>-1.8508984999999999E-2</v>
      </c>
    </row>
    <row r="281" spans="1:21" x14ac:dyDescent="0.2">
      <c r="A281" t="s">
        <v>551</v>
      </c>
      <c r="B281">
        <v>794040</v>
      </c>
      <c r="C281" t="s">
        <v>6931</v>
      </c>
      <c r="D281" t="s">
        <v>551</v>
      </c>
      <c r="E281" t="s">
        <v>6928</v>
      </c>
      <c r="F281">
        <v>11</v>
      </c>
      <c r="G281">
        <v>16</v>
      </c>
      <c r="H281" t="s">
        <v>7487</v>
      </c>
      <c r="N281">
        <v>1.9323965059999999</v>
      </c>
      <c r="O281">
        <v>3.0528020530000002</v>
      </c>
      <c r="P281">
        <v>2.6493138999999999E-2</v>
      </c>
      <c r="Q281">
        <v>-0.38692188</v>
      </c>
      <c r="S281" s="13">
        <v>-1.0291570860000001</v>
      </c>
      <c r="T281">
        <v>1.428011798</v>
      </c>
      <c r="U281">
        <v>6.0943459999999996E-3</v>
      </c>
    </row>
    <row r="282" spans="1:21" x14ac:dyDescent="0.2">
      <c r="A282" t="s">
        <v>280</v>
      </c>
      <c r="B282">
        <v>987440</v>
      </c>
      <c r="C282" t="s">
        <v>6914</v>
      </c>
      <c r="D282" t="s">
        <v>280</v>
      </c>
      <c r="E282" t="s">
        <v>6921</v>
      </c>
      <c r="F282">
        <v>24</v>
      </c>
      <c r="G282">
        <v>8</v>
      </c>
      <c r="H282" t="s">
        <v>7488</v>
      </c>
      <c r="J282" t="s">
        <v>282</v>
      </c>
      <c r="M282" t="s">
        <v>7489</v>
      </c>
      <c r="N282">
        <v>1.8217074179999999</v>
      </c>
      <c r="O282">
        <v>4.1700741289999996</v>
      </c>
      <c r="P282">
        <v>0.189705977</v>
      </c>
      <c r="Q282">
        <v>-1.7194070999999998E-2</v>
      </c>
      <c r="S282" s="13">
        <v>-1.0293233260000001</v>
      </c>
      <c r="T282">
        <v>1.4272853640000001</v>
      </c>
      <c r="U282">
        <v>-3.2919885000000003E-2</v>
      </c>
    </row>
    <row r="283" spans="1:21" x14ac:dyDescent="0.2">
      <c r="A283" t="s">
        <v>603</v>
      </c>
      <c r="B283">
        <v>694960</v>
      </c>
      <c r="C283" t="s">
        <v>6961</v>
      </c>
      <c r="D283" t="s">
        <v>604</v>
      </c>
      <c r="E283" t="s">
        <v>6911</v>
      </c>
      <c r="F283">
        <v>8</v>
      </c>
      <c r="G283">
        <v>12</v>
      </c>
      <c r="H283" t="s">
        <v>7490</v>
      </c>
      <c r="J283" t="s">
        <v>4704</v>
      </c>
      <c r="M283" t="s">
        <v>7491</v>
      </c>
      <c r="N283">
        <v>2.7247480949999998</v>
      </c>
      <c r="O283">
        <v>7.0822175119999997</v>
      </c>
      <c r="P283">
        <v>0.61298291999999999</v>
      </c>
      <c r="Q283">
        <v>0.48262032500000002</v>
      </c>
      <c r="S283" s="13">
        <v>-1.0296539060000001</v>
      </c>
      <c r="T283">
        <v>1.4258408069999999</v>
      </c>
      <c r="U283">
        <v>-9.3241680000000007E-3</v>
      </c>
    </row>
    <row r="284" spans="1:21" x14ac:dyDescent="0.2">
      <c r="A284" t="s">
        <v>820</v>
      </c>
      <c r="B284">
        <v>903960</v>
      </c>
      <c r="C284" t="s">
        <v>6942</v>
      </c>
      <c r="D284" t="s">
        <v>820</v>
      </c>
      <c r="E284" t="s">
        <v>6974</v>
      </c>
      <c r="F284">
        <v>20</v>
      </c>
      <c r="G284">
        <v>15</v>
      </c>
      <c r="H284" t="s">
        <v>7492</v>
      </c>
      <c r="J284" t="s">
        <v>822</v>
      </c>
      <c r="M284" t="s">
        <v>7493</v>
      </c>
      <c r="N284">
        <v>2.0902262079999998</v>
      </c>
      <c r="O284">
        <v>4.2704203920000001</v>
      </c>
      <c r="P284">
        <v>0.23425843900000001</v>
      </c>
      <c r="Q284">
        <v>1.6181978999999999E-2</v>
      </c>
      <c r="S284" s="13">
        <v>-1.0300139370000001</v>
      </c>
      <c r="T284">
        <v>1.4242675520000001</v>
      </c>
      <c r="U284">
        <v>-2.0408953000000001E-2</v>
      </c>
    </row>
    <row r="285" spans="1:21" x14ac:dyDescent="0.2">
      <c r="A285" t="s">
        <v>894</v>
      </c>
      <c r="B285">
        <v>834920</v>
      </c>
      <c r="C285" t="s">
        <v>6945</v>
      </c>
      <c r="D285" t="s">
        <v>894</v>
      </c>
      <c r="E285" t="s">
        <v>6939</v>
      </c>
      <c r="F285">
        <v>18</v>
      </c>
      <c r="G285">
        <v>2</v>
      </c>
      <c r="H285" t="s">
        <v>7494</v>
      </c>
      <c r="J285" t="s">
        <v>4586</v>
      </c>
      <c r="M285" t="s">
        <v>7495</v>
      </c>
      <c r="N285">
        <v>2.2220813349999999</v>
      </c>
      <c r="O285">
        <v>6.5440947090000003</v>
      </c>
      <c r="P285">
        <v>0.58228215500000002</v>
      </c>
      <c r="Q285">
        <v>0.35188233000000002</v>
      </c>
      <c r="S285" s="13">
        <v>-1.030749495</v>
      </c>
      <c r="T285">
        <v>1.421053331</v>
      </c>
      <c r="U285">
        <v>-1.9551461999999999E-2</v>
      </c>
    </row>
    <row r="286" spans="1:21" x14ac:dyDescent="0.2">
      <c r="A286" t="s">
        <v>583</v>
      </c>
      <c r="B286">
        <v>693480</v>
      </c>
      <c r="C286" t="s">
        <v>6961</v>
      </c>
      <c r="D286" t="s">
        <v>583</v>
      </c>
      <c r="E286" t="s">
        <v>6907</v>
      </c>
      <c r="F286">
        <v>23</v>
      </c>
      <c r="G286">
        <v>4</v>
      </c>
      <c r="H286" t="s">
        <v>7496</v>
      </c>
      <c r="J286" t="s">
        <v>5018</v>
      </c>
      <c r="M286" t="s">
        <v>7497</v>
      </c>
      <c r="N286">
        <v>2.7247480949999998</v>
      </c>
      <c r="O286">
        <v>7.0822175119999997</v>
      </c>
      <c r="P286">
        <v>0.61298291999999999</v>
      </c>
      <c r="Q286">
        <v>0.48262032500000002</v>
      </c>
      <c r="S286" s="13">
        <v>-1.0308254960000001</v>
      </c>
      <c r="T286">
        <v>1.420721224</v>
      </c>
      <c r="U286">
        <v>-1.0036434E-2</v>
      </c>
    </row>
    <row r="287" spans="1:21" x14ac:dyDescent="0.2">
      <c r="A287" t="s">
        <v>2294</v>
      </c>
      <c r="B287">
        <v>901600</v>
      </c>
      <c r="C287" t="s">
        <v>6942</v>
      </c>
      <c r="D287" t="s">
        <v>2294</v>
      </c>
      <c r="E287" t="s">
        <v>7085</v>
      </c>
      <c r="F287">
        <v>20</v>
      </c>
      <c r="G287">
        <v>9</v>
      </c>
      <c r="H287" t="s">
        <v>7498</v>
      </c>
      <c r="J287" t="s">
        <v>2358</v>
      </c>
      <c r="M287" t="s">
        <v>7499</v>
      </c>
      <c r="N287">
        <v>2.0902262079999998</v>
      </c>
      <c r="O287">
        <v>4.2704203920000001</v>
      </c>
      <c r="P287">
        <v>0.23425843900000001</v>
      </c>
      <c r="Q287">
        <v>1.6181978999999999E-2</v>
      </c>
      <c r="S287" s="13">
        <v>-1.0323302510000001</v>
      </c>
      <c r="T287">
        <v>1.4141457879999999</v>
      </c>
      <c r="U287">
        <v>-2.1574698999999999E-2</v>
      </c>
    </row>
    <row r="288" spans="1:21" x14ac:dyDescent="0.2">
      <c r="A288" t="s">
        <v>175</v>
      </c>
      <c r="B288">
        <v>833120</v>
      </c>
      <c r="C288" t="s">
        <v>6945</v>
      </c>
      <c r="D288" t="s">
        <v>175</v>
      </c>
      <c r="E288" t="s">
        <v>7006</v>
      </c>
      <c r="F288">
        <v>15</v>
      </c>
      <c r="G288">
        <v>3</v>
      </c>
      <c r="H288" t="s">
        <v>7500</v>
      </c>
      <c r="J288" t="s">
        <v>1302</v>
      </c>
      <c r="M288" t="s">
        <v>7501</v>
      </c>
      <c r="N288">
        <v>2.2220813349999999</v>
      </c>
      <c r="O288">
        <v>6.5440947090000003</v>
      </c>
      <c r="P288">
        <v>0.58228215500000002</v>
      </c>
      <c r="Q288">
        <v>0.35188233000000002</v>
      </c>
      <c r="S288" s="13">
        <v>-1.0324473199999999</v>
      </c>
      <c r="T288">
        <v>1.4136342239999999</v>
      </c>
      <c r="U288">
        <v>-2.0438551999999999E-2</v>
      </c>
    </row>
    <row r="289" spans="1:21" x14ac:dyDescent="0.2">
      <c r="A289" t="s">
        <v>198</v>
      </c>
      <c r="B289">
        <v>949160</v>
      </c>
      <c r="C289" t="s">
        <v>6927</v>
      </c>
      <c r="D289" t="s">
        <v>199</v>
      </c>
      <c r="E289" t="s">
        <v>6918</v>
      </c>
      <c r="F289">
        <v>3</v>
      </c>
      <c r="G289">
        <v>1</v>
      </c>
      <c r="H289" t="s">
        <v>7502</v>
      </c>
      <c r="J289" t="s">
        <v>7503</v>
      </c>
      <c r="M289" t="s">
        <v>7504</v>
      </c>
      <c r="N289">
        <v>1.982575982</v>
      </c>
      <c r="O289">
        <v>3.4571926419999999</v>
      </c>
      <c r="P289">
        <v>-0.114791479</v>
      </c>
      <c r="Q289">
        <v>1.868949E-3</v>
      </c>
      <c r="S289" s="13">
        <v>-1.03286156</v>
      </c>
      <c r="T289">
        <v>1.4118240909999999</v>
      </c>
      <c r="U289">
        <v>-1.2170587E-2</v>
      </c>
    </row>
    <row r="290" spans="1:21" x14ac:dyDescent="0.2">
      <c r="A290" t="s">
        <v>1498</v>
      </c>
      <c r="B290">
        <v>690880</v>
      </c>
      <c r="C290" t="s">
        <v>6961</v>
      </c>
      <c r="D290" t="s">
        <v>1498</v>
      </c>
      <c r="E290" t="s">
        <v>6911</v>
      </c>
      <c r="F290">
        <v>17</v>
      </c>
      <c r="G290">
        <v>12</v>
      </c>
      <c r="H290" t="s">
        <v>7505</v>
      </c>
      <c r="J290" t="s">
        <v>2368</v>
      </c>
      <c r="M290" t="s">
        <v>7506</v>
      </c>
      <c r="N290">
        <v>2.7247480949999998</v>
      </c>
      <c r="O290">
        <v>7.0822175119999997</v>
      </c>
      <c r="P290">
        <v>0.61298291999999999</v>
      </c>
      <c r="Q290">
        <v>0.48262032500000002</v>
      </c>
      <c r="S290" s="13">
        <v>-1.0328836960000001</v>
      </c>
      <c r="T290">
        <v>1.411727363</v>
      </c>
      <c r="U290">
        <v>-1.1290547E-2</v>
      </c>
    </row>
    <row r="291" spans="1:21" x14ac:dyDescent="0.2">
      <c r="A291" t="s">
        <v>400</v>
      </c>
      <c r="B291">
        <v>690440</v>
      </c>
      <c r="C291" t="s">
        <v>6961</v>
      </c>
      <c r="D291" t="s">
        <v>400</v>
      </c>
      <c r="E291" t="s">
        <v>6939</v>
      </c>
      <c r="F291">
        <v>11</v>
      </c>
      <c r="G291">
        <v>2</v>
      </c>
      <c r="H291" t="s">
        <v>7507</v>
      </c>
      <c r="J291" t="s">
        <v>5535</v>
      </c>
      <c r="M291" t="s">
        <v>7508</v>
      </c>
      <c r="N291">
        <v>2.7247480949999998</v>
      </c>
      <c r="O291">
        <v>7.0822175119999997</v>
      </c>
      <c r="P291">
        <v>0.61298291999999999</v>
      </c>
      <c r="Q291">
        <v>0.48262032500000002</v>
      </c>
      <c r="S291" s="13">
        <v>-1.0332320070000001</v>
      </c>
      <c r="T291">
        <v>1.4102053240000001</v>
      </c>
      <c r="U291">
        <v>-1.1503141E-2</v>
      </c>
    </row>
    <row r="292" spans="1:21" x14ac:dyDescent="0.2">
      <c r="A292" t="s">
        <v>693</v>
      </c>
      <c r="B292">
        <v>689880</v>
      </c>
      <c r="C292" t="s">
        <v>6961</v>
      </c>
      <c r="D292" t="s">
        <v>693</v>
      </c>
      <c r="E292" t="s">
        <v>6977</v>
      </c>
      <c r="F292">
        <v>22</v>
      </c>
      <c r="G292">
        <v>5</v>
      </c>
      <c r="H292" t="s">
        <v>7509</v>
      </c>
      <c r="J292" t="s">
        <v>2247</v>
      </c>
      <c r="M292" t="s">
        <v>7510</v>
      </c>
      <c r="N292">
        <v>2.7247480949999998</v>
      </c>
      <c r="O292">
        <v>7.0822175119999997</v>
      </c>
      <c r="P292">
        <v>0.61298291999999999</v>
      </c>
      <c r="Q292">
        <v>0.48262032500000002</v>
      </c>
      <c r="S292" s="13">
        <v>-1.0336753110000001</v>
      </c>
      <c r="T292">
        <v>1.4082681850000001</v>
      </c>
      <c r="U292">
        <v>-1.1773865E-2</v>
      </c>
    </row>
    <row r="293" spans="1:21" x14ac:dyDescent="0.2">
      <c r="A293" t="s">
        <v>422</v>
      </c>
      <c r="B293">
        <v>831640</v>
      </c>
      <c r="C293" t="s">
        <v>6945</v>
      </c>
      <c r="D293" t="s">
        <v>423</v>
      </c>
      <c r="E293" t="s">
        <v>6974</v>
      </c>
      <c r="F293">
        <v>3</v>
      </c>
      <c r="G293">
        <v>15</v>
      </c>
      <c r="H293" t="s">
        <v>7511</v>
      </c>
      <c r="J293" t="s">
        <v>1798</v>
      </c>
      <c r="M293" t="s">
        <v>7512</v>
      </c>
      <c r="N293">
        <v>2.2220813349999999</v>
      </c>
      <c r="O293">
        <v>6.5440947090000003</v>
      </c>
      <c r="P293">
        <v>0.58228215500000002</v>
      </c>
      <c r="Q293">
        <v>0.35188233000000002</v>
      </c>
      <c r="S293" s="13">
        <v>-1.03384331</v>
      </c>
      <c r="T293">
        <v>1.4075340700000001</v>
      </c>
      <c r="U293">
        <v>-2.1169297E-2</v>
      </c>
    </row>
    <row r="294" spans="1:21" x14ac:dyDescent="0.2">
      <c r="A294" t="s">
        <v>1104</v>
      </c>
      <c r="B294">
        <v>688200</v>
      </c>
      <c r="C294" t="s">
        <v>6961</v>
      </c>
      <c r="D294" t="s">
        <v>1105</v>
      </c>
      <c r="E294" t="s">
        <v>6956</v>
      </c>
      <c r="F294">
        <v>2</v>
      </c>
      <c r="G294">
        <v>7</v>
      </c>
      <c r="H294" t="s">
        <v>7513</v>
      </c>
      <c r="J294" t="s">
        <v>7514</v>
      </c>
      <c r="M294" t="s">
        <v>7515</v>
      </c>
      <c r="N294">
        <v>2.7247480949999998</v>
      </c>
      <c r="O294">
        <v>7.0822175119999997</v>
      </c>
      <c r="P294">
        <v>0.61298291999999999</v>
      </c>
      <c r="Q294">
        <v>0.48262032500000002</v>
      </c>
      <c r="S294" s="13">
        <v>-1.0350052249999999</v>
      </c>
      <c r="T294">
        <v>1.4024567670000001</v>
      </c>
      <c r="U294">
        <v>-1.2587051E-2</v>
      </c>
    </row>
    <row r="295" spans="1:21" x14ac:dyDescent="0.2">
      <c r="A295" t="s">
        <v>736</v>
      </c>
      <c r="B295">
        <v>688120</v>
      </c>
      <c r="C295" t="s">
        <v>6961</v>
      </c>
      <c r="D295" t="s">
        <v>736</v>
      </c>
      <c r="E295" t="s">
        <v>6939</v>
      </c>
      <c r="F295">
        <v>15</v>
      </c>
      <c r="G295">
        <v>2</v>
      </c>
      <c r="H295" t="s">
        <v>7516</v>
      </c>
      <c r="J295" t="s">
        <v>5107</v>
      </c>
      <c r="M295" t="s">
        <v>7517</v>
      </c>
      <c r="N295">
        <v>2.7247480949999998</v>
      </c>
      <c r="O295">
        <v>7.0822175119999997</v>
      </c>
      <c r="P295">
        <v>0.61298291999999999</v>
      </c>
      <c r="Q295">
        <v>0.48262032500000002</v>
      </c>
      <c r="S295" s="13">
        <v>-1.035068554</v>
      </c>
      <c r="T295">
        <v>1.402180033</v>
      </c>
      <c r="U295">
        <v>-1.2625812E-2</v>
      </c>
    </row>
    <row r="296" spans="1:21" x14ac:dyDescent="0.2">
      <c r="A296" t="s">
        <v>1544</v>
      </c>
      <c r="B296">
        <v>830320</v>
      </c>
      <c r="C296" t="s">
        <v>6945</v>
      </c>
      <c r="D296" t="s">
        <v>1545</v>
      </c>
      <c r="E296" t="s">
        <v>6924</v>
      </c>
      <c r="F296">
        <v>6</v>
      </c>
      <c r="G296">
        <v>6</v>
      </c>
      <c r="H296" t="s">
        <v>7518</v>
      </c>
      <c r="J296" t="s">
        <v>3801</v>
      </c>
      <c r="M296" t="s">
        <v>7519</v>
      </c>
      <c r="N296">
        <v>2.2220813349999999</v>
      </c>
      <c r="O296">
        <v>6.5440947090000003</v>
      </c>
      <c r="P296">
        <v>0.58228215500000002</v>
      </c>
      <c r="Q296">
        <v>0.35188233000000002</v>
      </c>
      <c r="S296" s="13">
        <v>-1.035088381</v>
      </c>
      <c r="T296">
        <v>1.402093392</v>
      </c>
      <c r="U296">
        <v>-2.1822081E-2</v>
      </c>
    </row>
    <row r="297" spans="1:21" x14ac:dyDescent="0.2">
      <c r="A297" t="s">
        <v>541</v>
      </c>
      <c r="B297">
        <v>687960</v>
      </c>
      <c r="C297" t="s">
        <v>6961</v>
      </c>
      <c r="D297" t="s">
        <v>542</v>
      </c>
      <c r="E297" t="s">
        <v>6974</v>
      </c>
      <c r="F297">
        <v>1</v>
      </c>
      <c r="G297">
        <v>15</v>
      </c>
      <c r="H297" t="s">
        <v>7520</v>
      </c>
      <c r="J297" t="s">
        <v>2563</v>
      </c>
      <c r="M297" t="s">
        <v>7521</v>
      </c>
      <c r="N297">
        <v>2.7247480949999998</v>
      </c>
      <c r="O297">
        <v>7.0822175119999997</v>
      </c>
      <c r="P297">
        <v>0.61298291999999999</v>
      </c>
      <c r="Q297">
        <v>0.48262032500000002</v>
      </c>
      <c r="S297" s="13">
        <v>-1.0351952120000001</v>
      </c>
      <c r="T297">
        <v>1.4016265640000001</v>
      </c>
      <c r="U297">
        <v>-1.2703345E-2</v>
      </c>
    </row>
    <row r="298" spans="1:21" x14ac:dyDescent="0.2">
      <c r="A298" t="s">
        <v>2960</v>
      </c>
      <c r="B298">
        <v>686560</v>
      </c>
      <c r="C298" t="s">
        <v>6961</v>
      </c>
      <c r="D298" t="s">
        <v>2961</v>
      </c>
      <c r="E298" t="s">
        <v>6939</v>
      </c>
      <c r="F298">
        <v>7</v>
      </c>
      <c r="G298">
        <v>2</v>
      </c>
      <c r="H298" t="s">
        <v>7522</v>
      </c>
      <c r="J298" t="s">
        <v>3545</v>
      </c>
      <c r="M298" t="s">
        <v>7523</v>
      </c>
      <c r="N298">
        <v>2.7247480949999998</v>
      </c>
      <c r="O298">
        <v>7.0822175119999997</v>
      </c>
      <c r="P298">
        <v>0.61298291999999999</v>
      </c>
      <c r="Q298">
        <v>0.48262032500000002</v>
      </c>
      <c r="S298" s="13">
        <v>-1.0363034739999999</v>
      </c>
      <c r="T298">
        <v>1.3967837160000001</v>
      </c>
      <c r="U298">
        <v>-1.3382346999999999E-2</v>
      </c>
    </row>
    <row r="299" spans="1:21" x14ac:dyDescent="0.2">
      <c r="A299" t="s">
        <v>1330</v>
      </c>
      <c r="B299">
        <v>828520</v>
      </c>
      <c r="C299" t="s">
        <v>6945</v>
      </c>
      <c r="D299" t="s">
        <v>1330</v>
      </c>
      <c r="E299" t="s">
        <v>6915</v>
      </c>
      <c r="F299">
        <v>23</v>
      </c>
      <c r="G299">
        <v>13</v>
      </c>
      <c r="H299" t="s">
        <v>7524</v>
      </c>
      <c r="J299" t="s">
        <v>3339</v>
      </c>
      <c r="M299" t="s">
        <v>7525</v>
      </c>
      <c r="N299">
        <v>2.2220813349999999</v>
      </c>
      <c r="O299">
        <v>6.5440947090000003</v>
      </c>
      <c r="P299">
        <v>0.58228215500000002</v>
      </c>
      <c r="Q299">
        <v>0.35188233000000002</v>
      </c>
      <c r="S299" s="13">
        <v>-1.0367862059999999</v>
      </c>
      <c r="T299">
        <v>1.394674285</v>
      </c>
      <c r="U299">
        <v>-2.2713825999999999E-2</v>
      </c>
    </row>
    <row r="300" spans="1:21" x14ac:dyDescent="0.2">
      <c r="A300" t="s">
        <v>1160</v>
      </c>
      <c r="B300">
        <v>685200</v>
      </c>
      <c r="C300" t="s">
        <v>6961</v>
      </c>
      <c r="D300" t="s">
        <v>1160</v>
      </c>
      <c r="E300" t="s">
        <v>6907</v>
      </c>
      <c r="F300">
        <v>22</v>
      </c>
      <c r="G300">
        <v>4</v>
      </c>
      <c r="H300" t="s">
        <v>7526</v>
      </c>
      <c r="J300" t="s">
        <v>2496</v>
      </c>
      <c r="M300" t="s">
        <v>7527</v>
      </c>
      <c r="N300">
        <v>2.7247480949999998</v>
      </c>
      <c r="O300">
        <v>7.0822175119999997</v>
      </c>
      <c r="P300">
        <v>0.61298291999999999</v>
      </c>
      <c r="Q300">
        <v>0.48262032500000002</v>
      </c>
      <c r="S300" s="13">
        <v>-1.03738007</v>
      </c>
      <c r="T300">
        <v>1.3920792340000001</v>
      </c>
      <c r="U300">
        <v>-1.4042967E-2</v>
      </c>
    </row>
    <row r="301" spans="1:21" x14ac:dyDescent="0.2">
      <c r="A301" t="s">
        <v>619</v>
      </c>
      <c r="B301">
        <v>896320</v>
      </c>
      <c r="C301" t="s">
        <v>6942</v>
      </c>
      <c r="D301" t="s">
        <v>619</v>
      </c>
      <c r="E301" t="s">
        <v>6939</v>
      </c>
      <c r="F301">
        <v>22</v>
      </c>
      <c r="G301">
        <v>2</v>
      </c>
      <c r="H301" t="s">
        <v>7528</v>
      </c>
      <c r="J301" t="s">
        <v>621</v>
      </c>
      <c r="M301" t="s">
        <v>7529</v>
      </c>
      <c r="N301">
        <v>2.0902262079999998</v>
      </c>
      <c r="O301">
        <v>4.2704203920000001</v>
      </c>
      <c r="P301">
        <v>0.23425843900000001</v>
      </c>
      <c r="Q301">
        <v>1.6181978999999999E-2</v>
      </c>
      <c r="S301" s="13">
        <v>-1.0375125140000001</v>
      </c>
      <c r="T301">
        <v>1.391500486</v>
      </c>
      <c r="U301">
        <v>-2.4194196000000001E-2</v>
      </c>
    </row>
    <row r="302" spans="1:21" x14ac:dyDescent="0.2">
      <c r="A302" t="s">
        <v>27</v>
      </c>
      <c r="B302">
        <v>944280</v>
      </c>
      <c r="C302" t="s">
        <v>6927</v>
      </c>
      <c r="D302" t="s">
        <v>29</v>
      </c>
      <c r="E302" t="s">
        <v>6915</v>
      </c>
      <c r="F302">
        <v>4</v>
      </c>
      <c r="G302">
        <v>13</v>
      </c>
      <c r="H302" t="s">
        <v>7530</v>
      </c>
      <c r="J302" t="s">
        <v>7531</v>
      </c>
      <c r="M302" t="s">
        <v>7532</v>
      </c>
      <c r="N302">
        <v>1.982575982</v>
      </c>
      <c r="O302">
        <v>3.4571926419999999</v>
      </c>
      <c r="P302">
        <v>-0.114791479</v>
      </c>
      <c r="Q302">
        <v>1.868949E-3</v>
      </c>
      <c r="S302" s="13">
        <v>-1.037925167</v>
      </c>
      <c r="T302">
        <v>1.389697288</v>
      </c>
      <c r="U302">
        <v>-1.4539092E-2</v>
      </c>
    </row>
    <row r="303" spans="1:21" x14ac:dyDescent="0.2">
      <c r="A303" t="s">
        <v>522</v>
      </c>
      <c r="B303">
        <v>684440</v>
      </c>
      <c r="C303" t="s">
        <v>6961</v>
      </c>
      <c r="D303" t="s">
        <v>522</v>
      </c>
      <c r="E303" t="s">
        <v>6977</v>
      </c>
      <c r="F303">
        <v>15</v>
      </c>
      <c r="G303">
        <v>5</v>
      </c>
      <c r="H303" t="s">
        <v>7533</v>
      </c>
      <c r="J303" t="s">
        <v>6467</v>
      </c>
      <c r="M303" t="s">
        <v>7534</v>
      </c>
      <c r="N303">
        <v>2.7247480949999998</v>
      </c>
      <c r="O303">
        <v>7.0822175119999997</v>
      </c>
      <c r="P303">
        <v>0.61298291999999999</v>
      </c>
      <c r="Q303">
        <v>0.48262032500000002</v>
      </c>
      <c r="S303" s="13">
        <v>-1.0379816980000001</v>
      </c>
      <c r="T303">
        <v>1.389450259</v>
      </c>
      <c r="U303">
        <v>-1.4412575E-2</v>
      </c>
    </row>
    <row r="304" spans="1:21" x14ac:dyDescent="0.2">
      <c r="A304" t="s">
        <v>2457</v>
      </c>
      <c r="B304">
        <v>820640</v>
      </c>
      <c r="C304" t="s">
        <v>6906</v>
      </c>
      <c r="D304" t="s">
        <v>2458</v>
      </c>
      <c r="E304" t="s">
        <v>7115</v>
      </c>
      <c r="F304">
        <v>5</v>
      </c>
      <c r="G304">
        <v>10</v>
      </c>
      <c r="H304" t="s">
        <v>7535</v>
      </c>
      <c r="J304" t="s">
        <v>4203</v>
      </c>
      <c r="M304" t="s">
        <v>7536</v>
      </c>
      <c r="N304">
        <v>1.813871112</v>
      </c>
      <c r="O304">
        <v>2.6633694910000001</v>
      </c>
      <c r="P304">
        <v>-0.29586356800000002</v>
      </c>
      <c r="Q304">
        <v>-0.59018158399999998</v>
      </c>
      <c r="S304" s="13">
        <v>-1.0381546500000001</v>
      </c>
      <c r="T304">
        <v>1.3886944999999999</v>
      </c>
      <c r="U304">
        <v>-3.8633562000000003E-2</v>
      </c>
    </row>
    <row r="305" spans="1:21" x14ac:dyDescent="0.2">
      <c r="A305" t="s">
        <v>577</v>
      </c>
      <c r="B305">
        <v>1020800</v>
      </c>
      <c r="C305" t="s">
        <v>6938</v>
      </c>
      <c r="D305" t="s">
        <v>578</v>
      </c>
      <c r="E305" t="s">
        <v>7115</v>
      </c>
      <c r="F305">
        <v>1</v>
      </c>
      <c r="G305">
        <v>10</v>
      </c>
      <c r="H305" t="s">
        <v>7537</v>
      </c>
      <c r="J305" t="s">
        <v>2928</v>
      </c>
      <c r="M305" t="s">
        <v>7538</v>
      </c>
      <c r="N305">
        <v>2.092758737</v>
      </c>
      <c r="O305">
        <v>5.3323610669999999</v>
      </c>
      <c r="P305">
        <v>0.70420098600000003</v>
      </c>
      <c r="Q305">
        <v>0.41355372699999998</v>
      </c>
      <c r="S305" s="13">
        <v>-1.0384403980000001</v>
      </c>
      <c r="T305">
        <v>1.387445842</v>
      </c>
      <c r="U305">
        <v>5.592835E-3</v>
      </c>
    </row>
    <row r="306" spans="1:21" x14ac:dyDescent="0.2">
      <c r="A306" t="s">
        <v>111</v>
      </c>
      <c r="B306">
        <v>905480</v>
      </c>
      <c r="C306" t="s">
        <v>6910</v>
      </c>
      <c r="D306" t="s">
        <v>112</v>
      </c>
      <c r="E306" t="s">
        <v>6970</v>
      </c>
      <c r="F306">
        <v>2</v>
      </c>
      <c r="G306">
        <v>14</v>
      </c>
      <c r="H306" t="s">
        <v>7539</v>
      </c>
      <c r="J306" t="s">
        <v>4896</v>
      </c>
      <c r="M306" t="s">
        <v>7540</v>
      </c>
      <c r="N306">
        <v>1.9874741039999999</v>
      </c>
      <c r="O306">
        <v>3.7453511220000002</v>
      </c>
      <c r="P306">
        <v>0.451009722</v>
      </c>
      <c r="Q306">
        <v>-0.102386592</v>
      </c>
      <c r="S306" s="13">
        <v>-1.038484712</v>
      </c>
      <c r="T306">
        <v>1.3872522039999999</v>
      </c>
      <c r="U306">
        <v>2.1271095E-2</v>
      </c>
    </row>
    <row r="307" spans="1:21" x14ac:dyDescent="0.2">
      <c r="A307" t="s">
        <v>333</v>
      </c>
      <c r="B307">
        <v>683560</v>
      </c>
      <c r="C307" t="s">
        <v>6961</v>
      </c>
      <c r="D307" t="s">
        <v>334</v>
      </c>
      <c r="E307" t="s">
        <v>6915</v>
      </c>
      <c r="F307">
        <v>2</v>
      </c>
      <c r="G307">
        <v>13</v>
      </c>
      <c r="H307" t="s">
        <v>7541</v>
      </c>
      <c r="J307" t="s">
        <v>1039</v>
      </c>
      <c r="M307" t="s">
        <v>7542</v>
      </c>
      <c r="N307">
        <v>2.7247480949999998</v>
      </c>
      <c r="O307">
        <v>7.0822175119999997</v>
      </c>
      <c r="P307">
        <v>0.61298291999999999</v>
      </c>
      <c r="Q307">
        <v>0.48262032500000002</v>
      </c>
      <c r="S307" s="13">
        <v>-1.038678319</v>
      </c>
      <c r="T307">
        <v>1.3864061830000001</v>
      </c>
      <c r="U307">
        <v>-1.4840936000000001E-2</v>
      </c>
    </row>
    <row r="308" spans="1:21" x14ac:dyDescent="0.2">
      <c r="A308" t="s">
        <v>3235</v>
      </c>
      <c r="B308">
        <v>683400</v>
      </c>
      <c r="C308" t="s">
        <v>6961</v>
      </c>
      <c r="D308" t="s">
        <v>3236</v>
      </c>
      <c r="E308" t="s">
        <v>6946</v>
      </c>
      <c r="F308">
        <v>2</v>
      </c>
      <c r="G308">
        <v>11</v>
      </c>
      <c r="H308" t="s">
        <v>7543</v>
      </c>
      <c r="J308" t="s">
        <v>5075</v>
      </c>
      <c r="M308" t="s">
        <v>7544</v>
      </c>
      <c r="N308">
        <v>2.7247480949999998</v>
      </c>
      <c r="O308">
        <v>7.0822175119999997</v>
      </c>
      <c r="P308">
        <v>0.61298291999999999</v>
      </c>
      <c r="Q308">
        <v>0.48262032500000002</v>
      </c>
      <c r="S308" s="13">
        <v>-1.0388049779999999</v>
      </c>
      <c r="T308">
        <v>1.385852715</v>
      </c>
      <c r="U308">
        <v>-1.4918865E-2</v>
      </c>
    </row>
    <row r="309" spans="1:21" x14ac:dyDescent="0.2">
      <c r="A309" t="s">
        <v>709</v>
      </c>
      <c r="B309">
        <v>904520</v>
      </c>
      <c r="C309" t="s">
        <v>6910</v>
      </c>
      <c r="D309" t="s">
        <v>709</v>
      </c>
      <c r="E309" t="s">
        <v>6928</v>
      </c>
      <c r="F309">
        <v>20</v>
      </c>
      <c r="G309">
        <v>16</v>
      </c>
      <c r="H309" t="s">
        <v>7545</v>
      </c>
      <c r="J309" t="s">
        <v>711</v>
      </c>
      <c r="M309" t="s">
        <v>7546</v>
      </c>
      <c r="N309">
        <v>1.9874741039999999</v>
      </c>
      <c r="O309">
        <v>3.7453511220000002</v>
      </c>
      <c r="P309">
        <v>0.451009722</v>
      </c>
      <c r="Q309">
        <v>-0.102386592</v>
      </c>
      <c r="S309" s="13">
        <v>-1.039517569</v>
      </c>
      <c r="T309">
        <v>1.3827388519999999</v>
      </c>
      <c r="U309">
        <v>2.0840652000000001E-2</v>
      </c>
    </row>
    <row r="310" spans="1:21" x14ac:dyDescent="0.2">
      <c r="A310" t="s">
        <v>625</v>
      </c>
      <c r="B310">
        <v>825320</v>
      </c>
      <c r="C310" t="s">
        <v>6945</v>
      </c>
      <c r="D310" t="s">
        <v>625</v>
      </c>
      <c r="E310" t="s">
        <v>6918</v>
      </c>
      <c r="F310">
        <v>11</v>
      </c>
      <c r="G310">
        <v>1</v>
      </c>
      <c r="H310" t="s">
        <v>7547</v>
      </c>
      <c r="J310" t="s">
        <v>2760</v>
      </c>
      <c r="M310" t="s">
        <v>7548</v>
      </c>
      <c r="N310">
        <v>2.2220813349999999</v>
      </c>
      <c r="O310">
        <v>6.5440947090000003</v>
      </c>
      <c r="P310">
        <v>0.58228215500000002</v>
      </c>
      <c r="Q310">
        <v>0.35188233000000002</v>
      </c>
      <c r="S310" s="13">
        <v>-1.039804561</v>
      </c>
      <c r="T310">
        <v>1.3814847619999999</v>
      </c>
      <c r="U310">
        <v>-2.4303686000000001E-2</v>
      </c>
    </row>
    <row r="311" spans="1:21" x14ac:dyDescent="0.2">
      <c r="A311" t="s">
        <v>63</v>
      </c>
      <c r="B311">
        <v>825240</v>
      </c>
      <c r="C311" t="s">
        <v>6945</v>
      </c>
      <c r="D311" t="s">
        <v>63</v>
      </c>
      <c r="E311" t="s">
        <v>6918</v>
      </c>
      <c r="F311">
        <v>23</v>
      </c>
      <c r="G311">
        <v>1</v>
      </c>
      <c r="H311" t="s">
        <v>7549</v>
      </c>
      <c r="J311" t="s">
        <v>211</v>
      </c>
      <c r="M311" t="s">
        <v>7550</v>
      </c>
      <c r="N311">
        <v>2.2220813349999999</v>
      </c>
      <c r="O311">
        <v>6.5440947090000003</v>
      </c>
      <c r="P311">
        <v>0.58228215500000002</v>
      </c>
      <c r="Q311">
        <v>0.35188233000000002</v>
      </c>
      <c r="S311" s="13">
        <v>-1.03988002</v>
      </c>
      <c r="T311">
        <v>1.3811550239999999</v>
      </c>
      <c r="U311">
        <v>-2.4343507E-2</v>
      </c>
    </row>
    <row r="312" spans="1:21" x14ac:dyDescent="0.2">
      <c r="A312" t="s">
        <v>1013</v>
      </c>
      <c r="B312">
        <v>681880</v>
      </c>
      <c r="C312" t="s">
        <v>6961</v>
      </c>
      <c r="D312" t="s">
        <v>1014</v>
      </c>
      <c r="E312" t="s">
        <v>7006</v>
      </c>
      <c r="F312">
        <v>6</v>
      </c>
      <c r="G312">
        <v>3</v>
      </c>
      <c r="H312" t="s">
        <v>7551</v>
      </c>
      <c r="J312" t="s">
        <v>6227</v>
      </c>
      <c r="M312" t="s">
        <v>7552</v>
      </c>
      <c r="N312">
        <v>2.7247480949999998</v>
      </c>
      <c r="O312">
        <v>7.0822175119999997</v>
      </c>
      <c r="P312">
        <v>0.61298291999999999</v>
      </c>
      <c r="Q312">
        <v>0.48262032500000002</v>
      </c>
      <c r="S312" s="13">
        <v>-1.040008233</v>
      </c>
      <c r="T312">
        <v>1.3805947649999999</v>
      </c>
      <c r="U312">
        <v>-1.5659890999999999E-2</v>
      </c>
    </row>
    <row r="313" spans="1:21" x14ac:dyDescent="0.2">
      <c r="A313" t="s">
        <v>94</v>
      </c>
      <c r="B313">
        <v>824960</v>
      </c>
      <c r="C313" t="s">
        <v>6945</v>
      </c>
      <c r="D313" t="s">
        <v>95</v>
      </c>
      <c r="E313" t="s">
        <v>6939</v>
      </c>
      <c r="F313">
        <v>1</v>
      </c>
      <c r="G313">
        <v>2</v>
      </c>
      <c r="H313" t="s">
        <v>7553</v>
      </c>
      <c r="J313" t="s">
        <v>1951</v>
      </c>
      <c r="M313" t="s">
        <v>7554</v>
      </c>
      <c r="N313">
        <v>2.2220813349999999</v>
      </c>
      <c r="O313">
        <v>6.5440947090000003</v>
      </c>
      <c r="P313">
        <v>0.58228215500000002</v>
      </c>
      <c r="Q313">
        <v>0.35188233000000002</v>
      </c>
      <c r="S313" s="13">
        <v>-1.0401441259999999</v>
      </c>
      <c r="T313">
        <v>1.380000941</v>
      </c>
      <c r="U313">
        <v>-2.448291E-2</v>
      </c>
    </row>
    <row r="314" spans="1:21" x14ac:dyDescent="0.2">
      <c r="A314" t="s">
        <v>465</v>
      </c>
      <c r="B314">
        <v>680760</v>
      </c>
      <c r="C314" t="s">
        <v>6961</v>
      </c>
      <c r="D314" t="s">
        <v>466</v>
      </c>
      <c r="E314" t="s">
        <v>6939</v>
      </c>
      <c r="F314">
        <v>8</v>
      </c>
      <c r="G314">
        <v>2</v>
      </c>
      <c r="H314" t="s">
        <v>7555</v>
      </c>
      <c r="J314" t="s">
        <v>5203</v>
      </c>
      <c r="M314" t="s">
        <v>7556</v>
      </c>
      <c r="N314">
        <v>2.7247480949999998</v>
      </c>
      <c r="O314">
        <v>7.0822175119999997</v>
      </c>
      <c r="P314">
        <v>0.61298291999999999</v>
      </c>
      <c r="Q314">
        <v>0.48262032500000002</v>
      </c>
      <c r="S314" s="13">
        <v>-1.0408948419999999</v>
      </c>
      <c r="T314">
        <v>1.376720486</v>
      </c>
      <c r="U314">
        <v>-1.6206720000000001E-2</v>
      </c>
    </row>
    <row r="315" spans="1:21" x14ac:dyDescent="0.2">
      <c r="A315" t="s">
        <v>267</v>
      </c>
      <c r="B315">
        <v>680560</v>
      </c>
      <c r="C315" t="s">
        <v>6961</v>
      </c>
      <c r="D315" t="s">
        <v>268</v>
      </c>
      <c r="E315" t="s">
        <v>6911</v>
      </c>
      <c r="F315">
        <v>2</v>
      </c>
      <c r="G315">
        <v>12</v>
      </c>
      <c r="H315" t="s">
        <v>7557</v>
      </c>
      <c r="J315" t="s">
        <v>1419</v>
      </c>
      <c r="M315" t="s">
        <v>7558</v>
      </c>
      <c r="N315">
        <v>2.7247480949999998</v>
      </c>
      <c r="O315">
        <v>7.0822175119999997</v>
      </c>
      <c r="P315">
        <v>0.61298291999999999</v>
      </c>
      <c r="Q315">
        <v>0.48262032500000002</v>
      </c>
      <c r="S315" s="13">
        <v>-1.0410531649999999</v>
      </c>
      <c r="T315">
        <v>1.3760286509999999</v>
      </c>
      <c r="U315">
        <v>-1.630444E-2</v>
      </c>
    </row>
    <row r="316" spans="1:21" x14ac:dyDescent="0.2">
      <c r="A316" t="s">
        <v>537</v>
      </c>
      <c r="B316">
        <v>941000</v>
      </c>
      <c r="C316" t="s">
        <v>6927</v>
      </c>
      <c r="D316" t="s">
        <v>538</v>
      </c>
      <c r="E316" t="s">
        <v>6928</v>
      </c>
      <c r="F316">
        <v>8</v>
      </c>
      <c r="G316">
        <v>16</v>
      </c>
      <c r="H316" t="s">
        <v>7559</v>
      </c>
      <c r="J316" t="s">
        <v>7560</v>
      </c>
      <c r="M316" t="s">
        <v>7561</v>
      </c>
      <c r="N316">
        <v>1.982575982</v>
      </c>
      <c r="O316">
        <v>3.4571926419999999</v>
      </c>
      <c r="P316">
        <v>-0.114791479</v>
      </c>
      <c r="Q316">
        <v>1.868949E-3</v>
      </c>
      <c r="S316" s="13">
        <v>-1.041328574</v>
      </c>
      <c r="T316">
        <v>1.374825175</v>
      </c>
      <c r="U316">
        <v>-1.6138328E-2</v>
      </c>
    </row>
    <row r="317" spans="1:21" x14ac:dyDescent="0.2">
      <c r="A317" t="s">
        <v>839</v>
      </c>
      <c r="B317">
        <v>940960</v>
      </c>
      <c r="C317" t="s">
        <v>6927</v>
      </c>
      <c r="D317" t="s">
        <v>840</v>
      </c>
      <c r="E317" t="s">
        <v>6928</v>
      </c>
      <c r="F317">
        <v>5</v>
      </c>
      <c r="G317">
        <v>16</v>
      </c>
      <c r="H317" t="s">
        <v>7562</v>
      </c>
      <c r="J317" t="s">
        <v>7563</v>
      </c>
      <c r="M317" t="s">
        <v>7564</v>
      </c>
      <c r="N317">
        <v>1.982575982</v>
      </c>
      <c r="O317">
        <v>3.4571926419999999</v>
      </c>
      <c r="P317">
        <v>-0.114791479</v>
      </c>
      <c r="Q317">
        <v>1.868949E-3</v>
      </c>
      <c r="S317" s="13">
        <v>-1.041370079</v>
      </c>
      <c r="T317">
        <v>1.3746438080000001</v>
      </c>
      <c r="U317">
        <v>-1.6157867999999999E-2</v>
      </c>
    </row>
    <row r="318" spans="1:21" x14ac:dyDescent="0.2">
      <c r="A318" t="s">
        <v>158</v>
      </c>
      <c r="B318">
        <v>818000</v>
      </c>
      <c r="C318" t="s">
        <v>6906</v>
      </c>
      <c r="D318" t="s">
        <v>158</v>
      </c>
      <c r="E318" t="s">
        <v>6918</v>
      </c>
      <c r="F318">
        <v>24</v>
      </c>
      <c r="G318">
        <v>1</v>
      </c>
      <c r="H318" t="s">
        <v>7565</v>
      </c>
      <c r="J318" t="s">
        <v>655</v>
      </c>
      <c r="M318" t="s">
        <v>7566</v>
      </c>
      <c r="N318">
        <v>1.813871112</v>
      </c>
      <c r="O318">
        <v>2.6633694910000001</v>
      </c>
      <c r="P318">
        <v>-0.29586356800000002</v>
      </c>
      <c r="Q318">
        <v>-0.59018158399999998</v>
      </c>
      <c r="S318" s="13">
        <v>-1.041984622</v>
      </c>
      <c r="T318">
        <v>1.3719583959999999</v>
      </c>
      <c r="U318">
        <v>-3.9993807999999999E-2</v>
      </c>
    </row>
    <row r="319" spans="1:21" x14ac:dyDescent="0.2">
      <c r="A319" t="s">
        <v>551</v>
      </c>
      <c r="B319">
        <v>822880</v>
      </c>
      <c r="C319" t="s">
        <v>6945</v>
      </c>
      <c r="D319" t="s">
        <v>551</v>
      </c>
      <c r="E319" t="s">
        <v>6928</v>
      </c>
      <c r="F319">
        <v>11</v>
      </c>
      <c r="G319">
        <v>16</v>
      </c>
      <c r="H319" t="s">
        <v>7567</v>
      </c>
      <c r="J319" t="s">
        <v>5791</v>
      </c>
      <c r="M319" t="s">
        <v>7568</v>
      </c>
      <c r="N319">
        <v>2.2220813349999999</v>
      </c>
      <c r="O319">
        <v>6.5440947090000003</v>
      </c>
      <c r="P319">
        <v>0.58228215500000002</v>
      </c>
      <c r="Q319">
        <v>0.35188233000000002</v>
      </c>
      <c r="S319" s="13">
        <v>-1.042106057</v>
      </c>
      <c r="T319">
        <v>1.3714277509999999</v>
      </c>
      <c r="U319">
        <v>-2.5519877E-2</v>
      </c>
    </row>
    <row r="320" spans="1:21" x14ac:dyDescent="0.2">
      <c r="A320" t="s">
        <v>385</v>
      </c>
      <c r="B320">
        <v>1004280</v>
      </c>
      <c r="C320" t="s">
        <v>6953</v>
      </c>
      <c r="D320" t="s">
        <v>386</v>
      </c>
      <c r="E320" t="s">
        <v>6928</v>
      </c>
      <c r="F320">
        <v>7</v>
      </c>
      <c r="G320">
        <v>16</v>
      </c>
      <c r="H320" t="s">
        <v>7569</v>
      </c>
      <c r="J320" t="s">
        <v>4449</v>
      </c>
      <c r="M320" t="s">
        <v>7570</v>
      </c>
      <c r="N320">
        <v>1.921480887</v>
      </c>
      <c r="O320">
        <v>3.0856645180000002</v>
      </c>
      <c r="P320">
        <v>0.44706724399999997</v>
      </c>
      <c r="Q320">
        <v>-0.354940863</v>
      </c>
      <c r="S320" s="13">
        <v>-1.0431444169999999</v>
      </c>
      <c r="T320">
        <v>1.3668903590000001</v>
      </c>
      <c r="U320">
        <v>2.1154559E-2</v>
      </c>
    </row>
    <row r="321" spans="1:21" x14ac:dyDescent="0.2">
      <c r="A321" t="s">
        <v>2421</v>
      </c>
      <c r="B321">
        <v>677800</v>
      </c>
      <c r="C321" t="s">
        <v>6961</v>
      </c>
      <c r="D321" t="s">
        <v>2422</v>
      </c>
      <c r="E321" t="s">
        <v>7085</v>
      </c>
      <c r="F321">
        <v>8</v>
      </c>
      <c r="G321">
        <v>9</v>
      </c>
      <c r="H321" t="s">
        <v>7571</v>
      </c>
      <c r="J321" t="s">
        <v>3548</v>
      </c>
      <c r="M321" t="s">
        <v>7572</v>
      </c>
      <c r="N321">
        <v>2.7247480949999998</v>
      </c>
      <c r="O321">
        <v>7.0822175119999997</v>
      </c>
      <c r="P321">
        <v>0.61298291999999999</v>
      </c>
      <c r="Q321">
        <v>0.48262032500000002</v>
      </c>
      <c r="S321" s="13">
        <v>-1.043238023</v>
      </c>
      <c r="T321">
        <v>1.366481321</v>
      </c>
      <c r="U321">
        <v>-1.7655233999999999E-2</v>
      </c>
    </row>
    <row r="322" spans="1:21" x14ac:dyDescent="0.2">
      <c r="A322" t="s">
        <v>554</v>
      </c>
      <c r="B322">
        <v>901040</v>
      </c>
      <c r="C322" t="s">
        <v>6910</v>
      </c>
      <c r="D322" t="s">
        <v>555</v>
      </c>
      <c r="E322" t="s">
        <v>6928</v>
      </c>
      <c r="F322">
        <v>3</v>
      </c>
      <c r="G322">
        <v>16</v>
      </c>
      <c r="H322" t="s">
        <v>7573</v>
      </c>
      <c r="J322" t="s">
        <v>4076</v>
      </c>
      <c r="M322" t="s">
        <v>7574</v>
      </c>
      <c r="N322">
        <v>1.9874741039999999</v>
      </c>
      <c r="O322">
        <v>3.7453511220000002</v>
      </c>
      <c r="P322">
        <v>0.451009722</v>
      </c>
      <c r="Q322">
        <v>-0.102386592</v>
      </c>
      <c r="S322" s="13">
        <v>-1.043261679</v>
      </c>
      <c r="T322">
        <v>1.3663779490000001</v>
      </c>
      <c r="U322">
        <v>1.9276709999999999E-2</v>
      </c>
    </row>
    <row r="323" spans="1:21" x14ac:dyDescent="0.2">
      <c r="A323" t="s">
        <v>1150</v>
      </c>
      <c r="B323">
        <v>677400</v>
      </c>
      <c r="C323" t="s">
        <v>6961</v>
      </c>
      <c r="D323" t="s">
        <v>1150</v>
      </c>
      <c r="E323" t="s">
        <v>7006</v>
      </c>
      <c r="F323">
        <v>16</v>
      </c>
      <c r="G323">
        <v>3</v>
      </c>
      <c r="H323" t="s">
        <v>7575</v>
      </c>
      <c r="J323" t="s">
        <v>6367</v>
      </c>
      <c r="M323" t="s">
        <v>7576</v>
      </c>
      <c r="N323">
        <v>2.7247480949999998</v>
      </c>
      <c r="O323">
        <v>7.0822175119999997</v>
      </c>
      <c r="P323">
        <v>0.61298291999999999</v>
      </c>
      <c r="Q323">
        <v>0.48262032500000002</v>
      </c>
      <c r="S323" s="13">
        <v>-1.0435546689999999</v>
      </c>
      <c r="T323">
        <v>1.3650976500000001</v>
      </c>
      <c r="U323">
        <v>-1.7851349999999998E-2</v>
      </c>
    </row>
    <row r="324" spans="1:21" x14ac:dyDescent="0.2">
      <c r="A324" t="s">
        <v>1617</v>
      </c>
      <c r="B324">
        <v>677000</v>
      </c>
      <c r="C324" t="s">
        <v>6961</v>
      </c>
      <c r="D324" t="s">
        <v>1617</v>
      </c>
      <c r="E324" t="s">
        <v>7115</v>
      </c>
      <c r="F324">
        <v>16</v>
      </c>
      <c r="G324">
        <v>10</v>
      </c>
      <c r="H324" t="s">
        <v>7577</v>
      </c>
      <c r="J324" t="s">
        <v>4570</v>
      </c>
      <c r="M324" t="s">
        <v>7578</v>
      </c>
      <c r="N324">
        <v>2.7247480949999998</v>
      </c>
      <c r="O324">
        <v>7.0822175119999997</v>
      </c>
      <c r="P324">
        <v>0.61298291999999999</v>
      </c>
      <c r="Q324">
        <v>0.48262032500000002</v>
      </c>
      <c r="S324" s="13">
        <v>-1.0438713150000001</v>
      </c>
      <c r="T324">
        <v>1.3637139789999999</v>
      </c>
      <c r="U324">
        <v>-1.8047555E-2</v>
      </c>
    </row>
    <row r="325" spans="1:21" x14ac:dyDescent="0.2">
      <c r="A325" t="s">
        <v>1275</v>
      </c>
      <c r="B325">
        <v>675160</v>
      </c>
      <c r="C325" t="s">
        <v>6961</v>
      </c>
      <c r="D325" t="s">
        <v>1276</v>
      </c>
      <c r="E325" t="s">
        <v>7085</v>
      </c>
      <c r="F325">
        <v>5</v>
      </c>
      <c r="G325">
        <v>9</v>
      </c>
      <c r="H325" t="s">
        <v>7579</v>
      </c>
      <c r="J325" t="s">
        <v>6479</v>
      </c>
      <c r="M325" t="s">
        <v>7580</v>
      </c>
      <c r="N325">
        <v>2.7247480949999998</v>
      </c>
      <c r="O325">
        <v>7.0822175119999997</v>
      </c>
      <c r="P325">
        <v>0.61298291999999999</v>
      </c>
      <c r="Q325">
        <v>0.48262032500000002</v>
      </c>
      <c r="S325" s="13">
        <v>-1.045327887</v>
      </c>
      <c r="T325">
        <v>1.357349092</v>
      </c>
      <c r="U325">
        <v>-1.8951240000000001E-2</v>
      </c>
    </row>
    <row r="326" spans="1:21" x14ac:dyDescent="0.2">
      <c r="A326" t="s">
        <v>1330</v>
      </c>
      <c r="B326">
        <v>674000</v>
      </c>
      <c r="C326" t="s">
        <v>6961</v>
      </c>
      <c r="D326" t="s">
        <v>1330</v>
      </c>
      <c r="E326" t="s">
        <v>6915</v>
      </c>
      <c r="F326">
        <v>23</v>
      </c>
      <c r="G326">
        <v>13</v>
      </c>
      <c r="H326" t="s">
        <v>7581</v>
      </c>
      <c r="J326" t="s">
        <v>6347</v>
      </c>
      <c r="M326" t="s">
        <v>7582</v>
      </c>
      <c r="N326">
        <v>2.7247480949999998</v>
      </c>
      <c r="O326">
        <v>7.0822175119999997</v>
      </c>
      <c r="P326">
        <v>0.61298291999999999</v>
      </c>
      <c r="Q326">
        <v>0.48262032500000002</v>
      </c>
      <c r="S326" s="13">
        <v>-1.046246161</v>
      </c>
      <c r="T326">
        <v>1.3533364459999999</v>
      </c>
      <c r="U326">
        <v>-1.9521923E-2</v>
      </c>
    </row>
    <row r="327" spans="1:21" x14ac:dyDescent="0.2">
      <c r="A327" t="s">
        <v>218</v>
      </c>
      <c r="B327">
        <v>673840</v>
      </c>
      <c r="C327" t="s">
        <v>6961</v>
      </c>
      <c r="D327" t="s">
        <v>218</v>
      </c>
      <c r="E327" t="s">
        <v>6918</v>
      </c>
      <c r="F327">
        <v>22</v>
      </c>
      <c r="G327">
        <v>1</v>
      </c>
      <c r="H327" t="s">
        <v>7583</v>
      </c>
      <c r="J327" t="s">
        <v>2144</v>
      </c>
      <c r="M327" t="s">
        <v>7584</v>
      </c>
      <c r="N327">
        <v>2.7247480949999998</v>
      </c>
      <c r="O327">
        <v>7.0822175119999997</v>
      </c>
      <c r="P327">
        <v>0.61298291999999999</v>
      </c>
      <c r="Q327">
        <v>0.48262032500000002</v>
      </c>
      <c r="S327" s="13">
        <v>-1.0463728189999999</v>
      </c>
      <c r="T327">
        <v>1.352782978</v>
      </c>
      <c r="U327">
        <v>-1.9600697E-2</v>
      </c>
    </row>
    <row r="328" spans="1:21" x14ac:dyDescent="0.2">
      <c r="A328" t="s">
        <v>1739</v>
      </c>
      <c r="B328">
        <v>673200</v>
      </c>
      <c r="C328" t="s">
        <v>6961</v>
      </c>
      <c r="D328" t="s">
        <v>1739</v>
      </c>
      <c r="E328" t="s">
        <v>7085</v>
      </c>
      <c r="F328">
        <v>10</v>
      </c>
      <c r="G328">
        <v>9</v>
      </c>
      <c r="H328" t="s">
        <v>7585</v>
      </c>
      <c r="J328" t="s">
        <v>4772</v>
      </c>
      <c r="M328" t="s">
        <v>7586</v>
      </c>
      <c r="N328">
        <v>2.7247480949999998</v>
      </c>
      <c r="O328">
        <v>7.0822175119999997</v>
      </c>
      <c r="P328">
        <v>0.61298291999999999</v>
      </c>
      <c r="Q328">
        <v>0.48262032500000002</v>
      </c>
      <c r="S328" s="13">
        <v>-1.0468794530000001</v>
      </c>
      <c r="T328">
        <v>1.3505691040000001</v>
      </c>
      <c r="U328">
        <v>-1.9915934999999999E-2</v>
      </c>
    </row>
    <row r="329" spans="1:21" x14ac:dyDescent="0.2">
      <c r="A329" t="s">
        <v>124</v>
      </c>
      <c r="B329">
        <v>897200</v>
      </c>
      <c r="C329" t="s">
        <v>6910</v>
      </c>
      <c r="D329" t="s">
        <v>125</v>
      </c>
      <c r="E329" t="s">
        <v>6918</v>
      </c>
      <c r="F329">
        <v>7</v>
      </c>
      <c r="G329">
        <v>1</v>
      </c>
      <c r="H329" t="s">
        <v>7587</v>
      </c>
      <c r="J329" t="s">
        <v>1203</v>
      </c>
      <c r="M329" t="s">
        <v>7588</v>
      </c>
      <c r="N329">
        <v>1.9874741039999999</v>
      </c>
      <c r="O329">
        <v>3.7453511220000002</v>
      </c>
      <c r="P329">
        <v>0.451009722</v>
      </c>
      <c r="Q329">
        <v>-0.102386592</v>
      </c>
      <c r="S329" s="13">
        <v>-1.04739311</v>
      </c>
      <c r="T329">
        <v>1.3483245399999999</v>
      </c>
      <c r="U329">
        <v>1.7544420000000002E-2</v>
      </c>
    </row>
    <row r="330" spans="1:21" x14ac:dyDescent="0.2">
      <c r="A330" t="s">
        <v>491</v>
      </c>
      <c r="B330">
        <v>672520</v>
      </c>
      <c r="C330" t="s">
        <v>6961</v>
      </c>
      <c r="D330" t="s">
        <v>491</v>
      </c>
      <c r="E330" t="s">
        <v>6924</v>
      </c>
      <c r="F330">
        <v>15</v>
      </c>
      <c r="G330">
        <v>6</v>
      </c>
      <c r="H330" t="s">
        <v>7589</v>
      </c>
      <c r="J330" t="s">
        <v>3726</v>
      </c>
      <c r="M330" t="s">
        <v>7590</v>
      </c>
      <c r="N330">
        <v>2.7247480949999998</v>
      </c>
      <c r="O330">
        <v>7.0822175119999997</v>
      </c>
      <c r="P330">
        <v>0.61298291999999999</v>
      </c>
      <c r="Q330">
        <v>0.48262032500000002</v>
      </c>
      <c r="S330" s="13">
        <v>-1.047417751</v>
      </c>
      <c r="T330">
        <v>1.348216863</v>
      </c>
      <c r="U330">
        <v>-2.0251126000000001E-2</v>
      </c>
    </row>
    <row r="331" spans="1:21" x14ac:dyDescent="0.2">
      <c r="A331" t="s">
        <v>441</v>
      </c>
      <c r="B331">
        <v>671160</v>
      </c>
      <c r="C331" t="s">
        <v>6961</v>
      </c>
      <c r="D331" t="s">
        <v>442</v>
      </c>
      <c r="E331" t="s">
        <v>6907</v>
      </c>
      <c r="F331">
        <v>7</v>
      </c>
      <c r="G331">
        <v>4</v>
      </c>
      <c r="H331" t="s">
        <v>7591</v>
      </c>
      <c r="J331" t="s">
        <v>6543</v>
      </c>
      <c r="M331" t="s">
        <v>7592</v>
      </c>
      <c r="N331">
        <v>2.7247480949999998</v>
      </c>
      <c r="O331">
        <v>7.0822175119999997</v>
      </c>
      <c r="P331">
        <v>0.61298291999999999</v>
      </c>
      <c r="Q331">
        <v>0.48262032500000002</v>
      </c>
      <c r="S331" s="13">
        <v>-1.048494348</v>
      </c>
      <c r="T331">
        <v>1.3435123819999999</v>
      </c>
      <c r="U331">
        <v>-2.0922285999999998E-2</v>
      </c>
    </row>
    <row r="332" spans="1:21" x14ac:dyDescent="0.2">
      <c r="A332" t="s">
        <v>1736</v>
      </c>
      <c r="B332">
        <v>816000</v>
      </c>
      <c r="C332" t="s">
        <v>6945</v>
      </c>
      <c r="D332" t="s">
        <v>1736</v>
      </c>
      <c r="E332" t="s">
        <v>6924</v>
      </c>
      <c r="F332">
        <v>16</v>
      </c>
      <c r="G332">
        <v>6</v>
      </c>
      <c r="H332" t="s">
        <v>7593</v>
      </c>
      <c r="J332" t="s">
        <v>3819</v>
      </c>
      <c r="M332" t="s">
        <v>7594</v>
      </c>
      <c r="N332">
        <v>2.2220813349999999</v>
      </c>
      <c r="O332">
        <v>6.5440947090000003</v>
      </c>
      <c r="P332">
        <v>0.58228215500000002</v>
      </c>
      <c r="Q332">
        <v>0.35188233000000002</v>
      </c>
      <c r="S332" s="13">
        <v>-1.0485955220000001</v>
      </c>
      <c r="T332">
        <v>1.343070276</v>
      </c>
      <c r="U332">
        <v>-2.8967591000000001E-2</v>
      </c>
    </row>
    <row r="333" spans="1:21" x14ac:dyDescent="0.2">
      <c r="A333" t="s">
        <v>775</v>
      </c>
      <c r="B333">
        <v>779240</v>
      </c>
      <c r="C333" t="s">
        <v>6931</v>
      </c>
      <c r="D333" t="s">
        <v>776</v>
      </c>
      <c r="E333" t="s">
        <v>6939</v>
      </c>
      <c r="F333">
        <v>2</v>
      </c>
      <c r="G333">
        <v>2</v>
      </c>
      <c r="H333" t="s">
        <v>7595</v>
      </c>
      <c r="J333" t="s">
        <v>3935</v>
      </c>
      <c r="M333" t="s">
        <v>7596</v>
      </c>
      <c r="N333">
        <v>1.9323965059999999</v>
      </c>
      <c r="O333">
        <v>3.0528020530000002</v>
      </c>
      <c r="P333">
        <v>2.6493138999999999E-2</v>
      </c>
      <c r="Q333">
        <v>-0.38692188</v>
      </c>
      <c r="S333" s="13">
        <v>-1.0486039030000001</v>
      </c>
      <c r="T333">
        <v>1.343033653</v>
      </c>
      <c r="U333">
        <v>-8.29139E-4</v>
      </c>
    </row>
    <row r="334" spans="1:21" x14ac:dyDescent="0.2">
      <c r="A334" t="s">
        <v>2315</v>
      </c>
      <c r="B334">
        <v>668640</v>
      </c>
      <c r="C334" t="s">
        <v>6961</v>
      </c>
      <c r="D334" t="s">
        <v>2316</v>
      </c>
      <c r="E334" t="s">
        <v>6911</v>
      </c>
      <c r="F334">
        <v>4</v>
      </c>
      <c r="G334">
        <v>12</v>
      </c>
      <c r="H334" t="s">
        <v>7597</v>
      </c>
      <c r="J334" t="s">
        <v>5395</v>
      </c>
      <c r="M334" t="s">
        <v>7598</v>
      </c>
      <c r="N334">
        <v>2.7247480949999998</v>
      </c>
      <c r="O334">
        <v>7.0822175119999997</v>
      </c>
      <c r="P334">
        <v>0.61298291999999999</v>
      </c>
      <c r="Q334">
        <v>0.48262032500000002</v>
      </c>
      <c r="S334" s="13">
        <v>-1.0504892180000001</v>
      </c>
      <c r="T334">
        <v>1.334795255</v>
      </c>
      <c r="U334">
        <v>-2.2168653E-2</v>
      </c>
    </row>
    <row r="335" spans="1:21" x14ac:dyDescent="0.2">
      <c r="A335" t="s">
        <v>295</v>
      </c>
      <c r="B335">
        <v>777800</v>
      </c>
      <c r="C335" t="s">
        <v>6931</v>
      </c>
      <c r="D335" t="s">
        <v>295</v>
      </c>
      <c r="E335" t="s">
        <v>6911</v>
      </c>
      <c r="F335">
        <v>20</v>
      </c>
      <c r="G335">
        <v>12</v>
      </c>
      <c r="H335" t="s">
        <v>7599</v>
      </c>
      <c r="N335">
        <v>1.9323965059999999</v>
      </c>
      <c r="O335">
        <v>3.0528020530000002</v>
      </c>
      <c r="P335">
        <v>2.6493138999999999E-2</v>
      </c>
      <c r="Q335">
        <v>-0.38692188</v>
      </c>
      <c r="S335" s="13">
        <v>-1.0504960249999999</v>
      </c>
      <c r="T335">
        <v>1.3347655089999999</v>
      </c>
      <c r="U335">
        <v>-1.5087049999999999E-3</v>
      </c>
    </row>
    <row r="336" spans="1:21" x14ac:dyDescent="0.2">
      <c r="A336" t="s">
        <v>1436</v>
      </c>
      <c r="B336">
        <v>932160</v>
      </c>
      <c r="C336" t="s">
        <v>6927</v>
      </c>
      <c r="D336" t="s">
        <v>1437</v>
      </c>
      <c r="E336" t="s">
        <v>6907</v>
      </c>
      <c r="F336">
        <v>6</v>
      </c>
      <c r="G336">
        <v>4</v>
      </c>
      <c r="H336" t="s">
        <v>7600</v>
      </c>
      <c r="J336" t="s">
        <v>6893</v>
      </c>
      <c r="M336" t="s">
        <v>7601</v>
      </c>
      <c r="N336">
        <v>1.982575982</v>
      </c>
      <c r="O336">
        <v>3.4571926419999999</v>
      </c>
      <c r="P336">
        <v>-0.114791479</v>
      </c>
      <c r="Q336">
        <v>1.868949E-3</v>
      </c>
      <c r="S336" s="13">
        <v>-1.050501173</v>
      </c>
      <c r="T336">
        <v>1.3347430170000001</v>
      </c>
      <c r="U336">
        <v>-2.047802E-2</v>
      </c>
    </row>
    <row r="337" spans="1:21" x14ac:dyDescent="0.2">
      <c r="A337" t="s">
        <v>361</v>
      </c>
      <c r="B337">
        <v>894040</v>
      </c>
      <c r="C337" t="s">
        <v>6910</v>
      </c>
      <c r="D337" t="s">
        <v>361</v>
      </c>
      <c r="E337" t="s">
        <v>6921</v>
      </c>
      <c r="F337">
        <v>21</v>
      </c>
      <c r="G337">
        <v>8</v>
      </c>
      <c r="H337" t="s">
        <v>7602</v>
      </c>
      <c r="J337" t="s">
        <v>363</v>
      </c>
      <c r="M337" t="s">
        <v>7603</v>
      </c>
      <c r="N337">
        <v>1.9874741039999999</v>
      </c>
      <c r="O337">
        <v>3.7453511220000002</v>
      </c>
      <c r="P337">
        <v>0.451009722</v>
      </c>
      <c r="Q337">
        <v>-0.102386592</v>
      </c>
      <c r="S337" s="13">
        <v>-1.050792934</v>
      </c>
      <c r="T337">
        <v>1.3334680880000001</v>
      </c>
      <c r="U337">
        <v>1.6113689E-2</v>
      </c>
    </row>
    <row r="338" spans="1:21" x14ac:dyDescent="0.2">
      <c r="A338" t="s">
        <v>1688</v>
      </c>
      <c r="B338">
        <v>667800</v>
      </c>
      <c r="C338" t="s">
        <v>6961</v>
      </c>
      <c r="D338" t="s">
        <v>1688</v>
      </c>
      <c r="E338" t="s">
        <v>6915</v>
      </c>
      <c r="F338">
        <v>22</v>
      </c>
      <c r="G338">
        <v>13</v>
      </c>
      <c r="H338" t="s">
        <v>7604</v>
      </c>
      <c r="J338" t="s">
        <v>5177</v>
      </c>
      <c r="M338" t="s">
        <v>7605</v>
      </c>
      <c r="N338">
        <v>2.7247480949999998</v>
      </c>
      <c r="O338">
        <v>7.0822175119999997</v>
      </c>
      <c r="P338">
        <v>0.61298291999999999</v>
      </c>
      <c r="Q338">
        <v>0.48262032500000002</v>
      </c>
      <c r="S338" s="13">
        <v>-1.051154175</v>
      </c>
      <c r="T338">
        <v>1.3318895449999999</v>
      </c>
      <c r="U338">
        <v>-2.2584904999999999E-2</v>
      </c>
    </row>
    <row r="339" spans="1:21" x14ac:dyDescent="0.2">
      <c r="A339" t="s">
        <v>577</v>
      </c>
      <c r="B339">
        <v>812560</v>
      </c>
      <c r="C339" t="s">
        <v>6945</v>
      </c>
      <c r="D339" t="s">
        <v>578</v>
      </c>
      <c r="E339" t="s">
        <v>7115</v>
      </c>
      <c r="F339">
        <v>1</v>
      </c>
      <c r="G339">
        <v>10</v>
      </c>
      <c r="H339" t="s">
        <v>7606</v>
      </c>
      <c r="J339" t="s">
        <v>580</v>
      </c>
      <c r="M339" t="s">
        <v>7607</v>
      </c>
      <c r="N339">
        <v>2.2220813349999999</v>
      </c>
      <c r="O339">
        <v>6.5440947090000003</v>
      </c>
      <c r="P339">
        <v>0.58228215500000002</v>
      </c>
      <c r="Q339">
        <v>0.35188233000000002</v>
      </c>
      <c r="S339" s="13">
        <v>-1.051840254</v>
      </c>
      <c r="T339">
        <v>1.328891539</v>
      </c>
      <c r="U339">
        <v>-3.0701767000000001E-2</v>
      </c>
    </row>
    <row r="340" spans="1:21" x14ac:dyDescent="0.2">
      <c r="A340" t="s">
        <v>225</v>
      </c>
      <c r="B340">
        <v>811480</v>
      </c>
      <c r="C340" t="s">
        <v>6945</v>
      </c>
      <c r="D340" t="s">
        <v>225</v>
      </c>
      <c r="E340" t="s">
        <v>6918</v>
      </c>
      <c r="F340">
        <v>20</v>
      </c>
      <c r="G340">
        <v>1</v>
      </c>
      <c r="H340" t="s">
        <v>7608</v>
      </c>
      <c r="J340" t="s">
        <v>4366</v>
      </c>
      <c r="M340" t="s">
        <v>7609</v>
      </c>
      <c r="N340">
        <v>2.2220813349999999</v>
      </c>
      <c r="O340">
        <v>6.5440947090000003</v>
      </c>
      <c r="P340">
        <v>0.58228215500000002</v>
      </c>
      <c r="Q340">
        <v>0.35188233000000002</v>
      </c>
      <c r="S340" s="13">
        <v>-1.0528589479999999</v>
      </c>
      <c r="T340">
        <v>1.324440075</v>
      </c>
      <c r="U340">
        <v>-3.1247648999999999E-2</v>
      </c>
    </row>
    <row r="341" spans="1:21" x14ac:dyDescent="0.2">
      <c r="A341" t="s">
        <v>1368</v>
      </c>
      <c r="B341">
        <v>664840</v>
      </c>
      <c r="C341" t="s">
        <v>6961</v>
      </c>
      <c r="D341" t="s">
        <v>1368</v>
      </c>
      <c r="E341" t="s">
        <v>6956</v>
      </c>
      <c r="F341">
        <v>16</v>
      </c>
      <c r="G341">
        <v>7</v>
      </c>
      <c r="H341" t="s">
        <v>7610</v>
      </c>
      <c r="J341" t="s">
        <v>1763</v>
      </c>
      <c r="M341" t="s">
        <v>7611</v>
      </c>
      <c r="N341">
        <v>2.7247480949999998</v>
      </c>
      <c r="O341">
        <v>7.0822175119999997</v>
      </c>
      <c r="P341">
        <v>0.61298291999999999</v>
      </c>
      <c r="Q341">
        <v>0.48262032500000002</v>
      </c>
      <c r="S341" s="13">
        <v>-1.0534973560000001</v>
      </c>
      <c r="T341">
        <v>1.3216503799999999</v>
      </c>
      <c r="U341">
        <v>-2.4054886000000001E-2</v>
      </c>
    </row>
    <row r="342" spans="1:21" x14ac:dyDescent="0.2">
      <c r="A342" t="s">
        <v>598</v>
      </c>
      <c r="B342">
        <v>1003160</v>
      </c>
      <c r="C342" t="s">
        <v>6938</v>
      </c>
      <c r="D342" t="s">
        <v>598</v>
      </c>
      <c r="E342" t="s">
        <v>7006</v>
      </c>
      <c r="F342">
        <v>22</v>
      </c>
      <c r="G342">
        <v>3</v>
      </c>
      <c r="H342" t="s">
        <v>7612</v>
      </c>
      <c r="J342" t="s">
        <v>5221</v>
      </c>
      <c r="M342" t="s">
        <v>7613</v>
      </c>
      <c r="N342">
        <v>2.092758737</v>
      </c>
      <c r="O342">
        <v>5.3323610669999999</v>
      </c>
      <c r="P342">
        <v>0.70420098600000003</v>
      </c>
      <c r="Q342">
        <v>0.41355372699999998</v>
      </c>
      <c r="S342" s="13">
        <v>-1.0535898319999999</v>
      </c>
      <c r="T342">
        <v>1.321246283</v>
      </c>
      <c r="U342">
        <v>-2.6815670000000002E-3</v>
      </c>
    </row>
    <row r="343" spans="1:21" x14ac:dyDescent="0.2">
      <c r="A343" t="s">
        <v>94</v>
      </c>
      <c r="B343">
        <v>878720</v>
      </c>
      <c r="C343" t="s">
        <v>6942</v>
      </c>
      <c r="D343" t="s">
        <v>95</v>
      </c>
      <c r="E343" t="s">
        <v>6939</v>
      </c>
      <c r="F343">
        <v>1</v>
      </c>
      <c r="G343">
        <v>2</v>
      </c>
      <c r="H343" t="s">
        <v>7614</v>
      </c>
      <c r="J343" t="s">
        <v>4964</v>
      </c>
      <c r="M343" t="s">
        <v>7615</v>
      </c>
      <c r="N343">
        <v>2.0902262079999998</v>
      </c>
      <c r="O343">
        <v>4.2704203920000001</v>
      </c>
      <c r="P343">
        <v>0.23425843900000001</v>
      </c>
      <c r="Q343">
        <v>1.6181978999999999E-2</v>
      </c>
      <c r="S343" s="13">
        <v>-1.054786722</v>
      </c>
      <c r="T343">
        <v>1.316016144</v>
      </c>
      <c r="U343">
        <v>-3.3041754E-2</v>
      </c>
    </row>
    <row r="344" spans="1:21" x14ac:dyDescent="0.2">
      <c r="A344" t="s">
        <v>1167</v>
      </c>
      <c r="B344">
        <v>809000</v>
      </c>
      <c r="C344" t="s">
        <v>6945</v>
      </c>
      <c r="D344" t="s">
        <v>1168</v>
      </c>
      <c r="E344" t="s">
        <v>7006</v>
      </c>
      <c r="F344">
        <v>5</v>
      </c>
      <c r="G344">
        <v>3</v>
      </c>
      <c r="H344" t="s">
        <v>7616</v>
      </c>
      <c r="J344" t="s">
        <v>3330</v>
      </c>
      <c r="M344" t="s">
        <v>7617</v>
      </c>
      <c r="N344">
        <v>2.2220813349999999</v>
      </c>
      <c r="O344">
        <v>6.5440947090000003</v>
      </c>
      <c r="P344">
        <v>0.58228215500000002</v>
      </c>
      <c r="Q344">
        <v>0.35188233000000002</v>
      </c>
      <c r="S344" s="13">
        <v>-1.055198174</v>
      </c>
      <c r="T344">
        <v>1.314218195</v>
      </c>
      <c r="U344">
        <v>-3.2503758000000001E-2</v>
      </c>
    </row>
    <row r="345" spans="1:21" x14ac:dyDescent="0.2">
      <c r="A345" t="s">
        <v>1595</v>
      </c>
      <c r="B345">
        <v>927280</v>
      </c>
      <c r="C345" t="s">
        <v>6927</v>
      </c>
      <c r="D345" t="s">
        <v>1595</v>
      </c>
      <c r="E345" t="s">
        <v>6974</v>
      </c>
      <c r="F345">
        <v>23</v>
      </c>
      <c r="G345">
        <v>15</v>
      </c>
      <c r="H345" t="s">
        <v>7618</v>
      </c>
      <c r="J345" t="s">
        <v>7619</v>
      </c>
      <c r="M345" t="s">
        <v>7620</v>
      </c>
      <c r="N345">
        <v>1.982575982</v>
      </c>
      <c r="O345">
        <v>3.4571926419999999</v>
      </c>
      <c r="P345">
        <v>-0.114791479</v>
      </c>
      <c r="Q345">
        <v>1.868949E-3</v>
      </c>
      <c r="S345" s="13">
        <v>-1.055564779</v>
      </c>
      <c r="T345">
        <v>1.312616215</v>
      </c>
      <c r="U345">
        <v>-2.2892394999999999E-2</v>
      </c>
    </row>
    <row r="346" spans="1:21" x14ac:dyDescent="0.2">
      <c r="A346" t="s">
        <v>2412</v>
      </c>
      <c r="B346">
        <v>661880</v>
      </c>
      <c r="C346" t="s">
        <v>6961</v>
      </c>
      <c r="D346" t="s">
        <v>2412</v>
      </c>
      <c r="E346" t="s">
        <v>6956</v>
      </c>
      <c r="F346">
        <v>14</v>
      </c>
      <c r="G346">
        <v>7</v>
      </c>
      <c r="H346" t="s">
        <v>7621</v>
      </c>
      <c r="J346" t="s">
        <v>3737</v>
      </c>
      <c r="M346" t="s">
        <v>7622</v>
      </c>
      <c r="N346">
        <v>2.7247480949999998</v>
      </c>
      <c r="O346">
        <v>7.0822175119999997</v>
      </c>
      <c r="P346">
        <v>0.61298291999999999</v>
      </c>
      <c r="Q346">
        <v>0.48262032500000002</v>
      </c>
      <c r="S346" s="13">
        <v>-1.0558405369999999</v>
      </c>
      <c r="T346">
        <v>1.3114112149999999</v>
      </c>
      <c r="U346">
        <v>-2.5529858999999998E-2</v>
      </c>
    </row>
    <row r="347" spans="1:21" x14ac:dyDescent="0.2">
      <c r="A347" t="s">
        <v>756</v>
      </c>
      <c r="B347">
        <v>807840</v>
      </c>
      <c r="C347" t="s">
        <v>6945</v>
      </c>
      <c r="D347" t="s">
        <v>756</v>
      </c>
      <c r="E347" t="s">
        <v>7085</v>
      </c>
      <c r="F347">
        <v>23</v>
      </c>
      <c r="G347">
        <v>9</v>
      </c>
      <c r="H347" t="s">
        <v>7623</v>
      </c>
      <c r="J347" t="s">
        <v>758</v>
      </c>
      <c r="M347" t="s">
        <v>7624</v>
      </c>
      <c r="N347">
        <v>2.2220813349999999</v>
      </c>
      <c r="O347">
        <v>6.5440947090000003</v>
      </c>
      <c r="P347">
        <v>0.58228215500000002</v>
      </c>
      <c r="Q347">
        <v>0.35188233000000002</v>
      </c>
      <c r="S347" s="13">
        <v>-1.0562923280000001</v>
      </c>
      <c r="T347">
        <v>1.309436993</v>
      </c>
      <c r="U347">
        <v>-3.3092543000000002E-2</v>
      </c>
    </row>
    <row r="348" spans="1:21" x14ac:dyDescent="0.2">
      <c r="A348" t="s">
        <v>1595</v>
      </c>
      <c r="B348">
        <v>888680</v>
      </c>
      <c r="C348" t="s">
        <v>6910</v>
      </c>
      <c r="D348" t="s">
        <v>1595</v>
      </c>
      <c r="E348" t="s">
        <v>6974</v>
      </c>
      <c r="F348">
        <v>23</v>
      </c>
      <c r="G348">
        <v>15</v>
      </c>
      <c r="H348" t="s">
        <v>7625</v>
      </c>
      <c r="J348" t="s">
        <v>4580</v>
      </c>
      <c r="M348" t="s">
        <v>7626</v>
      </c>
      <c r="N348">
        <v>1.9874741039999999</v>
      </c>
      <c r="O348">
        <v>3.7453511220000002</v>
      </c>
      <c r="P348">
        <v>0.451009722</v>
      </c>
      <c r="Q348">
        <v>-0.102386592</v>
      </c>
      <c r="S348" s="13">
        <v>-1.0565597229999999</v>
      </c>
      <c r="T348">
        <v>1.308268537</v>
      </c>
      <c r="U348">
        <v>1.3676048999999999E-2</v>
      </c>
    </row>
    <row r="349" spans="1:21" x14ac:dyDescent="0.2">
      <c r="A349" t="s">
        <v>2118</v>
      </c>
      <c r="B349">
        <v>660640</v>
      </c>
      <c r="C349" t="s">
        <v>6961</v>
      </c>
      <c r="D349" t="s">
        <v>2119</v>
      </c>
      <c r="E349" t="s">
        <v>6974</v>
      </c>
      <c r="F349">
        <v>4</v>
      </c>
      <c r="G349">
        <v>15</v>
      </c>
      <c r="H349" t="s">
        <v>7627</v>
      </c>
      <c r="J349" t="s">
        <v>5435</v>
      </c>
      <c r="M349" t="s">
        <v>7628</v>
      </c>
      <c r="N349">
        <v>2.7247480949999998</v>
      </c>
      <c r="O349">
        <v>7.0822175119999997</v>
      </c>
      <c r="P349">
        <v>0.61298291999999999</v>
      </c>
      <c r="Q349">
        <v>0.48262032500000002</v>
      </c>
      <c r="S349" s="13">
        <v>-1.05682214</v>
      </c>
      <c r="T349">
        <v>1.3071218339999999</v>
      </c>
      <c r="U349">
        <v>-2.6149246000000001E-2</v>
      </c>
    </row>
    <row r="350" spans="1:21" x14ac:dyDescent="0.2">
      <c r="A350" t="s">
        <v>63</v>
      </c>
      <c r="B350">
        <v>964200</v>
      </c>
      <c r="C350" t="s">
        <v>6914</v>
      </c>
      <c r="D350" t="s">
        <v>63</v>
      </c>
      <c r="E350" t="s">
        <v>6918</v>
      </c>
      <c r="F350">
        <v>23</v>
      </c>
      <c r="G350">
        <v>1</v>
      </c>
      <c r="H350" t="s">
        <v>7629</v>
      </c>
      <c r="J350" t="s">
        <v>852</v>
      </c>
      <c r="M350" t="s">
        <v>7630</v>
      </c>
      <c r="N350">
        <v>1.8217074179999999</v>
      </c>
      <c r="O350">
        <v>4.1700741289999996</v>
      </c>
      <c r="P350">
        <v>0.189705977</v>
      </c>
      <c r="Q350">
        <v>-1.7194070999999998E-2</v>
      </c>
      <c r="S350" s="13">
        <v>-1.057275505</v>
      </c>
      <c r="T350">
        <v>1.3051407349999999</v>
      </c>
      <c r="U350">
        <v>-4.4882435999999998E-2</v>
      </c>
    </row>
    <row r="351" spans="1:21" x14ac:dyDescent="0.2">
      <c r="A351" t="s">
        <v>912</v>
      </c>
      <c r="B351">
        <v>963840</v>
      </c>
      <c r="C351" t="s">
        <v>6914</v>
      </c>
      <c r="D351" t="s">
        <v>912</v>
      </c>
      <c r="E351" t="s">
        <v>6921</v>
      </c>
      <c r="F351">
        <v>23</v>
      </c>
      <c r="G351">
        <v>8</v>
      </c>
      <c r="H351" t="s">
        <v>7631</v>
      </c>
      <c r="J351" t="s">
        <v>2882</v>
      </c>
      <c r="M351" t="s">
        <v>7632</v>
      </c>
      <c r="N351">
        <v>1.8217074179999999</v>
      </c>
      <c r="O351">
        <v>4.1700741289999996</v>
      </c>
      <c r="P351">
        <v>0.189705977</v>
      </c>
      <c r="Q351">
        <v>-1.7194070999999998E-2</v>
      </c>
      <c r="S351" s="13">
        <v>-1.0577084990000001</v>
      </c>
      <c r="T351">
        <v>1.3032486489999999</v>
      </c>
      <c r="U351">
        <v>-4.5070358999999997E-2</v>
      </c>
    </row>
    <row r="352" spans="1:21" x14ac:dyDescent="0.2">
      <c r="A352" t="s">
        <v>1764</v>
      </c>
      <c r="B352">
        <v>659440</v>
      </c>
      <c r="C352" t="s">
        <v>6961</v>
      </c>
      <c r="D352" t="s">
        <v>1764</v>
      </c>
      <c r="E352" t="s">
        <v>7115</v>
      </c>
      <c r="F352">
        <v>20</v>
      </c>
      <c r="G352">
        <v>10</v>
      </c>
      <c r="H352" t="s">
        <v>7633</v>
      </c>
      <c r="J352" t="s">
        <v>2855</v>
      </c>
      <c r="M352" t="s">
        <v>7634</v>
      </c>
      <c r="N352">
        <v>2.7247480949999998</v>
      </c>
      <c r="O352">
        <v>7.0822175119999997</v>
      </c>
      <c r="P352">
        <v>0.61298291999999999</v>
      </c>
      <c r="Q352">
        <v>0.48262032500000002</v>
      </c>
      <c r="S352" s="13">
        <v>-1.0577720779999999</v>
      </c>
      <c r="T352">
        <v>1.3029708209999999</v>
      </c>
      <c r="U352">
        <v>-2.6749493999999999E-2</v>
      </c>
    </row>
    <row r="353" spans="1:21" x14ac:dyDescent="0.2">
      <c r="A353" t="s">
        <v>632</v>
      </c>
      <c r="B353">
        <v>659240</v>
      </c>
      <c r="C353" t="s">
        <v>6961</v>
      </c>
      <c r="D353" t="s">
        <v>632</v>
      </c>
      <c r="E353" t="s">
        <v>6924</v>
      </c>
      <c r="F353">
        <v>18</v>
      </c>
      <c r="G353">
        <v>6</v>
      </c>
      <c r="H353" t="s">
        <v>7635</v>
      </c>
      <c r="J353" t="s">
        <v>6569</v>
      </c>
      <c r="M353" t="s">
        <v>7636</v>
      </c>
      <c r="N353">
        <v>2.7247480949999998</v>
      </c>
      <c r="O353">
        <v>7.0822175119999997</v>
      </c>
      <c r="P353">
        <v>0.61298291999999999</v>
      </c>
      <c r="Q353">
        <v>0.48262032500000002</v>
      </c>
      <c r="S353" s="13">
        <v>-1.0579304009999999</v>
      </c>
      <c r="T353">
        <v>1.3022789859999999</v>
      </c>
      <c r="U353">
        <v>-2.6849616E-2</v>
      </c>
    </row>
    <row r="354" spans="1:21" x14ac:dyDescent="0.2">
      <c r="A354" t="s">
        <v>567</v>
      </c>
      <c r="B354">
        <v>771000</v>
      </c>
      <c r="C354" t="s">
        <v>6931</v>
      </c>
      <c r="D354" t="s">
        <v>567</v>
      </c>
      <c r="E354" t="s">
        <v>6924</v>
      </c>
      <c r="F354">
        <v>24</v>
      </c>
      <c r="G354">
        <v>6</v>
      </c>
      <c r="H354" t="s">
        <v>7637</v>
      </c>
      <c r="N354">
        <v>1.9323965059999999</v>
      </c>
      <c r="O354">
        <v>3.0528020530000002</v>
      </c>
      <c r="P354">
        <v>2.6493138999999999E-2</v>
      </c>
      <c r="Q354">
        <v>-0.38692188</v>
      </c>
      <c r="S354" s="13">
        <v>-1.0594310490000001</v>
      </c>
      <c r="T354">
        <v>1.2957214969999999</v>
      </c>
      <c r="U354">
        <v>-4.7322120000000004E-3</v>
      </c>
    </row>
    <row r="355" spans="1:21" x14ac:dyDescent="0.2">
      <c r="A355" t="s">
        <v>1703</v>
      </c>
      <c r="B355">
        <v>922840</v>
      </c>
      <c r="C355" t="s">
        <v>6927</v>
      </c>
      <c r="D355" t="s">
        <v>1703</v>
      </c>
      <c r="E355" t="s">
        <v>6928</v>
      </c>
      <c r="F355">
        <v>21</v>
      </c>
      <c r="G355">
        <v>16</v>
      </c>
      <c r="H355" t="s">
        <v>7638</v>
      </c>
      <c r="J355" t="s">
        <v>7639</v>
      </c>
      <c r="M355" t="s">
        <v>7640</v>
      </c>
      <c r="N355">
        <v>1.982575982</v>
      </c>
      <c r="O355">
        <v>3.4571926419999999</v>
      </c>
      <c r="P355">
        <v>-0.114791479</v>
      </c>
      <c r="Q355">
        <v>1.868949E-3</v>
      </c>
      <c r="S355" s="13">
        <v>-1.0601718309999999</v>
      </c>
      <c r="T355">
        <v>1.2924844520000001</v>
      </c>
      <c r="U355">
        <v>-2.5100803000000001E-2</v>
      </c>
    </row>
    <row r="356" spans="1:21" x14ac:dyDescent="0.2">
      <c r="A356" t="s">
        <v>422</v>
      </c>
      <c r="B356">
        <v>995400</v>
      </c>
      <c r="C356" t="s">
        <v>6938</v>
      </c>
      <c r="D356" t="s">
        <v>423</v>
      </c>
      <c r="E356" t="s">
        <v>6974</v>
      </c>
      <c r="F356">
        <v>3</v>
      </c>
      <c r="G356">
        <v>15</v>
      </c>
      <c r="H356" t="s">
        <v>7641</v>
      </c>
      <c r="J356" t="s">
        <v>1334</v>
      </c>
      <c r="M356" t="s">
        <v>7642</v>
      </c>
      <c r="N356">
        <v>2.092758737</v>
      </c>
      <c r="O356">
        <v>5.3323610669999999</v>
      </c>
      <c r="P356">
        <v>0.70420098600000003</v>
      </c>
      <c r="Q356">
        <v>0.41355372699999998</v>
      </c>
      <c r="S356" s="13">
        <v>-1.0602542079999999</v>
      </c>
      <c r="T356">
        <v>1.2921244810000001</v>
      </c>
      <c r="U356">
        <v>-6.3720870000000002E-3</v>
      </c>
    </row>
    <row r="357" spans="1:21" x14ac:dyDescent="0.2">
      <c r="A357" t="s">
        <v>63</v>
      </c>
      <c r="B357">
        <v>995160</v>
      </c>
      <c r="C357" t="s">
        <v>6938</v>
      </c>
      <c r="D357" t="s">
        <v>63</v>
      </c>
      <c r="E357" t="s">
        <v>6918</v>
      </c>
      <c r="F357">
        <v>23</v>
      </c>
      <c r="G357">
        <v>1</v>
      </c>
      <c r="H357" t="s">
        <v>7643</v>
      </c>
      <c r="J357" t="s">
        <v>702</v>
      </c>
      <c r="M357" t="s">
        <v>7644</v>
      </c>
      <c r="N357">
        <v>2.092758737</v>
      </c>
      <c r="O357">
        <v>5.3323610669999999</v>
      </c>
      <c r="P357">
        <v>0.70420098600000003</v>
      </c>
      <c r="Q357">
        <v>0.41355372699999998</v>
      </c>
      <c r="S357" s="13">
        <v>-1.060460323</v>
      </c>
      <c r="T357">
        <v>1.2912238060000001</v>
      </c>
      <c r="U357">
        <v>-6.4867279999999998E-3</v>
      </c>
    </row>
    <row r="358" spans="1:21" x14ac:dyDescent="0.2">
      <c r="A358" t="s">
        <v>1222</v>
      </c>
      <c r="B358">
        <v>655000</v>
      </c>
      <c r="C358" t="s">
        <v>6961</v>
      </c>
      <c r="D358" t="s">
        <v>1223</v>
      </c>
      <c r="E358" t="s">
        <v>6907</v>
      </c>
      <c r="F358">
        <v>3</v>
      </c>
      <c r="G358">
        <v>4</v>
      </c>
      <c r="H358" t="s">
        <v>7645</v>
      </c>
      <c r="J358" t="s">
        <v>5591</v>
      </c>
      <c r="M358" t="s">
        <v>7646</v>
      </c>
      <c r="N358">
        <v>2.7247480949999998</v>
      </c>
      <c r="O358">
        <v>7.0822175119999997</v>
      </c>
      <c r="P358">
        <v>0.61298291999999999</v>
      </c>
      <c r="Q358">
        <v>0.48262032500000002</v>
      </c>
      <c r="S358" s="13">
        <v>-1.0612868499999999</v>
      </c>
      <c r="T358">
        <v>1.287612073</v>
      </c>
      <c r="U358">
        <v>-2.8977652999999999E-2</v>
      </c>
    </row>
    <row r="359" spans="1:21" x14ac:dyDescent="0.2">
      <c r="A359" t="s">
        <v>656</v>
      </c>
      <c r="B359">
        <v>985480</v>
      </c>
      <c r="C359" t="s">
        <v>6953</v>
      </c>
      <c r="D359" t="s">
        <v>656</v>
      </c>
      <c r="E359" t="s">
        <v>6956</v>
      </c>
      <c r="F359">
        <v>24</v>
      </c>
      <c r="G359">
        <v>7</v>
      </c>
      <c r="H359" t="s">
        <v>7647</v>
      </c>
      <c r="J359" t="s">
        <v>4160</v>
      </c>
      <c r="M359" t="s">
        <v>7648</v>
      </c>
      <c r="N359">
        <v>1.921480887</v>
      </c>
      <c r="O359">
        <v>3.0856645180000002</v>
      </c>
      <c r="P359">
        <v>0.44706724399999997</v>
      </c>
      <c r="Q359">
        <v>-0.354940863</v>
      </c>
      <c r="S359" s="13">
        <v>-1.0626517529999999</v>
      </c>
      <c r="T359">
        <v>1.28164776</v>
      </c>
      <c r="U359">
        <v>1.2644123E-2</v>
      </c>
    </row>
    <row r="360" spans="1:21" x14ac:dyDescent="0.2">
      <c r="A360" t="s">
        <v>1431</v>
      </c>
      <c r="B360">
        <v>959320</v>
      </c>
      <c r="C360" t="s">
        <v>6914</v>
      </c>
      <c r="D360" t="s">
        <v>1431</v>
      </c>
      <c r="E360" t="s">
        <v>7115</v>
      </c>
      <c r="F360">
        <v>11</v>
      </c>
      <c r="G360">
        <v>10</v>
      </c>
      <c r="H360" t="s">
        <v>7649</v>
      </c>
      <c r="J360" t="s">
        <v>6733</v>
      </c>
      <c r="M360" t="s">
        <v>7650</v>
      </c>
      <c r="N360">
        <v>1.8217074179999999</v>
      </c>
      <c r="O360">
        <v>4.1700741289999996</v>
      </c>
      <c r="P360">
        <v>0.189705977</v>
      </c>
      <c r="Q360">
        <v>-1.7194070999999998E-2</v>
      </c>
      <c r="S360" s="13">
        <v>-1.063144981</v>
      </c>
      <c r="T360">
        <v>1.2794924649999999</v>
      </c>
      <c r="U360">
        <v>-4.7436777999999999E-2</v>
      </c>
    </row>
    <row r="361" spans="1:21" x14ac:dyDescent="0.2">
      <c r="A361" t="s">
        <v>232</v>
      </c>
      <c r="B361">
        <v>919560</v>
      </c>
      <c r="C361" t="s">
        <v>6927</v>
      </c>
      <c r="D361" t="s">
        <v>233</v>
      </c>
      <c r="E361" t="s">
        <v>7085</v>
      </c>
      <c r="F361">
        <v>1</v>
      </c>
      <c r="G361">
        <v>9</v>
      </c>
      <c r="H361" t="s">
        <v>7651</v>
      </c>
      <c r="J361" t="s">
        <v>7652</v>
      </c>
      <c r="M361" t="s">
        <v>7653</v>
      </c>
      <c r="N361">
        <v>1.982575982</v>
      </c>
      <c r="O361">
        <v>3.4571926419999999</v>
      </c>
      <c r="P361">
        <v>-0.114791479</v>
      </c>
      <c r="Q361">
        <v>1.868949E-3</v>
      </c>
      <c r="S361" s="13">
        <v>-1.0635752380000001</v>
      </c>
      <c r="T361">
        <v>1.277612339</v>
      </c>
      <c r="U361">
        <v>-2.6739483000000001E-2</v>
      </c>
    </row>
    <row r="362" spans="1:21" x14ac:dyDescent="0.2">
      <c r="A362" t="s">
        <v>687</v>
      </c>
      <c r="B362">
        <v>767600</v>
      </c>
      <c r="C362" t="s">
        <v>6931</v>
      </c>
      <c r="D362" t="s">
        <v>688</v>
      </c>
      <c r="E362" t="s">
        <v>6970</v>
      </c>
      <c r="F362">
        <v>9</v>
      </c>
      <c r="G362">
        <v>14</v>
      </c>
      <c r="H362" t="s">
        <v>7654</v>
      </c>
      <c r="N362">
        <v>1.9323965059999999</v>
      </c>
      <c r="O362">
        <v>3.0528020530000002</v>
      </c>
      <c r="P362">
        <v>2.6493138999999999E-2</v>
      </c>
      <c r="Q362">
        <v>-0.38692188</v>
      </c>
      <c r="S362" s="13">
        <v>-1.063898561</v>
      </c>
      <c r="T362">
        <v>1.2761994910000001</v>
      </c>
      <c r="U362">
        <v>-6.3529830000000004E-3</v>
      </c>
    </row>
    <row r="363" spans="1:21" x14ac:dyDescent="0.2">
      <c r="A363" t="s">
        <v>345</v>
      </c>
      <c r="B363">
        <v>990760</v>
      </c>
      <c r="C363" t="s">
        <v>6938</v>
      </c>
      <c r="D363" t="s">
        <v>345</v>
      </c>
      <c r="E363" t="s">
        <v>6918</v>
      </c>
      <c r="F363">
        <v>19</v>
      </c>
      <c r="G363">
        <v>1</v>
      </c>
      <c r="H363" t="s">
        <v>7655</v>
      </c>
      <c r="J363" t="s">
        <v>1541</v>
      </c>
      <c r="M363" t="s">
        <v>7656</v>
      </c>
      <c r="N363">
        <v>2.092758737</v>
      </c>
      <c r="O363">
        <v>5.3323610669999999</v>
      </c>
      <c r="P363">
        <v>0.70420098600000003</v>
      </c>
      <c r="Q363">
        <v>0.41355372699999998</v>
      </c>
      <c r="S363" s="13">
        <v>-1.0642390930000001</v>
      </c>
      <c r="T363">
        <v>1.274711444</v>
      </c>
      <c r="U363">
        <v>-8.5938649999999991E-3</v>
      </c>
    </row>
    <row r="364" spans="1:21" x14ac:dyDescent="0.2">
      <c r="A364" t="s">
        <v>775</v>
      </c>
      <c r="B364">
        <v>651080</v>
      </c>
      <c r="C364" t="s">
        <v>6961</v>
      </c>
      <c r="D364" t="s">
        <v>776</v>
      </c>
      <c r="E364" t="s">
        <v>6939</v>
      </c>
      <c r="F364">
        <v>2</v>
      </c>
      <c r="G364">
        <v>2</v>
      </c>
      <c r="H364" t="s">
        <v>7657</v>
      </c>
      <c r="J364" t="s">
        <v>3399</v>
      </c>
      <c r="M364" t="s">
        <v>7658</v>
      </c>
      <c r="N364">
        <v>2.7247480949999998</v>
      </c>
      <c r="O364">
        <v>7.0822175119999997</v>
      </c>
      <c r="P364">
        <v>0.61298291999999999</v>
      </c>
      <c r="Q364">
        <v>0.48262032500000002</v>
      </c>
      <c r="S364" s="13">
        <v>-1.0643899809999999</v>
      </c>
      <c r="T364">
        <v>1.274052097</v>
      </c>
      <c r="U364">
        <v>-3.0954404000000001E-2</v>
      </c>
    </row>
    <row r="365" spans="1:21" x14ac:dyDescent="0.2">
      <c r="A365" t="s">
        <v>1431</v>
      </c>
      <c r="B365">
        <v>650840</v>
      </c>
      <c r="C365" t="s">
        <v>6961</v>
      </c>
      <c r="D365" t="s">
        <v>1431</v>
      </c>
      <c r="E365" t="s">
        <v>7115</v>
      </c>
      <c r="F365">
        <v>11</v>
      </c>
      <c r="G365">
        <v>10</v>
      </c>
      <c r="H365" t="s">
        <v>7659</v>
      </c>
      <c r="J365" t="s">
        <v>1723</v>
      </c>
      <c r="M365" t="s">
        <v>7660</v>
      </c>
      <c r="N365">
        <v>2.7247480949999998</v>
      </c>
      <c r="O365">
        <v>7.0822175119999997</v>
      </c>
      <c r="P365">
        <v>0.61298291999999999</v>
      </c>
      <c r="Q365">
        <v>0.48262032500000002</v>
      </c>
      <c r="S365" s="13">
        <v>-1.064579969</v>
      </c>
      <c r="T365">
        <v>1.273221895</v>
      </c>
      <c r="U365">
        <v>-3.1075723E-2</v>
      </c>
    </row>
    <row r="366" spans="1:21" x14ac:dyDescent="0.2">
      <c r="A366" t="s">
        <v>775</v>
      </c>
      <c r="B366">
        <v>918200</v>
      </c>
      <c r="C366" t="s">
        <v>6927</v>
      </c>
      <c r="D366" t="s">
        <v>776</v>
      </c>
      <c r="E366" t="s">
        <v>6939</v>
      </c>
      <c r="F366">
        <v>2</v>
      </c>
      <c r="G366">
        <v>2</v>
      </c>
      <c r="H366" t="s">
        <v>7661</v>
      </c>
      <c r="J366" t="s">
        <v>7662</v>
      </c>
      <c r="M366" t="s">
        <v>7663</v>
      </c>
      <c r="N366">
        <v>1.982575982</v>
      </c>
      <c r="O366">
        <v>3.4571926419999999</v>
      </c>
      <c r="P366">
        <v>-0.114791479</v>
      </c>
      <c r="Q366">
        <v>1.868949E-3</v>
      </c>
      <c r="S366" s="13">
        <v>-1.0649864069999999</v>
      </c>
      <c r="T366">
        <v>1.2714458529999999</v>
      </c>
      <c r="U366">
        <v>-2.7420752999999999E-2</v>
      </c>
    </row>
    <row r="367" spans="1:21" x14ac:dyDescent="0.2">
      <c r="A367" t="s">
        <v>158</v>
      </c>
      <c r="B367">
        <v>868120</v>
      </c>
      <c r="C367" t="s">
        <v>6942</v>
      </c>
      <c r="D367" t="s">
        <v>158</v>
      </c>
      <c r="E367" t="s">
        <v>6918</v>
      </c>
      <c r="F367">
        <v>24</v>
      </c>
      <c r="G367">
        <v>1</v>
      </c>
      <c r="H367" t="s">
        <v>7664</v>
      </c>
      <c r="J367" t="s">
        <v>288</v>
      </c>
      <c r="M367" t="s">
        <v>7665</v>
      </c>
      <c r="N367">
        <v>2.0902262079999998</v>
      </c>
      <c r="O367">
        <v>4.2704203920000001</v>
      </c>
      <c r="P367">
        <v>0.23425843900000001</v>
      </c>
      <c r="Q367">
        <v>1.6181978999999999E-2</v>
      </c>
      <c r="S367" s="13">
        <v>-1.0651905070000001</v>
      </c>
      <c r="T367">
        <v>1.2705539830000001</v>
      </c>
      <c r="U367">
        <v>-3.8458687999999998E-2</v>
      </c>
    </row>
    <row r="368" spans="1:21" x14ac:dyDescent="0.2">
      <c r="A368" t="s">
        <v>1954</v>
      </c>
      <c r="B368">
        <v>917840</v>
      </c>
      <c r="C368" t="s">
        <v>6927</v>
      </c>
      <c r="D368" t="s">
        <v>1955</v>
      </c>
      <c r="E368" t="s">
        <v>6918</v>
      </c>
      <c r="F368">
        <v>1</v>
      </c>
      <c r="G368">
        <v>1</v>
      </c>
      <c r="H368" t="s">
        <v>7666</v>
      </c>
      <c r="J368" t="s">
        <v>7667</v>
      </c>
      <c r="M368" t="s">
        <v>7668</v>
      </c>
      <c r="N368">
        <v>1.982575982</v>
      </c>
      <c r="O368">
        <v>3.4571926419999999</v>
      </c>
      <c r="P368">
        <v>-0.114791479</v>
      </c>
      <c r="Q368">
        <v>1.868949E-3</v>
      </c>
      <c r="S368" s="13">
        <v>-1.0653599520000001</v>
      </c>
      <c r="T368">
        <v>1.2698135479999999</v>
      </c>
      <c r="U368">
        <v>-2.7601268000000002E-2</v>
      </c>
    </row>
    <row r="369" spans="1:21" x14ac:dyDescent="0.2">
      <c r="A369" t="s">
        <v>507</v>
      </c>
      <c r="B369">
        <v>649600</v>
      </c>
      <c r="C369" t="s">
        <v>6961</v>
      </c>
      <c r="D369" t="s">
        <v>508</v>
      </c>
      <c r="E369" t="s">
        <v>6918</v>
      </c>
      <c r="F369">
        <v>5</v>
      </c>
      <c r="G369">
        <v>1</v>
      </c>
      <c r="H369" t="s">
        <v>7669</v>
      </c>
      <c r="J369" t="s">
        <v>3321</v>
      </c>
      <c r="M369" t="s">
        <v>7670</v>
      </c>
      <c r="N369">
        <v>2.7247480949999998</v>
      </c>
      <c r="O369">
        <v>7.0822175119999997</v>
      </c>
      <c r="P369">
        <v>0.61298291999999999</v>
      </c>
      <c r="Q369">
        <v>0.48262032500000002</v>
      </c>
      <c r="S369" s="13">
        <v>-1.065561572</v>
      </c>
      <c r="T369">
        <v>1.2689325149999999</v>
      </c>
      <c r="U369">
        <v>-3.1703074999999997E-2</v>
      </c>
    </row>
    <row r="370" spans="1:21" x14ac:dyDescent="0.2">
      <c r="A370" t="s">
        <v>883</v>
      </c>
      <c r="B370">
        <v>649520</v>
      </c>
      <c r="C370" t="s">
        <v>6961</v>
      </c>
      <c r="D370" t="s">
        <v>883</v>
      </c>
      <c r="E370" t="s">
        <v>6977</v>
      </c>
      <c r="F370">
        <v>17</v>
      </c>
      <c r="G370">
        <v>5</v>
      </c>
      <c r="H370" t="s">
        <v>7671</v>
      </c>
      <c r="J370" t="s">
        <v>4264</v>
      </c>
      <c r="M370" t="s">
        <v>7672</v>
      </c>
      <c r="N370">
        <v>2.7247480949999998</v>
      </c>
      <c r="O370">
        <v>7.0822175119999997</v>
      </c>
      <c r="P370">
        <v>0.61298291999999999</v>
      </c>
      <c r="Q370">
        <v>0.48262032500000002</v>
      </c>
      <c r="S370" s="13">
        <v>-1.0656249010000001</v>
      </c>
      <c r="T370">
        <v>1.26865578</v>
      </c>
      <c r="U370">
        <v>-3.174358E-2</v>
      </c>
    </row>
    <row r="371" spans="1:21" x14ac:dyDescent="0.2">
      <c r="A371" t="s">
        <v>165</v>
      </c>
      <c r="B371">
        <v>797920</v>
      </c>
      <c r="C371" t="s">
        <v>6945</v>
      </c>
      <c r="D371" t="s">
        <v>166</v>
      </c>
      <c r="E371" t="s">
        <v>6928</v>
      </c>
      <c r="F371">
        <v>2</v>
      </c>
      <c r="G371">
        <v>16</v>
      </c>
      <c r="H371" t="s">
        <v>7673</v>
      </c>
      <c r="J371" t="s">
        <v>1713</v>
      </c>
      <c r="M371" t="s">
        <v>7674</v>
      </c>
      <c r="N371">
        <v>2.2220813349999999</v>
      </c>
      <c r="O371">
        <v>6.5440947090000003</v>
      </c>
      <c r="P371">
        <v>0.58228215500000002</v>
      </c>
      <c r="Q371">
        <v>0.35188233000000002</v>
      </c>
      <c r="S371" s="13">
        <v>-1.0656492289999999</v>
      </c>
      <c r="T371">
        <v>1.268549471</v>
      </c>
      <c r="U371">
        <v>-3.8160536000000002E-2</v>
      </c>
    </row>
    <row r="372" spans="1:21" x14ac:dyDescent="0.2">
      <c r="A372" t="s">
        <v>504</v>
      </c>
      <c r="B372">
        <v>649400</v>
      </c>
      <c r="C372" t="s">
        <v>6961</v>
      </c>
      <c r="D372" t="s">
        <v>504</v>
      </c>
      <c r="E372" t="s">
        <v>6956</v>
      </c>
      <c r="F372">
        <v>12</v>
      </c>
      <c r="G372">
        <v>7</v>
      </c>
      <c r="H372" t="s">
        <v>7675</v>
      </c>
      <c r="J372" t="s">
        <v>2770</v>
      </c>
      <c r="M372" t="s">
        <v>7676</v>
      </c>
      <c r="N372">
        <v>2.7247480949999998</v>
      </c>
      <c r="O372">
        <v>7.0822175119999997</v>
      </c>
      <c r="P372">
        <v>0.61298291999999999</v>
      </c>
      <c r="Q372">
        <v>0.48262032500000002</v>
      </c>
      <c r="S372" s="13">
        <v>-1.065719895</v>
      </c>
      <c r="T372">
        <v>1.268240679</v>
      </c>
      <c r="U372">
        <v>-3.1804345999999997E-2</v>
      </c>
    </row>
    <row r="373" spans="1:21" x14ac:dyDescent="0.2">
      <c r="A373" t="s">
        <v>2206</v>
      </c>
      <c r="B373">
        <v>867320</v>
      </c>
      <c r="C373" t="s">
        <v>6942</v>
      </c>
      <c r="D373" t="s">
        <v>2207</v>
      </c>
      <c r="E373" t="s">
        <v>6956</v>
      </c>
      <c r="F373">
        <v>3</v>
      </c>
      <c r="G373">
        <v>7</v>
      </c>
      <c r="H373" t="s">
        <v>7677</v>
      </c>
      <c r="J373" t="s">
        <v>2892</v>
      </c>
      <c r="M373" t="s">
        <v>7678</v>
      </c>
      <c r="N373">
        <v>2.0902262079999998</v>
      </c>
      <c r="O373">
        <v>4.2704203920000001</v>
      </c>
      <c r="P373">
        <v>0.23425843900000001</v>
      </c>
      <c r="Q373">
        <v>1.6181978999999999E-2</v>
      </c>
      <c r="S373" s="13">
        <v>-1.0659756979999999</v>
      </c>
      <c r="T373">
        <v>1.267122877</v>
      </c>
      <c r="U373">
        <v>-3.8870267999999999E-2</v>
      </c>
    </row>
    <row r="374" spans="1:21" x14ac:dyDescent="0.2">
      <c r="A374" t="s">
        <v>2077</v>
      </c>
      <c r="B374">
        <v>648640</v>
      </c>
      <c r="C374" t="s">
        <v>6961</v>
      </c>
      <c r="D374" t="s">
        <v>2077</v>
      </c>
      <c r="E374" t="s">
        <v>6915</v>
      </c>
      <c r="F374">
        <v>20</v>
      </c>
      <c r="G374">
        <v>13</v>
      </c>
      <c r="H374" t="s">
        <v>7679</v>
      </c>
      <c r="J374" t="s">
        <v>4928</v>
      </c>
      <c r="M374" t="s">
        <v>7680</v>
      </c>
      <c r="N374">
        <v>2.7247480949999998</v>
      </c>
      <c r="O374">
        <v>7.0822175119999997</v>
      </c>
      <c r="P374">
        <v>0.61298291999999999</v>
      </c>
      <c r="Q374">
        <v>0.48262032500000002</v>
      </c>
      <c r="S374" s="13">
        <v>-1.066321522</v>
      </c>
      <c r="T374">
        <v>1.2656117039999999</v>
      </c>
      <c r="U374">
        <v>-3.2189389999999998E-2</v>
      </c>
    </row>
    <row r="375" spans="1:21" x14ac:dyDescent="0.2">
      <c r="A375" t="s">
        <v>405</v>
      </c>
      <c r="B375">
        <v>796560</v>
      </c>
      <c r="C375" t="s">
        <v>6945</v>
      </c>
      <c r="D375" t="s">
        <v>405</v>
      </c>
      <c r="E375" t="s">
        <v>6946</v>
      </c>
      <c r="F375">
        <v>23</v>
      </c>
      <c r="G375">
        <v>11</v>
      </c>
      <c r="H375" t="s">
        <v>7681</v>
      </c>
      <c r="J375" t="s">
        <v>1925</v>
      </c>
      <c r="M375" t="s">
        <v>7682</v>
      </c>
      <c r="N375">
        <v>2.2220813349999999</v>
      </c>
      <c r="O375">
        <v>6.5440947090000003</v>
      </c>
      <c r="P375">
        <v>0.58228215500000002</v>
      </c>
      <c r="Q375">
        <v>0.35188233000000002</v>
      </c>
      <c r="S375" s="13">
        <v>-1.06693203</v>
      </c>
      <c r="T375">
        <v>1.262943924</v>
      </c>
      <c r="U375">
        <v>-3.8859973999999999E-2</v>
      </c>
    </row>
    <row r="376" spans="1:21" x14ac:dyDescent="0.2">
      <c r="A376" t="s">
        <v>727</v>
      </c>
      <c r="B376">
        <v>796360</v>
      </c>
      <c r="C376" t="s">
        <v>6945</v>
      </c>
      <c r="D376" t="s">
        <v>727</v>
      </c>
      <c r="E376" t="s">
        <v>7115</v>
      </c>
      <c r="F376">
        <v>23</v>
      </c>
      <c r="G376">
        <v>10</v>
      </c>
      <c r="H376" t="s">
        <v>7683</v>
      </c>
      <c r="J376" t="s">
        <v>967</v>
      </c>
      <c r="M376" t="s">
        <v>7684</v>
      </c>
      <c r="N376">
        <v>2.2220813349999999</v>
      </c>
      <c r="O376">
        <v>6.5440947090000003</v>
      </c>
      <c r="P376">
        <v>0.58228215500000002</v>
      </c>
      <c r="Q376">
        <v>0.35188233000000002</v>
      </c>
      <c r="S376" s="13">
        <v>-1.067120678</v>
      </c>
      <c r="T376">
        <v>1.2621195789999999</v>
      </c>
      <c r="U376">
        <v>-3.8962927000000001E-2</v>
      </c>
    </row>
    <row r="377" spans="1:21" x14ac:dyDescent="0.2">
      <c r="A377" t="s">
        <v>2453</v>
      </c>
      <c r="B377">
        <v>647560</v>
      </c>
      <c r="C377" t="s">
        <v>6961</v>
      </c>
      <c r="D377" t="s">
        <v>2454</v>
      </c>
      <c r="E377" t="s">
        <v>6911</v>
      </c>
      <c r="F377">
        <v>3</v>
      </c>
      <c r="G377">
        <v>12</v>
      </c>
      <c r="H377" t="s">
        <v>7685</v>
      </c>
      <c r="J377" t="s">
        <v>5057</v>
      </c>
      <c r="M377" t="s">
        <v>7686</v>
      </c>
      <c r="N377">
        <v>2.7247480949999998</v>
      </c>
      <c r="O377">
        <v>7.0822175119999997</v>
      </c>
      <c r="P377">
        <v>0.61298291999999999</v>
      </c>
      <c r="Q377">
        <v>0.48262032500000002</v>
      </c>
      <c r="S377" s="13">
        <v>-1.0671764669999999</v>
      </c>
      <c r="T377">
        <v>1.261875793</v>
      </c>
      <c r="U377">
        <v>-3.2737146000000002E-2</v>
      </c>
    </row>
    <row r="378" spans="1:21" x14ac:dyDescent="0.2">
      <c r="A378" t="s">
        <v>2457</v>
      </c>
      <c r="B378">
        <v>647440</v>
      </c>
      <c r="C378" t="s">
        <v>6961</v>
      </c>
      <c r="D378" t="s">
        <v>2458</v>
      </c>
      <c r="E378" t="s">
        <v>7115</v>
      </c>
      <c r="F378">
        <v>5</v>
      </c>
      <c r="G378">
        <v>10</v>
      </c>
      <c r="H378" t="s">
        <v>7687</v>
      </c>
      <c r="J378" t="s">
        <v>4656</v>
      </c>
      <c r="M378" t="s">
        <v>7688</v>
      </c>
      <c r="N378">
        <v>2.7247480949999998</v>
      </c>
      <c r="O378">
        <v>7.0822175119999997</v>
      </c>
      <c r="P378">
        <v>0.61298291999999999</v>
      </c>
      <c r="Q378">
        <v>0.48262032500000002</v>
      </c>
      <c r="S378" s="13">
        <v>-1.067271461</v>
      </c>
      <c r="T378">
        <v>1.2614606909999999</v>
      </c>
      <c r="U378">
        <v>-3.2798051000000002E-2</v>
      </c>
    </row>
    <row r="379" spans="1:21" x14ac:dyDescent="0.2">
      <c r="A379" t="s">
        <v>1593</v>
      </c>
      <c r="B379">
        <v>647080</v>
      </c>
      <c r="C379" t="s">
        <v>6961</v>
      </c>
      <c r="D379" t="s">
        <v>1593</v>
      </c>
      <c r="E379" t="s">
        <v>6939</v>
      </c>
      <c r="F379">
        <v>14</v>
      </c>
      <c r="G379">
        <v>2</v>
      </c>
      <c r="H379" t="s">
        <v>7689</v>
      </c>
      <c r="J379" t="s">
        <v>3057</v>
      </c>
      <c r="M379" t="s">
        <v>7690</v>
      </c>
      <c r="N379">
        <v>2.7247480949999998</v>
      </c>
      <c r="O379">
        <v>7.0822175119999997</v>
      </c>
      <c r="P379">
        <v>0.61298291999999999</v>
      </c>
      <c r="Q379">
        <v>0.48262032500000002</v>
      </c>
      <c r="S379" s="13">
        <v>-1.0675564420000001</v>
      </c>
      <c r="T379">
        <v>1.2602153869999999</v>
      </c>
      <c r="U379">
        <v>-3.2980814999999997E-2</v>
      </c>
    </row>
    <row r="380" spans="1:21" x14ac:dyDescent="0.2">
      <c r="A380" t="s">
        <v>259</v>
      </c>
      <c r="B380">
        <v>647000</v>
      </c>
      <c r="C380" t="s">
        <v>6961</v>
      </c>
      <c r="D380" t="s">
        <v>260</v>
      </c>
      <c r="E380" t="s">
        <v>6956</v>
      </c>
      <c r="F380">
        <v>1</v>
      </c>
      <c r="G380">
        <v>7</v>
      </c>
      <c r="H380" t="s">
        <v>7691</v>
      </c>
      <c r="J380" t="s">
        <v>6565</v>
      </c>
      <c r="M380" t="s">
        <v>7692</v>
      </c>
      <c r="N380">
        <v>2.7247480949999998</v>
      </c>
      <c r="O380">
        <v>7.0822175119999997</v>
      </c>
      <c r="P380">
        <v>0.61298291999999999</v>
      </c>
      <c r="Q380">
        <v>0.48262032500000002</v>
      </c>
      <c r="S380" s="13">
        <v>-1.0676197709999999</v>
      </c>
      <c r="T380">
        <v>1.2599386530000001</v>
      </c>
      <c r="U380">
        <v>-3.3021439999999999E-2</v>
      </c>
    </row>
    <row r="381" spans="1:21" x14ac:dyDescent="0.2">
      <c r="A381" t="s">
        <v>195</v>
      </c>
      <c r="B381">
        <v>795600</v>
      </c>
      <c r="C381" t="s">
        <v>6945</v>
      </c>
      <c r="D381" t="s">
        <v>195</v>
      </c>
      <c r="E381" t="s">
        <v>6907</v>
      </c>
      <c r="F381">
        <v>24</v>
      </c>
      <c r="G381">
        <v>4</v>
      </c>
      <c r="H381" t="s">
        <v>7693</v>
      </c>
      <c r="J381" t="s">
        <v>1315</v>
      </c>
      <c r="M381" t="s">
        <v>7694</v>
      </c>
      <c r="N381">
        <v>2.2220813349999999</v>
      </c>
      <c r="O381">
        <v>6.5440947090000003</v>
      </c>
      <c r="P381">
        <v>0.58228215500000002</v>
      </c>
      <c r="Q381">
        <v>0.35188233000000002</v>
      </c>
      <c r="S381" s="13">
        <v>-1.0678375369999999</v>
      </c>
      <c r="T381">
        <v>1.2589870670000001</v>
      </c>
      <c r="U381">
        <v>-3.9354373999999998E-2</v>
      </c>
    </row>
    <row r="382" spans="1:21" x14ac:dyDescent="0.2">
      <c r="A382" t="s">
        <v>52</v>
      </c>
      <c r="B382">
        <v>795000</v>
      </c>
      <c r="C382" t="s">
        <v>6945</v>
      </c>
      <c r="D382" t="s">
        <v>53</v>
      </c>
      <c r="E382" t="s">
        <v>6918</v>
      </c>
      <c r="F382">
        <v>2</v>
      </c>
      <c r="G382">
        <v>1</v>
      </c>
      <c r="H382" t="s">
        <v>7695</v>
      </c>
      <c r="J382" t="s">
        <v>1905</v>
      </c>
      <c r="M382" t="s">
        <v>7696</v>
      </c>
      <c r="N382">
        <v>2.2220813349999999</v>
      </c>
      <c r="O382">
        <v>6.5440947090000003</v>
      </c>
      <c r="P382">
        <v>0.58228215500000002</v>
      </c>
      <c r="Q382">
        <v>0.35188233000000002</v>
      </c>
      <c r="S382" s="13">
        <v>-1.0684034790000001</v>
      </c>
      <c r="T382">
        <v>1.2565140319999999</v>
      </c>
      <c r="U382">
        <v>-3.9663660000000003E-2</v>
      </c>
    </row>
    <row r="383" spans="1:21" x14ac:dyDescent="0.2">
      <c r="A383" t="s">
        <v>2028</v>
      </c>
      <c r="B383">
        <v>645760</v>
      </c>
      <c r="C383" t="s">
        <v>6961</v>
      </c>
      <c r="D383" t="s">
        <v>2028</v>
      </c>
      <c r="E383" t="s">
        <v>6924</v>
      </c>
      <c r="F383">
        <v>10</v>
      </c>
      <c r="G383">
        <v>6</v>
      </c>
      <c r="H383" t="s">
        <v>7697</v>
      </c>
      <c r="J383" t="s">
        <v>2180</v>
      </c>
      <c r="M383" t="s">
        <v>7698</v>
      </c>
      <c r="N383">
        <v>2.7247480949999998</v>
      </c>
      <c r="O383">
        <v>7.0822175119999997</v>
      </c>
      <c r="P383">
        <v>0.61298291999999999</v>
      </c>
      <c r="Q383">
        <v>0.48262032500000002</v>
      </c>
      <c r="S383" s="13">
        <v>-1.068601374</v>
      </c>
      <c r="T383">
        <v>1.255649273</v>
      </c>
      <c r="U383">
        <v>-3.3651610999999998E-2</v>
      </c>
    </row>
    <row r="384" spans="1:21" x14ac:dyDescent="0.2">
      <c r="A384" t="s">
        <v>300</v>
      </c>
      <c r="B384">
        <v>799560</v>
      </c>
      <c r="C384" t="s">
        <v>6906</v>
      </c>
      <c r="D384" t="s">
        <v>300</v>
      </c>
      <c r="E384" t="s">
        <v>7006</v>
      </c>
      <c r="F384">
        <v>19</v>
      </c>
      <c r="G384">
        <v>3</v>
      </c>
      <c r="H384" t="s">
        <v>7699</v>
      </c>
      <c r="J384" t="s">
        <v>302</v>
      </c>
      <c r="M384" t="s">
        <v>7700</v>
      </c>
      <c r="N384">
        <v>1.813871112</v>
      </c>
      <c r="O384">
        <v>2.6633694910000001</v>
      </c>
      <c r="P384">
        <v>-0.29586356800000002</v>
      </c>
      <c r="Q384">
        <v>-0.59018158399999998</v>
      </c>
      <c r="S384" s="13">
        <v>-1.0687363990000001</v>
      </c>
      <c r="T384">
        <v>1.255059245</v>
      </c>
      <c r="U384">
        <v>-4.9615622999999998E-2</v>
      </c>
    </row>
    <row r="385" spans="1:21" x14ac:dyDescent="0.2">
      <c r="A385" t="s">
        <v>1544</v>
      </c>
      <c r="B385">
        <v>644200</v>
      </c>
      <c r="C385" t="s">
        <v>6961</v>
      </c>
      <c r="D385" t="s">
        <v>1545</v>
      </c>
      <c r="E385" t="s">
        <v>6924</v>
      </c>
      <c r="F385">
        <v>6</v>
      </c>
      <c r="G385">
        <v>6</v>
      </c>
      <c r="H385" t="s">
        <v>7701</v>
      </c>
      <c r="J385" t="s">
        <v>1547</v>
      </c>
      <c r="M385" t="s">
        <v>7702</v>
      </c>
      <c r="N385">
        <v>2.7247480949999998</v>
      </c>
      <c r="O385">
        <v>7.0822175119999997</v>
      </c>
      <c r="P385">
        <v>0.61298291999999999</v>
      </c>
      <c r="Q385">
        <v>0.48262032500000002</v>
      </c>
      <c r="S385" s="13">
        <v>-1.0698362939999999</v>
      </c>
      <c r="T385">
        <v>1.250252956</v>
      </c>
      <c r="U385">
        <v>-3.4445707999999998E-2</v>
      </c>
    </row>
    <row r="386" spans="1:21" x14ac:dyDescent="0.2">
      <c r="A386" t="s">
        <v>1764</v>
      </c>
      <c r="B386">
        <v>793480</v>
      </c>
      <c r="C386" t="s">
        <v>6945</v>
      </c>
      <c r="D386" t="s">
        <v>1764</v>
      </c>
      <c r="E386" t="s">
        <v>7115</v>
      </c>
      <c r="F386">
        <v>20</v>
      </c>
      <c r="G386">
        <v>10</v>
      </c>
      <c r="H386" t="s">
        <v>7703</v>
      </c>
      <c r="J386" t="s">
        <v>4296</v>
      </c>
      <c r="M386" t="s">
        <v>7704</v>
      </c>
      <c r="N386">
        <v>2.2220813349999999</v>
      </c>
      <c r="O386">
        <v>6.5440947090000003</v>
      </c>
      <c r="P386">
        <v>0.58228215500000002</v>
      </c>
      <c r="Q386">
        <v>0.35188233000000002</v>
      </c>
      <c r="S386" s="13">
        <v>-1.069837197</v>
      </c>
      <c r="T386">
        <v>1.2502490079999999</v>
      </c>
      <c r="U386">
        <v>-4.0448171999999998E-2</v>
      </c>
    </row>
    <row r="387" spans="1:21" x14ac:dyDescent="0.2">
      <c r="A387" t="s">
        <v>2885</v>
      </c>
      <c r="B387">
        <v>643840</v>
      </c>
      <c r="C387" t="s">
        <v>6961</v>
      </c>
      <c r="D387" t="s">
        <v>2885</v>
      </c>
      <c r="E387" t="s">
        <v>7085</v>
      </c>
      <c r="F387">
        <v>11</v>
      </c>
      <c r="G387">
        <v>9</v>
      </c>
      <c r="H387" t="s">
        <v>7705</v>
      </c>
      <c r="J387" t="s">
        <v>6085</v>
      </c>
      <c r="M387" t="s">
        <v>7706</v>
      </c>
      <c r="N387">
        <v>2.7247480949999998</v>
      </c>
      <c r="O387">
        <v>7.0822175119999997</v>
      </c>
      <c r="P387">
        <v>0.61298291999999999</v>
      </c>
      <c r="Q387">
        <v>0.48262032500000002</v>
      </c>
      <c r="S387" s="13">
        <v>-1.070121275</v>
      </c>
      <c r="T387">
        <v>1.249007652</v>
      </c>
      <c r="U387">
        <v>-3.4629167000000002E-2</v>
      </c>
    </row>
    <row r="388" spans="1:21" x14ac:dyDescent="0.2">
      <c r="A388" t="s">
        <v>451</v>
      </c>
      <c r="B388">
        <v>643720</v>
      </c>
      <c r="C388" t="s">
        <v>6961</v>
      </c>
      <c r="D388" t="s">
        <v>452</v>
      </c>
      <c r="E388" t="s">
        <v>6907</v>
      </c>
      <c r="F388">
        <v>9</v>
      </c>
      <c r="G388">
        <v>4</v>
      </c>
      <c r="H388" t="s">
        <v>7707</v>
      </c>
      <c r="J388" t="s">
        <v>6501</v>
      </c>
      <c r="M388" t="s">
        <v>7708</v>
      </c>
      <c r="N388">
        <v>2.7247480949999998</v>
      </c>
      <c r="O388">
        <v>7.0822175119999997</v>
      </c>
      <c r="P388">
        <v>0.61298291999999999</v>
      </c>
      <c r="Q388">
        <v>0.48262032500000002</v>
      </c>
      <c r="S388" s="13">
        <v>-1.0702162690000001</v>
      </c>
      <c r="T388">
        <v>1.248592551</v>
      </c>
      <c r="U388">
        <v>-3.4690338000000001E-2</v>
      </c>
    </row>
    <row r="389" spans="1:21" x14ac:dyDescent="0.2">
      <c r="A389" t="s">
        <v>2031</v>
      </c>
      <c r="B389">
        <v>641880</v>
      </c>
      <c r="C389" t="s">
        <v>6961</v>
      </c>
      <c r="D389" t="s">
        <v>2032</v>
      </c>
      <c r="E389" t="s">
        <v>6924</v>
      </c>
      <c r="F389">
        <v>3</v>
      </c>
      <c r="G389">
        <v>6</v>
      </c>
      <c r="H389" t="s">
        <v>7709</v>
      </c>
      <c r="J389" t="s">
        <v>4536</v>
      </c>
      <c r="M389" t="s">
        <v>7710</v>
      </c>
      <c r="N389">
        <v>2.7247480949999998</v>
      </c>
      <c r="O389">
        <v>7.0822175119999997</v>
      </c>
      <c r="P389">
        <v>0.61298291999999999</v>
      </c>
      <c r="Q389">
        <v>0.48262032500000002</v>
      </c>
      <c r="S389" s="13">
        <v>-1.071672841</v>
      </c>
      <c r="T389">
        <v>1.2422276640000001</v>
      </c>
      <c r="U389">
        <v>-3.5629363999999997E-2</v>
      </c>
    </row>
    <row r="390" spans="1:21" x14ac:dyDescent="0.2">
      <c r="A390" t="s">
        <v>158</v>
      </c>
      <c r="B390">
        <v>874440</v>
      </c>
      <c r="C390" t="s">
        <v>6910</v>
      </c>
      <c r="D390" t="s">
        <v>158</v>
      </c>
      <c r="E390" t="s">
        <v>6918</v>
      </c>
      <c r="F390">
        <v>24</v>
      </c>
      <c r="G390">
        <v>1</v>
      </c>
      <c r="H390" t="s">
        <v>7711</v>
      </c>
      <c r="J390" t="s">
        <v>6325</v>
      </c>
      <c r="M390" t="s">
        <v>7712</v>
      </c>
      <c r="N390">
        <v>1.9874741039999999</v>
      </c>
      <c r="O390">
        <v>3.7453511220000002</v>
      </c>
      <c r="P390">
        <v>0.451009722</v>
      </c>
      <c r="Q390">
        <v>-0.102386592</v>
      </c>
      <c r="S390" s="13">
        <v>-1.0718804470000001</v>
      </c>
      <c r="T390">
        <v>1.2413204760000001</v>
      </c>
      <c r="U390">
        <v>7.1326740000000003E-3</v>
      </c>
    </row>
    <row r="391" spans="1:21" x14ac:dyDescent="0.2">
      <c r="A391" t="s">
        <v>1362</v>
      </c>
      <c r="B391">
        <v>641080</v>
      </c>
      <c r="C391" t="s">
        <v>6961</v>
      </c>
      <c r="D391" t="s">
        <v>1362</v>
      </c>
      <c r="E391" t="s">
        <v>7115</v>
      </c>
      <c r="F391">
        <v>22</v>
      </c>
      <c r="G391">
        <v>10</v>
      </c>
      <c r="H391" t="s">
        <v>7713</v>
      </c>
      <c r="J391" t="s">
        <v>1449</v>
      </c>
      <c r="M391" t="s">
        <v>7714</v>
      </c>
      <c r="N391">
        <v>2.7247480949999998</v>
      </c>
      <c r="O391">
        <v>7.0822175119999997</v>
      </c>
      <c r="P391">
        <v>0.61298291999999999</v>
      </c>
      <c r="Q391">
        <v>0.48262032500000002</v>
      </c>
      <c r="S391" s="13">
        <v>-1.0723061330000001</v>
      </c>
      <c r="T391">
        <v>1.239460322</v>
      </c>
      <c r="U391">
        <v>-3.6038270999999997E-2</v>
      </c>
    </row>
    <row r="392" spans="1:21" x14ac:dyDescent="0.2">
      <c r="A392" t="s">
        <v>968</v>
      </c>
      <c r="B392">
        <v>859840</v>
      </c>
      <c r="C392" t="s">
        <v>6942</v>
      </c>
      <c r="D392" t="s">
        <v>969</v>
      </c>
      <c r="E392" t="s">
        <v>6970</v>
      </c>
      <c r="F392">
        <v>7</v>
      </c>
      <c r="G392">
        <v>14</v>
      </c>
      <c r="H392" t="s">
        <v>7715</v>
      </c>
      <c r="J392" t="s">
        <v>1531</v>
      </c>
      <c r="M392" t="s">
        <v>7716</v>
      </c>
      <c r="N392">
        <v>2.0902262079999998</v>
      </c>
      <c r="O392">
        <v>4.2704203920000001</v>
      </c>
      <c r="P392">
        <v>0.23425843900000001</v>
      </c>
      <c r="Q392">
        <v>1.6181978999999999E-2</v>
      </c>
      <c r="S392" s="13">
        <v>-1.0733172369999999</v>
      </c>
      <c r="T392">
        <v>1.2350420310000001</v>
      </c>
      <c r="U392">
        <v>-4.2737536999999999E-2</v>
      </c>
    </row>
    <row r="393" spans="1:21" x14ac:dyDescent="0.2">
      <c r="A393" t="s">
        <v>551</v>
      </c>
      <c r="B393">
        <v>639560</v>
      </c>
      <c r="C393" t="s">
        <v>6961</v>
      </c>
      <c r="D393" t="s">
        <v>551</v>
      </c>
      <c r="E393" t="s">
        <v>6928</v>
      </c>
      <c r="F393">
        <v>11</v>
      </c>
      <c r="G393">
        <v>16</v>
      </c>
      <c r="H393" t="s">
        <v>7717</v>
      </c>
      <c r="J393" t="s">
        <v>1285</v>
      </c>
      <c r="M393" t="s">
        <v>7718</v>
      </c>
      <c r="N393">
        <v>2.7247480949999998</v>
      </c>
      <c r="O393">
        <v>7.0822175119999997</v>
      </c>
      <c r="P393">
        <v>0.61298291999999999</v>
      </c>
      <c r="Q393">
        <v>0.48262032500000002</v>
      </c>
      <c r="S393" s="13">
        <v>-1.073509389</v>
      </c>
      <c r="T393">
        <v>1.2342023719999999</v>
      </c>
      <c r="U393">
        <v>-3.6816254999999999E-2</v>
      </c>
    </row>
    <row r="394" spans="1:21" x14ac:dyDescent="0.2">
      <c r="A394" t="s">
        <v>998</v>
      </c>
      <c r="B394">
        <v>637120</v>
      </c>
      <c r="C394" t="s">
        <v>6961</v>
      </c>
      <c r="D394" t="s">
        <v>998</v>
      </c>
      <c r="E394" t="s">
        <v>6970</v>
      </c>
      <c r="F394">
        <v>13</v>
      </c>
      <c r="G394">
        <v>14</v>
      </c>
      <c r="H394" t="s">
        <v>7719</v>
      </c>
      <c r="J394" t="s">
        <v>6405</v>
      </c>
      <c r="M394" t="s">
        <v>7720</v>
      </c>
      <c r="N394">
        <v>2.7247480949999998</v>
      </c>
      <c r="O394">
        <v>7.0822175119999997</v>
      </c>
      <c r="P394">
        <v>0.61298291999999999</v>
      </c>
      <c r="Q394">
        <v>0.48262032500000002</v>
      </c>
      <c r="S394" s="13">
        <v>-1.0754409300000001</v>
      </c>
      <c r="T394">
        <v>1.2257619790000001</v>
      </c>
      <c r="U394">
        <v>-3.8068047000000001E-2</v>
      </c>
    </row>
    <row r="395" spans="1:21" x14ac:dyDescent="0.2">
      <c r="A395" t="s">
        <v>1461</v>
      </c>
      <c r="B395">
        <v>637000</v>
      </c>
      <c r="C395" t="s">
        <v>6961</v>
      </c>
      <c r="D395" t="s">
        <v>1461</v>
      </c>
      <c r="E395" t="s">
        <v>6918</v>
      </c>
      <c r="F395">
        <v>21</v>
      </c>
      <c r="G395">
        <v>1</v>
      </c>
      <c r="H395" t="s">
        <v>7721</v>
      </c>
      <c r="J395" t="s">
        <v>1463</v>
      </c>
      <c r="M395" t="s">
        <v>7722</v>
      </c>
      <c r="N395">
        <v>2.7247480949999998</v>
      </c>
      <c r="O395">
        <v>7.0822175119999997</v>
      </c>
      <c r="P395">
        <v>0.61298291999999999</v>
      </c>
      <c r="Q395">
        <v>0.48262032500000002</v>
      </c>
      <c r="S395" s="13">
        <v>-1.0755359229999999</v>
      </c>
      <c r="T395">
        <v>1.2253468780000001</v>
      </c>
      <c r="U395">
        <v>-3.8129704E-2</v>
      </c>
    </row>
    <row r="396" spans="1:21" x14ac:dyDescent="0.2">
      <c r="A396" t="s">
        <v>880</v>
      </c>
      <c r="B396">
        <v>758560</v>
      </c>
      <c r="C396" t="s">
        <v>6931</v>
      </c>
      <c r="D396" t="s">
        <v>880</v>
      </c>
      <c r="E396" t="s">
        <v>6939</v>
      </c>
      <c r="F396">
        <v>19</v>
      </c>
      <c r="G396">
        <v>2</v>
      </c>
      <c r="H396" t="s">
        <v>7723</v>
      </c>
      <c r="N396">
        <v>1.9323965059999999</v>
      </c>
      <c r="O396">
        <v>3.0528020530000002</v>
      </c>
      <c r="P396">
        <v>2.6493138999999999E-2</v>
      </c>
      <c r="Q396">
        <v>-0.38692188</v>
      </c>
      <c r="S396" s="13">
        <v>-1.075776887</v>
      </c>
      <c r="T396">
        <v>1.224293922</v>
      </c>
      <c r="U396">
        <v>-1.069198E-2</v>
      </c>
    </row>
    <row r="397" spans="1:21" x14ac:dyDescent="0.2">
      <c r="A397" t="s">
        <v>812</v>
      </c>
      <c r="B397">
        <v>869520</v>
      </c>
      <c r="C397" t="s">
        <v>6910</v>
      </c>
      <c r="D397" t="s">
        <v>813</v>
      </c>
      <c r="E397" t="s">
        <v>7115</v>
      </c>
      <c r="F397">
        <v>7</v>
      </c>
      <c r="G397">
        <v>10</v>
      </c>
      <c r="H397" t="s">
        <v>7724</v>
      </c>
      <c r="J397" t="s">
        <v>3420</v>
      </c>
      <c r="M397" t="s">
        <v>7725</v>
      </c>
      <c r="N397">
        <v>1.9874741039999999</v>
      </c>
      <c r="O397">
        <v>3.7453511220000002</v>
      </c>
      <c r="P397">
        <v>0.451009722</v>
      </c>
      <c r="Q397">
        <v>-0.102386592</v>
      </c>
      <c r="S397" s="13">
        <v>-1.077173843</v>
      </c>
      <c r="T397">
        <v>1.218189545</v>
      </c>
      <c r="U397">
        <v>4.8487900000000004E-3</v>
      </c>
    </row>
    <row r="398" spans="1:21" x14ac:dyDescent="0.2">
      <c r="A398" t="s">
        <v>1461</v>
      </c>
      <c r="B398">
        <v>785560</v>
      </c>
      <c r="C398" t="s">
        <v>6945</v>
      </c>
      <c r="D398" t="s">
        <v>1461</v>
      </c>
      <c r="E398" t="s">
        <v>6918</v>
      </c>
      <c r="F398">
        <v>21</v>
      </c>
      <c r="G398">
        <v>1</v>
      </c>
      <c r="H398" t="s">
        <v>7726</v>
      </c>
      <c r="J398" t="s">
        <v>6519</v>
      </c>
      <c r="M398" t="s">
        <v>7727</v>
      </c>
      <c r="N398">
        <v>2.2220813349999999</v>
      </c>
      <c r="O398">
        <v>6.5440947090000003</v>
      </c>
      <c r="P398">
        <v>0.58228215500000002</v>
      </c>
      <c r="Q398">
        <v>0.35188233000000002</v>
      </c>
      <c r="S398" s="13">
        <v>-1.0773076269999999</v>
      </c>
      <c r="T398">
        <v>1.2176049390000001</v>
      </c>
      <c r="U398">
        <v>-4.4558981999999997E-2</v>
      </c>
    </row>
    <row r="399" spans="1:21" x14ac:dyDescent="0.2">
      <c r="A399" t="s">
        <v>307</v>
      </c>
      <c r="B399">
        <v>634000</v>
      </c>
      <c r="C399" t="s">
        <v>6961</v>
      </c>
      <c r="D399" t="s">
        <v>308</v>
      </c>
      <c r="E399" t="s">
        <v>6915</v>
      </c>
      <c r="F399">
        <v>3</v>
      </c>
      <c r="G399">
        <v>13</v>
      </c>
      <c r="H399" t="s">
        <v>7728</v>
      </c>
      <c r="J399" t="s">
        <v>1842</v>
      </c>
      <c r="M399" t="s">
        <v>7729</v>
      </c>
      <c r="N399">
        <v>2.7247480949999998</v>
      </c>
      <c r="O399">
        <v>7.0822175119999997</v>
      </c>
      <c r="P399">
        <v>0.61298291999999999</v>
      </c>
      <c r="Q399">
        <v>0.48262032500000002</v>
      </c>
      <c r="S399" s="13">
        <v>-1.077910769</v>
      </c>
      <c r="T399">
        <v>1.2149693450000001</v>
      </c>
      <c r="U399">
        <v>-3.9673973000000001E-2</v>
      </c>
    </row>
    <row r="400" spans="1:21" x14ac:dyDescent="0.2">
      <c r="A400" t="s">
        <v>853</v>
      </c>
      <c r="B400">
        <v>633240</v>
      </c>
      <c r="C400" t="s">
        <v>6961</v>
      </c>
      <c r="D400" t="s">
        <v>854</v>
      </c>
      <c r="E400" t="s">
        <v>6946</v>
      </c>
      <c r="F400">
        <v>5</v>
      </c>
      <c r="G400">
        <v>11</v>
      </c>
      <c r="H400" t="s">
        <v>7730</v>
      </c>
      <c r="J400" t="s">
        <v>6481</v>
      </c>
      <c r="M400" t="s">
        <v>7731</v>
      </c>
      <c r="N400">
        <v>2.7247480949999998</v>
      </c>
      <c r="O400">
        <v>7.0822175119999997</v>
      </c>
      <c r="P400">
        <v>0.61298291999999999</v>
      </c>
      <c r="Q400">
        <v>0.48262032500000002</v>
      </c>
      <c r="S400" s="13">
        <v>-1.0785123969999999</v>
      </c>
      <c r="T400">
        <v>1.212340371</v>
      </c>
      <c r="U400">
        <v>-4.0066062E-2</v>
      </c>
    </row>
    <row r="401" spans="1:21" x14ac:dyDescent="0.2">
      <c r="A401" t="s">
        <v>947</v>
      </c>
      <c r="B401">
        <v>633120</v>
      </c>
      <c r="C401" t="s">
        <v>6961</v>
      </c>
      <c r="D401" t="s">
        <v>948</v>
      </c>
      <c r="E401" t="s">
        <v>6921</v>
      </c>
      <c r="F401">
        <v>7</v>
      </c>
      <c r="G401">
        <v>8</v>
      </c>
      <c r="H401" t="s">
        <v>7732</v>
      </c>
      <c r="J401" t="s">
        <v>5139</v>
      </c>
      <c r="M401" t="s">
        <v>7733</v>
      </c>
      <c r="N401">
        <v>2.7247480949999998</v>
      </c>
      <c r="O401">
        <v>7.0822175119999997</v>
      </c>
      <c r="P401">
        <v>0.61298291999999999</v>
      </c>
      <c r="Q401">
        <v>0.48262032500000002</v>
      </c>
      <c r="S401" s="13">
        <v>-1.078607391</v>
      </c>
      <c r="T401">
        <v>1.211925269</v>
      </c>
      <c r="U401">
        <v>-4.0128003000000002E-2</v>
      </c>
    </row>
    <row r="402" spans="1:21" x14ac:dyDescent="0.2">
      <c r="A402" t="s">
        <v>625</v>
      </c>
      <c r="B402">
        <v>974000</v>
      </c>
      <c r="C402" t="s">
        <v>6938</v>
      </c>
      <c r="D402" t="s">
        <v>625</v>
      </c>
      <c r="E402" t="s">
        <v>6918</v>
      </c>
      <c r="F402">
        <v>11</v>
      </c>
      <c r="G402">
        <v>1</v>
      </c>
      <c r="H402" t="s">
        <v>7734</v>
      </c>
      <c r="J402" t="s">
        <v>5183</v>
      </c>
      <c r="M402" t="s">
        <v>7735</v>
      </c>
      <c r="N402">
        <v>2.092758737</v>
      </c>
      <c r="O402">
        <v>5.3323610669999999</v>
      </c>
      <c r="P402">
        <v>0.70420098600000003</v>
      </c>
      <c r="Q402">
        <v>0.41355372699999998</v>
      </c>
      <c r="S402" s="13">
        <v>-1.078632772</v>
      </c>
      <c r="T402">
        <v>1.211814357</v>
      </c>
      <c r="U402">
        <v>-1.6715107E-2</v>
      </c>
    </row>
    <row r="403" spans="1:21" x14ac:dyDescent="0.2">
      <c r="A403" t="s">
        <v>2188</v>
      </c>
      <c r="B403">
        <v>973800</v>
      </c>
      <c r="C403" t="s">
        <v>6938</v>
      </c>
      <c r="D403" t="s">
        <v>2188</v>
      </c>
      <c r="E403" t="s">
        <v>6907</v>
      </c>
      <c r="F403">
        <v>11</v>
      </c>
      <c r="G403">
        <v>4</v>
      </c>
      <c r="H403" t="s">
        <v>7736</v>
      </c>
      <c r="J403" t="s">
        <v>5441</v>
      </c>
      <c r="M403" t="s">
        <v>7737</v>
      </c>
      <c r="N403">
        <v>2.092758737</v>
      </c>
      <c r="O403">
        <v>5.3323610669999999</v>
      </c>
      <c r="P403">
        <v>0.70420098600000003</v>
      </c>
      <c r="Q403">
        <v>0.41355372699999998</v>
      </c>
      <c r="S403" s="13">
        <v>-1.078804535</v>
      </c>
      <c r="T403">
        <v>1.2110637950000001</v>
      </c>
      <c r="U403">
        <v>-1.6812942000000001E-2</v>
      </c>
    </row>
    <row r="404" spans="1:21" x14ac:dyDescent="0.2">
      <c r="A404" t="s">
        <v>746</v>
      </c>
      <c r="B404">
        <v>755920</v>
      </c>
      <c r="C404" t="s">
        <v>6931</v>
      </c>
      <c r="D404" t="s">
        <v>746</v>
      </c>
      <c r="E404" t="s">
        <v>6974</v>
      </c>
      <c r="F404">
        <v>19</v>
      </c>
      <c r="G404">
        <v>15</v>
      </c>
      <c r="H404" t="s">
        <v>7738</v>
      </c>
      <c r="N404">
        <v>1.9323965059999999</v>
      </c>
      <c r="O404">
        <v>3.0528020530000002</v>
      </c>
      <c r="P404">
        <v>2.6493138999999999E-2</v>
      </c>
      <c r="Q404">
        <v>-0.38692188</v>
      </c>
      <c r="S404" s="13">
        <v>-1.0792457790000001</v>
      </c>
      <c r="T404">
        <v>1.2091356579999999</v>
      </c>
      <c r="U404">
        <v>-1.1967342000000001E-2</v>
      </c>
    </row>
    <row r="405" spans="1:21" x14ac:dyDescent="0.2">
      <c r="A405" t="s">
        <v>175</v>
      </c>
      <c r="B405">
        <v>904280</v>
      </c>
      <c r="C405" t="s">
        <v>6927</v>
      </c>
      <c r="D405" t="s">
        <v>175</v>
      </c>
      <c r="E405" t="s">
        <v>7006</v>
      </c>
      <c r="F405">
        <v>15</v>
      </c>
      <c r="G405">
        <v>3</v>
      </c>
      <c r="H405" t="s">
        <v>7739</v>
      </c>
      <c r="J405" t="s">
        <v>7740</v>
      </c>
      <c r="M405" t="s">
        <v>7741</v>
      </c>
      <c r="N405">
        <v>1.982575982</v>
      </c>
      <c r="O405">
        <v>3.4571926419999999</v>
      </c>
      <c r="P405">
        <v>-0.114791479</v>
      </c>
      <c r="Q405">
        <v>1.868949E-3</v>
      </c>
      <c r="S405" s="13">
        <v>-1.0794301369999999</v>
      </c>
      <c r="T405">
        <v>1.2083300560000001</v>
      </c>
      <c r="U405">
        <v>-3.4455897999999999E-2</v>
      </c>
    </row>
    <row r="406" spans="1:21" x14ac:dyDescent="0.2">
      <c r="A406" t="s">
        <v>431</v>
      </c>
      <c r="B406">
        <v>783120</v>
      </c>
      <c r="C406" t="s">
        <v>6945</v>
      </c>
      <c r="D406" t="s">
        <v>432</v>
      </c>
      <c r="E406" t="s">
        <v>6939</v>
      </c>
      <c r="F406">
        <v>3</v>
      </c>
      <c r="G406">
        <v>2</v>
      </c>
      <c r="H406" t="s">
        <v>7742</v>
      </c>
      <c r="J406" t="s">
        <v>3312</v>
      </c>
      <c r="M406" t="s">
        <v>7743</v>
      </c>
      <c r="N406">
        <v>2.2220813349999999</v>
      </c>
      <c r="O406">
        <v>6.5440947090000003</v>
      </c>
      <c r="P406">
        <v>0.58228215500000002</v>
      </c>
      <c r="Q406">
        <v>0.35188233000000002</v>
      </c>
      <c r="S406" s="13">
        <v>-1.079609123</v>
      </c>
      <c r="T406">
        <v>1.207547927</v>
      </c>
      <c r="U406">
        <v>-4.5833325000000001E-2</v>
      </c>
    </row>
    <row r="407" spans="1:21" x14ac:dyDescent="0.2">
      <c r="A407" t="s">
        <v>38</v>
      </c>
      <c r="B407">
        <v>945360</v>
      </c>
      <c r="C407" t="s">
        <v>6914</v>
      </c>
      <c r="D407" t="s">
        <v>38</v>
      </c>
      <c r="E407" t="s">
        <v>6939</v>
      </c>
      <c r="F407">
        <v>24</v>
      </c>
      <c r="G407">
        <v>2</v>
      </c>
      <c r="H407" t="s">
        <v>7744</v>
      </c>
      <c r="J407" t="s">
        <v>1592</v>
      </c>
      <c r="M407" t="s">
        <v>7745</v>
      </c>
      <c r="N407">
        <v>1.8217074179999999</v>
      </c>
      <c r="O407">
        <v>4.1700741289999996</v>
      </c>
      <c r="P407">
        <v>0.189705977</v>
      </c>
      <c r="Q407">
        <v>-1.7194070999999998E-2</v>
      </c>
      <c r="S407" s="13">
        <v>-1.0799355319999999</v>
      </c>
      <c r="T407">
        <v>1.2061215949999999</v>
      </c>
      <c r="U407">
        <v>-5.4827941999999998E-2</v>
      </c>
    </row>
    <row r="408" spans="1:21" x14ac:dyDescent="0.2">
      <c r="A408" t="s">
        <v>563</v>
      </c>
      <c r="B408">
        <v>968800</v>
      </c>
      <c r="C408" t="s">
        <v>6953</v>
      </c>
      <c r="D408" t="s">
        <v>564</v>
      </c>
      <c r="E408" t="s">
        <v>6928</v>
      </c>
      <c r="F408">
        <v>9</v>
      </c>
      <c r="G408">
        <v>16</v>
      </c>
      <c r="H408" t="s">
        <v>7746</v>
      </c>
      <c r="J408" t="s">
        <v>829</v>
      </c>
      <c r="M408" t="s">
        <v>7747</v>
      </c>
      <c r="N408">
        <v>1.921480887</v>
      </c>
      <c r="O408">
        <v>3.0856645180000002</v>
      </c>
      <c r="P408">
        <v>0.44706724399999997</v>
      </c>
      <c r="Q408">
        <v>-0.354940863</v>
      </c>
      <c r="S408" s="13">
        <v>-1.0799593249999999</v>
      </c>
      <c r="T408">
        <v>1.206017624</v>
      </c>
      <c r="U408">
        <v>4.9511720000000002E-3</v>
      </c>
    </row>
    <row r="409" spans="1:21" x14ac:dyDescent="0.2">
      <c r="A409" t="s">
        <v>364</v>
      </c>
      <c r="B409">
        <v>866640</v>
      </c>
      <c r="C409" t="s">
        <v>6910</v>
      </c>
      <c r="D409" t="s">
        <v>364</v>
      </c>
      <c r="E409" t="s">
        <v>6970</v>
      </c>
      <c r="F409">
        <v>23</v>
      </c>
      <c r="G409">
        <v>14</v>
      </c>
      <c r="H409" t="s">
        <v>7748</v>
      </c>
      <c r="J409" t="s">
        <v>5629</v>
      </c>
      <c r="M409" t="s">
        <v>7749</v>
      </c>
      <c r="N409">
        <v>1.9874741039999999</v>
      </c>
      <c r="O409">
        <v>3.7453511220000002</v>
      </c>
      <c r="P409">
        <v>0.451009722</v>
      </c>
      <c r="Q409">
        <v>-0.102386592</v>
      </c>
      <c r="S409" s="13">
        <v>-1.0802724159999999</v>
      </c>
      <c r="T409">
        <v>1.204649487</v>
      </c>
      <c r="U409">
        <v>3.5062880000000002E-3</v>
      </c>
    </row>
    <row r="410" spans="1:21" x14ac:dyDescent="0.2">
      <c r="A410" t="s">
        <v>74</v>
      </c>
      <c r="B410">
        <v>630920</v>
      </c>
      <c r="C410" t="s">
        <v>6961</v>
      </c>
      <c r="D410" t="s">
        <v>75</v>
      </c>
      <c r="E410" t="s">
        <v>6970</v>
      </c>
      <c r="F410">
        <v>3</v>
      </c>
      <c r="G410">
        <v>14</v>
      </c>
      <c r="H410" t="s">
        <v>7750</v>
      </c>
      <c r="J410" t="s">
        <v>2008</v>
      </c>
      <c r="M410" t="s">
        <v>7751</v>
      </c>
      <c r="N410">
        <v>2.7247480949999998</v>
      </c>
      <c r="O410">
        <v>7.0822175119999997</v>
      </c>
      <c r="P410">
        <v>0.61298291999999999</v>
      </c>
      <c r="Q410">
        <v>0.48262032500000002</v>
      </c>
      <c r="S410" s="13">
        <v>-1.080348944</v>
      </c>
      <c r="T410">
        <v>1.2043150789999999</v>
      </c>
      <c r="U410">
        <v>-4.1265156999999997E-2</v>
      </c>
    </row>
    <row r="411" spans="1:21" x14ac:dyDescent="0.2">
      <c r="A411" t="s">
        <v>239</v>
      </c>
      <c r="B411">
        <v>852520</v>
      </c>
      <c r="C411" t="s">
        <v>6942</v>
      </c>
      <c r="D411" t="s">
        <v>240</v>
      </c>
      <c r="E411" t="s">
        <v>6977</v>
      </c>
      <c r="F411">
        <v>1</v>
      </c>
      <c r="G411">
        <v>5</v>
      </c>
      <c r="H411" t="s">
        <v>7752</v>
      </c>
      <c r="J411" t="s">
        <v>643</v>
      </c>
      <c r="M411" t="s">
        <v>7753</v>
      </c>
      <c r="N411">
        <v>2.0902262079999998</v>
      </c>
      <c r="O411">
        <v>4.2704203920000001</v>
      </c>
      <c r="P411">
        <v>0.23425843900000001</v>
      </c>
      <c r="Q411">
        <v>1.6181978999999999E-2</v>
      </c>
      <c r="S411" s="13">
        <v>-1.0805017370000001</v>
      </c>
      <c r="T411">
        <v>1.2036474070000001</v>
      </c>
      <c r="U411">
        <v>-4.6555718000000003E-2</v>
      </c>
    </row>
    <row r="412" spans="1:21" x14ac:dyDescent="0.2">
      <c r="A412" t="s">
        <v>369</v>
      </c>
      <c r="B412">
        <v>782160</v>
      </c>
      <c r="C412" t="s">
        <v>6945</v>
      </c>
      <c r="D412" t="s">
        <v>369</v>
      </c>
      <c r="E412" t="s">
        <v>6939</v>
      </c>
      <c r="F412">
        <v>23</v>
      </c>
      <c r="G412">
        <v>2</v>
      </c>
      <c r="H412" t="s">
        <v>7754</v>
      </c>
      <c r="J412" t="s">
        <v>2025</v>
      </c>
      <c r="M412" t="s">
        <v>7755</v>
      </c>
      <c r="N412">
        <v>2.2220813349999999</v>
      </c>
      <c r="O412">
        <v>6.5440947090000003</v>
      </c>
      <c r="P412">
        <v>0.58228215500000002</v>
      </c>
      <c r="Q412">
        <v>0.35188233000000002</v>
      </c>
      <c r="S412" s="13">
        <v>-1.0805146299999999</v>
      </c>
      <c r="T412">
        <v>1.2035910700000001</v>
      </c>
      <c r="U412">
        <v>-4.6335731999999998E-2</v>
      </c>
    </row>
    <row r="413" spans="1:21" x14ac:dyDescent="0.2">
      <c r="A413" t="s">
        <v>1167</v>
      </c>
      <c r="B413">
        <v>903200</v>
      </c>
      <c r="C413" t="s">
        <v>6927</v>
      </c>
      <c r="D413" t="s">
        <v>1168</v>
      </c>
      <c r="E413" t="s">
        <v>7006</v>
      </c>
      <c r="F413">
        <v>5</v>
      </c>
      <c r="G413">
        <v>3</v>
      </c>
      <c r="H413" t="s">
        <v>7756</v>
      </c>
      <c r="J413" t="s">
        <v>7757</v>
      </c>
      <c r="M413" t="s">
        <v>7758</v>
      </c>
      <c r="N413">
        <v>1.982575982</v>
      </c>
      <c r="O413">
        <v>3.4571926419999999</v>
      </c>
      <c r="P413">
        <v>-0.114791479</v>
      </c>
      <c r="Q413">
        <v>1.868949E-3</v>
      </c>
      <c r="S413" s="13">
        <v>-1.080550771</v>
      </c>
      <c r="T413">
        <v>1.2034331410000001</v>
      </c>
      <c r="U413">
        <v>-3.5006521999999998E-2</v>
      </c>
    </row>
    <row r="414" spans="1:21" x14ac:dyDescent="0.2">
      <c r="A414" t="s">
        <v>1251</v>
      </c>
      <c r="B414">
        <v>781760</v>
      </c>
      <c r="C414" t="s">
        <v>6945</v>
      </c>
      <c r="D414" t="s">
        <v>1251</v>
      </c>
      <c r="E414" t="s">
        <v>6907</v>
      </c>
      <c r="F414">
        <v>17</v>
      </c>
      <c r="G414">
        <v>4</v>
      </c>
      <c r="H414" t="s">
        <v>7759</v>
      </c>
      <c r="J414" t="s">
        <v>4505</v>
      </c>
      <c r="M414" t="s">
        <v>7760</v>
      </c>
      <c r="N414">
        <v>2.2220813349999999</v>
      </c>
      <c r="O414">
        <v>6.5440947090000003</v>
      </c>
      <c r="P414">
        <v>0.58228215500000002</v>
      </c>
      <c r="Q414">
        <v>0.35188233000000002</v>
      </c>
      <c r="S414" s="13">
        <v>-1.0808919239999999</v>
      </c>
      <c r="T414">
        <v>1.20194238</v>
      </c>
      <c r="U414">
        <v>-4.6545240000000002E-2</v>
      </c>
    </row>
    <row r="415" spans="1:21" x14ac:dyDescent="0.2">
      <c r="A415" t="s">
        <v>246</v>
      </c>
      <c r="B415">
        <v>851960</v>
      </c>
      <c r="C415" t="s">
        <v>6942</v>
      </c>
      <c r="D415" t="s">
        <v>246</v>
      </c>
      <c r="E415" t="s">
        <v>6939</v>
      </c>
      <c r="F415">
        <v>10</v>
      </c>
      <c r="G415">
        <v>2</v>
      </c>
      <c r="H415" t="s">
        <v>7761</v>
      </c>
      <c r="J415" t="s">
        <v>248</v>
      </c>
      <c r="M415" t="s">
        <v>7762</v>
      </c>
      <c r="N415">
        <v>2.0902262079999998</v>
      </c>
      <c r="O415">
        <v>4.2704203920000001</v>
      </c>
      <c r="P415">
        <v>0.23425843900000001</v>
      </c>
      <c r="Q415">
        <v>1.6181978999999999E-2</v>
      </c>
      <c r="S415" s="13">
        <v>-1.081051371</v>
      </c>
      <c r="T415">
        <v>1.2012456330000001</v>
      </c>
      <c r="U415">
        <v>-4.6849205999999997E-2</v>
      </c>
    </row>
    <row r="416" spans="1:21" x14ac:dyDescent="0.2">
      <c r="A416" t="s">
        <v>727</v>
      </c>
      <c r="B416">
        <v>629520</v>
      </c>
      <c r="C416" t="s">
        <v>6961</v>
      </c>
      <c r="D416" t="s">
        <v>727</v>
      </c>
      <c r="E416" t="s">
        <v>7115</v>
      </c>
      <c r="F416">
        <v>23</v>
      </c>
      <c r="G416">
        <v>10</v>
      </c>
      <c r="H416" t="s">
        <v>7763</v>
      </c>
      <c r="J416" t="s">
        <v>6139</v>
      </c>
      <c r="M416" t="s">
        <v>7764</v>
      </c>
      <c r="N416">
        <v>2.7247480949999998</v>
      </c>
      <c r="O416">
        <v>7.0822175119999997</v>
      </c>
      <c r="P416">
        <v>0.61298291999999999</v>
      </c>
      <c r="Q416">
        <v>0.48262032500000002</v>
      </c>
      <c r="S416" s="13">
        <v>-1.081457205</v>
      </c>
      <c r="T416">
        <v>1.19947223</v>
      </c>
      <c r="U416">
        <v>-4.1990354000000001E-2</v>
      </c>
    </row>
    <row r="417" spans="1:21" x14ac:dyDescent="0.2">
      <c r="A417" t="s">
        <v>134</v>
      </c>
      <c r="B417">
        <v>970640</v>
      </c>
      <c r="C417" t="s">
        <v>6938</v>
      </c>
      <c r="D417" t="s">
        <v>135</v>
      </c>
      <c r="E417" t="s">
        <v>6970</v>
      </c>
      <c r="F417">
        <v>1</v>
      </c>
      <c r="G417">
        <v>14</v>
      </c>
      <c r="H417" t="s">
        <v>7765</v>
      </c>
      <c r="J417" t="s">
        <v>1871</v>
      </c>
      <c r="M417" t="s">
        <v>7766</v>
      </c>
      <c r="N417">
        <v>2.092758737</v>
      </c>
      <c r="O417">
        <v>5.3323610669999999</v>
      </c>
      <c r="P417">
        <v>0.70420098600000003</v>
      </c>
      <c r="Q417">
        <v>0.41355372699999998</v>
      </c>
      <c r="S417" s="13">
        <v>-1.081518379</v>
      </c>
      <c r="T417">
        <v>1.1992049170000001</v>
      </c>
      <c r="U417">
        <v>-1.8361667000000002E-2</v>
      </c>
    </row>
    <row r="418" spans="1:21" x14ac:dyDescent="0.2">
      <c r="A418" t="s">
        <v>1939</v>
      </c>
      <c r="B418">
        <v>754000</v>
      </c>
      <c r="C418" t="s">
        <v>6931</v>
      </c>
      <c r="D418" t="s">
        <v>1939</v>
      </c>
      <c r="E418" t="s">
        <v>6928</v>
      </c>
      <c r="F418">
        <v>19</v>
      </c>
      <c r="G418">
        <v>16</v>
      </c>
      <c r="H418" t="s">
        <v>7767</v>
      </c>
      <c r="N418">
        <v>1.9323965059999999</v>
      </c>
      <c r="O418">
        <v>3.0528020530000002</v>
      </c>
      <c r="P418">
        <v>2.6493138999999999E-2</v>
      </c>
      <c r="Q418">
        <v>-0.38692188</v>
      </c>
      <c r="S418" s="13">
        <v>-1.081768609</v>
      </c>
      <c r="T418">
        <v>1.1981114660000001</v>
      </c>
      <c r="U418">
        <v>-1.2897237000000001E-2</v>
      </c>
    </row>
    <row r="419" spans="1:21" x14ac:dyDescent="0.2">
      <c r="A419" t="s">
        <v>207</v>
      </c>
      <c r="B419">
        <v>628840</v>
      </c>
      <c r="C419" t="s">
        <v>6961</v>
      </c>
      <c r="D419" t="s">
        <v>207</v>
      </c>
      <c r="E419" t="s">
        <v>6939</v>
      </c>
      <c r="F419">
        <v>21</v>
      </c>
      <c r="G419">
        <v>2</v>
      </c>
      <c r="H419" t="s">
        <v>7768</v>
      </c>
      <c r="J419" t="s">
        <v>2679</v>
      </c>
      <c r="M419" t="s">
        <v>7769</v>
      </c>
      <c r="N419">
        <v>2.7247480949999998</v>
      </c>
      <c r="O419">
        <v>7.0822175119999997</v>
      </c>
      <c r="P419">
        <v>0.61298291999999999</v>
      </c>
      <c r="Q419">
        <v>0.48262032500000002</v>
      </c>
      <c r="S419" s="13">
        <v>-1.081995504</v>
      </c>
      <c r="T419">
        <v>1.1971199889999999</v>
      </c>
      <c r="U419">
        <v>-4.2343029999999997E-2</v>
      </c>
    </row>
    <row r="420" spans="1:21" x14ac:dyDescent="0.2">
      <c r="A420" t="s">
        <v>385</v>
      </c>
      <c r="B420">
        <v>753720</v>
      </c>
      <c r="C420" t="s">
        <v>6931</v>
      </c>
      <c r="D420" t="s">
        <v>386</v>
      </c>
      <c r="E420" t="s">
        <v>6928</v>
      </c>
      <c r="F420">
        <v>7</v>
      </c>
      <c r="G420">
        <v>16</v>
      </c>
      <c r="H420" t="s">
        <v>7770</v>
      </c>
      <c r="N420">
        <v>1.9323965059999999</v>
      </c>
      <c r="O420">
        <v>3.0528020530000002</v>
      </c>
      <c r="P420">
        <v>2.6493138999999999E-2</v>
      </c>
      <c r="Q420">
        <v>-0.38692188</v>
      </c>
      <c r="S420" s="13">
        <v>-1.0821365220000001</v>
      </c>
      <c r="T420">
        <v>1.196503772</v>
      </c>
      <c r="U420">
        <v>-1.3033013E-2</v>
      </c>
    </row>
    <row r="421" spans="1:21" x14ac:dyDescent="0.2">
      <c r="A421" t="s">
        <v>158</v>
      </c>
      <c r="B421">
        <v>901520</v>
      </c>
      <c r="C421" t="s">
        <v>6927</v>
      </c>
      <c r="D421" t="s">
        <v>158</v>
      </c>
      <c r="E421" t="s">
        <v>6918</v>
      </c>
      <c r="F421">
        <v>24</v>
      </c>
      <c r="G421">
        <v>1</v>
      </c>
      <c r="H421" t="s">
        <v>7771</v>
      </c>
      <c r="J421" t="s">
        <v>7772</v>
      </c>
      <c r="M421" t="s">
        <v>7773</v>
      </c>
      <c r="N421">
        <v>1.982575982</v>
      </c>
      <c r="O421">
        <v>3.4571926419999999</v>
      </c>
      <c r="P421">
        <v>-0.114791479</v>
      </c>
      <c r="Q421">
        <v>1.868949E-3</v>
      </c>
      <c r="S421" s="13">
        <v>-1.08229398</v>
      </c>
      <c r="T421">
        <v>1.1958157169999999</v>
      </c>
      <c r="U421">
        <v>-3.5864437999999998E-2</v>
      </c>
    </row>
    <row r="422" spans="1:21" x14ac:dyDescent="0.2">
      <c r="A422" t="s">
        <v>67</v>
      </c>
      <c r="B422">
        <v>864760</v>
      </c>
      <c r="C422" t="s">
        <v>6910</v>
      </c>
      <c r="D422" t="s">
        <v>69</v>
      </c>
      <c r="E422" t="s">
        <v>6974</v>
      </c>
      <c r="F422">
        <v>2</v>
      </c>
      <c r="G422">
        <v>15</v>
      </c>
      <c r="H422" t="s">
        <v>7774</v>
      </c>
      <c r="J422" t="s">
        <v>2754</v>
      </c>
      <c r="M422" t="s">
        <v>7775</v>
      </c>
      <c r="N422">
        <v>1.9874741039999999</v>
      </c>
      <c r="O422">
        <v>3.7453511220000002</v>
      </c>
      <c r="P422">
        <v>0.451009722</v>
      </c>
      <c r="Q422">
        <v>-0.102386592</v>
      </c>
      <c r="S422" s="13">
        <v>-1.082295096</v>
      </c>
      <c r="T422">
        <v>1.195810839</v>
      </c>
      <c r="U422">
        <v>2.627688E-3</v>
      </c>
    </row>
    <row r="423" spans="1:21" x14ac:dyDescent="0.2">
      <c r="A423" t="s">
        <v>534</v>
      </c>
      <c r="B423">
        <v>864320</v>
      </c>
      <c r="C423" t="s">
        <v>6910</v>
      </c>
      <c r="D423" t="s">
        <v>534</v>
      </c>
      <c r="E423" t="s">
        <v>6928</v>
      </c>
      <c r="F423">
        <v>22</v>
      </c>
      <c r="G423">
        <v>16</v>
      </c>
      <c r="H423" t="s">
        <v>7776</v>
      </c>
      <c r="J423" t="s">
        <v>1848</v>
      </c>
      <c r="M423" t="s">
        <v>7777</v>
      </c>
      <c r="N423">
        <v>1.9874741039999999</v>
      </c>
      <c r="O423">
        <v>3.7453511220000002</v>
      </c>
      <c r="P423">
        <v>0.451009722</v>
      </c>
      <c r="Q423">
        <v>-0.102386592</v>
      </c>
      <c r="S423" s="13">
        <v>-1.082768489</v>
      </c>
      <c r="T423">
        <v>1.193742219</v>
      </c>
      <c r="U423">
        <v>2.4218009999999999E-3</v>
      </c>
    </row>
    <row r="424" spans="1:21" x14ac:dyDescent="0.2">
      <c r="A424" t="s">
        <v>1119</v>
      </c>
      <c r="B424">
        <v>779120</v>
      </c>
      <c r="C424" t="s">
        <v>6945</v>
      </c>
      <c r="D424" t="s">
        <v>1120</v>
      </c>
      <c r="E424" t="s">
        <v>6915</v>
      </c>
      <c r="F424">
        <v>9</v>
      </c>
      <c r="G424">
        <v>13</v>
      </c>
      <c r="H424" t="s">
        <v>7778</v>
      </c>
      <c r="J424" t="s">
        <v>3998</v>
      </c>
      <c r="M424" t="s">
        <v>7779</v>
      </c>
      <c r="N424">
        <v>2.2220813349999999</v>
      </c>
      <c r="O424">
        <v>6.5440947090000003</v>
      </c>
      <c r="P424">
        <v>0.58228215500000002</v>
      </c>
      <c r="Q424">
        <v>0.35188233000000002</v>
      </c>
      <c r="S424" s="13">
        <v>-1.0833820670000001</v>
      </c>
      <c r="T424">
        <v>1.1910610239999999</v>
      </c>
      <c r="U424">
        <v>-4.7930533999999997E-2</v>
      </c>
    </row>
    <row r="425" spans="1:21" x14ac:dyDescent="0.2">
      <c r="A425" t="s">
        <v>352</v>
      </c>
      <c r="B425">
        <v>849000</v>
      </c>
      <c r="C425" t="s">
        <v>6942</v>
      </c>
      <c r="D425" t="s">
        <v>352</v>
      </c>
      <c r="E425" t="s">
        <v>6928</v>
      </c>
      <c r="F425">
        <v>17</v>
      </c>
      <c r="G425">
        <v>16</v>
      </c>
      <c r="H425" t="s">
        <v>7780</v>
      </c>
      <c r="J425" t="s">
        <v>354</v>
      </c>
      <c r="M425" t="s">
        <v>7781</v>
      </c>
      <c r="N425">
        <v>2.0902262079999998</v>
      </c>
      <c r="O425">
        <v>4.2704203920000001</v>
      </c>
      <c r="P425">
        <v>0.23425843900000001</v>
      </c>
      <c r="Q425">
        <v>1.6181978999999999E-2</v>
      </c>
      <c r="S425" s="13">
        <v>-1.0839565790000001</v>
      </c>
      <c r="T425">
        <v>1.188550539</v>
      </c>
      <c r="U425">
        <v>-4.8403805000000001E-2</v>
      </c>
    </row>
    <row r="426" spans="1:21" x14ac:dyDescent="0.2">
      <c r="A426" t="s">
        <v>656</v>
      </c>
      <c r="B426">
        <v>788480</v>
      </c>
      <c r="C426" t="s">
        <v>6906</v>
      </c>
      <c r="D426" t="s">
        <v>656</v>
      </c>
      <c r="E426" t="s">
        <v>6956</v>
      </c>
      <c r="F426">
        <v>24</v>
      </c>
      <c r="G426">
        <v>7</v>
      </c>
      <c r="H426" t="s">
        <v>7782</v>
      </c>
      <c r="J426" t="s">
        <v>1329</v>
      </c>
      <c r="M426" t="s">
        <v>7783</v>
      </c>
      <c r="N426">
        <v>1.813871112</v>
      </c>
      <c r="O426">
        <v>2.6633694910000001</v>
      </c>
      <c r="P426">
        <v>-0.29586356800000002</v>
      </c>
      <c r="Q426">
        <v>-0.59018158399999998</v>
      </c>
      <c r="S426" s="13">
        <v>-1.0848106769999999</v>
      </c>
      <c r="T426">
        <v>1.184818323</v>
      </c>
      <c r="U426">
        <v>-5.5501282999999998E-2</v>
      </c>
    </row>
    <row r="427" spans="1:21" x14ac:dyDescent="0.2">
      <c r="A427" t="s">
        <v>116</v>
      </c>
      <c r="B427">
        <v>966760</v>
      </c>
      <c r="C427" t="s">
        <v>6938</v>
      </c>
      <c r="D427" t="s">
        <v>117</v>
      </c>
      <c r="E427" t="s">
        <v>6921</v>
      </c>
      <c r="F427">
        <v>3</v>
      </c>
      <c r="G427">
        <v>8</v>
      </c>
      <c r="H427" t="s">
        <v>7784</v>
      </c>
      <c r="J427" t="s">
        <v>2432</v>
      </c>
      <c r="M427" t="s">
        <v>7785</v>
      </c>
      <c r="N427">
        <v>2.092758737</v>
      </c>
      <c r="O427">
        <v>5.3323610669999999</v>
      </c>
      <c r="P427">
        <v>0.70420098600000003</v>
      </c>
      <c r="Q427">
        <v>0.41355372699999998</v>
      </c>
      <c r="S427" s="13">
        <v>-1.0848505669999999</v>
      </c>
      <c r="T427">
        <v>1.184644016</v>
      </c>
      <c r="U427">
        <v>-2.0270851999999999E-2</v>
      </c>
    </row>
    <row r="428" spans="1:21" x14ac:dyDescent="0.2">
      <c r="A428" t="s">
        <v>577</v>
      </c>
      <c r="B428">
        <v>899040</v>
      </c>
      <c r="C428" t="s">
        <v>6927</v>
      </c>
      <c r="D428" t="s">
        <v>578</v>
      </c>
      <c r="E428" t="s">
        <v>7115</v>
      </c>
      <c r="F428">
        <v>1</v>
      </c>
      <c r="G428">
        <v>10</v>
      </c>
      <c r="H428" t="s">
        <v>7786</v>
      </c>
      <c r="J428" t="s">
        <v>7787</v>
      </c>
      <c r="M428" t="s">
        <v>7788</v>
      </c>
      <c r="N428">
        <v>1.982575982</v>
      </c>
      <c r="O428">
        <v>3.4571926419999999</v>
      </c>
      <c r="P428">
        <v>-0.114791479</v>
      </c>
      <c r="Q428">
        <v>1.868949E-3</v>
      </c>
      <c r="S428" s="13">
        <v>-1.0848672880000001</v>
      </c>
      <c r="T428">
        <v>1.184570949</v>
      </c>
      <c r="U428">
        <v>-3.7133991999999998E-2</v>
      </c>
    </row>
    <row r="429" spans="1:21" x14ac:dyDescent="0.2">
      <c r="A429" t="s">
        <v>1263</v>
      </c>
      <c r="B429">
        <v>624840</v>
      </c>
      <c r="C429" t="s">
        <v>6961</v>
      </c>
      <c r="D429" t="s">
        <v>1264</v>
      </c>
      <c r="E429" t="s">
        <v>6911</v>
      </c>
      <c r="F429">
        <v>7</v>
      </c>
      <c r="G429">
        <v>12</v>
      </c>
      <c r="H429" t="s">
        <v>7789</v>
      </c>
      <c r="J429" t="s">
        <v>6403</v>
      </c>
      <c r="M429" t="s">
        <v>7790</v>
      </c>
      <c r="N429">
        <v>2.7247480949999998</v>
      </c>
      <c r="O429">
        <v>7.0822175119999997</v>
      </c>
      <c r="P429">
        <v>0.61298291999999999</v>
      </c>
      <c r="Q429">
        <v>0.48262032500000002</v>
      </c>
      <c r="S429" s="13">
        <v>-1.0851619640000001</v>
      </c>
      <c r="T429">
        <v>1.1832832790000001</v>
      </c>
      <c r="U429">
        <v>-4.4423412000000002E-2</v>
      </c>
    </row>
    <row r="430" spans="1:21" x14ac:dyDescent="0.2">
      <c r="A430" t="s">
        <v>1963</v>
      </c>
      <c r="B430">
        <v>847360</v>
      </c>
      <c r="C430" t="s">
        <v>6942</v>
      </c>
      <c r="D430" t="s">
        <v>1963</v>
      </c>
      <c r="E430" t="s">
        <v>6939</v>
      </c>
      <c r="F430">
        <v>12</v>
      </c>
      <c r="G430">
        <v>2</v>
      </c>
      <c r="H430" t="s">
        <v>7791</v>
      </c>
      <c r="J430" t="s">
        <v>4956</v>
      </c>
      <c r="M430" t="s">
        <v>7792</v>
      </c>
      <c r="N430">
        <v>2.0902262079999998</v>
      </c>
      <c r="O430">
        <v>4.2704203920000001</v>
      </c>
      <c r="P430">
        <v>0.23425843900000001</v>
      </c>
      <c r="Q430">
        <v>1.6181978999999999E-2</v>
      </c>
      <c r="S430" s="13">
        <v>-1.0855662210000001</v>
      </c>
      <c r="T430">
        <v>1.18151677</v>
      </c>
      <c r="U430">
        <v>-4.9267538E-2</v>
      </c>
    </row>
    <row r="431" spans="1:21" x14ac:dyDescent="0.2">
      <c r="A431" t="s">
        <v>246</v>
      </c>
      <c r="B431">
        <v>962800</v>
      </c>
      <c r="C431" t="s">
        <v>6953</v>
      </c>
      <c r="D431" t="s">
        <v>246</v>
      </c>
      <c r="E431" t="s">
        <v>6939</v>
      </c>
      <c r="F431">
        <v>10</v>
      </c>
      <c r="G431">
        <v>2</v>
      </c>
      <c r="H431" t="s">
        <v>7793</v>
      </c>
      <c r="J431" t="s">
        <v>2575</v>
      </c>
      <c r="M431" t="s">
        <v>7794</v>
      </c>
      <c r="N431">
        <v>1.921480887</v>
      </c>
      <c r="O431">
        <v>3.0856645180000002</v>
      </c>
      <c r="P431">
        <v>0.44706724399999997</v>
      </c>
      <c r="Q431">
        <v>-0.354940863</v>
      </c>
      <c r="S431" s="13">
        <v>-1.0861850710000001</v>
      </c>
      <c r="T431">
        <v>1.1788125389999999</v>
      </c>
      <c r="U431">
        <v>2.1502560000000001E-3</v>
      </c>
    </row>
    <row r="432" spans="1:21" x14ac:dyDescent="0.2">
      <c r="A432" t="s">
        <v>919</v>
      </c>
      <c r="B432">
        <v>962280</v>
      </c>
      <c r="C432" t="s">
        <v>6953</v>
      </c>
      <c r="D432" t="s">
        <v>919</v>
      </c>
      <c r="E432" t="s">
        <v>6946</v>
      </c>
      <c r="F432">
        <v>22</v>
      </c>
      <c r="G432">
        <v>11</v>
      </c>
      <c r="H432" t="s">
        <v>7795</v>
      </c>
      <c r="J432" t="s">
        <v>984</v>
      </c>
      <c r="M432" t="s">
        <v>7796</v>
      </c>
      <c r="N432">
        <v>1.921480887</v>
      </c>
      <c r="O432">
        <v>3.0856645180000002</v>
      </c>
      <c r="P432">
        <v>0.44706724399999997</v>
      </c>
      <c r="Q432">
        <v>-0.354940863</v>
      </c>
      <c r="S432" s="13">
        <v>-1.0867246349999999</v>
      </c>
      <c r="T432">
        <v>1.1764547649999999</v>
      </c>
      <c r="U432">
        <v>1.906657E-3</v>
      </c>
    </row>
    <row r="433" spans="1:21" x14ac:dyDescent="0.2">
      <c r="A433" t="s">
        <v>592</v>
      </c>
      <c r="B433">
        <v>964560</v>
      </c>
      <c r="C433" t="s">
        <v>6938</v>
      </c>
      <c r="D433" t="s">
        <v>593</v>
      </c>
      <c r="E433" t="s">
        <v>6946</v>
      </c>
      <c r="F433">
        <v>9</v>
      </c>
      <c r="G433">
        <v>11</v>
      </c>
      <c r="H433" t="s">
        <v>7797</v>
      </c>
      <c r="J433" t="s">
        <v>595</v>
      </c>
      <c r="M433" t="s">
        <v>7798</v>
      </c>
      <c r="N433">
        <v>2.092758737</v>
      </c>
      <c r="O433">
        <v>5.3323610669999999</v>
      </c>
      <c r="P433">
        <v>0.70420098600000003</v>
      </c>
      <c r="Q433">
        <v>0.41355372699999998</v>
      </c>
      <c r="S433" s="13">
        <v>-1.0867399520000001</v>
      </c>
      <c r="T433">
        <v>1.1763878350000001</v>
      </c>
      <c r="U433">
        <v>-2.1357119000000001E-2</v>
      </c>
    </row>
    <row r="434" spans="1:21" x14ac:dyDescent="0.2">
      <c r="A434" t="s">
        <v>1055</v>
      </c>
      <c r="B434">
        <v>962040</v>
      </c>
      <c r="C434" t="s">
        <v>6953</v>
      </c>
      <c r="D434" t="s">
        <v>1055</v>
      </c>
      <c r="E434" t="s">
        <v>6970</v>
      </c>
      <c r="F434">
        <v>11</v>
      </c>
      <c r="G434">
        <v>14</v>
      </c>
      <c r="H434" t="s">
        <v>7799</v>
      </c>
      <c r="J434" t="s">
        <v>3853</v>
      </c>
      <c r="M434" t="s">
        <v>7800</v>
      </c>
      <c r="N434">
        <v>1.921480887</v>
      </c>
      <c r="O434">
        <v>3.0856645180000002</v>
      </c>
      <c r="P434">
        <v>0.44706724399999997</v>
      </c>
      <c r="Q434">
        <v>-0.354940863</v>
      </c>
      <c r="S434" s="13">
        <v>-1.0869736649999999</v>
      </c>
      <c r="T434">
        <v>1.175366562</v>
      </c>
      <c r="U434">
        <v>1.7941809999999999E-3</v>
      </c>
    </row>
    <row r="435" spans="1:21" x14ac:dyDescent="0.2">
      <c r="A435" t="s">
        <v>337</v>
      </c>
      <c r="B435">
        <v>845880</v>
      </c>
      <c r="C435" t="s">
        <v>6942</v>
      </c>
      <c r="D435" t="s">
        <v>337</v>
      </c>
      <c r="E435" t="s">
        <v>6974</v>
      </c>
      <c r="F435">
        <v>13</v>
      </c>
      <c r="G435">
        <v>15</v>
      </c>
      <c r="H435" t="s">
        <v>7801</v>
      </c>
      <c r="J435" t="s">
        <v>339</v>
      </c>
      <c r="M435" t="s">
        <v>7802</v>
      </c>
      <c r="N435">
        <v>2.0902262079999998</v>
      </c>
      <c r="O435">
        <v>4.2704203920000001</v>
      </c>
      <c r="P435">
        <v>0.23425843900000001</v>
      </c>
      <c r="Q435">
        <v>1.6181978999999999E-2</v>
      </c>
      <c r="S435" s="13">
        <v>-1.0870188249999999</v>
      </c>
      <c r="T435">
        <v>1.175169224</v>
      </c>
      <c r="U435">
        <v>-5.0048481999999998E-2</v>
      </c>
    </row>
    <row r="436" spans="1:21" x14ac:dyDescent="0.2">
      <c r="A436" t="s">
        <v>2488</v>
      </c>
      <c r="B436">
        <v>622480</v>
      </c>
      <c r="C436" t="s">
        <v>6961</v>
      </c>
      <c r="D436" t="s">
        <v>2488</v>
      </c>
      <c r="E436" t="s">
        <v>6907</v>
      </c>
      <c r="F436">
        <v>10</v>
      </c>
      <c r="G436">
        <v>4</v>
      </c>
      <c r="H436" t="s">
        <v>7803</v>
      </c>
      <c r="J436" t="s">
        <v>4574</v>
      </c>
      <c r="M436" t="s">
        <v>7804</v>
      </c>
      <c r="N436">
        <v>2.7247480949999998</v>
      </c>
      <c r="O436">
        <v>7.0822175119999997</v>
      </c>
      <c r="P436">
        <v>0.61298291999999999</v>
      </c>
      <c r="Q436">
        <v>0.48262032500000002</v>
      </c>
      <c r="S436" s="13">
        <v>-1.0870301760000001</v>
      </c>
      <c r="T436">
        <v>1.17511962</v>
      </c>
      <c r="U436">
        <v>-4.5655528000000001E-2</v>
      </c>
    </row>
    <row r="437" spans="1:21" x14ac:dyDescent="0.2">
      <c r="A437" t="s">
        <v>889</v>
      </c>
      <c r="B437">
        <v>622160</v>
      </c>
      <c r="C437" t="s">
        <v>6961</v>
      </c>
      <c r="D437" t="s">
        <v>889</v>
      </c>
      <c r="E437" t="s">
        <v>6921</v>
      </c>
      <c r="F437">
        <v>16</v>
      </c>
      <c r="G437">
        <v>8</v>
      </c>
      <c r="H437" t="s">
        <v>7805</v>
      </c>
      <c r="J437" t="s">
        <v>4864</v>
      </c>
      <c r="M437" t="s">
        <v>7806</v>
      </c>
      <c r="N437">
        <v>2.7247480949999998</v>
      </c>
      <c r="O437">
        <v>7.0822175119999997</v>
      </c>
      <c r="P437">
        <v>0.61298291999999999</v>
      </c>
      <c r="Q437">
        <v>0.48262032500000002</v>
      </c>
      <c r="S437" s="13">
        <v>-1.0872834929999999</v>
      </c>
      <c r="T437">
        <v>1.174012684</v>
      </c>
      <c r="U437">
        <v>-4.5822863999999998E-2</v>
      </c>
    </row>
    <row r="438" spans="1:21" x14ac:dyDescent="0.2">
      <c r="A438" t="s">
        <v>812</v>
      </c>
      <c r="B438">
        <v>621760</v>
      </c>
      <c r="C438" t="s">
        <v>6961</v>
      </c>
      <c r="D438" t="s">
        <v>813</v>
      </c>
      <c r="E438" t="s">
        <v>7115</v>
      </c>
      <c r="F438">
        <v>7</v>
      </c>
      <c r="G438">
        <v>10</v>
      </c>
      <c r="H438" t="s">
        <v>7807</v>
      </c>
      <c r="J438" t="s">
        <v>3434</v>
      </c>
      <c r="M438" t="s">
        <v>7808</v>
      </c>
      <c r="N438">
        <v>2.7247480949999998</v>
      </c>
      <c r="O438">
        <v>7.0822175119999997</v>
      </c>
      <c r="P438">
        <v>0.61298291999999999</v>
      </c>
      <c r="Q438">
        <v>0.48262032500000002</v>
      </c>
      <c r="S438" s="13">
        <v>-1.0876001390000001</v>
      </c>
      <c r="T438">
        <v>1.1726290130000001</v>
      </c>
      <c r="U438">
        <v>-4.6032125E-2</v>
      </c>
    </row>
    <row r="439" spans="1:21" x14ac:dyDescent="0.2">
      <c r="A439" t="s">
        <v>2239</v>
      </c>
      <c r="B439">
        <v>621280</v>
      </c>
      <c r="C439" t="s">
        <v>6961</v>
      </c>
      <c r="D439" t="s">
        <v>2240</v>
      </c>
      <c r="E439" t="s">
        <v>6924</v>
      </c>
      <c r="F439">
        <v>9</v>
      </c>
      <c r="G439">
        <v>6</v>
      </c>
      <c r="H439" t="s">
        <v>7809</v>
      </c>
      <c r="J439" t="s">
        <v>3035</v>
      </c>
      <c r="M439" t="s">
        <v>7810</v>
      </c>
      <c r="N439">
        <v>2.7247480949999998</v>
      </c>
      <c r="O439">
        <v>7.0822175119999997</v>
      </c>
      <c r="P439">
        <v>0.61298291999999999</v>
      </c>
      <c r="Q439">
        <v>0.48262032500000002</v>
      </c>
      <c r="S439" s="13">
        <v>-1.0879801149999999</v>
      </c>
      <c r="T439">
        <v>1.1709686070000001</v>
      </c>
      <c r="U439">
        <v>-4.6283370999999997E-2</v>
      </c>
    </row>
    <row r="440" spans="1:21" x14ac:dyDescent="0.2">
      <c r="A440" t="s">
        <v>1415</v>
      </c>
      <c r="B440">
        <v>961040</v>
      </c>
      <c r="C440" t="s">
        <v>6953</v>
      </c>
      <c r="D440" t="s">
        <v>1415</v>
      </c>
      <c r="E440" t="s">
        <v>6946</v>
      </c>
      <c r="F440">
        <v>12</v>
      </c>
      <c r="G440">
        <v>11</v>
      </c>
      <c r="H440" t="s">
        <v>7811</v>
      </c>
      <c r="J440" t="s">
        <v>1417</v>
      </c>
      <c r="M440" t="s">
        <v>7812</v>
      </c>
      <c r="N440">
        <v>1.921480887</v>
      </c>
      <c r="O440">
        <v>3.0856645180000002</v>
      </c>
      <c r="P440">
        <v>0.44706724399999997</v>
      </c>
      <c r="Q440">
        <v>-0.354940863</v>
      </c>
      <c r="S440" s="13">
        <v>-1.088011289</v>
      </c>
      <c r="T440">
        <v>1.1708323810000001</v>
      </c>
      <c r="U440">
        <v>1.3252159999999999E-3</v>
      </c>
    </row>
    <row r="441" spans="1:21" x14ac:dyDescent="0.2">
      <c r="A441" t="s">
        <v>1215</v>
      </c>
      <c r="B441">
        <v>859240</v>
      </c>
      <c r="C441" t="s">
        <v>6910</v>
      </c>
      <c r="D441" t="s">
        <v>1215</v>
      </c>
      <c r="E441" t="s">
        <v>6970</v>
      </c>
      <c r="F441">
        <v>18</v>
      </c>
      <c r="G441">
        <v>14</v>
      </c>
      <c r="H441" t="s">
        <v>7813</v>
      </c>
      <c r="J441" t="s">
        <v>6215</v>
      </c>
      <c r="M441" t="s">
        <v>7814</v>
      </c>
      <c r="N441">
        <v>1.9874741039999999</v>
      </c>
      <c r="O441">
        <v>3.7453511220000002</v>
      </c>
      <c r="P441">
        <v>0.451009722</v>
      </c>
      <c r="Q441">
        <v>-0.102386592</v>
      </c>
      <c r="S441" s="13">
        <v>-1.088234028</v>
      </c>
      <c r="T441">
        <v>1.169859062</v>
      </c>
      <c r="U441" s="1">
        <v>3.7700000000000002E-5</v>
      </c>
    </row>
    <row r="442" spans="1:21" x14ac:dyDescent="0.2">
      <c r="A442" t="s">
        <v>57</v>
      </c>
      <c r="B442">
        <v>961840</v>
      </c>
      <c r="C442" t="s">
        <v>6938</v>
      </c>
      <c r="D442" t="s">
        <v>59</v>
      </c>
      <c r="E442" t="s">
        <v>6928</v>
      </c>
      <c r="F442">
        <v>4</v>
      </c>
      <c r="G442">
        <v>16</v>
      </c>
      <c r="H442" t="s">
        <v>7815</v>
      </c>
      <c r="J442" t="s">
        <v>2395</v>
      </c>
      <c r="M442" t="s">
        <v>7816</v>
      </c>
      <c r="N442">
        <v>2.092758737</v>
      </c>
      <c r="O442">
        <v>5.3323610669999999</v>
      </c>
      <c r="P442">
        <v>0.70420098600000003</v>
      </c>
      <c r="Q442">
        <v>0.41355372699999998</v>
      </c>
      <c r="S442" s="13">
        <v>-1.0890759189999999</v>
      </c>
      <c r="T442">
        <v>1.166180193</v>
      </c>
      <c r="U442">
        <v>-2.2703907999999998E-2</v>
      </c>
    </row>
    <row r="443" spans="1:21" x14ac:dyDescent="0.2">
      <c r="A443" t="s">
        <v>769</v>
      </c>
      <c r="B443">
        <v>619560</v>
      </c>
      <c r="C443" t="s">
        <v>6961</v>
      </c>
      <c r="D443" t="s">
        <v>769</v>
      </c>
      <c r="E443" t="s">
        <v>6911</v>
      </c>
      <c r="F443">
        <v>12</v>
      </c>
      <c r="G443">
        <v>12</v>
      </c>
      <c r="H443" t="s">
        <v>7817</v>
      </c>
      <c r="J443" t="s">
        <v>4339</v>
      </c>
      <c r="M443" t="s">
        <v>7818</v>
      </c>
      <c r="N443">
        <v>2.7247480949999998</v>
      </c>
      <c r="O443">
        <v>7.0822175119999997</v>
      </c>
      <c r="P443">
        <v>0.61298291999999999</v>
      </c>
      <c r="Q443">
        <v>0.48262032500000002</v>
      </c>
      <c r="S443" s="13">
        <v>-1.0893416929999999</v>
      </c>
      <c r="T443">
        <v>1.165018822</v>
      </c>
      <c r="U443">
        <v>-4.7184864E-2</v>
      </c>
    </row>
    <row r="444" spans="1:21" x14ac:dyDescent="0.2">
      <c r="A444" t="s">
        <v>52</v>
      </c>
      <c r="B444">
        <v>858080</v>
      </c>
      <c r="C444" t="s">
        <v>6910</v>
      </c>
      <c r="D444" t="s">
        <v>53</v>
      </c>
      <c r="E444" t="s">
        <v>6918</v>
      </c>
      <c r="F444">
        <v>2</v>
      </c>
      <c r="G444">
        <v>1</v>
      </c>
      <c r="H444" t="s">
        <v>7819</v>
      </c>
      <c r="J444" t="s">
        <v>3583</v>
      </c>
      <c r="M444" t="s">
        <v>7820</v>
      </c>
      <c r="N444">
        <v>1.9874741039999999</v>
      </c>
      <c r="O444">
        <v>3.7453511220000002</v>
      </c>
      <c r="P444">
        <v>0.451009722</v>
      </c>
      <c r="Q444">
        <v>-0.102386592</v>
      </c>
      <c r="S444" s="13">
        <v>-1.0894820650000001</v>
      </c>
      <c r="T444">
        <v>1.164405428</v>
      </c>
      <c r="U444">
        <v>-5.0860200000000003E-4</v>
      </c>
    </row>
    <row r="445" spans="1:21" x14ac:dyDescent="0.2">
      <c r="A445" t="s">
        <v>759</v>
      </c>
      <c r="B445">
        <v>619360</v>
      </c>
      <c r="C445" t="s">
        <v>6961</v>
      </c>
      <c r="D445" t="s">
        <v>760</v>
      </c>
      <c r="E445" t="s">
        <v>6907</v>
      </c>
      <c r="F445">
        <v>4</v>
      </c>
      <c r="G445">
        <v>4</v>
      </c>
      <c r="H445" t="s">
        <v>7821</v>
      </c>
      <c r="J445" t="s">
        <v>5093</v>
      </c>
      <c r="M445" t="s">
        <v>7822</v>
      </c>
      <c r="N445">
        <v>2.7247480949999998</v>
      </c>
      <c r="O445">
        <v>7.0822175119999997</v>
      </c>
      <c r="P445">
        <v>0.61298291999999999</v>
      </c>
      <c r="Q445">
        <v>0.48262032500000002</v>
      </c>
      <c r="S445" s="13">
        <v>-1.0895000159999999</v>
      </c>
      <c r="T445">
        <v>1.1643269869999999</v>
      </c>
      <c r="U445">
        <v>-4.7289811000000001E-2</v>
      </c>
    </row>
    <row r="446" spans="1:21" x14ac:dyDescent="0.2">
      <c r="A446" t="s">
        <v>426</v>
      </c>
      <c r="B446">
        <v>619360</v>
      </c>
      <c r="C446" t="s">
        <v>6961</v>
      </c>
      <c r="D446" t="s">
        <v>426</v>
      </c>
      <c r="E446" t="s">
        <v>6911</v>
      </c>
      <c r="F446">
        <v>22</v>
      </c>
      <c r="G446">
        <v>12</v>
      </c>
      <c r="H446" t="s">
        <v>7823</v>
      </c>
      <c r="J446" t="s">
        <v>6087</v>
      </c>
      <c r="M446" t="s">
        <v>7824</v>
      </c>
      <c r="N446">
        <v>2.7247480949999998</v>
      </c>
      <c r="O446">
        <v>7.0822175119999997</v>
      </c>
      <c r="P446">
        <v>0.61298291999999999</v>
      </c>
      <c r="Q446">
        <v>0.48262032500000002</v>
      </c>
      <c r="S446" s="13">
        <v>-1.0895000159999999</v>
      </c>
      <c r="T446">
        <v>1.1643269869999999</v>
      </c>
      <c r="U446">
        <v>-4.7289811000000001E-2</v>
      </c>
    </row>
    <row r="447" spans="1:21" x14ac:dyDescent="0.2">
      <c r="A447" t="s">
        <v>2902</v>
      </c>
      <c r="B447">
        <v>894440</v>
      </c>
      <c r="C447" t="s">
        <v>6927</v>
      </c>
      <c r="D447" t="s">
        <v>2903</v>
      </c>
      <c r="E447" t="s">
        <v>6977</v>
      </c>
      <c r="F447">
        <v>6</v>
      </c>
      <c r="G447">
        <v>5</v>
      </c>
      <c r="H447" t="s">
        <v>7825</v>
      </c>
      <c r="J447" t="s">
        <v>7826</v>
      </c>
      <c r="M447" t="s">
        <v>7827</v>
      </c>
      <c r="N447">
        <v>1.982575982</v>
      </c>
      <c r="O447">
        <v>3.4571926419999999</v>
      </c>
      <c r="P447">
        <v>-0.114791479</v>
      </c>
      <c r="Q447">
        <v>1.868949E-3</v>
      </c>
      <c r="S447" s="13">
        <v>-1.0896403589999999</v>
      </c>
      <c r="T447">
        <v>1.163713717</v>
      </c>
      <c r="U447">
        <v>-3.9498680000000001E-2</v>
      </c>
    </row>
    <row r="448" spans="1:21" x14ac:dyDescent="0.2">
      <c r="A448" t="s">
        <v>1688</v>
      </c>
      <c r="B448">
        <v>842600</v>
      </c>
      <c r="C448" t="s">
        <v>6942</v>
      </c>
      <c r="D448" t="s">
        <v>1688</v>
      </c>
      <c r="E448" t="s">
        <v>6915</v>
      </c>
      <c r="F448">
        <v>22</v>
      </c>
      <c r="G448">
        <v>13</v>
      </c>
      <c r="H448" t="s">
        <v>7828</v>
      </c>
      <c r="J448" t="s">
        <v>2062</v>
      </c>
      <c r="M448" t="s">
        <v>7829</v>
      </c>
      <c r="N448">
        <v>2.0902262079999998</v>
      </c>
      <c r="O448">
        <v>4.2704203920000001</v>
      </c>
      <c r="P448">
        <v>0.23425843900000001</v>
      </c>
      <c r="Q448">
        <v>1.6181978999999999E-2</v>
      </c>
      <c r="S448" s="13">
        <v>-1.090238109</v>
      </c>
      <c r="T448">
        <v>1.1611016869999999</v>
      </c>
      <c r="U448">
        <v>-5.1784244E-2</v>
      </c>
    </row>
    <row r="449" spans="1:21" x14ac:dyDescent="0.2">
      <c r="A449" t="s">
        <v>554</v>
      </c>
      <c r="B449">
        <v>617840</v>
      </c>
      <c r="C449" t="s">
        <v>6961</v>
      </c>
      <c r="D449" t="s">
        <v>555</v>
      </c>
      <c r="E449" t="s">
        <v>6928</v>
      </c>
      <c r="F449">
        <v>3</v>
      </c>
      <c r="G449">
        <v>16</v>
      </c>
      <c r="H449" t="s">
        <v>7830</v>
      </c>
      <c r="J449" t="s">
        <v>6329</v>
      </c>
      <c r="M449" t="s">
        <v>7831</v>
      </c>
      <c r="N449">
        <v>2.7247480949999998</v>
      </c>
      <c r="O449">
        <v>7.0822175119999997</v>
      </c>
      <c r="P449">
        <v>0.61298291999999999</v>
      </c>
      <c r="Q449">
        <v>0.48262032500000002</v>
      </c>
      <c r="S449" s="13">
        <v>-1.090703271</v>
      </c>
      <c r="T449">
        <v>1.1590690370000001</v>
      </c>
      <c r="U449">
        <v>-4.8088233000000001E-2</v>
      </c>
    </row>
    <row r="450" spans="1:21" x14ac:dyDescent="0.2">
      <c r="A450" t="s">
        <v>3164</v>
      </c>
      <c r="B450">
        <v>617800</v>
      </c>
      <c r="C450" t="s">
        <v>6961</v>
      </c>
      <c r="D450" t="s">
        <v>3165</v>
      </c>
      <c r="E450" t="s">
        <v>6918</v>
      </c>
      <c r="F450">
        <v>9</v>
      </c>
      <c r="G450">
        <v>1</v>
      </c>
      <c r="H450" t="s">
        <v>7832</v>
      </c>
      <c r="J450" t="s">
        <v>6591</v>
      </c>
      <c r="M450" t="s">
        <v>7833</v>
      </c>
      <c r="N450">
        <v>2.7247480949999998</v>
      </c>
      <c r="O450">
        <v>7.0822175119999997</v>
      </c>
      <c r="P450">
        <v>0.61298291999999999</v>
      </c>
      <c r="Q450">
        <v>0.48262032500000002</v>
      </c>
      <c r="S450" s="13">
        <v>-1.090734936</v>
      </c>
      <c r="T450">
        <v>1.1589306699999999</v>
      </c>
      <c r="U450">
        <v>-4.8109263999999999E-2</v>
      </c>
    </row>
    <row r="451" spans="1:21" x14ac:dyDescent="0.2">
      <c r="A451" t="s">
        <v>253</v>
      </c>
      <c r="B451">
        <v>771280</v>
      </c>
      <c r="C451" t="s">
        <v>6945</v>
      </c>
      <c r="D451" t="s">
        <v>254</v>
      </c>
      <c r="E451" t="s">
        <v>6939</v>
      </c>
      <c r="F451">
        <v>4</v>
      </c>
      <c r="G451">
        <v>2</v>
      </c>
      <c r="H451" t="s">
        <v>7834</v>
      </c>
      <c r="J451" t="s">
        <v>3300</v>
      </c>
      <c r="M451" t="s">
        <v>7835</v>
      </c>
      <c r="N451">
        <v>2.2220813349999999</v>
      </c>
      <c r="O451">
        <v>6.5440947090000003</v>
      </c>
      <c r="P451">
        <v>0.58228215500000002</v>
      </c>
      <c r="Q451">
        <v>0.35188233000000002</v>
      </c>
      <c r="S451" s="13">
        <v>-1.0907770379999999</v>
      </c>
      <c r="T451">
        <v>1.158746692</v>
      </c>
      <c r="U451">
        <v>-5.2070676000000003E-2</v>
      </c>
    </row>
    <row r="452" spans="1:21" x14ac:dyDescent="0.2">
      <c r="A452" t="s">
        <v>314</v>
      </c>
      <c r="B452">
        <v>771280</v>
      </c>
      <c r="C452" t="s">
        <v>6945</v>
      </c>
      <c r="D452" t="s">
        <v>315</v>
      </c>
      <c r="E452" t="s">
        <v>6915</v>
      </c>
      <c r="F452">
        <v>6</v>
      </c>
      <c r="G452">
        <v>13</v>
      </c>
      <c r="H452" t="s">
        <v>7836</v>
      </c>
      <c r="J452" t="s">
        <v>4872</v>
      </c>
      <c r="M452" t="s">
        <v>7837</v>
      </c>
      <c r="N452">
        <v>2.2220813349999999</v>
      </c>
      <c r="O452">
        <v>6.5440947090000003</v>
      </c>
      <c r="P452">
        <v>0.58228215500000002</v>
      </c>
      <c r="Q452">
        <v>0.35188233000000002</v>
      </c>
      <c r="S452" s="13">
        <v>-1.0907770379999999</v>
      </c>
      <c r="T452">
        <v>1.158746692</v>
      </c>
      <c r="U452">
        <v>-5.2070676000000003E-2</v>
      </c>
    </row>
    <row r="453" spans="1:21" x14ac:dyDescent="0.2">
      <c r="A453" t="s">
        <v>935</v>
      </c>
      <c r="B453">
        <v>771080</v>
      </c>
      <c r="C453" t="s">
        <v>6945</v>
      </c>
      <c r="D453" t="s">
        <v>935</v>
      </c>
      <c r="E453" t="s">
        <v>6921</v>
      </c>
      <c r="F453">
        <v>18</v>
      </c>
      <c r="G453">
        <v>8</v>
      </c>
      <c r="H453" t="s">
        <v>7838</v>
      </c>
      <c r="J453" t="s">
        <v>4370</v>
      </c>
      <c r="M453" t="s">
        <v>7839</v>
      </c>
      <c r="N453">
        <v>2.2220813349999999</v>
      </c>
      <c r="O453">
        <v>6.5440947090000003</v>
      </c>
      <c r="P453">
        <v>0.58228215500000002</v>
      </c>
      <c r="Q453">
        <v>0.35188233000000002</v>
      </c>
      <c r="S453" s="13">
        <v>-1.090965685</v>
      </c>
      <c r="T453">
        <v>1.157922347</v>
      </c>
      <c r="U453">
        <v>-5.2176809999999997E-2</v>
      </c>
    </row>
    <row r="454" spans="1:21" x14ac:dyDescent="0.2">
      <c r="A454" t="s">
        <v>415</v>
      </c>
      <c r="B454">
        <v>617280</v>
      </c>
      <c r="C454" t="s">
        <v>6961</v>
      </c>
      <c r="D454" t="s">
        <v>415</v>
      </c>
      <c r="E454" t="s">
        <v>6924</v>
      </c>
      <c r="F454">
        <v>19</v>
      </c>
      <c r="G454">
        <v>6</v>
      </c>
      <c r="H454" t="s">
        <v>7840</v>
      </c>
      <c r="J454" t="s">
        <v>3302</v>
      </c>
      <c r="M454" t="s">
        <v>7841</v>
      </c>
      <c r="N454">
        <v>2.7247480949999998</v>
      </c>
      <c r="O454">
        <v>7.0822175119999997</v>
      </c>
      <c r="P454">
        <v>0.61298291999999999</v>
      </c>
      <c r="Q454">
        <v>0.48262032500000002</v>
      </c>
      <c r="S454" s="13">
        <v>-1.091146575</v>
      </c>
      <c r="T454">
        <v>1.157131897</v>
      </c>
      <c r="U454">
        <v>-4.8382759999999997E-2</v>
      </c>
    </row>
    <row r="455" spans="1:21" x14ac:dyDescent="0.2">
      <c r="A455" t="s">
        <v>263</v>
      </c>
      <c r="B455">
        <v>957720</v>
      </c>
      <c r="C455" t="s">
        <v>6953</v>
      </c>
      <c r="D455" t="s">
        <v>264</v>
      </c>
      <c r="E455" t="s">
        <v>6974</v>
      </c>
      <c r="F455">
        <v>5</v>
      </c>
      <c r="G455">
        <v>15</v>
      </c>
      <c r="H455" t="s">
        <v>7842</v>
      </c>
      <c r="J455" t="s">
        <v>266</v>
      </c>
      <c r="M455" t="s">
        <v>7843</v>
      </c>
      <c r="N455">
        <v>1.921480887</v>
      </c>
      <c r="O455">
        <v>3.0856645180000002</v>
      </c>
      <c r="P455">
        <v>0.44706724399999997</v>
      </c>
      <c r="Q455">
        <v>-0.354940863</v>
      </c>
      <c r="S455" s="13">
        <v>-1.091456202</v>
      </c>
      <c r="T455">
        <v>1.1557789009999999</v>
      </c>
      <c r="U455">
        <v>-2.3539000000000001E-4</v>
      </c>
    </row>
    <row r="456" spans="1:21" x14ac:dyDescent="0.2">
      <c r="A456" t="s">
        <v>190</v>
      </c>
      <c r="B456">
        <v>959040</v>
      </c>
      <c r="C456" t="s">
        <v>6938</v>
      </c>
      <c r="D456" t="s">
        <v>190</v>
      </c>
      <c r="E456" t="s">
        <v>6946</v>
      </c>
      <c r="F456">
        <v>10</v>
      </c>
      <c r="G456">
        <v>11</v>
      </c>
      <c r="H456" t="s">
        <v>7844</v>
      </c>
      <c r="J456" t="s">
        <v>2146</v>
      </c>
      <c r="M456" t="s">
        <v>7845</v>
      </c>
      <c r="N456">
        <v>2.092758737</v>
      </c>
      <c r="O456">
        <v>5.3323610669999999</v>
      </c>
      <c r="P456">
        <v>0.70420098600000003</v>
      </c>
      <c r="Q456">
        <v>0.41355372699999998</v>
      </c>
      <c r="S456" s="13">
        <v>-1.0914805910000001</v>
      </c>
      <c r="T456">
        <v>1.1556723259999999</v>
      </c>
      <c r="U456">
        <v>-2.4094685000000001E-2</v>
      </c>
    </row>
    <row r="457" spans="1:21" x14ac:dyDescent="0.2">
      <c r="A457" t="s">
        <v>547</v>
      </c>
      <c r="B457">
        <v>616160</v>
      </c>
      <c r="C457" t="s">
        <v>6961</v>
      </c>
      <c r="D457" t="s">
        <v>548</v>
      </c>
      <c r="E457" t="s">
        <v>6970</v>
      </c>
      <c r="F457">
        <v>5</v>
      </c>
      <c r="G457">
        <v>14</v>
      </c>
      <c r="H457" t="s">
        <v>7846</v>
      </c>
      <c r="J457" t="s">
        <v>3393</v>
      </c>
      <c r="M457" t="s">
        <v>7847</v>
      </c>
      <c r="N457">
        <v>2.7247480949999998</v>
      </c>
      <c r="O457">
        <v>7.0822175119999997</v>
      </c>
      <c r="P457">
        <v>0.61298291999999999</v>
      </c>
      <c r="Q457">
        <v>0.48262032500000002</v>
      </c>
      <c r="S457" s="13">
        <v>-1.092033185</v>
      </c>
      <c r="T457">
        <v>1.1532576189999999</v>
      </c>
      <c r="U457">
        <v>-4.8972412E-2</v>
      </c>
    </row>
    <row r="458" spans="1:21" x14ac:dyDescent="0.2">
      <c r="A458" t="s">
        <v>345</v>
      </c>
      <c r="B458">
        <v>616000</v>
      </c>
      <c r="C458" t="s">
        <v>6961</v>
      </c>
      <c r="D458" t="s">
        <v>345</v>
      </c>
      <c r="E458" t="s">
        <v>6918</v>
      </c>
      <c r="F458">
        <v>19</v>
      </c>
      <c r="G458">
        <v>1</v>
      </c>
      <c r="H458" t="s">
        <v>7848</v>
      </c>
      <c r="J458" t="s">
        <v>384</v>
      </c>
      <c r="M458" t="s">
        <v>7849</v>
      </c>
      <c r="N458">
        <v>2.7247480949999998</v>
      </c>
      <c r="O458">
        <v>7.0822175119999997</v>
      </c>
      <c r="P458">
        <v>0.61298291999999999</v>
      </c>
      <c r="Q458">
        <v>0.48262032500000002</v>
      </c>
      <c r="S458" s="13">
        <v>-1.0921598429999999</v>
      </c>
      <c r="T458">
        <v>1.1527041499999999</v>
      </c>
      <c r="U458">
        <v>-4.9056713000000002E-2</v>
      </c>
    </row>
    <row r="459" spans="1:21" x14ac:dyDescent="0.2">
      <c r="A459" t="s">
        <v>868</v>
      </c>
      <c r="B459">
        <v>745920</v>
      </c>
      <c r="C459" t="s">
        <v>6931</v>
      </c>
      <c r="D459" t="s">
        <v>869</v>
      </c>
      <c r="E459" t="s">
        <v>7115</v>
      </c>
      <c r="F459">
        <v>4</v>
      </c>
      <c r="G459">
        <v>10</v>
      </c>
      <c r="H459" t="s">
        <v>7850</v>
      </c>
      <c r="N459">
        <v>1.9323965059999999</v>
      </c>
      <c r="O459">
        <v>3.0528020530000002</v>
      </c>
      <c r="P459">
        <v>2.6493138999999999E-2</v>
      </c>
      <c r="Q459">
        <v>-0.38692188</v>
      </c>
      <c r="S459" s="13">
        <v>-1.0923855200000001</v>
      </c>
      <c r="T459">
        <v>1.1517179930000001</v>
      </c>
      <c r="U459">
        <v>-1.6832511000000001E-2</v>
      </c>
    </row>
    <row r="460" spans="1:21" x14ac:dyDescent="0.2">
      <c r="A460" t="s">
        <v>1703</v>
      </c>
      <c r="B460">
        <v>615600</v>
      </c>
      <c r="C460" t="s">
        <v>6961</v>
      </c>
      <c r="D460" t="s">
        <v>1703</v>
      </c>
      <c r="E460" t="s">
        <v>6928</v>
      </c>
      <c r="F460">
        <v>21</v>
      </c>
      <c r="G460">
        <v>16</v>
      </c>
      <c r="H460" t="s">
        <v>7851</v>
      </c>
      <c r="J460" t="s">
        <v>5109</v>
      </c>
      <c r="M460" t="s">
        <v>7852</v>
      </c>
      <c r="N460">
        <v>2.7247480949999998</v>
      </c>
      <c r="O460">
        <v>7.0822175119999997</v>
      </c>
      <c r="P460">
        <v>0.61298291999999999</v>
      </c>
      <c r="Q460">
        <v>0.48262032500000002</v>
      </c>
      <c r="S460" s="13">
        <v>-1.0924764890000001</v>
      </c>
      <c r="T460">
        <v>1.151320479</v>
      </c>
      <c r="U460">
        <v>-4.9267538E-2</v>
      </c>
    </row>
    <row r="461" spans="1:21" x14ac:dyDescent="0.2">
      <c r="A461" t="s">
        <v>280</v>
      </c>
      <c r="B461">
        <v>745560</v>
      </c>
      <c r="C461" t="s">
        <v>6931</v>
      </c>
      <c r="D461" t="s">
        <v>280</v>
      </c>
      <c r="E461" t="s">
        <v>6921</v>
      </c>
      <c r="F461">
        <v>24</v>
      </c>
      <c r="G461">
        <v>8</v>
      </c>
      <c r="H461" t="s">
        <v>7853</v>
      </c>
      <c r="N461">
        <v>1.9323965059999999</v>
      </c>
      <c r="O461">
        <v>3.0528020530000002</v>
      </c>
      <c r="P461">
        <v>2.6493138999999999E-2</v>
      </c>
      <c r="Q461">
        <v>-0.38692188</v>
      </c>
      <c r="S461" s="13">
        <v>-1.092858551</v>
      </c>
      <c r="T461">
        <v>1.149650957</v>
      </c>
      <c r="U461">
        <v>-1.7008677999999999E-2</v>
      </c>
    </row>
    <row r="462" spans="1:21" x14ac:dyDescent="0.2">
      <c r="A462" t="s">
        <v>1049</v>
      </c>
      <c r="B462">
        <v>769040</v>
      </c>
      <c r="C462" t="s">
        <v>6945</v>
      </c>
      <c r="D462" t="s">
        <v>1049</v>
      </c>
      <c r="E462" t="s">
        <v>6928</v>
      </c>
      <c r="F462">
        <v>23</v>
      </c>
      <c r="G462">
        <v>16</v>
      </c>
      <c r="H462" t="s">
        <v>7854</v>
      </c>
      <c r="J462" t="s">
        <v>5777</v>
      </c>
      <c r="M462" t="s">
        <v>7855</v>
      </c>
      <c r="N462">
        <v>2.2220813349999999</v>
      </c>
      <c r="O462">
        <v>6.5440947090000003</v>
      </c>
      <c r="P462">
        <v>0.58228215500000002</v>
      </c>
      <c r="Q462">
        <v>0.35188233000000002</v>
      </c>
      <c r="S462" s="13">
        <v>-1.0928898869999999</v>
      </c>
      <c r="T462">
        <v>1.1495140260000001</v>
      </c>
      <c r="U462">
        <v>-5.326086E-2</v>
      </c>
    </row>
    <row r="463" spans="1:21" x14ac:dyDescent="0.2">
      <c r="A463" t="s">
        <v>74</v>
      </c>
      <c r="B463">
        <v>769000</v>
      </c>
      <c r="C463" t="s">
        <v>6945</v>
      </c>
      <c r="D463" t="s">
        <v>75</v>
      </c>
      <c r="E463" t="s">
        <v>6970</v>
      </c>
      <c r="F463">
        <v>3</v>
      </c>
      <c r="G463">
        <v>14</v>
      </c>
      <c r="H463" t="s">
        <v>7856</v>
      </c>
      <c r="J463" t="s">
        <v>77</v>
      </c>
      <c r="M463" t="s">
        <v>7857</v>
      </c>
      <c r="N463">
        <v>2.2220813349999999</v>
      </c>
      <c r="O463">
        <v>6.5440947090000003</v>
      </c>
      <c r="P463">
        <v>0.58228215500000002</v>
      </c>
      <c r="Q463">
        <v>0.35188233000000002</v>
      </c>
      <c r="S463" s="13">
        <v>-1.0929276160000001</v>
      </c>
      <c r="T463">
        <v>1.1493491570000001</v>
      </c>
      <c r="U463">
        <v>-5.3282142999999997E-2</v>
      </c>
    </row>
    <row r="464" spans="1:21" x14ac:dyDescent="0.2">
      <c r="A464" t="s">
        <v>415</v>
      </c>
      <c r="B464">
        <v>745360</v>
      </c>
      <c r="C464" t="s">
        <v>6931</v>
      </c>
      <c r="D464" t="s">
        <v>415</v>
      </c>
      <c r="E464" t="s">
        <v>6924</v>
      </c>
      <c r="F464">
        <v>19</v>
      </c>
      <c r="G464">
        <v>6</v>
      </c>
      <c r="H464" t="s">
        <v>7858</v>
      </c>
      <c r="N464">
        <v>1.9323965059999999</v>
      </c>
      <c r="O464">
        <v>3.0528020530000002</v>
      </c>
      <c r="P464">
        <v>2.6493138999999999E-2</v>
      </c>
      <c r="Q464">
        <v>-0.38692188</v>
      </c>
      <c r="S464" s="13">
        <v>-1.093121346</v>
      </c>
      <c r="T464">
        <v>1.1485026039999999</v>
      </c>
      <c r="U464">
        <v>-1.7106579E-2</v>
      </c>
    </row>
    <row r="465" spans="1:21" x14ac:dyDescent="0.2">
      <c r="A465" t="s">
        <v>448</v>
      </c>
      <c r="B465">
        <v>854640</v>
      </c>
      <c r="C465" t="s">
        <v>6910</v>
      </c>
      <c r="D465" t="s">
        <v>448</v>
      </c>
      <c r="E465" t="s">
        <v>6974</v>
      </c>
      <c r="F465">
        <v>22</v>
      </c>
      <c r="G465">
        <v>15</v>
      </c>
      <c r="H465" t="s">
        <v>7859</v>
      </c>
      <c r="J465" t="s">
        <v>1569</v>
      </c>
      <c r="M465" t="s">
        <v>7860</v>
      </c>
      <c r="N465">
        <v>1.9874741039999999</v>
      </c>
      <c r="O465">
        <v>3.7453511220000002</v>
      </c>
      <c r="P465">
        <v>0.451009722</v>
      </c>
      <c r="Q465">
        <v>-0.102386592</v>
      </c>
      <c r="S465" s="13">
        <v>-1.093183139</v>
      </c>
      <c r="T465">
        <v>1.1482325819999999</v>
      </c>
      <c r="U465">
        <v>-2.1325760000000002E-3</v>
      </c>
    </row>
    <row r="466" spans="1:21" x14ac:dyDescent="0.2">
      <c r="A466" t="s">
        <v>361</v>
      </c>
      <c r="B466">
        <v>614320</v>
      </c>
      <c r="C466" t="s">
        <v>6961</v>
      </c>
      <c r="D466" t="s">
        <v>361</v>
      </c>
      <c r="E466" t="s">
        <v>6921</v>
      </c>
      <c r="F466">
        <v>21</v>
      </c>
      <c r="G466">
        <v>8</v>
      </c>
      <c r="H466" t="s">
        <v>7861</v>
      </c>
      <c r="J466" t="s">
        <v>3598</v>
      </c>
      <c r="M466" t="s">
        <v>7862</v>
      </c>
      <c r="N466">
        <v>2.7247480949999998</v>
      </c>
      <c r="O466">
        <v>7.0822175119999997</v>
      </c>
      <c r="P466">
        <v>0.61298291999999999</v>
      </c>
      <c r="Q466">
        <v>0.48262032500000002</v>
      </c>
      <c r="S466" s="13">
        <v>-1.0934897560000001</v>
      </c>
      <c r="T466">
        <v>1.146892732</v>
      </c>
      <c r="U466">
        <v>-4.9942867000000002E-2</v>
      </c>
    </row>
    <row r="467" spans="1:21" x14ac:dyDescent="0.2">
      <c r="A467" t="s">
        <v>1668</v>
      </c>
      <c r="B467">
        <v>853680</v>
      </c>
      <c r="C467" t="s">
        <v>6910</v>
      </c>
      <c r="D467" t="s">
        <v>1668</v>
      </c>
      <c r="E467" t="s">
        <v>6915</v>
      </c>
      <c r="F467">
        <v>10</v>
      </c>
      <c r="G467">
        <v>13</v>
      </c>
      <c r="H467" t="s">
        <v>7863</v>
      </c>
      <c r="J467" t="s">
        <v>4010</v>
      </c>
      <c r="M467" t="s">
        <v>7864</v>
      </c>
      <c r="N467">
        <v>1.9874741039999999</v>
      </c>
      <c r="O467">
        <v>3.7453511220000002</v>
      </c>
      <c r="P467">
        <v>0.451009722</v>
      </c>
      <c r="Q467">
        <v>-0.102386592</v>
      </c>
      <c r="S467" s="13">
        <v>-1.094215996</v>
      </c>
      <c r="T467">
        <v>1.1437192300000001</v>
      </c>
      <c r="U467">
        <v>-2.5868639999999999E-3</v>
      </c>
    </row>
    <row r="468" spans="1:21" x14ac:dyDescent="0.2">
      <c r="A468" t="s">
        <v>325</v>
      </c>
      <c r="B468">
        <v>890000</v>
      </c>
      <c r="C468" t="s">
        <v>6927</v>
      </c>
      <c r="D468" t="s">
        <v>326</v>
      </c>
      <c r="E468" t="s">
        <v>6921</v>
      </c>
      <c r="F468">
        <v>2</v>
      </c>
      <c r="G468">
        <v>8</v>
      </c>
      <c r="H468" t="s">
        <v>7865</v>
      </c>
      <c r="J468" t="s">
        <v>7866</v>
      </c>
      <c r="M468" t="s">
        <v>7867</v>
      </c>
      <c r="N468">
        <v>1.982575982</v>
      </c>
      <c r="O468">
        <v>3.4571926419999999</v>
      </c>
      <c r="P468">
        <v>-0.114791479</v>
      </c>
      <c r="Q468">
        <v>1.868949E-3</v>
      </c>
      <c r="S468" s="13">
        <v>-1.094247411</v>
      </c>
      <c r="T468">
        <v>1.1435819540000001</v>
      </c>
      <c r="U468">
        <v>-4.1793394999999997E-2</v>
      </c>
    </row>
    <row r="469" spans="1:21" x14ac:dyDescent="0.2">
      <c r="A469" t="s">
        <v>293</v>
      </c>
      <c r="B469">
        <v>838000</v>
      </c>
      <c r="C469" t="s">
        <v>6942</v>
      </c>
      <c r="D469" t="s">
        <v>293</v>
      </c>
      <c r="E469" t="s">
        <v>6977</v>
      </c>
      <c r="F469">
        <v>24</v>
      </c>
      <c r="G469">
        <v>5</v>
      </c>
      <c r="H469" t="s">
        <v>7868</v>
      </c>
      <c r="J469" t="s">
        <v>4824</v>
      </c>
      <c r="M469" t="s">
        <v>7869</v>
      </c>
      <c r="N469">
        <v>2.0902262079999998</v>
      </c>
      <c r="O469">
        <v>4.2704203920000001</v>
      </c>
      <c r="P469">
        <v>0.23425843900000001</v>
      </c>
      <c r="Q469">
        <v>1.6181978999999999E-2</v>
      </c>
      <c r="S469" s="13">
        <v>-1.094752959</v>
      </c>
      <c r="T469">
        <v>1.1413728249999999</v>
      </c>
      <c r="U469">
        <v>-5.4230291E-2</v>
      </c>
    </row>
    <row r="470" spans="1:21" x14ac:dyDescent="0.2">
      <c r="A470" t="s">
        <v>2341</v>
      </c>
      <c r="B470">
        <v>612120</v>
      </c>
      <c r="C470" t="s">
        <v>6961</v>
      </c>
      <c r="D470" t="s">
        <v>2341</v>
      </c>
      <c r="E470" t="s">
        <v>6921</v>
      </c>
      <c r="F470">
        <v>14</v>
      </c>
      <c r="G470">
        <v>8</v>
      </c>
      <c r="H470" t="s">
        <v>7870</v>
      </c>
      <c r="J470" t="s">
        <v>2343</v>
      </c>
      <c r="M470" t="s">
        <v>7871</v>
      </c>
      <c r="N470">
        <v>2.7247480949999998</v>
      </c>
      <c r="O470">
        <v>7.0822175119999997</v>
      </c>
      <c r="P470">
        <v>0.61298291999999999</v>
      </c>
      <c r="Q470">
        <v>0.48262032500000002</v>
      </c>
      <c r="S470" s="13">
        <v>-1.09523131</v>
      </c>
      <c r="T470">
        <v>1.139282541</v>
      </c>
      <c r="U470">
        <v>-5.1106048000000001E-2</v>
      </c>
    </row>
    <row r="471" spans="1:21" x14ac:dyDescent="0.2">
      <c r="A471" t="s">
        <v>111</v>
      </c>
      <c r="B471">
        <v>781120</v>
      </c>
      <c r="C471" t="s">
        <v>6906</v>
      </c>
      <c r="D471" t="s">
        <v>112</v>
      </c>
      <c r="E471" t="s">
        <v>6970</v>
      </c>
      <c r="F471">
        <v>2</v>
      </c>
      <c r="G471">
        <v>14</v>
      </c>
      <c r="H471" t="s">
        <v>7872</v>
      </c>
      <c r="J471" t="s">
        <v>114</v>
      </c>
      <c r="M471" t="s">
        <v>7873</v>
      </c>
      <c r="N471">
        <v>1.813871112</v>
      </c>
      <c r="O471">
        <v>2.6633694910000001</v>
      </c>
      <c r="P471">
        <v>-0.29586356800000002</v>
      </c>
      <c r="Q471">
        <v>-0.59018158399999998</v>
      </c>
      <c r="S471" s="13">
        <v>-1.0954881759999999</v>
      </c>
      <c r="T471">
        <v>1.1381600940000001</v>
      </c>
      <c r="U471">
        <v>-5.945545E-2</v>
      </c>
    </row>
    <row r="472" spans="1:21" x14ac:dyDescent="0.2">
      <c r="A472" t="s">
        <v>1394</v>
      </c>
      <c r="B472">
        <v>766160</v>
      </c>
      <c r="C472" t="s">
        <v>6945</v>
      </c>
      <c r="D472" t="s">
        <v>1394</v>
      </c>
      <c r="E472" t="s">
        <v>6939</v>
      </c>
      <c r="F472">
        <v>16</v>
      </c>
      <c r="G472">
        <v>2</v>
      </c>
      <c r="H472" t="s">
        <v>7874</v>
      </c>
      <c r="J472" t="s">
        <v>2923</v>
      </c>
      <c r="M472" t="s">
        <v>7875</v>
      </c>
      <c r="N472">
        <v>2.2220813349999999</v>
      </c>
      <c r="O472">
        <v>6.5440947090000003</v>
      </c>
      <c r="P472">
        <v>0.58228215500000002</v>
      </c>
      <c r="Q472">
        <v>0.35188233000000002</v>
      </c>
      <c r="S472" s="13">
        <v>-1.0956064059999999</v>
      </c>
      <c r="T472">
        <v>1.1376434550000001</v>
      </c>
      <c r="U472">
        <v>-5.4795903999999999E-2</v>
      </c>
    </row>
    <row r="473" spans="1:21" x14ac:dyDescent="0.2">
      <c r="A473" t="s">
        <v>998</v>
      </c>
      <c r="B473">
        <v>888360</v>
      </c>
      <c r="C473" t="s">
        <v>6927</v>
      </c>
      <c r="D473" t="s">
        <v>998</v>
      </c>
      <c r="E473" t="s">
        <v>6970</v>
      </c>
      <c r="F473">
        <v>13</v>
      </c>
      <c r="G473">
        <v>14</v>
      </c>
      <c r="H473" t="s">
        <v>7876</v>
      </c>
      <c r="J473" t="s">
        <v>7877</v>
      </c>
      <c r="M473" t="s">
        <v>7878</v>
      </c>
      <c r="N473">
        <v>1.982575982</v>
      </c>
      <c r="O473">
        <v>3.4571926419999999</v>
      </c>
      <c r="P473">
        <v>-0.114791479</v>
      </c>
      <c r="Q473">
        <v>1.868949E-3</v>
      </c>
      <c r="S473" s="13">
        <v>-1.095949115</v>
      </c>
      <c r="T473">
        <v>1.1361458980000001</v>
      </c>
      <c r="U473">
        <v>-4.2644068E-2</v>
      </c>
    </row>
    <row r="474" spans="1:21" x14ac:dyDescent="0.2">
      <c r="A474" t="s">
        <v>1456</v>
      </c>
      <c r="B474">
        <v>743120</v>
      </c>
      <c r="C474" t="s">
        <v>6931</v>
      </c>
      <c r="D474" t="s">
        <v>1457</v>
      </c>
      <c r="E474" t="s">
        <v>7006</v>
      </c>
      <c r="F474">
        <v>7</v>
      </c>
      <c r="G474">
        <v>3</v>
      </c>
      <c r="H474" t="s">
        <v>7879</v>
      </c>
      <c r="N474">
        <v>1.9323965059999999</v>
      </c>
      <c r="O474">
        <v>3.0528020530000002</v>
      </c>
      <c r="P474">
        <v>2.6493138999999999E-2</v>
      </c>
      <c r="Q474">
        <v>-0.38692188</v>
      </c>
      <c r="S474" s="13">
        <v>-1.096064648</v>
      </c>
      <c r="T474">
        <v>1.135641047</v>
      </c>
      <c r="U474">
        <v>-1.8204583E-2</v>
      </c>
    </row>
    <row r="475" spans="1:21" x14ac:dyDescent="0.2">
      <c r="A475" t="s">
        <v>985</v>
      </c>
      <c r="B475">
        <v>610840</v>
      </c>
      <c r="C475" t="s">
        <v>6961</v>
      </c>
      <c r="D475" t="s">
        <v>985</v>
      </c>
      <c r="E475" t="s">
        <v>6907</v>
      </c>
      <c r="F475">
        <v>12</v>
      </c>
      <c r="G475">
        <v>4</v>
      </c>
      <c r="H475" t="s">
        <v>7880</v>
      </c>
      <c r="J475" t="s">
        <v>4784</v>
      </c>
      <c r="M475" t="s">
        <v>7881</v>
      </c>
      <c r="N475">
        <v>2.7247480949999998</v>
      </c>
      <c r="O475">
        <v>7.0822175119999997</v>
      </c>
      <c r="P475">
        <v>0.61298291999999999</v>
      </c>
      <c r="Q475">
        <v>0.48262032500000002</v>
      </c>
      <c r="S475" s="13">
        <v>-1.096244577</v>
      </c>
      <c r="T475">
        <v>1.134854794</v>
      </c>
      <c r="U475">
        <v>-5.1784244E-2</v>
      </c>
    </row>
    <row r="476" spans="1:21" x14ac:dyDescent="0.2">
      <c r="A476" t="s">
        <v>880</v>
      </c>
      <c r="B476">
        <v>610720</v>
      </c>
      <c r="C476" t="s">
        <v>6961</v>
      </c>
      <c r="D476" t="s">
        <v>880</v>
      </c>
      <c r="E476" t="s">
        <v>6939</v>
      </c>
      <c r="F476">
        <v>19</v>
      </c>
      <c r="G476">
        <v>2</v>
      </c>
      <c r="H476" t="s">
        <v>7882</v>
      </c>
      <c r="J476" t="s">
        <v>3733</v>
      </c>
      <c r="M476" t="s">
        <v>7883</v>
      </c>
      <c r="N476">
        <v>2.7247480949999998</v>
      </c>
      <c r="O476">
        <v>7.0822175119999997</v>
      </c>
      <c r="P476">
        <v>0.61298291999999999</v>
      </c>
      <c r="Q476">
        <v>0.48262032500000002</v>
      </c>
      <c r="S476" s="13">
        <v>-1.0963395709999999</v>
      </c>
      <c r="T476">
        <v>1.134439693</v>
      </c>
      <c r="U476">
        <v>-5.1847878999999999E-2</v>
      </c>
    </row>
    <row r="477" spans="1:21" x14ac:dyDescent="0.2">
      <c r="A477" t="s">
        <v>431</v>
      </c>
      <c r="B477">
        <v>887920</v>
      </c>
      <c r="C477" t="s">
        <v>6927</v>
      </c>
      <c r="D477" t="s">
        <v>432</v>
      </c>
      <c r="E477" t="s">
        <v>6939</v>
      </c>
      <c r="F477">
        <v>3</v>
      </c>
      <c r="G477">
        <v>2</v>
      </c>
      <c r="H477" t="s">
        <v>7884</v>
      </c>
      <c r="J477" t="s">
        <v>7885</v>
      </c>
      <c r="M477" t="s">
        <v>7886</v>
      </c>
      <c r="N477">
        <v>1.982575982</v>
      </c>
      <c r="O477">
        <v>3.4571926419999999</v>
      </c>
      <c r="P477">
        <v>-0.114791479</v>
      </c>
      <c r="Q477">
        <v>1.868949E-3</v>
      </c>
      <c r="S477" s="13">
        <v>-1.09640567</v>
      </c>
      <c r="T477">
        <v>1.1341508579999999</v>
      </c>
      <c r="U477">
        <v>-4.2872581999999999E-2</v>
      </c>
    </row>
    <row r="478" spans="1:21" x14ac:dyDescent="0.2">
      <c r="A478" t="s">
        <v>89</v>
      </c>
      <c r="B478">
        <v>952760</v>
      </c>
      <c r="C478" t="s">
        <v>6953</v>
      </c>
      <c r="D478" t="s">
        <v>90</v>
      </c>
      <c r="E478" t="s">
        <v>6921</v>
      </c>
      <c r="F478">
        <v>1</v>
      </c>
      <c r="G478">
        <v>8</v>
      </c>
      <c r="H478" t="s">
        <v>7887</v>
      </c>
      <c r="J478" t="s">
        <v>4173</v>
      </c>
      <c r="M478" t="s">
        <v>7888</v>
      </c>
      <c r="N478">
        <v>1.921480887</v>
      </c>
      <c r="O478">
        <v>3.0856645180000002</v>
      </c>
      <c r="P478">
        <v>0.44706724399999997</v>
      </c>
      <c r="Q478">
        <v>-0.354940863</v>
      </c>
      <c r="S478" s="13">
        <v>-1.096602818</v>
      </c>
      <c r="T478">
        <v>1.1332893639999999</v>
      </c>
      <c r="U478">
        <v>-2.5773950000000001E-3</v>
      </c>
    </row>
    <row r="479" spans="1:21" x14ac:dyDescent="0.2">
      <c r="A479" t="s">
        <v>369</v>
      </c>
      <c r="B479">
        <v>742400</v>
      </c>
      <c r="C479" t="s">
        <v>6931</v>
      </c>
      <c r="D479" t="s">
        <v>369</v>
      </c>
      <c r="E479" t="s">
        <v>6939</v>
      </c>
      <c r="F479">
        <v>23</v>
      </c>
      <c r="G479">
        <v>2</v>
      </c>
      <c r="H479" t="s">
        <v>7889</v>
      </c>
      <c r="N479">
        <v>1.9323965059999999</v>
      </c>
      <c r="O479">
        <v>3.0528020530000002</v>
      </c>
      <c r="P479">
        <v>2.6493138999999999E-2</v>
      </c>
      <c r="Q479">
        <v>-0.38692188</v>
      </c>
      <c r="S479" s="13">
        <v>-1.0970107090000001</v>
      </c>
      <c r="T479">
        <v>1.131506975</v>
      </c>
      <c r="U479">
        <v>-1.8558102999999999E-2</v>
      </c>
    </row>
    <row r="480" spans="1:21" x14ac:dyDescent="0.2">
      <c r="A480" t="s">
        <v>2764</v>
      </c>
      <c r="B480">
        <v>609520</v>
      </c>
      <c r="C480" t="s">
        <v>6961</v>
      </c>
      <c r="D480" t="s">
        <v>2764</v>
      </c>
      <c r="E480" t="s">
        <v>6921</v>
      </c>
      <c r="F480">
        <v>12</v>
      </c>
      <c r="G480">
        <v>8</v>
      </c>
      <c r="H480" t="s">
        <v>7890</v>
      </c>
      <c r="J480" t="s">
        <v>3226</v>
      </c>
      <c r="M480" t="s">
        <v>7891</v>
      </c>
      <c r="N480">
        <v>2.7247480949999998</v>
      </c>
      <c r="O480">
        <v>7.0822175119999997</v>
      </c>
      <c r="P480">
        <v>0.61298291999999999</v>
      </c>
      <c r="Q480">
        <v>0.48262032500000002</v>
      </c>
      <c r="S480" s="13">
        <v>-1.09728951</v>
      </c>
      <c r="T480">
        <v>1.13028868</v>
      </c>
      <c r="U480">
        <v>-5.2484744999999999E-2</v>
      </c>
    </row>
    <row r="481" spans="1:21" x14ac:dyDescent="0.2">
      <c r="A481" t="s">
        <v>1415</v>
      </c>
      <c r="B481">
        <v>609360</v>
      </c>
      <c r="C481" t="s">
        <v>6961</v>
      </c>
      <c r="D481" t="s">
        <v>1415</v>
      </c>
      <c r="E481" t="s">
        <v>6946</v>
      </c>
      <c r="F481">
        <v>12</v>
      </c>
      <c r="G481">
        <v>11</v>
      </c>
      <c r="H481" t="s">
        <v>7892</v>
      </c>
      <c r="J481" t="s">
        <v>5531</v>
      </c>
      <c r="M481" t="s">
        <v>7893</v>
      </c>
      <c r="N481">
        <v>2.7247480949999998</v>
      </c>
      <c r="O481">
        <v>7.0822175119999997</v>
      </c>
      <c r="P481">
        <v>0.61298291999999999</v>
      </c>
      <c r="Q481">
        <v>0.48262032500000002</v>
      </c>
      <c r="S481" s="13">
        <v>-1.0974161680000001</v>
      </c>
      <c r="T481">
        <v>1.1297352110000001</v>
      </c>
      <c r="U481">
        <v>-5.2569731000000001E-2</v>
      </c>
    </row>
    <row r="482" spans="1:21" x14ac:dyDescent="0.2">
      <c r="A482" t="s">
        <v>2080</v>
      </c>
      <c r="B482">
        <v>608640</v>
      </c>
      <c r="C482" t="s">
        <v>6961</v>
      </c>
      <c r="D482" t="s">
        <v>2080</v>
      </c>
      <c r="E482" t="s">
        <v>6970</v>
      </c>
      <c r="F482">
        <v>12</v>
      </c>
      <c r="G482">
        <v>14</v>
      </c>
      <c r="H482" t="s">
        <v>7894</v>
      </c>
      <c r="J482" t="s">
        <v>4728</v>
      </c>
      <c r="M482" t="s">
        <v>7895</v>
      </c>
      <c r="N482">
        <v>2.7247480949999998</v>
      </c>
      <c r="O482">
        <v>7.0822175119999997</v>
      </c>
      <c r="P482">
        <v>0.61298291999999999</v>
      </c>
      <c r="Q482">
        <v>0.48262032500000002</v>
      </c>
      <c r="S482" s="13">
        <v>-1.0979861310000001</v>
      </c>
      <c r="T482">
        <v>1.1272446039999999</v>
      </c>
      <c r="U482">
        <v>-5.2952374000000003E-2</v>
      </c>
    </row>
    <row r="483" spans="1:21" x14ac:dyDescent="0.2">
      <c r="A483" t="s">
        <v>232</v>
      </c>
      <c r="B483">
        <v>849720</v>
      </c>
      <c r="C483" t="s">
        <v>6910</v>
      </c>
      <c r="D483" t="s">
        <v>233</v>
      </c>
      <c r="E483" t="s">
        <v>7085</v>
      </c>
      <c r="F483">
        <v>1</v>
      </c>
      <c r="G483">
        <v>9</v>
      </c>
      <c r="H483" t="s">
        <v>7896</v>
      </c>
      <c r="J483" t="s">
        <v>235</v>
      </c>
      <c r="M483" t="s">
        <v>7897</v>
      </c>
      <c r="N483">
        <v>1.9874741039999999</v>
      </c>
      <c r="O483">
        <v>3.7453511220000002</v>
      </c>
      <c r="P483">
        <v>0.451009722</v>
      </c>
      <c r="Q483">
        <v>-0.102386592</v>
      </c>
      <c r="S483" s="13">
        <v>-1.0984765350000001</v>
      </c>
      <c r="T483">
        <v>1.125101651</v>
      </c>
      <c r="U483">
        <v>-4.4658409999999999E-3</v>
      </c>
    </row>
    <row r="484" spans="1:21" x14ac:dyDescent="0.2">
      <c r="A484" t="s">
        <v>372</v>
      </c>
      <c r="B484">
        <v>950120</v>
      </c>
      <c r="C484" t="s">
        <v>6938</v>
      </c>
      <c r="D484" t="s">
        <v>372</v>
      </c>
      <c r="E484" t="s">
        <v>7006</v>
      </c>
      <c r="F484">
        <v>23</v>
      </c>
      <c r="G484">
        <v>3</v>
      </c>
      <c r="H484" t="s">
        <v>7898</v>
      </c>
      <c r="J484" t="s">
        <v>3570</v>
      </c>
      <c r="M484" t="s">
        <v>7899</v>
      </c>
      <c r="N484">
        <v>2.092758737</v>
      </c>
      <c r="O484">
        <v>5.3323610669999999</v>
      </c>
      <c r="P484">
        <v>0.70420098600000003</v>
      </c>
      <c r="Q484">
        <v>0.41355372699999998</v>
      </c>
      <c r="S484" s="13">
        <v>-1.099141189</v>
      </c>
      <c r="T484">
        <v>1.1221972659999999</v>
      </c>
      <c r="U484">
        <v>-2.8555232E-2</v>
      </c>
    </row>
    <row r="485" spans="1:21" x14ac:dyDescent="0.2">
      <c r="A485" t="s">
        <v>919</v>
      </c>
      <c r="B485">
        <v>762280</v>
      </c>
      <c r="C485" t="s">
        <v>6945</v>
      </c>
      <c r="D485" t="s">
        <v>919</v>
      </c>
      <c r="E485" t="s">
        <v>6946</v>
      </c>
      <c r="F485">
        <v>22</v>
      </c>
      <c r="G485">
        <v>11</v>
      </c>
      <c r="H485" t="s">
        <v>7900</v>
      </c>
      <c r="J485" t="s">
        <v>5931</v>
      </c>
      <c r="M485" t="s">
        <v>7901</v>
      </c>
      <c r="N485">
        <v>2.2220813349999999</v>
      </c>
      <c r="O485">
        <v>6.5440947090000003</v>
      </c>
      <c r="P485">
        <v>0.58228215500000002</v>
      </c>
      <c r="Q485">
        <v>0.35188233000000002</v>
      </c>
      <c r="S485" s="13">
        <v>-1.0992661619999999</v>
      </c>
      <c r="T485">
        <v>1.121651159</v>
      </c>
      <c r="U485">
        <v>-5.6872565999999999E-2</v>
      </c>
    </row>
    <row r="486" spans="1:21" x14ac:dyDescent="0.2">
      <c r="A486" t="s">
        <v>792</v>
      </c>
      <c r="B486">
        <v>606200</v>
      </c>
      <c r="C486" t="s">
        <v>6961</v>
      </c>
      <c r="D486" t="s">
        <v>793</v>
      </c>
      <c r="E486" t="s">
        <v>6924</v>
      </c>
      <c r="F486">
        <v>5</v>
      </c>
      <c r="G486">
        <v>6</v>
      </c>
      <c r="H486" t="s">
        <v>7902</v>
      </c>
      <c r="J486" t="s">
        <v>6555</v>
      </c>
      <c r="M486" t="s">
        <v>7903</v>
      </c>
      <c r="N486">
        <v>2.7247480949999998</v>
      </c>
      <c r="O486">
        <v>7.0822175119999997</v>
      </c>
      <c r="P486">
        <v>0.61298291999999999</v>
      </c>
      <c r="Q486">
        <v>0.48262032500000002</v>
      </c>
      <c r="S486" s="13">
        <v>-1.0999176719999999</v>
      </c>
      <c r="T486">
        <v>1.118804211</v>
      </c>
      <c r="U486">
        <v>-5.4251621999999999E-2</v>
      </c>
    </row>
    <row r="487" spans="1:21" x14ac:dyDescent="0.2">
      <c r="A487" t="s">
        <v>944</v>
      </c>
      <c r="B487">
        <v>606200</v>
      </c>
      <c r="C487" t="s">
        <v>6961</v>
      </c>
      <c r="D487" t="s">
        <v>944</v>
      </c>
      <c r="E487" t="s">
        <v>6924</v>
      </c>
      <c r="F487">
        <v>12</v>
      </c>
      <c r="G487">
        <v>6</v>
      </c>
      <c r="H487" t="s">
        <v>7904</v>
      </c>
      <c r="J487" t="s">
        <v>2476</v>
      </c>
      <c r="M487" t="s">
        <v>7905</v>
      </c>
      <c r="N487">
        <v>2.7247480949999998</v>
      </c>
      <c r="O487">
        <v>7.0822175119999997</v>
      </c>
      <c r="P487">
        <v>0.61298291999999999</v>
      </c>
      <c r="Q487">
        <v>0.48262032500000002</v>
      </c>
      <c r="S487" s="13">
        <v>-1.0999176719999999</v>
      </c>
      <c r="T487">
        <v>1.118804211</v>
      </c>
      <c r="U487">
        <v>-5.4251621999999999E-2</v>
      </c>
    </row>
    <row r="488" spans="1:21" x14ac:dyDescent="0.2">
      <c r="A488" t="s">
        <v>1714</v>
      </c>
      <c r="B488">
        <v>606080</v>
      </c>
      <c r="C488" t="s">
        <v>6961</v>
      </c>
      <c r="D488" t="s">
        <v>1715</v>
      </c>
      <c r="E488" t="s">
        <v>6915</v>
      </c>
      <c r="F488">
        <v>7</v>
      </c>
      <c r="G488">
        <v>13</v>
      </c>
      <c r="H488" t="s">
        <v>7906</v>
      </c>
      <c r="J488" t="s">
        <v>4116</v>
      </c>
      <c r="M488" t="s">
        <v>7907</v>
      </c>
      <c r="N488">
        <v>2.7247480949999998</v>
      </c>
      <c r="O488">
        <v>7.0822175119999997</v>
      </c>
      <c r="P488">
        <v>0.61298291999999999</v>
      </c>
      <c r="Q488">
        <v>0.48262032500000002</v>
      </c>
      <c r="S488" s="13">
        <v>-1.100012666</v>
      </c>
      <c r="T488">
        <v>1.118389109</v>
      </c>
      <c r="U488">
        <v>-5.4315619000000002E-2</v>
      </c>
    </row>
    <row r="489" spans="1:21" x14ac:dyDescent="0.2">
      <c r="A489" t="s">
        <v>1076</v>
      </c>
      <c r="B489">
        <v>605960</v>
      </c>
      <c r="C489" t="s">
        <v>6961</v>
      </c>
      <c r="D489" t="s">
        <v>1077</v>
      </c>
      <c r="E489" t="s">
        <v>6977</v>
      </c>
      <c r="F489">
        <v>7</v>
      </c>
      <c r="G489">
        <v>5</v>
      </c>
      <c r="H489" t="s">
        <v>7908</v>
      </c>
      <c r="J489" t="s">
        <v>5787</v>
      </c>
      <c r="M489" t="s">
        <v>7909</v>
      </c>
      <c r="N489">
        <v>2.7247480949999998</v>
      </c>
      <c r="O489">
        <v>7.0822175119999997</v>
      </c>
      <c r="P489">
        <v>0.61298291999999999</v>
      </c>
      <c r="Q489">
        <v>0.48262032500000002</v>
      </c>
      <c r="S489" s="13">
        <v>-1.1001076599999999</v>
      </c>
      <c r="T489">
        <v>1.117974008</v>
      </c>
      <c r="U489">
        <v>-5.4379627E-2</v>
      </c>
    </row>
    <row r="490" spans="1:21" x14ac:dyDescent="0.2">
      <c r="A490" t="s">
        <v>901</v>
      </c>
      <c r="B490">
        <v>605920</v>
      </c>
      <c r="C490" t="s">
        <v>6961</v>
      </c>
      <c r="D490" t="s">
        <v>902</v>
      </c>
      <c r="E490" t="s">
        <v>6977</v>
      </c>
      <c r="F490">
        <v>2</v>
      </c>
      <c r="G490">
        <v>5</v>
      </c>
      <c r="H490" t="s">
        <v>7910</v>
      </c>
      <c r="J490" t="s">
        <v>2774</v>
      </c>
      <c r="M490" t="s">
        <v>7911</v>
      </c>
      <c r="N490">
        <v>2.7247480949999998</v>
      </c>
      <c r="O490">
        <v>7.0822175119999997</v>
      </c>
      <c r="P490">
        <v>0.61298291999999999</v>
      </c>
      <c r="Q490">
        <v>0.48262032500000002</v>
      </c>
      <c r="S490" s="13">
        <v>-1.1001393239999999</v>
      </c>
      <c r="T490">
        <v>1.1178356410000001</v>
      </c>
      <c r="U490">
        <v>-5.4400965000000003E-2</v>
      </c>
    </row>
    <row r="491" spans="1:21" x14ac:dyDescent="0.2">
      <c r="A491" t="s">
        <v>129</v>
      </c>
      <c r="B491">
        <v>948920</v>
      </c>
      <c r="C491" t="s">
        <v>6938</v>
      </c>
      <c r="D491" t="s">
        <v>129</v>
      </c>
      <c r="E491" t="s">
        <v>7006</v>
      </c>
      <c r="F491">
        <v>24</v>
      </c>
      <c r="G491">
        <v>3</v>
      </c>
      <c r="H491" t="s">
        <v>7912</v>
      </c>
      <c r="J491" t="s">
        <v>132</v>
      </c>
      <c r="M491" t="s">
        <v>7913</v>
      </c>
      <c r="N491">
        <v>2.092758737</v>
      </c>
      <c r="O491">
        <v>5.3323610669999999</v>
      </c>
      <c r="P491">
        <v>0.70420098600000003</v>
      </c>
      <c r="Q491">
        <v>0.41355372699999998</v>
      </c>
      <c r="S491" s="13">
        <v>-1.100171762</v>
      </c>
      <c r="T491">
        <v>1.1176938940000001</v>
      </c>
      <c r="U491">
        <v>-2.9158817E-2</v>
      </c>
    </row>
    <row r="492" spans="1:21" x14ac:dyDescent="0.2">
      <c r="A492" t="s">
        <v>106</v>
      </c>
      <c r="B492">
        <v>949320</v>
      </c>
      <c r="C492" t="s">
        <v>6953</v>
      </c>
      <c r="D492" t="s">
        <v>107</v>
      </c>
      <c r="E492" t="s">
        <v>6907</v>
      </c>
      <c r="F492">
        <v>2</v>
      </c>
      <c r="G492">
        <v>4</v>
      </c>
      <c r="H492" t="s">
        <v>7914</v>
      </c>
      <c r="J492" t="s">
        <v>1372</v>
      </c>
      <c r="M492" t="s">
        <v>7915</v>
      </c>
      <c r="N492">
        <v>1.921480887</v>
      </c>
      <c r="O492">
        <v>3.0856645180000002</v>
      </c>
      <c r="P492">
        <v>0.44706724399999997</v>
      </c>
      <c r="Q492">
        <v>-0.354940863</v>
      </c>
      <c r="S492" s="13">
        <v>-1.1001722460000001</v>
      </c>
      <c r="T492">
        <v>1.1176917820000001</v>
      </c>
      <c r="U492">
        <v>-4.2091380000000003E-3</v>
      </c>
    </row>
    <row r="493" spans="1:21" x14ac:dyDescent="0.2">
      <c r="A493" t="s">
        <v>477</v>
      </c>
      <c r="B493">
        <v>761240</v>
      </c>
      <c r="C493" t="s">
        <v>6945</v>
      </c>
      <c r="D493" t="s">
        <v>477</v>
      </c>
      <c r="E493" t="s">
        <v>6918</v>
      </c>
      <c r="F493">
        <v>12</v>
      </c>
      <c r="G493">
        <v>1</v>
      </c>
      <c r="H493" t="s">
        <v>7916</v>
      </c>
      <c r="J493" t="s">
        <v>3276</v>
      </c>
      <c r="M493" t="s">
        <v>7917</v>
      </c>
      <c r="N493">
        <v>2.2220813349999999</v>
      </c>
      <c r="O493">
        <v>6.5440947090000003</v>
      </c>
      <c r="P493">
        <v>0.58228215500000002</v>
      </c>
      <c r="Q493">
        <v>0.35188233000000002</v>
      </c>
      <c r="S493" s="13">
        <v>-1.1002471279999999</v>
      </c>
      <c r="T493">
        <v>1.1173645640000001</v>
      </c>
      <c r="U493">
        <v>-5.7430887999999999E-2</v>
      </c>
    </row>
    <row r="494" spans="1:21" x14ac:dyDescent="0.2">
      <c r="A494" t="s">
        <v>1413</v>
      </c>
      <c r="B494">
        <v>604880</v>
      </c>
      <c r="C494" t="s">
        <v>6961</v>
      </c>
      <c r="D494" t="s">
        <v>1413</v>
      </c>
      <c r="E494" t="s">
        <v>6977</v>
      </c>
      <c r="F494">
        <v>18</v>
      </c>
      <c r="G494">
        <v>5</v>
      </c>
      <c r="H494" t="s">
        <v>7918</v>
      </c>
      <c r="J494" t="s">
        <v>4242</v>
      </c>
      <c r="M494" t="s">
        <v>7919</v>
      </c>
      <c r="N494">
        <v>2.7247480949999998</v>
      </c>
      <c r="O494">
        <v>7.0822175119999997</v>
      </c>
      <c r="P494">
        <v>0.61298291999999999</v>
      </c>
      <c r="Q494">
        <v>0.48262032500000002</v>
      </c>
      <c r="S494" s="13">
        <v>-1.100962604</v>
      </c>
      <c r="T494">
        <v>1.114238096</v>
      </c>
      <c r="U494">
        <v>-5.4956116999999999E-2</v>
      </c>
    </row>
    <row r="495" spans="1:21" x14ac:dyDescent="0.2">
      <c r="A495" t="s">
        <v>2764</v>
      </c>
      <c r="B495">
        <v>760200</v>
      </c>
      <c r="C495" t="s">
        <v>6945</v>
      </c>
      <c r="D495" t="s">
        <v>2764</v>
      </c>
      <c r="E495" t="s">
        <v>6921</v>
      </c>
      <c r="F495">
        <v>12</v>
      </c>
      <c r="G495">
        <v>8</v>
      </c>
      <c r="H495" t="s">
        <v>7920</v>
      </c>
      <c r="J495" t="s">
        <v>5967</v>
      </c>
      <c r="M495" t="s">
        <v>7921</v>
      </c>
      <c r="N495">
        <v>2.2220813349999999</v>
      </c>
      <c r="O495">
        <v>6.5440947090000003</v>
      </c>
      <c r="P495">
        <v>0.58228215500000002</v>
      </c>
      <c r="Q495">
        <v>0.35188233000000002</v>
      </c>
      <c r="S495" s="13">
        <v>-1.101228093</v>
      </c>
      <c r="T495">
        <v>1.1130779689999999</v>
      </c>
      <c r="U495">
        <v>-5.7989930000000002E-2</v>
      </c>
    </row>
    <row r="496" spans="1:21" x14ac:dyDescent="0.2">
      <c r="A496" t="s">
        <v>2257</v>
      </c>
      <c r="B496">
        <v>603920</v>
      </c>
      <c r="C496" t="s">
        <v>6961</v>
      </c>
      <c r="D496" t="s">
        <v>2257</v>
      </c>
      <c r="E496" t="s">
        <v>6911</v>
      </c>
      <c r="F496">
        <v>16</v>
      </c>
      <c r="G496">
        <v>12</v>
      </c>
      <c r="H496" t="s">
        <v>7922</v>
      </c>
      <c r="J496" t="s">
        <v>3596</v>
      </c>
      <c r="M496" t="s">
        <v>7923</v>
      </c>
      <c r="N496">
        <v>2.7247480949999998</v>
      </c>
      <c r="O496">
        <v>7.0822175119999997</v>
      </c>
      <c r="P496">
        <v>0.61298291999999999</v>
      </c>
      <c r="Q496">
        <v>0.48262032500000002</v>
      </c>
      <c r="S496" s="13">
        <v>-1.101722555</v>
      </c>
      <c r="T496">
        <v>1.1109172860000001</v>
      </c>
      <c r="U496">
        <v>-5.5469195999999998E-2</v>
      </c>
    </row>
    <row r="497" spans="1:21" x14ac:dyDescent="0.2">
      <c r="A497" t="s">
        <v>389</v>
      </c>
      <c r="B497">
        <v>926960</v>
      </c>
      <c r="C497" t="s">
        <v>6914</v>
      </c>
      <c r="D497" t="s">
        <v>389</v>
      </c>
      <c r="E497" t="s">
        <v>6974</v>
      </c>
      <c r="F497">
        <v>11</v>
      </c>
      <c r="G497">
        <v>15</v>
      </c>
      <c r="H497" t="s">
        <v>7924</v>
      </c>
      <c r="J497" t="s">
        <v>391</v>
      </c>
      <c r="M497" t="s">
        <v>7925</v>
      </c>
      <c r="N497">
        <v>1.8217074179999999</v>
      </c>
      <c r="O497">
        <v>4.1700741289999996</v>
      </c>
      <c r="P497">
        <v>0.189705977</v>
      </c>
      <c r="Q497">
        <v>-1.7194070999999998E-2</v>
      </c>
      <c r="S497" s="13">
        <v>-1.102066344</v>
      </c>
      <c r="T497">
        <v>1.1094150039999999</v>
      </c>
      <c r="U497">
        <v>-6.4766092999999997E-2</v>
      </c>
    </row>
    <row r="498" spans="1:21" x14ac:dyDescent="0.2">
      <c r="A498" t="s">
        <v>1112</v>
      </c>
      <c r="B498">
        <v>946640</v>
      </c>
      <c r="C498" t="s">
        <v>6938</v>
      </c>
      <c r="D498" t="s">
        <v>1112</v>
      </c>
      <c r="E498" t="s">
        <v>6924</v>
      </c>
      <c r="F498">
        <v>23</v>
      </c>
      <c r="G498">
        <v>6</v>
      </c>
      <c r="H498" t="s">
        <v>7926</v>
      </c>
      <c r="J498" t="s">
        <v>5693</v>
      </c>
      <c r="M498" t="s">
        <v>7927</v>
      </c>
      <c r="N498">
        <v>2.092758737</v>
      </c>
      <c r="O498">
        <v>5.3323610669999999</v>
      </c>
      <c r="P498">
        <v>0.70420098600000003</v>
      </c>
      <c r="Q498">
        <v>0.41355372699999998</v>
      </c>
      <c r="S498" s="13">
        <v>-1.102129852</v>
      </c>
      <c r="T498">
        <v>1.109137488</v>
      </c>
      <c r="U498">
        <v>-3.0307944999999999E-2</v>
      </c>
    </row>
    <row r="499" spans="1:21" x14ac:dyDescent="0.2">
      <c r="A499" t="s">
        <v>839</v>
      </c>
      <c r="B499">
        <v>758560</v>
      </c>
      <c r="C499" t="s">
        <v>6945</v>
      </c>
      <c r="D499" t="s">
        <v>840</v>
      </c>
      <c r="E499" t="s">
        <v>6928</v>
      </c>
      <c r="F499">
        <v>5</v>
      </c>
      <c r="G499">
        <v>16</v>
      </c>
      <c r="H499" t="s">
        <v>7928</v>
      </c>
      <c r="J499" t="s">
        <v>2012</v>
      </c>
      <c r="M499" t="s">
        <v>7929</v>
      </c>
      <c r="N499">
        <v>2.2220813349999999</v>
      </c>
      <c r="O499">
        <v>6.5440947090000003</v>
      </c>
      <c r="P499">
        <v>0.58228215500000002</v>
      </c>
      <c r="Q499">
        <v>0.35188233000000002</v>
      </c>
      <c r="S499" s="13">
        <v>-1.1027750000000001</v>
      </c>
      <c r="T499">
        <v>1.1063183379999999</v>
      </c>
      <c r="U499">
        <v>-5.8872960000000002E-2</v>
      </c>
    </row>
    <row r="500" spans="1:21" x14ac:dyDescent="0.2">
      <c r="A500" t="s">
        <v>38</v>
      </c>
      <c r="B500">
        <v>829440</v>
      </c>
      <c r="C500" t="s">
        <v>6942</v>
      </c>
      <c r="D500" t="s">
        <v>38</v>
      </c>
      <c r="E500" t="s">
        <v>6939</v>
      </c>
      <c r="F500">
        <v>24</v>
      </c>
      <c r="G500">
        <v>2</v>
      </c>
      <c r="H500" t="s">
        <v>7930</v>
      </c>
      <c r="J500" t="s">
        <v>430</v>
      </c>
      <c r="M500" t="s">
        <v>7931</v>
      </c>
      <c r="N500">
        <v>2.0902262079999998</v>
      </c>
      <c r="O500">
        <v>4.2704203920000001</v>
      </c>
      <c r="P500">
        <v>0.23425843900000001</v>
      </c>
      <c r="Q500">
        <v>1.6181978999999999E-2</v>
      </c>
      <c r="S500" s="13">
        <v>-1.1031545060000001</v>
      </c>
      <c r="T500">
        <v>1.1046599859999999</v>
      </c>
      <c r="U500">
        <v>-5.8819064999999997E-2</v>
      </c>
    </row>
    <row r="501" spans="1:21" x14ac:dyDescent="0.2">
      <c r="A501" t="s">
        <v>511</v>
      </c>
      <c r="B501">
        <v>601760</v>
      </c>
      <c r="C501" t="s">
        <v>6961</v>
      </c>
      <c r="D501" t="s">
        <v>511</v>
      </c>
      <c r="E501" t="s">
        <v>6911</v>
      </c>
      <c r="F501">
        <v>21</v>
      </c>
      <c r="G501">
        <v>12</v>
      </c>
      <c r="H501" t="s">
        <v>7932</v>
      </c>
      <c r="J501" t="s">
        <v>6065</v>
      </c>
      <c r="M501" t="s">
        <v>7933</v>
      </c>
      <c r="N501">
        <v>2.7247480949999998</v>
      </c>
      <c r="O501">
        <v>7.0822175119999997</v>
      </c>
      <c r="P501">
        <v>0.61298291999999999</v>
      </c>
      <c r="Q501">
        <v>0.48262032500000002</v>
      </c>
      <c r="S501" s="13">
        <v>-1.1034324440000001</v>
      </c>
      <c r="T501">
        <v>1.103445462</v>
      </c>
      <c r="U501">
        <v>-5.6625844000000002E-2</v>
      </c>
    </row>
    <row r="502" spans="1:21" x14ac:dyDescent="0.2">
      <c r="A502" t="s">
        <v>325</v>
      </c>
      <c r="B502">
        <v>601440</v>
      </c>
      <c r="C502" t="s">
        <v>6961</v>
      </c>
      <c r="D502" t="s">
        <v>326</v>
      </c>
      <c r="E502" t="s">
        <v>6921</v>
      </c>
      <c r="F502">
        <v>2</v>
      </c>
      <c r="G502">
        <v>8</v>
      </c>
      <c r="H502" t="s">
        <v>7934</v>
      </c>
      <c r="J502" t="s">
        <v>5573</v>
      </c>
      <c r="M502" t="s">
        <v>7935</v>
      </c>
      <c r="N502">
        <v>2.7247480949999998</v>
      </c>
      <c r="O502">
        <v>7.0822175119999997</v>
      </c>
      <c r="P502">
        <v>0.61298291999999999</v>
      </c>
      <c r="Q502">
        <v>0.48262032500000002</v>
      </c>
      <c r="S502" s="13">
        <v>-1.1036857600000001</v>
      </c>
      <c r="T502">
        <v>1.102338526</v>
      </c>
      <c r="U502">
        <v>-5.6797462E-2</v>
      </c>
    </row>
    <row r="503" spans="1:21" x14ac:dyDescent="0.2">
      <c r="A503" t="s">
        <v>687</v>
      </c>
      <c r="B503">
        <v>601360</v>
      </c>
      <c r="C503" t="s">
        <v>6961</v>
      </c>
      <c r="D503" t="s">
        <v>688</v>
      </c>
      <c r="E503" t="s">
        <v>6970</v>
      </c>
      <c r="F503">
        <v>9</v>
      </c>
      <c r="G503">
        <v>14</v>
      </c>
      <c r="H503" t="s">
        <v>7936</v>
      </c>
      <c r="J503" t="s">
        <v>3028</v>
      </c>
      <c r="M503" t="s">
        <v>7937</v>
      </c>
      <c r="N503">
        <v>2.7247480949999998</v>
      </c>
      <c r="O503">
        <v>7.0822175119999997</v>
      </c>
      <c r="P503">
        <v>0.61298291999999999</v>
      </c>
      <c r="Q503">
        <v>0.48262032500000002</v>
      </c>
      <c r="S503" s="13">
        <v>-1.10374909</v>
      </c>
      <c r="T503">
        <v>1.1020617909999999</v>
      </c>
      <c r="U503">
        <v>-5.6840376999999997E-2</v>
      </c>
    </row>
    <row r="504" spans="1:21" x14ac:dyDescent="0.2">
      <c r="A504" t="s">
        <v>1144</v>
      </c>
      <c r="B504">
        <v>600840</v>
      </c>
      <c r="C504" t="s">
        <v>6961</v>
      </c>
      <c r="D504" t="s">
        <v>1145</v>
      </c>
      <c r="E504" t="s">
        <v>6974</v>
      </c>
      <c r="F504">
        <v>7</v>
      </c>
      <c r="G504">
        <v>15</v>
      </c>
      <c r="H504" t="s">
        <v>7938</v>
      </c>
      <c r="J504" t="s">
        <v>2798</v>
      </c>
      <c r="M504" t="s">
        <v>7939</v>
      </c>
      <c r="N504">
        <v>2.7247480949999998</v>
      </c>
      <c r="O504">
        <v>7.0822175119999997</v>
      </c>
      <c r="P504">
        <v>0.61298291999999999</v>
      </c>
      <c r="Q504">
        <v>0.48262032500000002</v>
      </c>
      <c r="S504" s="13">
        <v>-1.10416073</v>
      </c>
      <c r="T504">
        <v>1.100263019</v>
      </c>
      <c r="U504">
        <v>-5.7119428E-2</v>
      </c>
    </row>
    <row r="505" spans="1:21" x14ac:dyDescent="0.2">
      <c r="A505" t="s">
        <v>1222</v>
      </c>
      <c r="B505">
        <v>843760</v>
      </c>
      <c r="C505" t="s">
        <v>6910</v>
      </c>
      <c r="D505" t="s">
        <v>1223</v>
      </c>
      <c r="E505" t="s">
        <v>6907</v>
      </c>
      <c r="F505">
        <v>3</v>
      </c>
      <c r="G505">
        <v>4</v>
      </c>
      <c r="H505" t="s">
        <v>7940</v>
      </c>
      <c r="J505" t="s">
        <v>2704</v>
      </c>
      <c r="M505" t="s">
        <v>7941</v>
      </c>
      <c r="N505">
        <v>1.9874741039999999</v>
      </c>
      <c r="O505">
        <v>3.7453511220000002</v>
      </c>
      <c r="P505">
        <v>0.451009722</v>
      </c>
      <c r="Q505">
        <v>-0.102386592</v>
      </c>
      <c r="S505" s="13">
        <v>-1.10488886</v>
      </c>
      <c r="T505">
        <v>1.097081255</v>
      </c>
      <c r="U505">
        <v>-7.30921E-3</v>
      </c>
    </row>
    <row r="506" spans="1:21" x14ac:dyDescent="0.2">
      <c r="A506" t="s">
        <v>203</v>
      </c>
      <c r="B506">
        <v>736360</v>
      </c>
      <c r="C506" t="s">
        <v>6931</v>
      </c>
      <c r="D506" t="s">
        <v>204</v>
      </c>
      <c r="E506" t="s">
        <v>6915</v>
      </c>
      <c r="F506">
        <v>1</v>
      </c>
      <c r="G506">
        <v>13</v>
      </c>
      <c r="H506" t="s">
        <v>7942</v>
      </c>
      <c r="J506" t="s">
        <v>5117</v>
      </c>
      <c r="M506" t="s">
        <v>7943</v>
      </c>
      <c r="N506">
        <v>1.9323965059999999</v>
      </c>
      <c r="O506">
        <v>3.0528020530000002</v>
      </c>
      <c r="P506">
        <v>2.6493138999999999E-2</v>
      </c>
      <c r="Q506">
        <v>-0.38692188</v>
      </c>
      <c r="S506" s="13">
        <v>-1.1049471129999999</v>
      </c>
      <c r="T506">
        <v>1.096826705</v>
      </c>
      <c r="U506">
        <v>-2.1535130999999999E-2</v>
      </c>
    </row>
    <row r="507" spans="1:21" x14ac:dyDescent="0.2">
      <c r="A507" t="s">
        <v>94</v>
      </c>
      <c r="B507">
        <v>943160</v>
      </c>
      <c r="C507" t="s">
        <v>6938</v>
      </c>
      <c r="D507" t="s">
        <v>95</v>
      </c>
      <c r="E507" t="s">
        <v>6939</v>
      </c>
      <c r="F507">
        <v>1</v>
      </c>
      <c r="G507">
        <v>2</v>
      </c>
      <c r="H507" t="s">
        <v>7944</v>
      </c>
      <c r="J507" t="s">
        <v>993</v>
      </c>
      <c r="M507" t="s">
        <v>7945</v>
      </c>
      <c r="N507">
        <v>2.092758737</v>
      </c>
      <c r="O507">
        <v>5.3323610669999999</v>
      </c>
      <c r="P507">
        <v>0.70420098600000003</v>
      </c>
      <c r="Q507">
        <v>0.41355372699999998</v>
      </c>
      <c r="S507" s="13">
        <v>-1.1051185160000001</v>
      </c>
      <c r="T507">
        <v>1.096077711</v>
      </c>
      <c r="U507">
        <v>-3.2067760000000001E-2</v>
      </c>
    </row>
    <row r="508" spans="1:21" x14ac:dyDescent="0.2">
      <c r="A508" t="s">
        <v>372</v>
      </c>
      <c r="B508">
        <v>736120</v>
      </c>
      <c r="C508" t="s">
        <v>6931</v>
      </c>
      <c r="D508" t="s">
        <v>372</v>
      </c>
      <c r="E508" t="s">
        <v>7006</v>
      </c>
      <c r="F508">
        <v>23</v>
      </c>
      <c r="G508">
        <v>3</v>
      </c>
      <c r="H508" t="s">
        <v>7946</v>
      </c>
      <c r="N508">
        <v>1.9323965059999999</v>
      </c>
      <c r="O508">
        <v>3.0528020530000002</v>
      </c>
      <c r="P508">
        <v>2.6493138999999999E-2</v>
      </c>
      <c r="Q508">
        <v>-0.38692188</v>
      </c>
      <c r="S508" s="13">
        <v>-1.1052624660000001</v>
      </c>
      <c r="T508">
        <v>1.0954486809999999</v>
      </c>
      <c r="U508">
        <v>-2.1653846000000001E-2</v>
      </c>
    </row>
    <row r="509" spans="1:21" x14ac:dyDescent="0.2">
      <c r="A509" t="s">
        <v>1052</v>
      </c>
      <c r="B509">
        <v>599280</v>
      </c>
      <c r="C509" t="s">
        <v>6961</v>
      </c>
      <c r="D509" t="s">
        <v>1052</v>
      </c>
      <c r="E509" t="s">
        <v>7085</v>
      </c>
      <c r="F509">
        <v>19</v>
      </c>
      <c r="G509">
        <v>9</v>
      </c>
      <c r="H509" t="s">
        <v>7947</v>
      </c>
      <c r="J509" t="s">
        <v>4670</v>
      </c>
      <c r="M509" t="s">
        <v>7948</v>
      </c>
      <c r="N509">
        <v>2.7247480949999998</v>
      </c>
      <c r="O509">
        <v>7.0822175119999997</v>
      </c>
      <c r="P509">
        <v>0.61298291999999999</v>
      </c>
      <c r="Q509">
        <v>0.48262032500000002</v>
      </c>
      <c r="S509" s="13">
        <v>-1.1053956490000001</v>
      </c>
      <c r="T509">
        <v>1.094866702</v>
      </c>
      <c r="U509">
        <v>-5.7957658000000002E-2</v>
      </c>
    </row>
    <row r="510" spans="1:21" x14ac:dyDescent="0.2">
      <c r="A510" t="s">
        <v>1391</v>
      </c>
      <c r="B510">
        <v>735800</v>
      </c>
      <c r="C510" t="s">
        <v>6931</v>
      </c>
      <c r="D510" t="s">
        <v>1391</v>
      </c>
      <c r="E510" t="s">
        <v>7085</v>
      </c>
      <c r="F510">
        <v>12</v>
      </c>
      <c r="G510">
        <v>9</v>
      </c>
      <c r="H510" t="s">
        <v>7949</v>
      </c>
      <c r="N510">
        <v>1.9323965059999999</v>
      </c>
      <c r="O510">
        <v>3.0528020530000002</v>
      </c>
      <c r="P510">
        <v>2.6493138999999999E-2</v>
      </c>
      <c r="Q510">
        <v>-0.38692188</v>
      </c>
      <c r="S510" s="13">
        <v>-1.1056829379999999</v>
      </c>
      <c r="T510">
        <v>1.0936113160000001</v>
      </c>
      <c r="U510">
        <v>-2.1812182999999999E-2</v>
      </c>
    </row>
    <row r="511" spans="1:21" x14ac:dyDescent="0.2">
      <c r="A511" t="s">
        <v>1089</v>
      </c>
      <c r="B511">
        <v>735480</v>
      </c>
      <c r="C511" t="s">
        <v>6931</v>
      </c>
      <c r="D511" t="s">
        <v>1089</v>
      </c>
      <c r="E511" t="s">
        <v>6946</v>
      </c>
      <c r="F511">
        <v>21</v>
      </c>
      <c r="G511">
        <v>11</v>
      </c>
      <c r="H511" t="s">
        <v>7950</v>
      </c>
      <c r="N511">
        <v>1.9323965059999999</v>
      </c>
      <c r="O511">
        <v>3.0528020530000002</v>
      </c>
      <c r="P511">
        <v>2.6493138999999999E-2</v>
      </c>
      <c r="Q511">
        <v>-0.38692188</v>
      </c>
      <c r="S511" s="13">
        <v>-1.10610341</v>
      </c>
      <c r="T511">
        <v>1.091773951</v>
      </c>
      <c r="U511">
        <v>-2.1970578000000001E-2</v>
      </c>
    </row>
    <row r="512" spans="1:21" x14ac:dyDescent="0.2">
      <c r="A512" t="s">
        <v>57</v>
      </c>
      <c r="B512">
        <v>878160</v>
      </c>
      <c r="C512" t="s">
        <v>6927</v>
      </c>
      <c r="D512" t="s">
        <v>59</v>
      </c>
      <c r="E512" t="s">
        <v>6928</v>
      </c>
      <c r="F512">
        <v>4</v>
      </c>
      <c r="G512">
        <v>16</v>
      </c>
      <c r="H512" t="s">
        <v>7951</v>
      </c>
      <c r="J512" t="s">
        <v>7952</v>
      </c>
      <c r="M512" t="s">
        <v>7953</v>
      </c>
      <c r="N512">
        <v>1.982575982</v>
      </c>
      <c r="O512">
        <v>3.4571926419999999</v>
      </c>
      <c r="P512">
        <v>-0.114791479</v>
      </c>
      <c r="Q512">
        <v>1.868949E-3</v>
      </c>
      <c r="S512" s="13">
        <v>-1.106532882</v>
      </c>
      <c r="T512">
        <v>1.089897254</v>
      </c>
      <c r="U512">
        <v>-4.7972581E-2</v>
      </c>
    </row>
    <row r="513" spans="1:21" x14ac:dyDescent="0.2">
      <c r="A513" t="s">
        <v>2139</v>
      </c>
      <c r="B513">
        <v>877840</v>
      </c>
      <c r="C513" t="s">
        <v>6927</v>
      </c>
      <c r="D513" t="s">
        <v>2140</v>
      </c>
      <c r="E513" t="s">
        <v>6924</v>
      </c>
      <c r="F513">
        <v>1</v>
      </c>
      <c r="G513">
        <v>6</v>
      </c>
      <c r="H513" t="s">
        <v>7954</v>
      </c>
      <c r="J513" t="s">
        <v>7955</v>
      </c>
      <c r="M513" t="s">
        <v>7956</v>
      </c>
      <c r="N513">
        <v>1.982575982</v>
      </c>
      <c r="O513">
        <v>3.4571926419999999</v>
      </c>
      <c r="P513">
        <v>-0.114791479</v>
      </c>
      <c r="Q513">
        <v>1.868949E-3</v>
      </c>
      <c r="S513" s="13">
        <v>-1.106864922</v>
      </c>
      <c r="T513">
        <v>1.088446316</v>
      </c>
      <c r="U513">
        <v>-4.8140812999999998E-2</v>
      </c>
    </row>
    <row r="514" spans="1:21" x14ac:dyDescent="0.2">
      <c r="A514" t="s">
        <v>243</v>
      </c>
      <c r="B514">
        <v>753920</v>
      </c>
      <c r="C514" t="s">
        <v>6945</v>
      </c>
      <c r="D514" t="s">
        <v>243</v>
      </c>
      <c r="E514" t="s">
        <v>6918</v>
      </c>
      <c r="F514">
        <v>14</v>
      </c>
      <c r="G514">
        <v>1</v>
      </c>
      <c r="H514" t="s">
        <v>7957</v>
      </c>
      <c r="J514" t="s">
        <v>2809</v>
      </c>
      <c r="M514" t="s">
        <v>7958</v>
      </c>
      <c r="N514">
        <v>2.2220813349999999</v>
      </c>
      <c r="O514">
        <v>6.5440947090000003</v>
      </c>
      <c r="P514">
        <v>0.58228215500000002</v>
      </c>
      <c r="Q514">
        <v>0.35188233000000002</v>
      </c>
      <c r="S514" s="13">
        <v>-1.1071516159999999</v>
      </c>
      <c r="T514">
        <v>1.08719353</v>
      </c>
      <c r="U514">
        <v>-6.1381059000000002E-2</v>
      </c>
    </row>
    <row r="515" spans="1:21" x14ac:dyDescent="0.2">
      <c r="A515" t="s">
        <v>1001</v>
      </c>
      <c r="B515">
        <v>825280</v>
      </c>
      <c r="C515" t="s">
        <v>6942</v>
      </c>
      <c r="D515" t="s">
        <v>1001</v>
      </c>
      <c r="E515" t="s">
        <v>7006</v>
      </c>
      <c r="F515">
        <v>14</v>
      </c>
      <c r="G515">
        <v>3</v>
      </c>
      <c r="H515" t="s">
        <v>7959</v>
      </c>
      <c r="J515" t="s">
        <v>3671</v>
      </c>
      <c r="M515" t="s">
        <v>7960</v>
      </c>
      <c r="N515">
        <v>2.0902262079999998</v>
      </c>
      <c r="O515">
        <v>4.2704203920000001</v>
      </c>
      <c r="P515">
        <v>0.23425843900000001</v>
      </c>
      <c r="Q515">
        <v>1.6181978999999999E-2</v>
      </c>
      <c r="S515" s="13">
        <v>-1.107237501</v>
      </c>
      <c r="T515">
        <v>1.0868182319999999</v>
      </c>
      <c r="U515">
        <v>-6.1066753000000001E-2</v>
      </c>
    </row>
    <row r="516" spans="1:21" x14ac:dyDescent="0.2">
      <c r="A516" t="s">
        <v>329</v>
      </c>
      <c r="B516">
        <v>596480</v>
      </c>
      <c r="C516" t="s">
        <v>6961</v>
      </c>
      <c r="D516" t="s">
        <v>329</v>
      </c>
      <c r="E516" t="s">
        <v>6924</v>
      </c>
      <c r="F516">
        <v>22</v>
      </c>
      <c r="G516">
        <v>6</v>
      </c>
      <c r="H516" t="s">
        <v>7961</v>
      </c>
      <c r="J516" t="s">
        <v>3563</v>
      </c>
      <c r="M516" t="s">
        <v>7962</v>
      </c>
      <c r="N516">
        <v>2.7247480949999998</v>
      </c>
      <c r="O516">
        <v>7.0822175119999997</v>
      </c>
      <c r="P516">
        <v>0.61298291999999999</v>
      </c>
      <c r="Q516">
        <v>0.48262032500000002</v>
      </c>
      <c r="S516" s="13">
        <v>-1.1076121720000001</v>
      </c>
      <c r="T516">
        <v>1.0851810049999999</v>
      </c>
      <c r="U516">
        <v>-5.9466244000000001E-2</v>
      </c>
    </row>
    <row r="517" spans="1:21" x14ac:dyDescent="0.2">
      <c r="A517" t="s">
        <v>333</v>
      </c>
      <c r="B517">
        <v>940120</v>
      </c>
      <c r="C517" t="s">
        <v>6938</v>
      </c>
      <c r="D517" t="s">
        <v>334</v>
      </c>
      <c r="E517" t="s">
        <v>6915</v>
      </c>
      <c r="F517">
        <v>2</v>
      </c>
      <c r="G517">
        <v>13</v>
      </c>
      <c r="H517" t="s">
        <v>7963</v>
      </c>
      <c r="J517" t="s">
        <v>3384</v>
      </c>
      <c r="M517" t="s">
        <v>7964</v>
      </c>
      <c r="N517">
        <v>2.092758737</v>
      </c>
      <c r="O517">
        <v>5.3323610669999999</v>
      </c>
      <c r="P517">
        <v>0.70420098600000003</v>
      </c>
      <c r="Q517">
        <v>0.41355372699999998</v>
      </c>
      <c r="S517" s="13">
        <v>-1.1077293029999999</v>
      </c>
      <c r="T517">
        <v>1.08466917</v>
      </c>
      <c r="U517">
        <v>-3.3610926999999999E-2</v>
      </c>
    </row>
    <row r="518" spans="1:21" x14ac:dyDescent="0.2">
      <c r="A518" t="s">
        <v>67</v>
      </c>
      <c r="B518">
        <v>772680</v>
      </c>
      <c r="C518" t="s">
        <v>6906</v>
      </c>
      <c r="D518" t="s">
        <v>69</v>
      </c>
      <c r="E518" t="s">
        <v>6974</v>
      </c>
      <c r="F518">
        <v>2</v>
      </c>
      <c r="G518">
        <v>15</v>
      </c>
      <c r="H518" t="s">
        <v>7965</v>
      </c>
      <c r="J518" t="s">
        <v>2021</v>
      </c>
      <c r="M518" t="s">
        <v>7966</v>
      </c>
      <c r="N518">
        <v>1.813871112</v>
      </c>
      <c r="O518">
        <v>2.6633694910000001</v>
      </c>
      <c r="P518">
        <v>-0.29586356800000002</v>
      </c>
      <c r="Q518">
        <v>-0.59018158399999998</v>
      </c>
      <c r="S518" s="13">
        <v>-1.1077324820000001</v>
      </c>
      <c r="T518">
        <v>1.0846552759999999</v>
      </c>
      <c r="U518">
        <v>-6.4034609000000006E-2</v>
      </c>
    </row>
    <row r="519" spans="1:21" x14ac:dyDescent="0.2">
      <c r="A519" t="s">
        <v>500</v>
      </c>
      <c r="B519">
        <v>596200</v>
      </c>
      <c r="C519" t="s">
        <v>6961</v>
      </c>
      <c r="D519" t="s">
        <v>501</v>
      </c>
      <c r="E519" t="s">
        <v>7115</v>
      </c>
      <c r="F519">
        <v>9</v>
      </c>
      <c r="G519">
        <v>10</v>
      </c>
      <c r="H519" t="s">
        <v>7967</v>
      </c>
      <c r="J519" t="s">
        <v>5579</v>
      </c>
      <c r="M519" t="s">
        <v>7968</v>
      </c>
      <c r="N519">
        <v>2.7247480949999998</v>
      </c>
      <c r="O519">
        <v>7.0822175119999997</v>
      </c>
      <c r="P519">
        <v>0.61298291999999999</v>
      </c>
      <c r="Q519">
        <v>0.48262032500000002</v>
      </c>
      <c r="S519" s="13">
        <v>-1.1078338240000001</v>
      </c>
      <c r="T519">
        <v>1.084212435</v>
      </c>
      <c r="U519">
        <v>-5.9617390999999999E-2</v>
      </c>
    </row>
    <row r="520" spans="1:21" x14ac:dyDescent="0.2">
      <c r="A520" t="s">
        <v>129</v>
      </c>
      <c r="B520">
        <v>824480</v>
      </c>
      <c r="C520" t="s">
        <v>6942</v>
      </c>
      <c r="D520" t="s">
        <v>129</v>
      </c>
      <c r="E520" t="s">
        <v>7006</v>
      </c>
      <c r="F520">
        <v>24</v>
      </c>
      <c r="G520">
        <v>3</v>
      </c>
      <c r="H520" t="s">
        <v>7969</v>
      </c>
      <c r="J520" t="s">
        <v>3298</v>
      </c>
      <c r="M520" t="s">
        <v>7970</v>
      </c>
      <c r="N520">
        <v>2.0902262079999998</v>
      </c>
      <c r="O520">
        <v>4.2704203920000001</v>
      </c>
      <c r="P520">
        <v>0.23425843900000001</v>
      </c>
      <c r="Q520">
        <v>1.6181978999999999E-2</v>
      </c>
      <c r="S520" s="13">
        <v>-1.108022692</v>
      </c>
      <c r="T520">
        <v>1.0833871260000001</v>
      </c>
      <c r="U520">
        <v>-6.1500338000000002E-2</v>
      </c>
    </row>
    <row r="521" spans="1:21" x14ac:dyDescent="0.2">
      <c r="A521" t="s">
        <v>1683</v>
      </c>
      <c r="B521">
        <v>752880</v>
      </c>
      <c r="C521" t="s">
        <v>6945</v>
      </c>
      <c r="D521" t="s">
        <v>1683</v>
      </c>
      <c r="E521" t="s">
        <v>6915</v>
      </c>
      <c r="F521">
        <v>16</v>
      </c>
      <c r="G521">
        <v>13</v>
      </c>
      <c r="H521" t="s">
        <v>7971</v>
      </c>
      <c r="J521" t="s">
        <v>1685</v>
      </c>
      <c r="M521" t="s">
        <v>7972</v>
      </c>
      <c r="N521">
        <v>2.2220813349999999</v>
      </c>
      <c r="O521">
        <v>6.5440947090000003</v>
      </c>
      <c r="P521">
        <v>0.58228215500000002</v>
      </c>
      <c r="Q521">
        <v>0.35188233000000002</v>
      </c>
      <c r="S521" s="13">
        <v>-1.108132581</v>
      </c>
      <c r="T521">
        <v>1.082906935</v>
      </c>
      <c r="U521">
        <v>-6.1945211E-2</v>
      </c>
    </row>
    <row r="522" spans="1:21" x14ac:dyDescent="0.2">
      <c r="A522" t="s">
        <v>736</v>
      </c>
      <c r="B522">
        <v>752720</v>
      </c>
      <c r="C522" t="s">
        <v>6945</v>
      </c>
      <c r="D522" t="s">
        <v>736</v>
      </c>
      <c r="E522" t="s">
        <v>6939</v>
      </c>
      <c r="F522">
        <v>15</v>
      </c>
      <c r="G522">
        <v>2</v>
      </c>
      <c r="H522" t="s">
        <v>7973</v>
      </c>
      <c r="J522" t="s">
        <v>3391</v>
      </c>
      <c r="M522" t="s">
        <v>7974</v>
      </c>
      <c r="N522">
        <v>2.2220813349999999</v>
      </c>
      <c r="O522">
        <v>6.5440947090000003</v>
      </c>
      <c r="P522">
        <v>0.58228215500000002</v>
      </c>
      <c r="Q522">
        <v>0.35188233000000002</v>
      </c>
      <c r="S522" s="13">
        <v>-1.1082834989999999</v>
      </c>
      <c r="T522">
        <v>1.082247459</v>
      </c>
      <c r="U522">
        <v>-6.2032069000000002E-2</v>
      </c>
    </row>
    <row r="523" spans="1:21" x14ac:dyDescent="0.2">
      <c r="A523" t="s">
        <v>932</v>
      </c>
      <c r="B523">
        <v>939320</v>
      </c>
      <c r="C523" t="s">
        <v>6938</v>
      </c>
      <c r="D523" t="s">
        <v>932</v>
      </c>
      <c r="E523" t="s">
        <v>7006</v>
      </c>
      <c r="F523">
        <v>12</v>
      </c>
      <c r="G523">
        <v>3</v>
      </c>
      <c r="H523" t="s">
        <v>7975</v>
      </c>
      <c r="J523" t="s">
        <v>2845</v>
      </c>
      <c r="M523" t="s">
        <v>7976</v>
      </c>
      <c r="N523">
        <v>2.092758737</v>
      </c>
      <c r="O523">
        <v>5.3323610669999999</v>
      </c>
      <c r="P523">
        <v>0.70420098600000003</v>
      </c>
      <c r="Q523">
        <v>0.41355372699999998</v>
      </c>
      <c r="S523" s="13">
        <v>-1.1084163520000001</v>
      </c>
      <c r="T523">
        <v>1.081666923</v>
      </c>
      <c r="U523">
        <v>-3.4017936999999998E-2</v>
      </c>
    </row>
    <row r="524" spans="1:21" x14ac:dyDescent="0.2">
      <c r="A524" t="s">
        <v>656</v>
      </c>
      <c r="B524">
        <v>595200</v>
      </c>
      <c r="C524" t="s">
        <v>6961</v>
      </c>
      <c r="D524" t="s">
        <v>656</v>
      </c>
      <c r="E524" t="s">
        <v>6956</v>
      </c>
      <c r="F524">
        <v>24</v>
      </c>
      <c r="G524">
        <v>7</v>
      </c>
      <c r="H524" t="s">
        <v>7977</v>
      </c>
      <c r="J524" t="s">
        <v>1721</v>
      </c>
      <c r="M524" t="s">
        <v>7978</v>
      </c>
      <c r="N524">
        <v>2.7247480949999998</v>
      </c>
      <c r="O524">
        <v>7.0822175119999997</v>
      </c>
      <c r="P524">
        <v>0.61298291999999999</v>
      </c>
      <c r="Q524">
        <v>0.48262032500000002</v>
      </c>
      <c r="S524" s="13">
        <v>-1.1086254390000001</v>
      </c>
      <c r="T524">
        <v>1.0807532580000001</v>
      </c>
      <c r="U524">
        <v>-6.0157632000000003E-2</v>
      </c>
    </row>
    <row r="525" spans="1:21" x14ac:dyDescent="0.2">
      <c r="A525" t="s">
        <v>1309</v>
      </c>
      <c r="B525">
        <v>823360</v>
      </c>
      <c r="C525" t="s">
        <v>6942</v>
      </c>
      <c r="D525" t="s">
        <v>1309</v>
      </c>
      <c r="E525" t="s">
        <v>6921</v>
      </c>
      <c r="F525">
        <v>20</v>
      </c>
      <c r="G525">
        <v>8</v>
      </c>
      <c r="H525" t="s">
        <v>7979</v>
      </c>
      <c r="J525" t="s">
        <v>1687</v>
      </c>
      <c r="M525" t="s">
        <v>7980</v>
      </c>
      <c r="N525">
        <v>2.0902262079999998</v>
      </c>
      <c r="O525">
        <v>4.2704203920000001</v>
      </c>
      <c r="P525">
        <v>0.23425843900000001</v>
      </c>
      <c r="Q525">
        <v>1.6181978999999999E-2</v>
      </c>
      <c r="S525" s="13">
        <v>-1.10912196</v>
      </c>
      <c r="T525">
        <v>1.0785835770000001</v>
      </c>
      <c r="U525">
        <v>-6.2108084000000001E-2</v>
      </c>
    </row>
    <row r="526" spans="1:21" x14ac:dyDescent="0.2">
      <c r="A526" t="s">
        <v>2167</v>
      </c>
      <c r="B526">
        <v>594440</v>
      </c>
      <c r="C526" t="s">
        <v>6961</v>
      </c>
      <c r="D526" t="s">
        <v>2168</v>
      </c>
      <c r="E526" t="s">
        <v>6956</v>
      </c>
      <c r="F526">
        <v>8</v>
      </c>
      <c r="G526">
        <v>7</v>
      </c>
      <c r="H526" t="s">
        <v>7981</v>
      </c>
      <c r="J526" t="s">
        <v>6363</v>
      </c>
      <c r="M526" t="s">
        <v>7982</v>
      </c>
      <c r="N526">
        <v>2.7247480949999998</v>
      </c>
      <c r="O526">
        <v>7.0822175119999997</v>
      </c>
      <c r="P526">
        <v>0.61298291999999999</v>
      </c>
      <c r="Q526">
        <v>0.48262032500000002</v>
      </c>
      <c r="S526" s="13">
        <v>-1.109227067</v>
      </c>
      <c r="T526">
        <v>1.078124283</v>
      </c>
      <c r="U526">
        <v>-6.0568665000000001E-2</v>
      </c>
    </row>
    <row r="527" spans="1:21" x14ac:dyDescent="0.2">
      <c r="A527" t="s">
        <v>1001</v>
      </c>
      <c r="B527">
        <v>733040</v>
      </c>
      <c r="C527" t="s">
        <v>6931</v>
      </c>
      <c r="D527" t="s">
        <v>1001</v>
      </c>
      <c r="E527" t="s">
        <v>7006</v>
      </c>
      <c r="F527">
        <v>14</v>
      </c>
      <c r="G527">
        <v>3</v>
      </c>
      <c r="H527" t="s">
        <v>7983</v>
      </c>
      <c r="N527">
        <v>1.9323965059999999</v>
      </c>
      <c r="O527">
        <v>3.0528020530000002</v>
      </c>
      <c r="P527">
        <v>2.6493138999999999E-2</v>
      </c>
      <c r="Q527">
        <v>-0.38692188</v>
      </c>
      <c r="S527" s="13">
        <v>-1.1093095070000001</v>
      </c>
      <c r="T527">
        <v>1.0777640399999999</v>
      </c>
      <c r="U527">
        <v>-2.3180243999999999E-2</v>
      </c>
    </row>
    <row r="528" spans="1:21" x14ac:dyDescent="0.2">
      <c r="A528" t="s">
        <v>574</v>
      </c>
      <c r="B528">
        <v>594160</v>
      </c>
      <c r="C528" t="s">
        <v>6961</v>
      </c>
      <c r="D528" t="s">
        <v>574</v>
      </c>
      <c r="E528" t="s">
        <v>6977</v>
      </c>
      <c r="F528">
        <v>20</v>
      </c>
      <c r="G528">
        <v>5</v>
      </c>
      <c r="H528" t="s">
        <v>7984</v>
      </c>
      <c r="J528" t="s">
        <v>5751</v>
      </c>
      <c r="M528" t="s">
        <v>7985</v>
      </c>
      <c r="N528">
        <v>2.7247480949999998</v>
      </c>
      <c r="O528">
        <v>7.0822175119999997</v>
      </c>
      <c r="P528">
        <v>0.61298291999999999</v>
      </c>
      <c r="Q528">
        <v>0.48262032500000002</v>
      </c>
      <c r="S528" s="13">
        <v>-1.109448719</v>
      </c>
      <c r="T528">
        <v>1.077155713</v>
      </c>
      <c r="U528">
        <v>-6.0720196999999997E-2</v>
      </c>
    </row>
    <row r="529" spans="1:21" x14ac:dyDescent="0.2">
      <c r="A529" t="s">
        <v>1365</v>
      </c>
      <c r="B529">
        <v>751480</v>
      </c>
      <c r="C529" t="s">
        <v>6945</v>
      </c>
      <c r="D529" t="s">
        <v>1365</v>
      </c>
      <c r="E529" t="s">
        <v>6970</v>
      </c>
      <c r="F529">
        <v>21</v>
      </c>
      <c r="G529">
        <v>14</v>
      </c>
      <c r="H529" t="s">
        <v>7986</v>
      </c>
      <c r="J529" t="s">
        <v>6261</v>
      </c>
      <c r="M529" t="s">
        <v>7987</v>
      </c>
      <c r="N529">
        <v>2.2220813349999999</v>
      </c>
      <c r="O529">
        <v>6.5440947090000003</v>
      </c>
      <c r="P529">
        <v>0.58228215500000002</v>
      </c>
      <c r="Q529">
        <v>0.35188233000000002</v>
      </c>
      <c r="S529" s="13">
        <v>-1.109453112</v>
      </c>
      <c r="T529">
        <v>1.077136519</v>
      </c>
      <c r="U529">
        <v>-6.2705807000000002E-2</v>
      </c>
    </row>
    <row r="530" spans="1:21" x14ac:dyDescent="0.2">
      <c r="A530" t="s">
        <v>389</v>
      </c>
      <c r="B530">
        <v>732360</v>
      </c>
      <c r="C530" t="s">
        <v>6931</v>
      </c>
      <c r="D530" t="s">
        <v>389</v>
      </c>
      <c r="E530" t="s">
        <v>6974</v>
      </c>
      <c r="F530">
        <v>11</v>
      </c>
      <c r="G530">
        <v>15</v>
      </c>
      <c r="H530" t="s">
        <v>7988</v>
      </c>
      <c r="N530">
        <v>1.9323965059999999</v>
      </c>
      <c r="O530">
        <v>3.0528020530000002</v>
      </c>
      <c r="P530">
        <v>2.6493138999999999E-2</v>
      </c>
      <c r="Q530">
        <v>-0.38692188</v>
      </c>
      <c r="S530" s="13">
        <v>-1.1102030089999999</v>
      </c>
      <c r="T530">
        <v>1.0738596389999999</v>
      </c>
      <c r="U530">
        <v>-2.3517964999999998E-2</v>
      </c>
    </row>
    <row r="531" spans="1:21" x14ac:dyDescent="0.2">
      <c r="A531" t="s">
        <v>1181</v>
      </c>
      <c r="B531">
        <v>838320</v>
      </c>
      <c r="C531" t="s">
        <v>6910</v>
      </c>
      <c r="D531" t="s">
        <v>1181</v>
      </c>
      <c r="E531" t="s">
        <v>6956</v>
      </c>
      <c r="F531">
        <v>23</v>
      </c>
      <c r="G531">
        <v>7</v>
      </c>
      <c r="H531" t="s">
        <v>7989</v>
      </c>
      <c r="J531" t="s">
        <v>1543</v>
      </c>
      <c r="M531" t="s">
        <v>7990</v>
      </c>
      <c r="N531">
        <v>1.9874741039999999</v>
      </c>
      <c r="O531">
        <v>3.7453511220000002</v>
      </c>
      <c r="P531">
        <v>0.451009722</v>
      </c>
      <c r="Q531">
        <v>-0.102386592</v>
      </c>
      <c r="S531" s="13">
        <v>-1.1107417209999999</v>
      </c>
      <c r="T531">
        <v>1.071505591</v>
      </c>
      <c r="U531">
        <v>-9.9208520000000008E-3</v>
      </c>
    </row>
    <row r="532" spans="1:21" x14ac:dyDescent="0.2">
      <c r="A532" t="s">
        <v>1112</v>
      </c>
      <c r="B532">
        <v>592120</v>
      </c>
      <c r="C532" t="s">
        <v>6961</v>
      </c>
      <c r="D532" t="s">
        <v>1112</v>
      </c>
      <c r="E532" t="s">
        <v>6924</v>
      </c>
      <c r="F532">
        <v>23</v>
      </c>
      <c r="G532">
        <v>6</v>
      </c>
      <c r="H532" t="s">
        <v>7991</v>
      </c>
      <c r="J532" t="s">
        <v>2594</v>
      </c>
      <c r="M532" t="s">
        <v>7992</v>
      </c>
      <c r="N532">
        <v>2.7247480949999998</v>
      </c>
      <c r="O532">
        <v>7.0822175119999997</v>
      </c>
      <c r="P532">
        <v>0.61298291999999999</v>
      </c>
      <c r="Q532">
        <v>0.48262032500000002</v>
      </c>
      <c r="S532" s="13">
        <v>-1.1110636140000001</v>
      </c>
      <c r="T532">
        <v>1.0700989910000001</v>
      </c>
      <c r="U532">
        <v>-6.1825810000000002E-2</v>
      </c>
    </row>
    <row r="533" spans="1:21" x14ac:dyDescent="0.2">
      <c r="A533" t="s">
        <v>2073</v>
      </c>
      <c r="B533">
        <v>935880</v>
      </c>
      <c r="C533" t="s">
        <v>6938</v>
      </c>
      <c r="D533" t="s">
        <v>2074</v>
      </c>
      <c r="E533" t="s">
        <v>7085</v>
      </c>
      <c r="F533">
        <v>2</v>
      </c>
      <c r="G533">
        <v>9</v>
      </c>
      <c r="H533" t="s">
        <v>7993</v>
      </c>
      <c r="J533" t="s">
        <v>2076</v>
      </c>
      <c r="M533" t="s">
        <v>7994</v>
      </c>
      <c r="N533">
        <v>2.092758737</v>
      </c>
      <c r="O533">
        <v>5.3323610669999999</v>
      </c>
      <c r="P533">
        <v>0.70420098600000003</v>
      </c>
      <c r="Q533">
        <v>0.41355372699999998</v>
      </c>
      <c r="S533" s="13">
        <v>-1.111370663</v>
      </c>
      <c r="T533">
        <v>1.068757258</v>
      </c>
      <c r="U533">
        <v>-3.5772437999999997E-2</v>
      </c>
    </row>
    <row r="534" spans="1:21" x14ac:dyDescent="0.2">
      <c r="A534" t="s">
        <v>280</v>
      </c>
      <c r="B534">
        <v>749440</v>
      </c>
      <c r="C534" t="s">
        <v>6945</v>
      </c>
      <c r="D534" t="s">
        <v>280</v>
      </c>
      <c r="E534" t="s">
        <v>6921</v>
      </c>
      <c r="F534">
        <v>24</v>
      </c>
      <c r="G534">
        <v>8</v>
      </c>
      <c r="H534" t="s">
        <v>7995</v>
      </c>
      <c r="J534" t="s">
        <v>5859</v>
      </c>
      <c r="M534" t="s">
        <v>7996</v>
      </c>
      <c r="N534">
        <v>2.2220813349999999</v>
      </c>
      <c r="O534">
        <v>6.5440947090000003</v>
      </c>
      <c r="P534">
        <v>0.58228215500000002</v>
      </c>
      <c r="Q534">
        <v>0.35188233000000002</v>
      </c>
      <c r="S534" s="13">
        <v>-1.111377313</v>
      </c>
      <c r="T534">
        <v>1.0687281980000001</v>
      </c>
      <c r="U534">
        <v>-6.3816493000000002E-2</v>
      </c>
    </row>
    <row r="535" spans="1:21" x14ac:dyDescent="0.2">
      <c r="A535" t="s">
        <v>756</v>
      </c>
      <c r="B535">
        <v>938480</v>
      </c>
      <c r="C535" t="s">
        <v>6953</v>
      </c>
      <c r="D535" t="s">
        <v>756</v>
      </c>
      <c r="E535" t="s">
        <v>7085</v>
      </c>
      <c r="F535">
        <v>23</v>
      </c>
      <c r="G535">
        <v>9</v>
      </c>
      <c r="H535" t="s">
        <v>7997</v>
      </c>
      <c r="J535" t="s">
        <v>5225</v>
      </c>
      <c r="M535" t="s">
        <v>7998</v>
      </c>
      <c r="N535">
        <v>1.921480887</v>
      </c>
      <c r="O535">
        <v>3.0856645180000002</v>
      </c>
      <c r="P535">
        <v>0.44706724399999997</v>
      </c>
      <c r="Q535">
        <v>-0.354940863</v>
      </c>
      <c r="S535" s="13">
        <v>-1.111420093</v>
      </c>
      <c r="T535">
        <v>1.0685412620000001</v>
      </c>
      <c r="U535">
        <v>-9.3914940000000002E-3</v>
      </c>
    </row>
    <row r="536" spans="1:21" x14ac:dyDescent="0.2">
      <c r="A536" t="s">
        <v>1511</v>
      </c>
      <c r="B536">
        <v>591280</v>
      </c>
      <c r="C536" t="s">
        <v>6961</v>
      </c>
      <c r="D536" t="s">
        <v>1512</v>
      </c>
      <c r="E536" t="s">
        <v>6970</v>
      </c>
      <c r="F536">
        <v>4</v>
      </c>
      <c r="G536">
        <v>14</v>
      </c>
      <c r="H536" t="s">
        <v>7999</v>
      </c>
      <c r="J536" t="s">
        <v>1768</v>
      </c>
      <c r="M536" t="s">
        <v>8000</v>
      </c>
      <c r="N536">
        <v>2.7247480949999998</v>
      </c>
      <c r="O536">
        <v>7.0822175119999997</v>
      </c>
      <c r="P536">
        <v>0.61298291999999999</v>
      </c>
      <c r="Q536">
        <v>0.48262032500000002</v>
      </c>
      <c r="S536" s="13">
        <v>-1.111728571</v>
      </c>
      <c r="T536">
        <v>1.0671932820000001</v>
      </c>
      <c r="U536">
        <v>-6.2281881999999997E-2</v>
      </c>
    </row>
    <row r="537" spans="1:21" x14ac:dyDescent="0.2">
      <c r="A537" t="s">
        <v>901</v>
      </c>
      <c r="B537">
        <v>934880</v>
      </c>
      <c r="C537" t="s">
        <v>6938</v>
      </c>
      <c r="D537" t="s">
        <v>902</v>
      </c>
      <c r="E537" t="s">
        <v>6977</v>
      </c>
      <c r="F537">
        <v>2</v>
      </c>
      <c r="G537">
        <v>5</v>
      </c>
      <c r="H537" t="s">
        <v>8001</v>
      </c>
      <c r="J537" t="s">
        <v>904</v>
      </c>
      <c r="M537" t="s">
        <v>8002</v>
      </c>
      <c r="N537">
        <v>2.092758737</v>
      </c>
      <c r="O537">
        <v>5.3323610669999999</v>
      </c>
      <c r="P537">
        <v>0.70420098600000003</v>
      </c>
      <c r="Q537">
        <v>0.41355372699999998</v>
      </c>
      <c r="S537" s="13">
        <v>-1.1122294740000001</v>
      </c>
      <c r="T537">
        <v>1.065004448</v>
      </c>
      <c r="U537">
        <v>-3.6283799999999998E-2</v>
      </c>
    </row>
    <row r="538" spans="1:21" x14ac:dyDescent="0.2">
      <c r="A538" t="s">
        <v>18</v>
      </c>
      <c r="B538">
        <v>918320</v>
      </c>
      <c r="C538" t="s">
        <v>6914</v>
      </c>
      <c r="D538" t="s">
        <v>19</v>
      </c>
      <c r="E538" t="s">
        <v>6928</v>
      </c>
      <c r="F538">
        <v>1</v>
      </c>
      <c r="G538">
        <v>16</v>
      </c>
      <c r="H538" t="s">
        <v>8003</v>
      </c>
      <c r="J538" t="s">
        <v>21</v>
      </c>
      <c r="M538" t="s">
        <v>8004</v>
      </c>
      <c r="N538">
        <v>1.8217074179999999</v>
      </c>
      <c r="O538">
        <v>4.1700741289999996</v>
      </c>
      <c r="P538">
        <v>0.189705977</v>
      </c>
      <c r="Q538">
        <v>-1.7194070999999998E-2</v>
      </c>
      <c r="S538" s="13">
        <v>-1.112458204</v>
      </c>
      <c r="T538">
        <v>1.0640049519999999</v>
      </c>
      <c r="U538">
        <v>-6.9512348000000002E-2</v>
      </c>
    </row>
    <row r="539" spans="1:21" x14ac:dyDescent="0.2">
      <c r="A539" t="s">
        <v>868</v>
      </c>
      <c r="B539">
        <v>590320</v>
      </c>
      <c r="C539" t="s">
        <v>6961</v>
      </c>
      <c r="D539" t="s">
        <v>869</v>
      </c>
      <c r="E539" t="s">
        <v>7115</v>
      </c>
      <c r="F539">
        <v>4</v>
      </c>
      <c r="G539">
        <v>10</v>
      </c>
      <c r="H539" t="s">
        <v>8005</v>
      </c>
      <c r="J539" t="s">
        <v>3647</v>
      </c>
      <c r="M539" t="s">
        <v>8006</v>
      </c>
      <c r="N539">
        <v>2.7247480949999998</v>
      </c>
      <c r="O539">
        <v>7.0822175119999997</v>
      </c>
      <c r="P539">
        <v>0.61298291999999999</v>
      </c>
      <c r="Q539">
        <v>0.48262032500000002</v>
      </c>
      <c r="S539" s="13">
        <v>-1.112488522</v>
      </c>
      <c r="T539">
        <v>1.0638724719999999</v>
      </c>
      <c r="U539">
        <v>-6.2803695000000007E-2</v>
      </c>
    </row>
    <row r="540" spans="1:21" x14ac:dyDescent="0.2">
      <c r="A540" t="s">
        <v>1055</v>
      </c>
      <c r="B540">
        <v>589640</v>
      </c>
      <c r="C540" t="s">
        <v>6961</v>
      </c>
      <c r="D540" t="s">
        <v>1055</v>
      </c>
      <c r="E540" t="s">
        <v>6970</v>
      </c>
      <c r="F540">
        <v>11</v>
      </c>
      <c r="G540">
        <v>14</v>
      </c>
      <c r="H540" t="s">
        <v>8007</v>
      </c>
      <c r="J540" t="s">
        <v>1057</v>
      </c>
      <c r="M540" t="s">
        <v>8008</v>
      </c>
      <c r="N540">
        <v>2.7247480949999998</v>
      </c>
      <c r="O540">
        <v>7.0822175119999997</v>
      </c>
      <c r="P540">
        <v>0.61298291999999999</v>
      </c>
      <c r="Q540">
        <v>0.48262032500000002</v>
      </c>
      <c r="S540" s="13">
        <v>-1.11302682</v>
      </c>
      <c r="T540">
        <v>1.061520231</v>
      </c>
      <c r="U540">
        <v>-6.3173691000000004E-2</v>
      </c>
    </row>
    <row r="541" spans="1:21" x14ac:dyDescent="0.2">
      <c r="A541" t="s">
        <v>607</v>
      </c>
      <c r="B541">
        <v>589560</v>
      </c>
      <c r="C541" t="s">
        <v>6961</v>
      </c>
      <c r="D541" t="s">
        <v>607</v>
      </c>
      <c r="E541" t="s">
        <v>6915</v>
      </c>
      <c r="F541">
        <v>18</v>
      </c>
      <c r="G541">
        <v>13</v>
      </c>
      <c r="H541" t="s">
        <v>8009</v>
      </c>
      <c r="J541" t="s">
        <v>2044</v>
      </c>
      <c r="M541" t="s">
        <v>8010</v>
      </c>
      <c r="N541">
        <v>2.7247480949999998</v>
      </c>
      <c r="O541">
        <v>7.0822175119999997</v>
      </c>
      <c r="P541">
        <v>0.61298291999999999</v>
      </c>
      <c r="Q541">
        <v>0.48262032500000002</v>
      </c>
      <c r="S541" s="13">
        <v>-1.113090149</v>
      </c>
      <c r="T541">
        <v>1.061243497</v>
      </c>
      <c r="U541">
        <v>-6.3217240999999993E-2</v>
      </c>
    </row>
    <row r="542" spans="1:21" x14ac:dyDescent="0.2">
      <c r="A542" t="s">
        <v>749</v>
      </c>
      <c r="B542">
        <v>589280</v>
      </c>
      <c r="C542" t="s">
        <v>6961</v>
      </c>
      <c r="D542" t="s">
        <v>749</v>
      </c>
      <c r="E542" t="s">
        <v>6946</v>
      </c>
      <c r="F542">
        <v>13</v>
      </c>
      <c r="G542">
        <v>11</v>
      </c>
      <c r="H542" t="s">
        <v>8011</v>
      </c>
      <c r="J542" t="s">
        <v>3334</v>
      </c>
      <c r="M542" t="s">
        <v>8012</v>
      </c>
      <c r="N542">
        <v>2.7247480949999998</v>
      </c>
      <c r="O542">
        <v>7.0822175119999997</v>
      </c>
      <c r="P542">
        <v>0.61298291999999999</v>
      </c>
      <c r="Q542">
        <v>0.48262032500000002</v>
      </c>
      <c r="S542" s="13">
        <v>-1.113311801</v>
      </c>
      <c r="T542">
        <v>1.060274927</v>
      </c>
      <c r="U542">
        <v>-6.3369700000000001E-2</v>
      </c>
    </row>
    <row r="543" spans="1:21" x14ac:dyDescent="0.2">
      <c r="A543" t="s">
        <v>405</v>
      </c>
      <c r="B543">
        <v>729760</v>
      </c>
      <c r="C543" t="s">
        <v>6931</v>
      </c>
      <c r="D543" t="s">
        <v>405</v>
      </c>
      <c r="E543" t="s">
        <v>6946</v>
      </c>
      <c r="F543">
        <v>23</v>
      </c>
      <c r="G543">
        <v>11</v>
      </c>
      <c r="H543" t="s">
        <v>8013</v>
      </c>
      <c r="N543">
        <v>1.9323965059999999</v>
      </c>
      <c r="O543">
        <v>3.0528020530000002</v>
      </c>
      <c r="P543">
        <v>2.6493138999999999E-2</v>
      </c>
      <c r="Q543">
        <v>-0.38692188</v>
      </c>
      <c r="S543" s="13">
        <v>-1.113619342</v>
      </c>
      <c r="T543">
        <v>1.0589310460000001</v>
      </c>
      <c r="U543">
        <v>-2.4811679E-2</v>
      </c>
    </row>
    <row r="544" spans="1:21" x14ac:dyDescent="0.2">
      <c r="A544" t="s">
        <v>364</v>
      </c>
      <c r="B544">
        <v>588760</v>
      </c>
      <c r="C544" t="s">
        <v>6961</v>
      </c>
      <c r="D544" t="s">
        <v>364</v>
      </c>
      <c r="E544" t="s">
        <v>6970</v>
      </c>
      <c r="F544">
        <v>23</v>
      </c>
      <c r="G544">
        <v>14</v>
      </c>
      <c r="H544" t="s">
        <v>8014</v>
      </c>
      <c r="J544" t="s">
        <v>2839</v>
      </c>
      <c r="M544" t="s">
        <v>8015</v>
      </c>
      <c r="N544">
        <v>2.7247480949999998</v>
      </c>
      <c r="O544">
        <v>7.0822175119999997</v>
      </c>
      <c r="P544">
        <v>0.61298291999999999</v>
      </c>
      <c r="Q544">
        <v>0.48262032500000002</v>
      </c>
      <c r="S544" s="13">
        <v>-1.1137234410000001</v>
      </c>
      <c r="T544">
        <v>1.0584761549999999</v>
      </c>
      <c r="U544">
        <v>-6.3652978999999998E-2</v>
      </c>
    </row>
    <row r="545" spans="1:21" x14ac:dyDescent="0.2">
      <c r="A545" t="s">
        <v>38</v>
      </c>
      <c r="B545">
        <v>729600</v>
      </c>
      <c r="C545" t="s">
        <v>6931</v>
      </c>
      <c r="D545" t="s">
        <v>38</v>
      </c>
      <c r="E545" t="s">
        <v>6939</v>
      </c>
      <c r="F545">
        <v>24</v>
      </c>
      <c r="G545">
        <v>2</v>
      </c>
      <c r="H545" t="s">
        <v>8016</v>
      </c>
      <c r="N545">
        <v>1.9323965059999999</v>
      </c>
      <c r="O545">
        <v>3.0528020530000002</v>
      </c>
      <c r="P545">
        <v>2.6493138999999999E-2</v>
      </c>
      <c r="Q545">
        <v>-0.38692188</v>
      </c>
      <c r="S545" s="13">
        <v>-1.113829578</v>
      </c>
      <c r="T545">
        <v>1.058012363</v>
      </c>
      <c r="U545">
        <v>-2.4891417999999998E-2</v>
      </c>
    </row>
    <row r="546" spans="1:21" x14ac:dyDescent="0.2">
      <c r="A546" t="s">
        <v>972</v>
      </c>
      <c r="B546">
        <v>746840</v>
      </c>
      <c r="C546" t="s">
        <v>6945</v>
      </c>
      <c r="D546" t="s">
        <v>972</v>
      </c>
      <c r="E546" t="s">
        <v>7085</v>
      </c>
      <c r="F546">
        <v>17</v>
      </c>
      <c r="G546">
        <v>9</v>
      </c>
      <c r="H546" t="s">
        <v>8017</v>
      </c>
      <c r="J546" t="s">
        <v>5811</v>
      </c>
      <c r="M546" t="s">
        <v>8018</v>
      </c>
      <c r="N546">
        <v>2.2220813349999999</v>
      </c>
      <c r="O546">
        <v>6.5440947090000003</v>
      </c>
      <c r="P546">
        <v>0.58228215500000002</v>
      </c>
      <c r="Q546">
        <v>0.35188233000000002</v>
      </c>
      <c r="S546" s="13">
        <v>-1.1138297269999999</v>
      </c>
      <c r="T546">
        <v>1.0580117099999999</v>
      </c>
      <c r="U546">
        <v>-6.5236204000000006E-2</v>
      </c>
    </row>
    <row r="547" spans="1:21" x14ac:dyDescent="0.2">
      <c r="A547" t="s">
        <v>158</v>
      </c>
      <c r="B547">
        <v>729520</v>
      </c>
      <c r="C547" t="s">
        <v>6931</v>
      </c>
      <c r="D547" t="s">
        <v>158</v>
      </c>
      <c r="E547" t="s">
        <v>6918</v>
      </c>
      <c r="F547">
        <v>24</v>
      </c>
      <c r="G547">
        <v>1</v>
      </c>
      <c r="H547" t="s">
        <v>8019</v>
      </c>
      <c r="N547">
        <v>1.9323965059999999</v>
      </c>
      <c r="O547">
        <v>3.0528020530000002</v>
      </c>
      <c r="P547">
        <v>2.6493138999999999E-2</v>
      </c>
      <c r="Q547">
        <v>-0.38692188</v>
      </c>
      <c r="S547" s="13">
        <v>-1.113934695</v>
      </c>
      <c r="T547">
        <v>1.057553022</v>
      </c>
      <c r="U547">
        <v>-2.4931293E-2</v>
      </c>
    </row>
    <row r="548" spans="1:21" x14ac:dyDescent="0.2">
      <c r="A548" t="s">
        <v>1394</v>
      </c>
      <c r="B548">
        <v>588320</v>
      </c>
      <c r="C548" t="s">
        <v>6961</v>
      </c>
      <c r="D548" t="s">
        <v>1394</v>
      </c>
      <c r="E548" t="s">
        <v>6939</v>
      </c>
      <c r="F548">
        <v>16</v>
      </c>
      <c r="G548">
        <v>2</v>
      </c>
      <c r="H548" t="s">
        <v>8020</v>
      </c>
      <c r="J548" t="s">
        <v>3983</v>
      </c>
      <c r="M548" t="s">
        <v>8021</v>
      </c>
      <c r="N548">
        <v>2.7247480949999998</v>
      </c>
      <c r="O548">
        <v>7.0822175119999997</v>
      </c>
      <c r="P548">
        <v>0.61298291999999999</v>
      </c>
      <c r="Q548">
        <v>0.48262032500000002</v>
      </c>
      <c r="S548" s="13">
        <v>-1.1140717520000001</v>
      </c>
      <c r="T548">
        <v>1.0569541170000001</v>
      </c>
      <c r="U548">
        <v>-6.3892821000000002E-2</v>
      </c>
    </row>
    <row r="549" spans="1:21" x14ac:dyDescent="0.2">
      <c r="A549" t="s">
        <v>364</v>
      </c>
      <c r="B549">
        <v>932440</v>
      </c>
      <c r="C549" t="s">
        <v>6938</v>
      </c>
      <c r="D549" t="s">
        <v>364</v>
      </c>
      <c r="E549" t="s">
        <v>6970</v>
      </c>
      <c r="F549">
        <v>23</v>
      </c>
      <c r="G549">
        <v>14</v>
      </c>
      <c r="H549" t="s">
        <v>8022</v>
      </c>
      <c r="J549" t="s">
        <v>2507</v>
      </c>
      <c r="M549" t="s">
        <v>8023</v>
      </c>
      <c r="N549">
        <v>2.092758737</v>
      </c>
      <c r="O549">
        <v>5.3323610669999999</v>
      </c>
      <c r="P549">
        <v>0.70420098600000003</v>
      </c>
      <c r="Q549">
        <v>0.41355372699999998</v>
      </c>
      <c r="S549" s="13">
        <v>-1.1143249740000001</v>
      </c>
      <c r="T549">
        <v>1.055847593</v>
      </c>
      <c r="U549">
        <v>-3.7534054999999997E-2</v>
      </c>
    </row>
    <row r="550" spans="1:21" x14ac:dyDescent="0.2">
      <c r="A550" t="s">
        <v>924</v>
      </c>
      <c r="B550">
        <v>587960</v>
      </c>
      <c r="C550" t="s">
        <v>6961</v>
      </c>
      <c r="D550" t="s">
        <v>924</v>
      </c>
      <c r="E550" t="s">
        <v>7115</v>
      </c>
      <c r="F550">
        <v>17</v>
      </c>
      <c r="G550">
        <v>10</v>
      </c>
      <c r="H550" t="s">
        <v>8024</v>
      </c>
      <c r="J550" t="s">
        <v>4087</v>
      </c>
      <c r="M550" t="s">
        <v>8025</v>
      </c>
      <c r="N550">
        <v>2.7247480949999998</v>
      </c>
      <c r="O550">
        <v>7.0822175119999997</v>
      </c>
      <c r="P550">
        <v>0.61298291999999999</v>
      </c>
      <c r="Q550">
        <v>0.48262032500000002</v>
      </c>
      <c r="S550" s="13">
        <v>-1.1143567329999999</v>
      </c>
      <c r="T550">
        <v>1.0557088130000001</v>
      </c>
      <c r="U550">
        <v>-6.4089153999999995E-2</v>
      </c>
    </row>
    <row r="551" spans="1:21" x14ac:dyDescent="0.2">
      <c r="A551" t="s">
        <v>1703</v>
      </c>
      <c r="B551">
        <v>729120</v>
      </c>
      <c r="C551" t="s">
        <v>6931</v>
      </c>
      <c r="D551" t="s">
        <v>1703</v>
      </c>
      <c r="E551" t="s">
        <v>6928</v>
      </c>
      <c r="F551">
        <v>21</v>
      </c>
      <c r="G551">
        <v>16</v>
      </c>
      <c r="H551" t="s">
        <v>8026</v>
      </c>
      <c r="N551">
        <v>1.9323965059999999</v>
      </c>
      <c r="O551">
        <v>3.0528020530000002</v>
      </c>
      <c r="P551">
        <v>2.6493138999999999E-2</v>
      </c>
      <c r="Q551">
        <v>-0.38692188</v>
      </c>
      <c r="S551" s="13">
        <v>-1.1144602850000001</v>
      </c>
      <c r="T551">
        <v>1.0552563159999999</v>
      </c>
      <c r="U551">
        <v>-2.5130724E-2</v>
      </c>
    </row>
    <row r="552" spans="1:21" x14ac:dyDescent="0.2">
      <c r="A552" t="s">
        <v>693</v>
      </c>
      <c r="B552">
        <v>746000</v>
      </c>
      <c r="C552" t="s">
        <v>6945</v>
      </c>
      <c r="D552" t="s">
        <v>693</v>
      </c>
      <c r="E552" t="s">
        <v>6977</v>
      </c>
      <c r="F552">
        <v>22</v>
      </c>
      <c r="G552">
        <v>5</v>
      </c>
      <c r="H552" t="s">
        <v>8027</v>
      </c>
      <c r="J552" t="s">
        <v>3296</v>
      </c>
      <c r="M552" t="s">
        <v>8028</v>
      </c>
      <c r="N552">
        <v>2.2220813349999999</v>
      </c>
      <c r="O552">
        <v>6.5440947090000003</v>
      </c>
      <c r="P552">
        <v>0.58228215500000002</v>
      </c>
      <c r="Q552">
        <v>0.35188233000000002</v>
      </c>
      <c r="S552" s="13">
        <v>-1.114622045</v>
      </c>
      <c r="T552">
        <v>1.0545494609999999</v>
      </c>
      <c r="U552">
        <v>-6.5695873000000002E-2</v>
      </c>
    </row>
    <row r="553" spans="1:21" x14ac:dyDescent="0.2">
      <c r="A553" t="s">
        <v>153</v>
      </c>
      <c r="B553">
        <v>834360</v>
      </c>
      <c r="C553" t="s">
        <v>6910</v>
      </c>
      <c r="D553" t="s">
        <v>153</v>
      </c>
      <c r="E553" t="s">
        <v>6928</v>
      </c>
      <c r="F553">
        <v>14</v>
      </c>
      <c r="G553">
        <v>16</v>
      </c>
      <c r="H553" t="s">
        <v>8029</v>
      </c>
      <c r="J553" t="s">
        <v>3246</v>
      </c>
      <c r="M553" t="s">
        <v>8030</v>
      </c>
      <c r="N553">
        <v>1.9874741039999999</v>
      </c>
      <c r="O553">
        <v>3.7453511220000002</v>
      </c>
      <c r="P553">
        <v>0.451009722</v>
      </c>
      <c r="Q553">
        <v>-0.102386592</v>
      </c>
      <c r="S553" s="13">
        <v>-1.1150022589999999</v>
      </c>
      <c r="T553">
        <v>1.0528880119999999</v>
      </c>
      <c r="U553">
        <v>-1.1831899E-2</v>
      </c>
    </row>
    <row r="554" spans="1:21" x14ac:dyDescent="0.2">
      <c r="A554" t="s">
        <v>311</v>
      </c>
      <c r="B554">
        <v>587000</v>
      </c>
      <c r="C554" t="s">
        <v>6961</v>
      </c>
      <c r="D554" t="s">
        <v>311</v>
      </c>
      <c r="E554" t="s">
        <v>7006</v>
      </c>
      <c r="F554">
        <v>18</v>
      </c>
      <c r="G554">
        <v>3</v>
      </c>
      <c r="H554" t="s">
        <v>8031</v>
      </c>
      <c r="J554" t="s">
        <v>4403</v>
      </c>
      <c r="M554" t="s">
        <v>8032</v>
      </c>
      <c r="N554">
        <v>2.7247480949999998</v>
      </c>
      <c r="O554">
        <v>7.0822175119999997</v>
      </c>
      <c r="P554">
        <v>0.61298291999999999</v>
      </c>
      <c r="Q554">
        <v>0.48262032500000002</v>
      </c>
      <c r="S554" s="13">
        <v>-1.115116684</v>
      </c>
      <c r="T554">
        <v>1.052388002</v>
      </c>
      <c r="U554">
        <v>-6.4613143999999997E-2</v>
      </c>
    </row>
    <row r="555" spans="1:21" x14ac:dyDescent="0.2">
      <c r="A555" t="s">
        <v>775</v>
      </c>
      <c r="B555">
        <v>931280</v>
      </c>
      <c r="C555" t="s">
        <v>6938</v>
      </c>
      <c r="D555" t="s">
        <v>776</v>
      </c>
      <c r="E555" t="s">
        <v>6939</v>
      </c>
      <c r="F555">
        <v>2</v>
      </c>
      <c r="G555">
        <v>2</v>
      </c>
      <c r="H555" t="s">
        <v>8033</v>
      </c>
      <c r="J555" t="s">
        <v>3046</v>
      </c>
      <c r="M555" t="s">
        <v>8034</v>
      </c>
      <c r="N555">
        <v>2.092758737</v>
      </c>
      <c r="O555">
        <v>5.3323610669999999</v>
      </c>
      <c r="P555">
        <v>0.70420098600000003</v>
      </c>
      <c r="Q555">
        <v>0.41355372699999998</v>
      </c>
      <c r="S555" s="13">
        <v>-1.1153211949999999</v>
      </c>
      <c r="T555">
        <v>1.051494334</v>
      </c>
      <c r="U555">
        <v>-3.8129704E-2</v>
      </c>
    </row>
    <row r="556" spans="1:21" x14ac:dyDescent="0.2">
      <c r="A556" t="s">
        <v>598</v>
      </c>
      <c r="B556">
        <v>817040</v>
      </c>
      <c r="C556" t="s">
        <v>6942</v>
      </c>
      <c r="D556" t="s">
        <v>598</v>
      </c>
      <c r="E556" t="s">
        <v>7006</v>
      </c>
      <c r="F556">
        <v>22</v>
      </c>
      <c r="G556">
        <v>3</v>
      </c>
      <c r="H556" t="s">
        <v>8035</v>
      </c>
      <c r="J556" t="s">
        <v>602</v>
      </c>
      <c r="M556" t="s">
        <v>8036</v>
      </c>
      <c r="N556">
        <v>2.0902262079999998</v>
      </c>
      <c r="O556">
        <v>4.2704203920000001</v>
      </c>
      <c r="P556">
        <v>0.23425843900000001</v>
      </c>
      <c r="Q556">
        <v>1.6181978999999999E-2</v>
      </c>
      <c r="S556" s="13">
        <v>-1.1153249709999999</v>
      </c>
      <c r="T556">
        <v>1.0514778360000001</v>
      </c>
      <c r="U556">
        <v>-6.5553543000000006E-2</v>
      </c>
    </row>
    <row r="557" spans="1:21" x14ac:dyDescent="0.2">
      <c r="A557" t="s">
        <v>280</v>
      </c>
      <c r="B557">
        <v>816600</v>
      </c>
      <c r="C557" t="s">
        <v>6942</v>
      </c>
      <c r="D557" t="s">
        <v>280</v>
      </c>
      <c r="E557" t="s">
        <v>6921</v>
      </c>
      <c r="F557">
        <v>24</v>
      </c>
      <c r="G557">
        <v>8</v>
      </c>
      <c r="H557" t="s">
        <v>8037</v>
      </c>
      <c r="J557" t="s">
        <v>629</v>
      </c>
      <c r="M557" t="s">
        <v>8038</v>
      </c>
      <c r="N557">
        <v>2.0902262079999998</v>
      </c>
      <c r="O557">
        <v>4.2704203920000001</v>
      </c>
      <c r="P557">
        <v>0.23425843900000001</v>
      </c>
      <c r="Q557">
        <v>1.6181978999999999E-2</v>
      </c>
      <c r="S557" s="13">
        <v>-1.1157568259999999</v>
      </c>
      <c r="T557">
        <v>1.049590727</v>
      </c>
      <c r="U557">
        <v>-6.5794436999999997E-2</v>
      </c>
    </row>
    <row r="558" spans="1:21" x14ac:dyDescent="0.2">
      <c r="A558" t="s">
        <v>1167</v>
      </c>
      <c r="B558">
        <v>586040</v>
      </c>
      <c r="C558" t="s">
        <v>6961</v>
      </c>
      <c r="D558" t="s">
        <v>1168</v>
      </c>
      <c r="E558" t="s">
        <v>7006</v>
      </c>
      <c r="F558">
        <v>5</v>
      </c>
      <c r="G558">
        <v>3</v>
      </c>
      <c r="H558" t="s">
        <v>8039</v>
      </c>
      <c r="J558" t="s">
        <v>5601</v>
      </c>
      <c r="M558" t="s">
        <v>8040</v>
      </c>
      <c r="N558">
        <v>2.7247480949999998</v>
      </c>
      <c r="O558">
        <v>7.0822175119999997</v>
      </c>
      <c r="P558">
        <v>0.61298291999999999</v>
      </c>
      <c r="Q558">
        <v>0.48262032500000002</v>
      </c>
      <c r="S558" s="13">
        <v>-1.115876635</v>
      </c>
      <c r="T558">
        <v>1.0490671920000001</v>
      </c>
      <c r="U558">
        <v>-6.5137766E-2</v>
      </c>
    </row>
    <row r="559" spans="1:21" x14ac:dyDescent="0.2">
      <c r="A559" t="s">
        <v>364</v>
      </c>
      <c r="B559">
        <v>933600</v>
      </c>
      <c r="C559" t="s">
        <v>6953</v>
      </c>
      <c r="D559" t="s">
        <v>364</v>
      </c>
      <c r="E559" t="s">
        <v>6970</v>
      </c>
      <c r="F559">
        <v>23</v>
      </c>
      <c r="G559">
        <v>14</v>
      </c>
      <c r="H559" t="s">
        <v>8041</v>
      </c>
      <c r="J559" t="s">
        <v>366</v>
      </c>
      <c r="M559" t="s">
        <v>8042</v>
      </c>
      <c r="N559">
        <v>1.921480887</v>
      </c>
      <c r="O559">
        <v>3.0856645180000002</v>
      </c>
      <c r="P559">
        <v>0.44706724399999997</v>
      </c>
      <c r="Q559">
        <v>-0.354940863</v>
      </c>
      <c r="S559" s="13">
        <v>-1.116483699</v>
      </c>
      <c r="T559">
        <v>1.04641446</v>
      </c>
      <c r="U559">
        <v>-1.1744851000000001E-2</v>
      </c>
    </row>
    <row r="560" spans="1:21" x14ac:dyDescent="0.2">
      <c r="A560" t="s">
        <v>57</v>
      </c>
      <c r="B560">
        <v>585200</v>
      </c>
      <c r="C560" t="s">
        <v>6961</v>
      </c>
      <c r="D560" t="s">
        <v>59</v>
      </c>
      <c r="E560" t="s">
        <v>6928</v>
      </c>
      <c r="F560">
        <v>4</v>
      </c>
      <c r="G560">
        <v>16</v>
      </c>
      <c r="H560" t="s">
        <v>8043</v>
      </c>
      <c r="J560" t="s">
        <v>3813</v>
      </c>
      <c r="M560" t="s">
        <v>8044</v>
      </c>
      <c r="N560">
        <v>2.7247480949999998</v>
      </c>
      <c r="O560">
        <v>7.0822175119999997</v>
      </c>
      <c r="P560">
        <v>0.61298291999999999</v>
      </c>
      <c r="Q560">
        <v>0.48262032500000002</v>
      </c>
      <c r="S560" s="13">
        <v>-1.1165415910000001</v>
      </c>
      <c r="T560">
        <v>1.0461614829999999</v>
      </c>
      <c r="U560">
        <v>-6.5597331999999994E-2</v>
      </c>
    </row>
    <row r="561" spans="1:21" x14ac:dyDescent="0.2">
      <c r="A561" t="s">
        <v>689</v>
      </c>
      <c r="B561">
        <v>585120</v>
      </c>
      <c r="C561" t="s">
        <v>6961</v>
      </c>
      <c r="D561" t="s">
        <v>690</v>
      </c>
      <c r="E561" t="s">
        <v>6911</v>
      </c>
      <c r="F561">
        <v>5</v>
      </c>
      <c r="G561">
        <v>12</v>
      </c>
      <c r="H561" t="s">
        <v>8045</v>
      </c>
      <c r="J561" t="s">
        <v>692</v>
      </c>
      <c r="M561" t="s">
        <v>8046</v>
      </c>
      <c r="N561">
        <v>2.7247480949999998</v>
      </c>
      <c r="O561">
        <v>7.0822175119999997</v>
      </c>
      <c r="P561">
        <v>0.61298291999999999</v>
      </c>
      <c r="Q561">
        <v>0.48262032500000002</v>
      </c>
      <c r="S561" s="13">
        <v>-1.116604921</v>
      </c>
      <c r="T561">
        <v>1.045884748</v>
      </c>
      <c r="U561">
        <v>-6.5641124999999995E-2</v>
      </c>
    </row>
    <row r="562" spans="1:21" x14ac:dyDescent="0.2">
      <c r="A562" t="s">
        <v>2054</v>
      </c>
      <c r="B562">
        <v>584880</v>
      </c>
      <c r="C562" t="s">
        <v>6961</v>
      </c>
      <c r="D562" t="s">
        <v>2054</v>
      </c>
      <c r="E562" t="s">
        <v>6911</v>
      </c>
      <c r="F562">
        <v>15</v>
      </c>
      <c r="G562">
        <v>12</v>
      </c>
      <c r="H562" t="s">
        <v>8047</v>
      </c>
      <c r="J562" t="s">
        <v>6507</v>
      </c>
      <c r="M562" t="s">
        <v>8048</v>
      </c>
      <c r="N562">
        <v>2.7247480949999998</v>
      </c>
      <c r="O562">
        <v>7.0822175119999997</v>
      </c>
      <c r="P562">
        <v>0.61298291999999999</v>
      </c>
      <c r="Q562">
        <v>0.48262032500000002</v>
      </c>
      <c r="S562" s="13">
        <v>-1.1167949079999999</v>
      </c>
      <c r="T562">
        <v>1.045054546</v>
      </c>
      <c r="U562">
        <v>-6.5772531999999995E-2</v>
      </c>
    </row>
    <row r="563" spans="1:21" x14ac:dyDescent="0.2">
      <c r="A563" t="s">
        <v>18</v>
      </c>
      <c r="B563">
        <v>933200</v>
      </c>
      <c r="C563" t="s">
        <v>6953</v>
      </c>
      <c r="D563" t="s">
        <v>19</v>
      </c>
      <c r="E563" t="s">
        <v>6928</v>
      </c>
      <c r="F563">
        <v>1</v>
      </c>
      <c r="G563">
        <v>16</v>
      </c>
      <c r="H563" t="s">
        <v>8049</v>
      </c>
      <c r="J563" t="s">
        <v>2448</v>
      </c>
      <c r="M563" t="s">
        <v>8050</v>
      </c>
      <c r="N563">
        <v>1.921480887</v>
      </c>
      <c r="O563">
        <v>3.0856645180000002</v>
      </c>
      <c r="P563">
        <v>0.44706724399999997</v>
      </c>
      <c r="Q563">
        <v>-0.354940863</v>
      </c>
      <c r="S563" s="13">
        <v>-1.116898749</v>
      </c>
      <c r="T563">
        <v>1.0446007879999999</v>
      </c>
      <c r="U563">
        <v>-1.1938315E-2</v>
      </c>
    </row>
    <row r="564" spans="1:21" x14ac:dyDescent="0.2">
      <c r="A564" t="s">
        <v>1126</v>
      </c>
      <c r="B564">
        <v>584160</v>
      </c>
      <c r="C564" t="s">
        <v>6961</v>
      </c>
      <c r="D564" t="s">
        <v>1126</v>
      </c>
      <c r="E564" t="s">
        <v>6970</v>
      </c>
      <c r="F564">
        <v>10</v>
      </c>
      <c r="G564">
        <v>14</v>
      </c>
      <c r="H564" t="s">
        <v>8051</v>
      </c>
      <c r="J564" t="s">
        <v>5809</v>
      </c>
      <c r="M564" t="s">
        <v>8052</v>
      </c>
      <c r="N564">
        <v>2.7247480949999998</v>
      </c>
      <c r="O564">
        <v>7.0822175119999997</v>
      </c>
      <c r="P564">
        <v>0.61298291999999999</v>
      </c>
      <c r="Q564">
        <v>0.48262032500000002</v>
      </c>
      <c r="S564" s="13">
        <v>-1.1173648709999999</v>
      </c>
      <c r="T564">
        <v>1.042563938</v>
      </c>
      <c r="U564">
        <v>-6.6166991999999994E-2</v>
      </c>
    </row>
    <row r="565" spans="1:21" x14ac:dyDescent="0.2">
      <c r="A565" t="s">
        <v>932</v>
      </c>
      <c r="B565">
        <v>741520</v>
      </c>
      <c r="C565" t="s">
        <v>6945</v>
      </c>
      <c r="D565" t="s">
        <v>932</v>
      </c>
      <c r="E565" t="s">
        <v>7006</v>
      </c>
      <c r="F565">
        <v>12</v>
      </c>
      <c r="G565">
        <v>3</v>
      </c>
      <c r="H565" t="s">
        <v>8053</v>
      </c>
      <c r="J565" t="s">
        <v>3675</v>
      </c>
      <c r="M565" t="s">
        <v>8054</v>
      </c>
      <c r="N565">
        <v>2.2220813349999999</v>
      </c>
      <c r="O565">
        <v>6.5440947090000003</v>
      </c>
      <c r="P565">
        <v>0.58228215500000002</v>
      </c>
      <c r="Q565">
        <v>0.35188233000000002</v>
      </c>
      <c r="S565" s="13">
        <v>-1.1188477429999999</v>
      </c>
      <c r="T565">
        <v>1.0360841279999999</v>
      </c>
      <c r="U565">
        <v>-6.8155694000000003E-2</v>
      </c>
    </row>
    <row r="566" spans="1:21" x14ac:dyDescent="0.2">
      <c r="A566" t="s">
        <v>1198</v>
      </c>
      <c r="B566">
        <v>912520</v>
      </c>
      <c r="C566" t="s">
        <v>6914</v>
      </c>
      <c r="D566" t="s">
        <v>1199</v>
      </c>
      <c r="E566" t="s">
        <v>6924</v>
      </c>
      <c r="F566">
        <v>2</v>
      </c>
      <c r="G566">
        <v>6</v>
      </c>
      <c r="H566" t="s">
        <v>8055</v>
      </c>
      <c r="J566" t="s">
        <v>6553</v>
      </c>
      <c r="M566" t="s">
        <v>8056</v>
      </c>
      <c r="N566">
        <v>1.8217074179999999</v>
      </c>
      <c r="O566">
        <v>4.1700741289999996</v>
      </c>
      <c r="P566">
        <v>0.189705977</v>
      </c>
      <c r="Q566">
        <v>-1.7194070999999998E-2</v>
      </c>
      <c r="S566" s="13">
        <v>-1.1194342209999999</v>
      </c>
      <c r="T566">
        <v>1.033521353</v>
      </c>
      <c r="U566">
        <v>-7.2727840000000002E-2</v>
      </c>
    </row>
    <row r="567" spans="1:21" x14ac:dyDescent="0.2">
      <c r="A567" t="s">
        <v>1362</v>
      </c>
      <c r="B567">
        <v>740120</v>
      </c>
      <c r="C567" t="s">
        <v>6945</v>
      </c>
      <c r="D567" t="s">
        <v>1362</v>
      </c>
      <c r="E567" t="s">
        <v>7115</v>
      </c>
      <c r="F567">
        <v>22</v>
      </c>
      <c r="G567">
        <v>10</v>
      </c>
      <c r="H567" t="s">
        <v>8057</v>
      </c>
      <c r="J567" t="s">
        <v>3508</v>
      </c>
      <c r="M567" t="s">
        <v>8058</v>
      </c>
      <c r="N567">
        <v>2.2220813349999999</v>
      </c>
      <c r="O567">
        <v>6.5440947090000003</v>
      </c>
      <c r="P567">
        <v>0.58228215500000002</v>
      </c>
      <c r="Q567">
        <v>0.35188233000000002</v>
      </c>
      <c r="S567" s="13">
        <v>-1.120168273</v>
      </c>
      <c r="T567">
        <v>1.0303137120000001</v>
      </c>
      <c r="U567">
        <v>-6.8927253999999993E-2</v>
      </c>
    </row>
    <row r="568" spans="1:21" x14ac:dyDescent="0.2">
      <c r="A568" t="s">
        <v>1231</v>
      </c>
      <c r="B568">
        <v>580280</v>
      </c>
      <c r="C568" t="s">
        <v>6961</v>
      </c>
      <c r="D568" t="s">
        <v>1231</v>
      </c>
      <c r="E568" t="s">
        <v>7085</v>
      </c>
      <c r="F568">
        <v>21</v>
      </c>
      <c r="G568">
        <v>9</v>
      </c>
      <c r="H568" t="s">
        <v>8059</v>
      </c>
      <c r="J568" t="s">
        <v>2825</v>
      </c>
      <c r="M568" t="s">
        <v>8060</v>
      </c>
      <c r="N568">
        <v>2.7247480949999998</v>
      </c>
      <c r="O568">
        <v>7.0822175119999997</v>
      </c>
      <c r="P568">
        <v>0.61298291999999999</v>
      </c>
      <c r="Q568">
        <v>0.48262032500000002</v>
      </c>
      <c r="S568" s="13">
        <v>-1.120436338</v>
      </c>
      <c r="T568">
        <v>1.0291423289999999</v>
      </c>
      <c r="U568">
        <v>-6.8298880000000006E-2</v>
      </c>
    </row>
    <row r="569" spans="1:21" x14ac:dyDescent="0.2">
      <c r="A569" t="s">
        <v>1309</v>
      </c>
      <c r="B569">
        <v>763840</v>
      </c>
      <c r="C569" t="s">
        <v>6906</v>
      </c>
      <c r="D569" t="s">
        <v>1309</v>
      </c>
      <c r="E569" t="s">
        <v>6921</v>
      </c>
      <c r="F569">
        <v>20</v>
      </c>
      <c r="G569">
        <v>8</v>
      </c>
      <c r="H569" t="s">
        <v>8061</v>
      </c>
      <c r="J569" t="s">
        <v>1311</v>
      </c>
      <c r="M569" t="s">
        <v>8062</v>
      </c>
      <c r="N569">
        <v>1.813871112</v>
      </c>
      <c r="O569">
        <v>2.6633694910000001</v>
      </c>
      <c r="P569">
        <v>-0.29586356800000002</v>
      </c>
      <c r="Q569">
        <v>-0.59018158399999998</v>
      </c>
      <c r="S569" s="13">
        <v>-1.1205570869999999</v>
      </c>
      <c r="T569">
        <v>1.0286146860000001</v>
      </c>
      <c r="U569">
        <v>-6.8883128000000002E-2</v>
      </c>
    </row>
    <row r="570" spans="1:21" x14ac:dyDescent="0.2">
      <c r="A570" t="s">
        <v>1659</v>
      </c>
      <c r="B570">
        <v>579840</v>
      </c>
      <c r="C570" t="s">
        <v>6961</v>
      </c>
      <c r="D570" t="s">
        <v>1660</v>
      </c>
      <c r="E570" t="s">
        <v>6946</v>
      </c>
      <c r="F570">
        <v>8</v>
      </c>
      <c r="G570">
        <v>11</v>
      </c>
      <c r="H570" t="s">
        <v>8063</v>
      </c>
      <c r="J570" t="s">
        <v>1702</v>
      </c>
      <c r="M570" t="s">
        <v>8064</v>
      </c>
      <c r="N570">
        <v>2.7247480949999998</v>
      </c>
      <c r="O570">
        <v>7.0822175119999997</v>
      </c>
      <c r="P570">
        <v>0.61298291999999999</v>
      </c>
      <c r="Q570">
        <v>0.48262032500000002</v>
      </c>
      <c r="S570" s="13">
        <v>-1.120784649</v>
      </c>
      <c r="T570">
        <v>1.0276202910000001</v>
      </c>
      <c r="U570">
        <v>-6.8541302999999998E-2</v>
      </c>
    </row>
    <row r="571" spans="1:21" x14ac:dyDescent="0.2">
      <c r="A571" t="s">
        <v>129</v>
      </c>
      <c r="B571">
        <v>910640</v>
      </c>
      <c r="C571" t="s">
        <v>6914</v>
      </c>
      <c r="D571" t="s">
        <v>129</v>
      </c>
      <c r="E571" t="s">
        <v>7006</v>
      </c>
      <c r="F571">
        <v>24</v>
      </c>
      <c r="G571">
        <v>3</v>
      </c>
      <c r="H571" t="s">
        <v>8065</v>
      </c>
      <c r="J571" t="s">
        <v>6461</v>
      </c>
      <c r="M571" t="s">
        <v>8066</v>
      </c>
      <c r="N571">
        <v>1.8217074179999999</v>
      </c>
      <c r="O571">
        <v>4.1700741289999996</v>
      </c>
      <c r="P571">
        <v>0.189705977</v>
      </c>
      <c r="Q571">
        <v>-1.7194070999999998E-2</v>
      </c>
      <c r="S571" s="13">
        <v>-1.1216954130000001</v>
      </c>
      <c r="T571">
        <v>1.0236404619999999</v>
      </c>
      <c r="U571">
        <v>-7.3775231999999996E-2</v>
      </c>
    </row>
    <row r="572" spans="1:21" x14ac:dyDescent="0.2">
      <c r="A572" t="s">
        <v>1123</v>
      </c>
      <c r="B572">
        <v>578480</v>
      </c>
      <c r="C572" t="s">
        <v>6961</v>
      </c>
      <c r="D572" t="s">
        <v>1123</v>
      </c>
      <c r="E572" t="s">
        <v>6946</v>
      </c>
      <c r="F572">
        <v>16</v>
      </c>
      <c r="G572">
        <v>11</v>
      </c>
      <c r="H572" t="s">
        <v>8067</v>
      </c>
      <c r="J572" t="s">
        <v>5149</v>
      </c>
      <c r="M572" t="s">
        <v>8068</v>
      </c>
      <c r="N572">
        <v>2.7247480949999998</v>
      </c>
      <c r="O572">
        <v>7.0822175119999997</v>
      </c>
      <c r="P572">
        <v>0.61298291999999999</v>
      </c>
      <c r="Q572">
        <v>0.48262032500000002</v>
      </c>
      <c r="S572" s="13">
        <v>-1.1218612459999999</v>
      </c>
      <c r="T572">
        <v>1.02291581</v>
      </c>
      <c r="U572">
        <v>-6.9291464999999997E-2</v>
      </c>
    </row>
    <row r="573" spans="1:21" x14ac:dyDescent="0.2">
      <c r="A573" t="s">
        <v>482</v>
      </c>
      <c r="B573">
        <v>578320</v>
      </c>
      <c r="C573" t="s">
        <v>6961</v>
      </c>
      <c r="D573" t="s">
        <v>482</v>
      </c>
      <c r="E573" t="s">
        <v>6946</v>
      </c>
      <c r="F573">
        <v>15</v>
      </c>
      <c r="G573">
        <v>11</v>
      </c>
      <c r="H573" t="s">
        <v>8069</v>
      </c>
      <c r="J573" t="s">
        <v>4121</v>
      </c>
      <c r="M573" t="s">
        <v>8070</v>
      </c>
      <c r="N573">
        <v>2.7247480949999998</v>
      </c>
      <c r="O573">
        <v>7.0822175119999997</v>
      </c>
      <c r="P573">
        <v>0.61298291999999999</v>
      </c>
      <c r="Q573">
        <v>0.48262032500000002</v>
      </c>
      <c r="S573" s="13">
        <v>-1.121987904</v>
      </c>
      <c r="T573">
        <v>1.022362341</v>
      </c>
      <c r="U573">
        <v>-6.9379805000000003E-2</v>
      </c>
    </row>
    <row r="574" spans="1:21" x14ac:dyDescent="0.2">
      <c r="A574" t="s">
        <v>198</v>
      </c>
      <c r="B574">
        <v>737760</v>
      </c>
      <c r="C574" t="s">
        <v>6945</v>
      </c>
      <c r="D574" t="s">
        <v>199</v>
      </c>
      <c r="E574" t="s">
        <v>6918</v>
      </c>
      <c r="F574">
        <v>3</v>
      </c>
      <c r="G574">
        <v>1</v>
      </c>
      <c r="H574" t="s">
        <v>8071</v>
      </c>
      <c r="J574" t="s">
        <v>660</v>
      </c>
      <c r="M574" t="s">
        <v>8072</v>
      </c>
      <c r="N574">
        <v>2.2220813349999999</v>
      </c>
      <c r="O574">
        <v>6.5440947090000003</v>
      </c>
      <c r="P574">
        <v>0.58228215500000002</v>
      </c>
      <c r="Q574">
        <v>0.35188233000000002</v>
      </c>
      <c r="S574" s="13">
        <v>-1.12239431</v>
      </c>
      <c r="T574">
        <v>1.0205864389999999</v>
      </c>
      <c r="U574">
        <v>-7.0230995000000004E-2</v>
      </c>
    </row>
    <row r="575" spans="1:21" x14ac:dyDescent="0.2">
      <c r="A575" t="s">
        <v>157</v>
      </c>
      <c r="B575">
        <v>862480</v>
      </c>
      <c r="C575" t="s">
        <v>6927</v>
      </c>
      <c r="D575" t="s">
        <v>157</v>
      </c>
      <c r="E575" t="s">
        <v>6946</v>
      </c>
      <c r="F575">
        <v>14</v>
      </c>
      <c r="G575">
        <v>11</v>
      </c>
      <c r="H575" t="s">
        <v>8073</v>
      </c>
      <c r="J575" t="s">
        <v>8074</v>
      </c>
      <c r="M575" t="s">
        <v>8075</v>
      </c>
      <c r="N575">
        <v>1.982575982</v>
      </c>
      <c r="O575">
        <v>3.4571926419999999</v>
      </c>
      <c r="P575">
        <v>-0.114791479</v>
      </c>
      <c r="Q575">
        <v>1.868949E-3</v>
      </c>
      <c r="S575" s="13">
        <v>-1.122802831</v>
      </c>
      <c r="T575">
        <v>1.0188012989999999</v>
      </c>
      <c r="U575">
        <v>-5.6293528000000002E-2</v>
      </c>
    </row>
    <row r="576" spans="1:21" x14ac:dyDescent="0.2">
      <c r="A576" t="s">
        <v>369</v>
      </c>
      <c r="B576">
        <v>922440</v>
      </c>
      <c r="C576" t="s">
        <v>6938</v>
      </c>
      <c r="D576" t="s">
        <v>369</v>
      </c>
      <c r="E576" t="s">
        <v>6939</v>
      </c>
      <c r="F576">
        <v>23</v>
      </c>
      <c r="G576">
        <v>2</v>
      </c>
      <c r="H576" t="s">
        <v>8076</v>
      </c>
      <c r="J576" t="s">
        <v>396</v>
      </c>
      <c r="M576" t="s">
        <v>8077</v>
      </c>
      <c r="N576">
        <v>2.092758737</v>
      </c>
      <c r="O576">
        <v>5.3323610669999999</v>
      </c>
      <c r="P576">
        <v>0.70420098600000003</v>
      </c>
      <c r="Q576">
        <v>0.41355372699999998</v>
      </c>
      <c r="S576" s="13">
        <v>-1.122913088</v>
      </c>
      <c r="T576">
        <v>1.0183194980000001</v>
      </c>
      <c r="U576">
        <v>-4.2695993000000002E-2</v>
      </c>
    </row>
    <row r="577" spans="1:21" x14ac:dyDescent="0.2">
      <c r="A577" t="s">
        <v>1198</v>
      </c>
      <c r="B577">
        <v>576720</v>
      </c>
      <c r="C577" t="s">
        <v>6961</v>
      </c>
      <c r="D577" t="s">
        <v>1199</v>
      </c>
      <c r="E577" t="s">
        <v>6924</v>
      </c>
      <c r="F577">
        <v>2</v>
      </c>
      <c r="G577">
        <v>6</v>
      </c>
      <c r="H577" t="s">
        <v>8078</v>
      </c>
      <c r="J577" t="s">
        <v>5067</v>
      </c>
      <c r="M577" t="s">
        <v>8079</v>
      </c>
      <c r="N577">
        <v>2.7247480949999998</v>
      </c>
      <c r="O577">
        <v>7.0822175119999997</v>
      </c>
      <c r="P577">
        <v>0.61298291999999999</v>
      </c>
      <c r="Q577">
        <v>0.48262032500000002</v>
      </c>
      <c r="S577" s="13">
        <v>-1.1232544879999999</v>
      </c>
      <c r="T577">
        <v>1.0168276570000001</v>
      </c>
      <c r="U577">
        <v>-7.0264192000000003E-2</v>
      </c>
    </row>
    <row r="578" spans="1:21" x14ac:dyDescent="0.2">
      <c r="A578" t="s">
        <v>408</v>
      </c>
      <c r="B578">
        <v>736440</v>
      </c>
      <c r="C578" t="s">
        <v>6945</v>
      </c>
      <c r="D578" t="s">
        <v>408</v>
      </c>
      <c r="E578" t="s">
        <v>6918</v>
      </c>
      <c r="F578">
        <v>10</v>
      </c>
      <c r="G578">
        <v>1</v>
      </c>
      <c r="H578" t="s">
        <v>8080</v>
      </c>
      <c r="J578" t="s">
        <v>2669</v>
      </c>
      <c r="M578" t="s">
        <v>8081</v>
      </c>
      <c r="N578">
        <v>2.2220813349999999</v>
      </c>
      <c r="O578">
        <v>6.5440947090000003</v>
      </c>
      <c r="P578">
        <v>0.58228215500000002</v>
      </c>
      <c r="Q578">
        <v>0.35188233000000002</v>
      </c>
      <c r="S578" s="13">
        <v>-1.1236393819999999</v>
      </c>
      <c r="T578">
        <v>1.0151457610000001</v>
      </c>
      <c r="U578">
        <v>-7.0961916E-2</v>
      </c>
    </row>
    <row r="579" spans="1:21" x14ac:dyDescent="0.2">
      <c r="A579" t="s">
        <v>485</v>
      </c>
      <c r="B579">
        <v>861320</v>
      </c>
      <c r="C579" t="s">
        <v>6927</v>
      </c>
      <c r="D579" t="s">
        <v>486</v>
      </c>
      <c r="E579" t="s">
        <v>6974</v>
      </c>
      <c r="F579">
        <v>8</v>
      </c>
      <c r="G579">
        <v>15</v>
      </c>
      <c r="H579" t="s">
        <v>8082</v>
      </c>
      <c r="J579" t="s">
        <v>8083</v>
      </c>
      <c r="M579" t="s">
        <v>8084</v>
      </c>
      <c r="N579">
        <v>1.982575982</v>
      </c>
      <c r="O579">
        <v>3.4571926419999999</v>
      </c>
      <c r="P579">
        <v>-0.114791479</v>
      </c>
      <c r="Q579">
        <v>1.868949E-3</v>
      </c>
      <c r="S579" s="13">
        <v>-1.1240064750000001</v>
      </c>
      <c r="T579">
        <v>1.013541649</v>
      </c>
      <c r="U579">
        <v>-5.6915488E-2</v>
      </c>
    </row>
    <row r="580" spans="1:21" x14ac:dyDescent="0.2">
      <c r="A580" t="s">
        <v>912</v>
      </c>
      <c r="B580">
        <v>735600</v>
      </c>
      <c r="C580" t="s">
        <v>6945</v>
      </c>
      <c r="D580" t="s">
        <v>912</v>
      </c>
      <c r="E580" t="s">
        <v>6921</v>
      </c>
      <c r="F580">
        <v>23</v>
      </c>
      <c r="G580">
        <v>8</v>
      </c>
      <c r="H580" t="s">
        <v>8085</v>
      </c>
      <c r="J580" t="s">
        <v>914</v>
      </c>
      <c r="M580" t="s">
        <v>8086</v>
      </c>
      <c r="N580">
        <v>2.2220813349999999</v>
      </c>
      <c r="O580">
        <v>6.5440947090000003</v>
      </c>
      <c r="P580">
        <v>0.58228215500000002</v>
      </c>
      <c r="Q580">
        <v>0.35188233000000002</v>
      </c>
      <c r="S580" s="13">
        <v>-1.1244316999999999</v>
      </c>
      <c r="T580">
        <v>1.011683511</v>
      </c>
      <c r="U580">
        <v>-7.1427689000000003E-2</v>
      </c>
    </row>
    <row r="581" spans="1:21" x14ac:dyDescent="0.2">
      <c r="A581" t="s">
        <v>1356</v>
      </c>
      <c r="B581">
        <v>920440</v>
      </c>
      <c r="C581" t="s">
        <v>6938</v>
      </c>
      <c r="D581" t="s">
        <v>1356</v>
      </c>
      <c r="E581" t="s">
        <v>6921</v>
      </c>
      <c r="F581">
        <v>19</v>
      </c>
      <c r="G581">
        <v>8</v>
      </c>
      <c r="H581" t="s">
        <v>8087</v>
      </c>
      <c r="J581" t="s">
        <v>1358</v>
      </c>
      <c r="M581" t="s">
        <v>8088</v>
      </c>
      <c r="N581">
        <v>2.092758737</v>
      </c>
      <c r="O581">
        <v>5.3323610669999999</v>
      </c>
      <c r="P581">
        <v>0.70420098600000003</v>
      </c>
      <c r="Q581">
        <v>0.41355372699999998</v>
      </c>
      <c r="S581" s="13">
        <v>-1.124630711</v>
      </c>
      <c r="T581">
        <v>1.0108138790000001</v>
      </c>
      <c r="U581">
        <v>-4.3735784E-2</v>
      </c>
    </row>
    <row r="582" spans="1:21" x14ac:dyDescent="0.2">
      <c r="A582" t="s">
        <v>263</v>
      </c>
      <c r="B582">
        <v>807480</v>
      </c>
      <c r="C582" t="s">
        <v>6942</v>
      </c>
      <c r="D582" t="s">
        <v>264</v>
      </c>
      <c r="E582" t="s">
        <v>6974</v>
      </c>
      <c r="F582">
        <v>5</v>
      </c>
      <c r="G582">
        <v>15</v>
      </c>
      <c r="H582" t="s">
        <v>8089</v>
      </c>
      <c r="J582" t="s">
        <v>4694</v>
      </c>
      <c r="M582" t="s">
        <v>8090</v>
      </c>
      <c r="N582">
        <v>2.0902262079999998</v>
      </c>
      <c r="O582">
        <v>4.2704203920000001</v>
      </c>
      <c r="P582">
        <v>0.23425843900000001</v>
      </c>
      <c r="Q582">
        <v>1.6181978999999999E-2</v>
      </c>
      <c r="S582" s="13">
        <v>-1.124708007</v>
      </c>
      <c r="T582">
        <v>1.010476114</v>
      </c>
      <c r="U582">
        <v>-7.0817849000000002E-2</v>
      </c>
    </row>
    <row r="583" spans="1:21" x14ac:dyDescent="0.2">
      <c r="A583" t="s">
        <v>111</v>
      </c>
      <c r="B583">
        <v>735240</v>
      </c>
      <c r="C583" t="s">
        <v>6945</v>
      </c>
      <c r="D583" t="s">
        <v>112</v>
      </c>
      <c r="E583" t="s">
        <v>6970</v>
      </c>
      <c r="F583">
        <v>2</v>
      </c>
      <c r="G583">
        <v>14</v>
      </c>
      <c r="H583" t="s">
        <v>8091</v>
      </c>
      <c r="J583" t="s">
        <v>928</v>
      </c>
      <c r="M583" t="s">
        <v>8092</v>
      </c>
      <c r="N583">
        <v>2.2220813349999999</v>
      </c>
      <c r="O583">
        <v>6.5440947090000003</v>
      </c>
      <c r="P583">
        <v>0.58228215500000002</v>
      </c>
      <c r="Q583">
        <v>0.35188233000000002</v>
      </c>
      <c r="S583" s="13">
        <v>-1.1247712649999999</v>
      </c>
      <c r="T583">
        <v>1.010199689</v>
      </c>
      <c r="U583">
        <v>-7.1627459000000004E-2</v>
      </c>
    </row>
    <row r="584" spans="1:21" x14ac:dyDescent="0.2">
      <c r="A584" t="s">
        <v>1703</v>
      </c>
      <c r="B584">
        <v>760720</v>
      </c>
      <c r="C584" t="s">
        <v>6906</v>
      </c>
      <c r="D584" t="s">
        <v>1703</v>
      </c>
      <c r="E584" t="s">
        <v>6928</v>
      </c>
      <c r="F584">
        <v>21</v>
      </c>
      <c r="G584">
        <v>16</v>
      </c>
      <c r="H584" t="s">
        <v>8093</v>
      </c>
      <c r="J584" t="s">
        <v>3925</v>
      </c>
      <c r="M584" t="s">
        <v>8094</v>
      </c>
      <c r="N584">
        <v>1.813871112</v>
      </c>
      <c r="O584">
        <v>2.6633694910000001</v>
      </c>
      <c r="P584">
        <v>-0.29586356800000002</v>
      </c>
      <c r="Q584">
        <v>-0.59018158399999998</v>
      </c>
      <c r="S584" s="13">
        <v>-1.125083418</v>
      </c>
      <c r="T584">
        <v>1.008835653</v>
      </c>
      <c r="U584">
        <v>-7.0607375999999999E-2</v>
      </c>
    </row>
    <row r="585" spans="1:21" x14ac:dyDescent="0.2">
      <c r="A585" t="s">
        <v>1309</v>
      </c>
      <c r="B585">
        <v>574160</v>
      </c>
      <c r="C585" t="s">
        <v>6961</v>
      </c>
      <c r="D585" t="s">
        <v>1309</v>
      </c>
      <c r="E585" t="s">
        <v>6921</v>
      </c>
      <c r="F585">
        <v>20</v>
      </c>
      <c r="G585">
        <v>8</v>
      </c>
      <c r="H585" t="s">
        <v>8095</v>
      </c>
      <c r="J585" t="s">
        <v>3645</v>
      </c>
      <c r="M585" t="s">
        <v>8096</v>
      </c>
      <c r="N585">
        <v>2.7247480949999998</v>
      </c>
      <c r="O585">
        <v>7.0822175119999997</v>
      </c>
      <c r="P585">
        <v>0.61298291999999999</v>
      </c>
      <c r="Q585">
        <v>0.48262032500000002</v>
      </c>
      <c r="S585" s="13">
        <v>-1.1252810230000001</v>
      </c>
      <c r="T585">
        <v>1.007972163</v>
      </c>
      <c r="U585">
        <v>-7.1682967E-2</v>
      </c>
    </row>
    <row r="586" spans="1:21" x14ac:dyDescent="0.2">
      <c r="A586" t="s">
        <v>1415</v>
      </c>
      <c r="B586">
        <v>806800</v>
      </c>
      <c r="C586" t="s">
        <v>6942</v>
      </c>
      <c r="D586" t="s">
        <v>1415</v>
      </c>
      <c r="E586" t="s">
        <v>6946</v>
      </c>
      <c r="F586">
        <v>12</v>
      </c>
      <c r="G586">
        <v>11</v>
      </c>
      <c r="H586" t="s">
        <v>8097</v>
      </c>
      <c r="J586" t="s">
        <v>2403</v>
      </c>
      <c r="M586" t="s">
        <v>8098</v>
      </c>
      <c r="N586">
        <v>2.0902262079999998</v>
      </c>
      <c r="O586">
        <v>4.2704203920000001</v>
      </c>
      <c r="P586">
        <v>0.23425843900000001</v>
      </c>
      <c r="Q586">
        <v>1.6181978999999999E-2</v>
      </c>
      <c r="S586" s="13">
        <v>-1.1253754199999999</v>
      </c>
      <c r="T586">
        <v>1.007559673</v>
      </c>
      <c r="U586">
        <v>-7.1194740000000006E-2</v>
      </c>
    </row>
    <row r="587" spans="1:21" x14ac:dyDescent="0.2">
      <c r="A587" t="s">
        <v>759</v>
      </c>
      <c r="B587">
        <v>859920</v>
      </c>
      <c r="C587" t="s">
        <v>6927</v>
      </c>
      <c r="D587" t="s">
        <v>760</v>
      </c>
      <c r="E587" t="s">
        <v>6907</v>
      </c>
      <c r="F587">
        <v>4</v>
      </c>
      <c r="G587">
        <v>4</v>
      </c>
      <c r="H587" t="s">
        <v>8099</v>
      </c>
      <c r="J587" t="s">
        <v>8100</v>
      </c>
      <c r="M587" t="s">
        <v>8101</v>
      </c>
      <c r="N587">
        <v>1.982575982</v>
      </c>
      <c r="O587">
        <v>3.4571926419999999</v>
      </c>
      <c r="P587">
        <v>-0.114791479</v>
      </c>
      <c r="Q587">
        <v>1.868949E-3</v>
      </c>
      <c r="S587" s="13">
        <v>-1.1254591490000001</v>
      </c>
      <c r="T587">
        <v>1.0071937959999999</v>
      </c>
      <c r="U587">
        <v>-5.7667318000000002E-2</v>
      </c>
    </row>
    <row r="588" spans="1:21" x14ac:dyDescent="0.2">
      <c r="A588" t="s">
        <v>1155</v>
      </c>
      <c r="B588">
        <v>573800</v>
      </c>
      <c r="C588" t="s">
        <v>6961</v>
      </c>
      <c r="D588" t="s">
        <v>1156</v>
      </c>
      <c r="E588" t="s">
        <v>6970</v>
      </c>
      <c r="F588">
        <v>8</v>
      </c>
      <c r="G588">
        <v>14</v>
      </c>
      <c r="H588" t="s">
        <v>8102</v>
      </c>
      <c r="J588" t="s">
        <v>2790</v>
      </c>
      <c r="M588" t="s">
        <v>8103</v>
      </c>
      <c r="N588">
        <v>2.7247480949999998</v>
      </c>
      <c r="O588">
        <v>7.0822175119999997</v>
      </c>
      <c r="P588">
        <v>0.61298291999999999</v>
      </c>
      <c r="Q588">
        <v>0.48262032500000002</v>
      </c>
      <c r="S588" s="13">
        <v>-1.125566005</v>
      </c>
      <c r="T588">
        <v>1.006726859</v>
      </c>
      <c r="U588">
        <v>-7.1882853999999996E-2</v>
      </c>
    </row>
    <row r="589" spans="1:21" x14ac:dyDescent="0.2">
      <c r="A589" t="s">
        <v>1954</v>
      </c>
      <c r="B589">
        <v>806560</v>
      </c>
      <c r="C589" t="s">
        <v>6942</v>
      </c>
      <c r="D589" t="s">
        <v>1955</v>
      </c>
      <c r="E589" t="s">
        <v>6918</v>
      </c>
      <c r="F589">
        <v>1</v>
      </c>
      <c r="G589">
        <v>1</v>
      </c>
      <c r="H589" t="s">
        <v>8104</v>
      </c>
      <c r="J589" t="s">
        <v>4790</v>
      </c>
      <c r="M589" t="s">
        <v>8105</v>
      </c>
      <c r="N589">
        <v>2.0902262079999998</v>
      </c>
      <c r="O589">
        <v>4.2704203920000001</v>
      </c>
      <c r="P589">
        <v>0.23425843900000001</v>
      </c>
      <c r="Q589">
        <v>1.6181978999999999E-2</v>
      </c>
      <c r="S589" s="13">
        <v>-1.125610977</v>
      </c>
      <c r="T589">
        <v>1.0065303409999999</v>
      </c>
      <c r="U589">
        <v>-7.1327838000000005E-2</v>
      </c>
    </row>
    <row r="590" spans="1:21" x14ac:dyDescent="0.2">
      <c r="A590" t="s">
        <v>345</v>
      </c>
      <c r="B590">
        <v>806360</v>
      </c>
      <c r="C590" t="s">
        <v>6942</v>
      </c>
      <c r="D590" t="s">
        <v>345</v>
      </c>
      <c r="E590" t="s">
        <v>6918</v>
      </c>
      <c r="F590">
        <v>19</v>
      </c>
      <c r="G590">
        <v>1</v>
      </c>
      <c r="H590" t="s">
        <v>8106</v>
      </c>
      <c r="J590" t="s">
        <v>347</v>
      </c>
      <c r="M590" t="s">
        <v>8107</v>
      </c>
      <c r="N590">
        <v>2.0902262079999998</v>
      </c>
      <c r="O590">
        <v>4.2704203920000001</v>
      </c>
      <c r="P590">
        <v>0.23425843900000001</v>
      </c>
      <c r="Q590">
        <v>1.6181978999999999E-2</v>
      </c>
      <c r="S590" s="13">
        <v>-1.1258072750000001</v>
      </c>
      <c r="T590">
        <v>1.005672565</v>
      </c>
      <c r="U590">
        <v>-7.1438785000000005E-2</v>
      </c>
    </row>
    <row r="591" spans="1:21" x14ac:dyDescent="0.2">
      <c r="A591" t="s">
        <v>300</v>
      </c>
      <c r="B591">
        <v>572200</v>
      </c>
      <c r="C591" t="s">
        <v>6961</v>
      </c>
      <c r="D591" t="s">
        <v>300</v>
      </c>
      <c r="E591" t="s">
        <v>7006</v>
      </c>
      <c r="F591">
        <v>19</v>
      </c>
      <c r="G591">
        <v>3</v>
      </c>
      <c r="H591" t="s">
        <v>8108</v>
      </c>
      <c r="J591" t="s">
        <v>3716</v>
      </c>
      <c r="M591" t="s">
        <v>8109</v>
      </c>
      <c r="N591">
        <v>2.7247480949999998</v>
      </c>
      <c r="O591">
        <v>7.0822175119999997</v>
      </c>
      <c r="P591">
        <v>0.61298291999999999</v>
      </c>
      <c r="Q591">
        <v>0.48262032500000002</v>
      </c>
      <c r="S591" s="13">
        <v>-1.1268325889999999</v>
      </c>
      <c r="T591">
        <v>1.0011921749999999</v>
      </c>
      <c r="U591">
        <v>-7.2772357999999995E-2</v>
      </c>
    </row>
    <row r="592" spans="1:21" x14ac:dyDescent="0.2">
      <c r="A592" t="s">
        <v>1550</v>
      </c>
      <c r="B592">
        <v>823240</v>
      </c>
      <c r="C592" t="s">
        <v>6910</v>
      </c>
      <c r="D592" t="s">
        <v>1550</v>
      </c>
      <c r="E592" t="s">
        <v>6974</v>
      </c>
      <c r="F592">
        <v>14</v>
      </c>
      <c r="G592">
        <v>15</v>
      </c>
      <c r="H592" t="s">
        <v>8110</v>
      </c>
      <c r="J592" t="s">
        <v>4014</v>
      </c>
      <c r="M592" t="s">
        <v>8111</v>
      </c>
      <c r="N592">
        <v>1.9874741039999999</v>
      </c>
      <c r="O592">
        <v>3.7453511220000002</v>
      </c>
      <c r="P592">
        <v>0.451009722</v>
      </c>
      <c r="Q592">
        <v>-0.102386592</v>
      </c>
      <c r="S592" s="13">
        <v>-1.1269661950000001</v>
      </c>
      <c r="T592">
        <v>1.0006083459999999</v>
      </c>
      <c r="U592">
        <v>-1.7243677999999998E-2</v>
      </c>
    </row>
    <row r="593" spans="1:21" x14ac:dyDescent="0.2">
      <c r="A593" t="s">
        <v>537</v>
      </c>
      <c r="B593">
        <v>732600</v>
      </c>
      <c r="C593" t="s">
        <v>6945</v>
      </c>
      <c r="D593" t="s">
        <v>538</v>
      </c>
      <c r="E593" t="s">
        <v>6928</v>
      </c>
      <c r="F593">
        <v>8</v>
      </c>
      <c r="G593">
        <v>16</v>
      </c>
      <c r="H593" t="s">
        <v>8112</v>
      </c>
      <c r="J593" t="s">
        <v>2675</v>
      </c>
      <c r="M593" t="s">
        <v>8113</v>
      </c>
      <c r="N593">
        <v>2.2220813349999999</v>
      </c>
      <c r="O593">
        <v>6.5440947090000003</v>
      </c>
      <c r="P593">
        <v>0.58228215500000002</v>
      </c>
      <c r="Q593">
        <v>0.35188233000000002</v>
      </c>
      <c r="S593" s="13">
        <v>-1.1272614080000001</v>
      </c>
      <c r="T593">
        <v>0.99931833299999995</v>
      </c>
      <c r="U593">
        <v>-7.3095253999999998E-2</v>
      </c>
    </row>
    <row r="594" spans="1:21" x14ac:dyDescent="0.2">
      <c r="A594" t="s">
        <v>218</v>
      </c>
      <c r="B594">
        <v>905760</v>
      </c>
      <c r="C594" t="s">
        <v>6914</v>
      </c>
      <c r="D594" t="s">
        <v>218</v>
      </c>
      <c r="E594" t="s">
        <v>6918</v>
      </c>
      <c r="F594">
        <v>22</v>
      </c>
      <c r="G594">
        <v>1</v>
      </c>
      <c r="H594" t="s">
        <v>8114</v>
      </c>
      <c r="J594" t="s">
        <v>6771</v>
      </c>
      <c r="M594" t="s">
        <v>8115</v>
      </c>
      <c r="N594">
        <v>1.8217074179999999</v>
      </c>
      <c r="O594">
        <v>4.1700741289999996</v>
      </c>
      <c r="P594">
        <v>0.189705977</v>
      </c>
      <c r="Q594">
        <v>-1.7194070999999998E-2</v>
      </c>
      <c r="S594" s="13">
        <v>-1.1275648890000001</v>
      </c>
      <c r="T594">
        <v>0.997992192</v>
      </c>
      <c r="U594">
        <v>-7.6505844000000003E-2</v>
      </c>
    </row>
    <row r="595" spans="1:21" x14ac:dyDescent="0.2">
      <c r="A595" t="s">
        <v>1181</v>
      </c>
      <c r="B595">
        <v>718880</v>
      </c>
      <c r="C595" t="s">
        <v>6931</v>
      </c>
      <c r="D595" t="s">
        <v>1181</v>
      </c>
      <c r="E595" t="s">
        <v>6956</v>
      </c>
      <c r="F595">
        <v>23</v>
      </c>
      <c r="G595">
        <v>7</v>
      </c>
      <c r="H595" t="s">
        <v>8116</v>
      </c>
      <c r="N595">
        <v>1.9323965059999999</v>
      </c>
      <c r="O595">
        <v>3.0528020530000002</v>
      </c>
      <c r="P595">
        <v>2.6493138999999999E-2</v>
      </c>
      <c r="Q595">
        <v>-0.38692188</v>
      </c>
      <c r="S595" s="13">
        <v>-1.1279153799999999</v>
      </c>
      <c r="T595">
        <v>0.99646062599999996</v>
      </c>
      <c r="U595">
        <v>-3.0267572999999999E-2</v>
      </c>
    </row>
    <row r="596" spans="1:21" x14ac:dyDescent="0.2">
      <c r="A596" t="s">
        <v>369</v>
      </c>
      <c r="B596">
        <v>758680</v>
      </c>
      <c r="C596" t="s">
        <v>6906</v>
      </c>
      <c r="D596" t="s">
        <v>369</v>
      </c>
      <c r="E596" t="s">
        <v>6939</v>
      </c>
      <c r="F596">
        <v>23</v>
      </c>
      <c r="G596">
        <v>2</v>
      </c>
      <c r="H596" t="s">
        <v>8117</v>
      </c>
      <c r="J596" t="s">
        <v>456</v>
      </c>
      <c r="M596" t="s">
        <v>8118</v>
      </c>
      <c r="N596">
        <v>1.813871112</v>
      </c>
      <c r="O596">
        <v>2.6633694910000001</v>
      </c>
      <c r="P596">
        <v>-0.29586356800000002</v>
      </c>
      <c r="Q596">
        <v>-0.59018158399999998</v>
      </c>
      <c r="S596" s="13">
        <v>-1.128042942</v>
      </c>
      <c r="T596">
        <v>0.99590320899999996</v>
      </c>
      <c r="U596">
        <v>-7.1738482000000006E-2</v>
      </c>
    </row>
    <row r="597" spans="1:21" x14ac:dyDescent="0.2">
      <c r="A597" t="s">
        <v>372</v>
      </c>
      <c r="B597">
        <v>803960</v>
      </c>
      <c r="C597" t="s">
        <v>6942</v>
      </c>
      <c r="D597" t="s">
        <v>372</v>
      </c>
      <c r="E597" t="s">
        <v>7006</v>
      </c>
      <c r="F597">
        <v>23</v>
      </c>
      <c r="G597">
        <v>3</v>
      </c>
      <c r="H597" t="s">
        <v>8119</v>
      </c>
      <c r="J597" t="s">
        <v>1757</v>
      </c>
      <c r="M597" t="s">
        <v>8120</v>
      </c>
      <c r="N597">
        <v>2.0902262079999998</v>
      </c>
      <c r="O597">
        <v>4.2704203920000001</v>
      </c>
      <c r="P597">
        <v>0.23425843900000001</v>
      </c>
      <c r="Q597">
        <v>1.6181978999999999E-2</v>
      </c>
      <c r="S597" s="13">
        <v>-1.128162849</v>
      </c>
      <c r="T597">
        <v>0.99537924499999997</v>
      </c>
      <c r="U597">
        <v>-7.2772357999999995E-2</v>
      </c>
    </row>
    <row r="598" spans="1:21" x14ac:dyDescent="0.2">
      <c r="A598" t="s">
        <v>1065</v>
      </c>
      <c r="B598">
        <v>916040</v>
      </c>
      <c r="C598" t="s">
        <v>6938</v>
      </c>
      <c r="D598" t="s">
        <v>1066</v>
      </c>
      <c r="E598" t="s">
        <v>6956</v>
      </c>
      <c r="F598">
        <v>7</v>
      </c>
      <c r="G598">
        <v>7</v>
      </c>
      <c r="H598" t="s">
        <v>8121</v>
      </c>
      <c r="J598" t="s">
        <v>8122</v>
      </c>
      <c r="M598" t="s">
        <v>8123</v>
      </c>
      <c r="N598">
        <v>2.092758737</v>
      </c>
      <c r="O598">
        <v>5.3323610669999999</v>
      </c>
      <c r="P598">
        <v>0.70420098600000003</v>
      </c>
      <c r="Q598">
        <v>0.41355372699999998</v>
      </c>
      <c r="S598" s="13">
        <v>-1.128409481</v>
      </c>
      <c r="T598">
        <v>0.99430151700000002</v>
      </c>
      <c r="U598">
        <v>-4.6032125E-2</v>
      </c>
    </row>
    <row r="599" spans="1:21" x14ac:dyDescent="0.2">
      <c r="A599" t="s">
        <v>1963</v>
      </c>
      <c r="B599">
        <v>569920</v>
      </c>
      <c r="C599" t="s">
        <v>6961</v>
      </c>
      <c r="D599" t="s">
        <v>1963</v>
      </c>
      <c r="E599" t="s">
        <v>6939</v>
      </c>
      <c r="F599">
        <v>12</v>
      </c>
      <c r="G599">
        <v>2</v>
      </c>
      <c r="H599" t="s">
        <v>8124</v>
      </c>
      <c r="J599" t="s">
        <v>6077</v>
      </c>
      <c r="M599" t="s">
        <v>8125</v>
      </c>
      <c r="N599">
        <v>2.7247480949999998</v>
      </c>
      <c r="O599">
        <v>7.0822175119999997</v>
      </c>
      <c r="P599">
        <v>0.61298291999999999</v>
      </c>
      <c r="Q599">
        <v>0.48262032500000002</v>
      </c>
      <c r="S599" s="13">
        <v>-1.1286374720000001</v>
      </c>
      <c r="T599">
        <v>0.99330525000000003</v>
      </c>
      <c r="U599">
        <v>-7.4043056999999995E-2</v>
      </c>
    </row>
    <row r="600" spans="1:21" x14ac:dyDescent="0.2">
      <c r="A600" t="s">
        <v>598</v>
      </c>
      <c r="B600">
        <v>718240</v>
      </c>
      <c r="C600" t="s">
        <v>6931</v>
      </c>
      <c r="D600" t="s">
        <v>598</v>
      </c>
      <c r="E600" t="s">
        <v>7006</v>
      </c>
      <c r="F600">
        <v>22</v>
      </c>
      <c r="G600">
        <v>3</v>
      </c>
      <c r="H600" t="s">
        <v>8126</v>
      </c>
      <c r="N600">
        <v>1.9323965059999999</v>
      </c>
      <c r="O600">
        <v>3.0528020530000002</v>
      </c>
      <c r="P600">
        <v>2.6493138999999999E-2</v>
      </c>
      <c r="Q600">
        <v>-0.38692188</v>
      </c>
      <c r="S600" s="13">
        <v>-1.128756324</v>
      </c>
      <c r="T600">
        <v>0.992785896</v>
      </c>
      <c r="U600">
        <v>-3.0590652999999999E-2</v>
      </c>
    </row>
    <row r="601" spans="1:21" x14ac:dyDescent="0.2">
      <c r="A601" t="s">
        <v>2139</v>
      </c>
      <c r="B601">
        <v>730600</v>
      </c>
      <c r="C601" t="s">
        <v>6945</v>
      </c>
      <c r="D601" t="s">
        <v>2140</v>
      </c>
      <c r="E601" t="s">
        <v>6924</v>
      </c>
      <c r="F601">
        <v>1</v>
      </c>
      <c r="G601">
        <v>6</v>
      </c>
      <c r="H601" t="s">
        <v>8127</v>
      </c>
      <c r="J601" t="s">
        <v>4038</v>
      </c>
      <c r="M601" t="s">
        <v>8128</v>
      </c>
      <c r="N601">
        <v>2.2220813349999999</v>
      </c>
      <c r="O601">
        <v>6.5440947090000003</v>
      </c>
      <c r="P601">
        <v>0.58228215500000002</v>
      </c>
      <c r="Q601">
        <v>0.35188233000000002</v>
      </c>
      <c r="S601" s="13">
        <v>-1.129147881</v>
      </c>
      <c r="T601">
        <v>0.99107488099999996</v>
      </c>
      <c r="U601">
        <v>-7.4210530999999996E-2</v>
      </c>
    </row>
    <row r="602" spans="1:21" x14ac:dyDescent="0.2">
      <c r="A602" t="s">
        <v>1535</v>
      </c>
      <c r="B602">
        <v>569120</v>
      </c>
      <c r="C602" t="s">
        <v>6961</v>
      </c>
      <c r="D602" t="s">
        <v>1535</v>
      </c>
      <c r="E602" t="s">
        <v>6907</v>
      </c>
      <c r="F602">
        <v>19</v>
      </c>
      <c r="G602">
        <v>4</v>
      </c>
      <c r="H602" t="s">
        <v>8129</v>
      </c>
      <c r="J602" t="s">
        <v>6549</v>
      </c>
      <c r="M602" t="s">
        <v>8130</v>
      </c>
      <c r="N602">
        <v>2.7247480949999998</v>
      </c>
      <c r="O602">
        <v>7.0822175119999997</v>
      </c>
      <c r="P602">
        <v>0.61298291999999999</v>
      </c>
      <c r="Q602">
        <v>0.48262032500000002</v>
      </c>
      <c r="S602" s="13">
        <v>-1.1292707639999999</v>
      </c>
      <c r="T602">
        <v>0.99053790799999997</v>
      </c>
      <c r="U602">
        <v>-7.4489798999999995E-2</v>
      </c>
    </row>
    <row r="603" spans="1:21" x14ac:dyDescent="0.2">
      <c r="A603" t="s">
        <v>574</v>
      </c>
      <c r="B603">
        <v>801800</v>
      </c>
      <c r="C603" t="s">
        <v>6942</v>
      </c>
      <c r="D603" t="s">
        <v>574</v>
      </c>
      <c r="E603" t="s">
        <v>6977</v>
      </c>
      <c r="F603">
        <v>20</v>
      </c>
      <c r="G603">
        <v>5</v>
      </c>
      <c r="H603" t="s">
        <v>8131</v>
      </c>
      <c r="J603" t="s">
        <v>576</v>
      </c>
      <c r="M603" t="s">
        <v>8132</v>
      </c>
      <c r="N603">
        <v>2.0902262079999998</v>
      </c>
      <c r="O603">
        <v>4.2704203920000001</v>
      </c>
      <c r="P603">
        <v>0.23425843900000001</v>
      </c>
      <c r="Q603">
        <v>1.6181978999999999E-2</v>
      </c>
      <c r="S603" s="13">
        <v>-1.1302828650000001</v>
      </c>
      <c r="T603">
        <v>0.98611525799999999</v>
      </c>
      <c r="U603">
        <v>-7.3976084999999997E-2</v>
      </c>
    </row>
    <row r="604" spans="1:21" x14ac:dyDescent="0.2">
      <c r="A604" t="s">
        <v>1058</v>
      </c>
      <c r="B604">
        <v>919960</v>
      </c>
      <c r="C604" t="s">
        <v>6953</v>
      </c>
      <c r="D604" t="s">
        <v>1059</v>
      </c>
      <c r="E604" t="s">
        <v>6911</v>
      </c>
      <c r="F604">
        <v>6</v>
      </c>
      <c r="G604">
        <v>12</v>
      </c>
      <c r="H604" t="s">
        <v>8133</v>
      </c>
      <c r="J604" t="s">
        <v>1061</v>
      </c>
      <c r="M604" t="s">
        <v>8134</v>
      </c>
      <c r="N604">
        <v>1.921480887</v>
      </c>
      <c r="O604">
        <v>3.0856645180000002</v>
      </c>
      <c r="P604">
        <v>0.44706724399999997</v>
      </c>
      <c r="Q604">
        <v>-0.354940863</v>
      </c>
      <c r="S604" s="13">
        <v>-1.130636894</v>
      </c>
      <c r="T604">
        <v>0.98456823400000004</v>
      </c>
      <c r="U604">
        <v>-1.8391127E-2</v>
      </c>
    </row>
    <row r="605" spans="1:21" x14ac:dyDescent="0.2">
      <c r="A605" t="s">
        <v>1698</v>
      </c>
      <c r="B605">
        <v>728920</v>
      </c>
      <c r="C605" t="s">
        <v>6945</v>
      </c>
      <c r="D605" t="s">
        <v>1698</v>
      </c>
      <c r="E605" t="s">
        <v>6921</v>
      </c>
      <c r="F605">
        <v>11</v>
      </c>
      <c r="G605">
        <v>8</v>
      </c>
      <c r="H605" t="s">
        <v>8135</v>
      </c>
      <c r="J605" t="s">
        <v>5153</v>
      </c>
      <c r="M605" t="s">
        <v>8136</v>
      </c>
      <c r="N605">
        <v>2.2220813349999999</v>
      </c>
      <c r="O605">
        <v>6.5440947090000003</v>
      </c>
      <c r="P605">
        <v>0.58228215500000002</v>
      </c>
      <c r="Q605">
        <v>0.35188233000000002</v>
      </c>
      <c r="S605" s="13">
        <v>-1.130732517</v>
      </c>
      <c r="T605">
        <v>0.98415038200000005</v>
      </c>
      <c r="U605">
        <v>-7.5149583000000006E-2</v>
      </c>
    </row>
    <row r="606" spans="1:21" x14ac:dyDescent="0.2">
      <c r="A606" t="s">
        <v>1773</v>
      </c>
      <c r="B606">
        <v>756560</v>
      </c>
      <c r="C606" t="s">
        <v>6906</v>
      </c>
      <c r="D606" t="s">
        <v>1773</v>
      </c>
      <c r="E606" t="s">
        <v>6970</v>
      </c>
      <c r="F606">
        <v>15</v>
      </c>
      <c r="G606">
        <v>14</v>
      </c>
      <c r="H606" t="s">
        <v>8137</v>
      </c>
      <c r="J606" t="s">
        <v>2737</v>
      </c>
      <c r="M606" t="s">
        <v>8138</v>
      </c>
      <c r="N606">
        <v>1.813871112</v>
      </c>
      <c r="O606">
        <v>2.6633694910000001</v>
      </c>
      <c r="P606">
        <v>-0.29586356800000002</v>
      </c>
      <c r="Q606">
        <v>-0.59018158399999998</v>
      </c>
      <c r="S606" s="13">
        <v>-1.1311185260000001</v>
      </c>
      <c r="T606">
        <v>0.98246361100000001</v>
      </c>
      <c r="U606">
        <v>-7.2917074999999998E-2</v>
      </c>
    </row>
    <row r="607" spans="1:21" x14ac:dyDescent="0.2">
      <c r="A607" t="s">
        <v>1163</v>
      </c>
      <c r="B607">
        <v>912680</v>
      </c>
      <c r="C607" t="s">
        <v>6938</v>
      </c>
      <c r="D607" t="s">
        <v>1164</v>
      </c>
      <c r="E607" t="s">
        <v>6918</v>
      </c>
      <c r="F607">
        <v>6</v>
      </c>
      <c r="G607">
        <v>1</v>
      </c>
      <c r="H607" t="s">
        <v>8139</v>
      </c>
      <c r="J607" t="s">
        <v>4026</v>
      </c>
      <c r="M607" t="s">
        <v>8140</v>
      </c>
      <c r="N607">
        <v>2.092758737</v>
      </c>
      <c r="O607">
        <v>5.3323610669999999</v>
      </c>
      <c r="P607">
        <v>0.70420098600000003</v>
      </c>
      <c r="Q607">
        <v>0.41355372699999998</v>
      </c>
      <c r="S607" s="13">
        <v>-1.1312950879999999</v>
      </c>
      <c r="T607">
        <v>0.98169207700000005</v>
      </c>
      <c r="U607">
        <v>-4.7793906999999997E-2</v>
      </c>
    </row>
    <row r="608" spans="1:21" x14ac:dyDescent="0.2">
      <c r="A608" t="s">
        <v>79</v>
      </c>
      <c r="B608">
        <v>818560</v>
      </c>
      <c r="C608" t="s">
        <v>6910</v>
      </c>
      <c r="D608" t="s">
        <v>80</v>
      </c>
      <c r="E608" t="s">
        <v>6946</v>
      </c>
      <c r="F608">
        <v>1</v>
      </c>
      <c r="G608">
        <v>11</v>
      </c>
      <c r="H608" t="s">
        <v>8141</v>
      </c>
      <c r="J608" t="s">
        <v>6353</v>
      </c>
      <c r="M608" t="s">
        <v>8142</v>
      </c>
      <c r="N608">
        <v>1.9874741039999999</v>
      </c>
      <c r="O608">
        <v>3.7453511220000002</v>
      </c>
      <c r="P608">
        <v>0.451009722</v>
      </c>
      <c r="Q608">
        <v>-0.102386592</v>
      </c>
      <c r="S608" s="13">
        <v>-1.1320013769999999</v>
      </c>
      <c r="T608">
        <v>0.97860575299999997</v>
      </c>
      <c r="U608">
        <v>-1.9541614999999998E-2</v>
      </c>
    </row>
    <row r="609" spans="1:21" x14ac:dyDescent="0.2">
      <c r="A609" t="s">
        <v>1617</v>
      </c>
      <c r="B609">
        <v>715760</v>
      </c>
      <c r="C609" t="s">
        <v>6931</v>
      </c>
      <c r="D609" t="s">
        <v>1617</v>
      </c>
      <c r="E609" t="s">
        <v>7115</v>
      </c>
      <c r="F609">
        <v>16</v>
      </c>
      <c r="G609">
        <v>10</v>
      </c>
      <c r="H609" t="s">
        <v>8143</v>
      </c>
      <c r="N609">
        <v>1.9323965059999999</v>
      </c>
      <c r="O609">
        <v>3.0528020530000002</v>
      </c>
      <c r="P609">
        <v>2.6493138999999999E-2</v>
      </c>
      <c r="Q609">
        <v>-0.38692188</v>
      </c>
      <c r="S609" s="13">
        <v>-1.132014979</v>
      </c>
      <c r="T609">
        <v>0.978546315</v>
      </c>
      <c r="U609">
        <v>-3.1844861000000002E-2</v>
      </c>
    </row>
    <row r="610" spans="1:21" x14ac:dyDescent="0.2">
      <c r="A610" t="s">
        <v>352</v>
      </c>
      <c r="B610">
        <v>918560</v>
      </c>
      <c r="C610" t="s">
        <v>6953</v>
      </c>
      <c r="D610" t="s">
        <v>352</v>
      </c>
      <c r="E610" t="s">
        <v>6928</v>
      </c>
      <c r="F610">
        <v>17</v>
      </c>
      <c r="G610">
        <v>16</v>
      </c>
      <c r="H610" t="s">
        <v>8144</v>
      </c>
      <c r="J610" t="s">
        <v>5391</v>
      </c>
      <c r="M610" t="s">
        <v>8145</v>
      </c>
      <c r="N610">
        <v>1.921480887</v>
      </c>
      <c r="O610">
        <v>3.0856645180000002</v>
      </c>
      <c r="P610">
        <v>0.44706724399999997</v>
      </c>
      <c r="Q610">
        <v>-0.354940863</v>
      </c>
      <c r="S610" s="13">
        <v>-1.132089568</v>
      </c>
      <c r="T610">
        <v>0.97822038099999997</v>
      </c>
      <c r="U610">
        <v>-1.9079087000000002E-2</v>
      </c>
    </row>
    <row r="611" spans="1:21" x14ac:dyDescent="0.2">
      <c r="A611" t="s">
        <v>749</v>
      </c>
      <c r="B611">
        <v>727400</v>
      </c>
      <c r="C611" t="s">
        <v>6945</v>
      </c>
      <c r="D611" t="s">
        <v>749</v>
      </c>
      <c r="E611" t="s">
        <v>6946</v>
      </c>
      <c r="F611">
        <v>13</v>
      </c>
      <c r="G611">
        <v>11</v>
      </c>
      <c r="H611" t="s">
        <v>8146</v>
      </c>
      <c r="J611" t="s">
        <v>4998</v>
      </c>
      <c r="M611" t="s">
        <v>8147</v>
      </c>
      <c r="N611">
        <v>2.2220813349999999</v>
      </c>
      <c r="O611">
        <v>6.5440947090000003</v>
      </c>
      <c r="P611">
        <v>0.58228215500000002</v>
      </c>
      <c r="Q611">
        <v>0.35188233000000002</v>
      </c>
      <c r="S611" s="13">
        <v>-1.132166236</v>
      </c>
      <c r="T611">
        <v>0.97788535799999998</v>
      </c>
      <c r="U611">
        <v>-7.6000954999999995E-2</v>
      </c>
    </row>
    <row r="612" spans="1:21" x14ac:dyDescent="0.2">
      <c r="A612" t="s">
        <v>1104</v>
      </c>
      <c r="B612">
        <v>715520</v>
      </c>
      <c r="C612" t="s">
        <v>6931</v>
      </c>
      <c r="D612" t="s">
        <v>1105</v>
      </c>
      <c r="E612" t="s">
        <v>6956</v>
      </c>
      <c r="F612">
        <v>2</v>
      </c>
      <c r="G612">
        <v>7</v>
      </c>
      <c r="H612" t="s">
        <v>8148</v>
      </c>
      <c r="J612" t="s">
        <v>1700</v>
      </c>
      <c r="M612" t="s">
        <v>8149</v>
      </c>
      <c r="N612">
        <v>1.9323965059999999</v>
      </c>
      <c r="O612">
        <v>3.0528020530000002</v>
      </c>
      <c r="P612">
        <v>2.6493138999999999E-2</v>
      </c>
      <c r="Q612">
        <v>-0.38692188</v>
      </c>
      <c r="S612" s="13">
        <v>-1.1323303330000001</v>
      </c>
      <c r="T612">
        <v>0.97716829100000002</v>
      </c>
      <c r="U612">
        <v>-3.1966427999999998E-2</v>
      </c>
    </row>
    <row r="613" spans="1:21" x14ac:dyDescent="0.2">
      <c r="A613" t="s">
        <v>756</v>
      </c>
      <c r="B613">
        <v>901720</v>
      </c>
      <c r="C613" t="s">
        <v>6914</v>
      </c>
      <c r="D613" t="s">
        <v>756</v>
      </c>
      <c r="E613" t="s">
        <v>7085</v>
      </c>
      <c r="F613">
        <v>23</v>
      </c>
      <c r="G613">
        <v>9</v>
      </c>
      <c r="H613" t="s">
        <v>8150</v>
      </c>
      <c r="J613" t="s">
        <v>2807</v>
      </c>
      <c r="M613" t="s">
        <v>8151</v>
      </c>
      <c r="N613">
        <v>1.8217074179999999</v>
      </c>
      <c r="O613">
        <v>4.1700741289999996</v>
      </c>
      <c r="P613">
        <v>0.189705977</v>
      </c>
      <c r="Q613">
        <v>-1.7194070999999998E-2</v>
      </c>
      <c r="S613" s="13">
        <v>-1.1324240459999999</v>
      </c>
      <c r="T613">
        <v>0.97675878900000002</v>
      </c>
      <c r="U613">
        <v>-7.8779495000000005E-2</v>
      </c>
    </row>
    <row r="614" spans="1:21" x14ac:dyDescent="0.2">
      <c r="A614" t="s">
        <v>1010</v>
      </c>
      <c r="B614">
        <v>727120</v>
      </c>
      <c r="C614" t="s">
        <v>6945</v>
      </c>
      <c r="D614" t="s">
        <v>1010</v>
      </c>
      <c r="E614" t="s">
        <v>6970</v>
      </c>
      <c r="F614">
        <v>19</v>
      </c>
      <c r="G614">
        <v>14</v>
      </c>
      <c r="H614" t="s">
        <v>8152</v>
      </c>
      <c r="J614" t="s">
        <v>5805</v>
      </c>
      <c r="M614" t="s">
        <v>8153</v>
      </c>
      <c r="N614">
        <v>2.2220813349999999</v>
      </c>
      <c r="O614">
        <v>6.5440947090000003</v>
      </c>
      <c r="P614">
        <v>0.58228215500000002</v>
      </c>
      <c r="Q614">
        <v>0.35188233000000002</v>
      </c>
      <c r="S614" s="13">
        <v>-1.1324303419999999</v>
      </c>
      <c r="T614">
        <v>0.97673127500000001</v>
      </c>
      <c r="U614">
        <v>-7.6157968000000006E-2</v>
      </c>
    </row>
    <row r="615" spans="1:21" x14ac:dyDescent="0.2">
      <c r="A615" t="s">
        <v>470</v>
      </c>
      <c r="B615">
        <v>817040</v>
      </c>
      <c r="C615" t="s">
        <v>6910</v>
      </c>
      <c r="D615" t="s">
        <v>470</v>
      </c>
      <c r="E615" t="s">
        <v>6970</v>
      </c>
      <c r="F615">
        <v>22</v>
      </c>
      <c r="G615">
        <v>14</v>
      </c>
      <c r="H615" t="s">
        <v>8154</v>
      </c>
      <c r="J615" t="s">
        <v>2603</v>
      </c>
      <c r="M615" t="s">
        <v>8155</v>
      </c>
      <c r="N615">
        <v>1.9874741039999999</v>
      </c>
      <c r="O615">
        <v>3.7453511220000002</v>
      </c>
      <c r="P615">
        <v>0.451009722</v>
      </c>
      <c r="Q615">
        <v>-0.102386592</v>
      </c>
      <c r="S615" s="13">
        <v>-1.1336367350000001</v>
      </c>
      <c r="T615">
        <v>0.97145961199999997</v>
      </c>
      <c r="U615">
        <v>-2.0290578E-2</v>
      </c>
    </row>
    <row r="616" spans="1:21" x14ac:dyDescent="0.2">
      <c r="A616" t="s">
        <v>27</v>
      </c>
      <c r="B616">
        <v>725360</v>
      </c>
      <c r="C616" t="s">
        <v>6945</v>
      </c>
      <c r="D616" t="s">
        <v>29</v>
      </c>
      <c r="E616" t="s">
        <v>6915</v>
      </c>
      <c r="F616">
        <v>4</v>
      </c>
      <c r="G616">
        <v>13</v>
      </c>
      <c r="H616" t="s">
        <v>8156</v>
      </c>
      <c r="J616" t="s">
        <v>3803</v>
      </c>
      <c r="M616" t="s">
        <v>8157</v>
      </c>
      <c r="N616">
        <v>2.2220813349999999</v>
      </c>
      <c r="O616">
        <v>6.5440947090000003</v>
      </c>
      <c r="P616">
        <v>0.58228215500000002</v>
      </c>
      <c r="Q616">
        <v>0.35188233000000002</v>
      </c>
      <c r="S616" s="13">
        <v>-1.134090437</v>
      </c>
      <c r="T616">
        <v>0.96947703699999999</v>
      </c>
      <c r="U616">
        <v>-7.7146214000000005E-2</v>
      </c>
    </row>
    <row r="617" spans="1:21" x14ac:dyDescent="0.2">
      <c r="A617" t="s">
        <v>485</v>
      </c>
      <c r="B617">
        <v>714000</v>
      </c>
      <c r="C617" t="s">
        <v>6931</v>
      </c>
      <c r="D617" t="s">
        <v>486</v>
      </c>
      <c r="E617" t="s">
        <v>6974</v>
      </c>
      <c r="F617">
        <v>8</v>
      </c>
      <c r="G617">
        <v>15</v>
      </c>
      <c r="H617" t="s">
        <v>8158</v>
      </c>
      <c r="N617">
        <v>1.9323965059999999</v>
      </c>
      <c r="O617">
        <v>3.0528020530000002</v>
      </c>
      <c r="P617">
        <v>2.6493138999999999E-2</v>
      </c>
      <c r="Q617">
        <v>-0.38692188</v>
      </c>
      <c r="S617" s="13">
        <v>-1.1343275740000001</v>
      </c>
      <c r="T617">
        <v>0.96844080600000004</v>
      </c>
      <c r="U617">
        <v>-3.2737146000000002E-2</v>
      </c>
    </row>
    <row r="618" spans="1:21" x14ac:dyDescent="0.2">
      <c r="A618" t="s">
        <v>567</v>
      </c>
      <c r="B618">
        <v>562040</v>
      </c>
      <c r="C618" t="s">
        <v>6961</v>
      </c>
      <c r="D618" t="s">
        <v>567</v>
      </c>
      <c r="E618" t="s">
        <v>6924</v>
      </c>
      <c r="F618">
        <v>24</v>
      </c>
      <c r="G618">
        <v>6</v>
      </c>
      <c r="H618" t="s">
        <v>8159</v>
      </c>
      <c r="J618" t="s">
        <v>6305</v>
      </c>
      <c r="M618" t="s">
        <v>8160</v>
      </c>
      <c r="N618">
        <v>2.7247480949999998</v>
      </c>
      <c r="O618">
        <v>7.0822175119999997</v>
      </c>
      <c r="P618">
        <v>0.61298291999999999</v>
      </c>
      <c r="Q618">
        <v>0.48262032500000002</v>
      </c>
      <c r="S618" s="13">
        <v>-1.1348754000000001</v>
      </c>
      <c r="T618">
        <v>0.96604693100000005</v>
      </c>
      <c r="U618">
        <v>-7.8463623999999996E-2</v>
      </c>
    </row>
    <row r="619" spans="1:21" x14ac:dyDescent="0.2">
      <c r="A619" t="s">
        <v>637</v>
      </c>
      <c r="B619">
        <v>561600</v>
      </c>
      <c r="C619" t="s">
        <v>6961</v>
      </c>
      <c r="D619" t="s">
        <v>637</v>
      </c>
      <c r="E619" t="s">
        <v>6977</v>
      </c>
      <c r="F619">
        <v>19</v>
      </c>
      <c r="G619">
        <v>5</v>
      </c>
      <c r="H619" t="s">
        <v>8161</v>
      </c>
      <c r="J619" t="s">
        <v>5981</v>
      </c>
      <c r="M619" t="s">
        <v>8162</v>
      </c>
      <c r="N619">
        <v>2.7247480949999998</v>
      </c>
      <c r="O619">
        <v>7.0822175119999997</v>
      </c>
      <c r="P619">
        <v>0.61298291999999999</v>
      </c>
      <c r="Q619">
        <v>0.48262032500000002</v>
      </c>
      <c r="S619" s="13">
        <v>-1.13522371</v>
      </c>
      <c r="T619">
        <v>0.96452489299999999</v>
      </c>
      <c r="U619">
        <v>-7.8711789000000004E-2</v>
      </c>
    </row>
    <row r="620" spans="1:21" x14ac:dyDescent="0.2">
      <c r="A620" t="s">
        <v>485</v>
      </c>
      <c r="B620">
        <v>815520</v>
      </c>
      <c r="C620" t="s">
        <v>6910</v>
      </c>
      <c r="D620" t="s">
        <v>486</v>
      </c>
      <c r="E620" t="s">
        <v>6974</v>
      </c>
      <c r="F620">
        <v>8</v>
      </c>
      <c r="G620">
        <v>15</v>
      </c>
      <c r="H620" t="s">
        <v>8163</v>
      </c>
      <c r="J620" t="s">
        <v>962</v>
      </c>
      <c r="M620" t="s">
        <v>8164</v>
      </c>
      <c r="N620">
        <v>1.9874741039999999</v>
      </c>
      <c r="O620">
        <v>3.7453511220000002</v>
      </c>
      <c r="P620">
        <v>0.451009722</v>
      </c>
      <c r="Q620">
        <v>-0.102386592</v>
      </c>
      <c r="S620" s="13">
        <v>-1.135272093</v>
      </c>
      <c r="T620">
        <v>0.96431347099999998</v>
      </c>
      <c r="U620">
        <v>-2.1040834000000001E-2</v>
      </c>
    </row>
    <row r="621" spans="1:21" x14ac:dyDescent="0.2">
      <c r="A621" t="s">
        <v>243</v>
      </c>
      <c r="B621">
        <v>713080</v>
      </c>
      <c r="C621" t="s">
        <v>6931</v>
      </c>
      <c r="D621" t="s">
        <v>243</v>
      </c>
      <c r="E621" t="s">
        <v>6918</v>
      </c>
      <c r="F621">
        <v>14</v>
      </c>
      <c r="G621">
        <v>1</v>
      </c>
      <c r="H621" t="s">
        <v>8165</v>
      </c>
      <c r="N621">
        <v>1.9323965059999999</v>
      </c>
      <c r="O621">
        <v>3.0528020530000002</v>
      </c>
      <c r="P621">
        <v>2.6493138999999999E-2</v>
      </c>
      <c r="Q621">
        <v>-0.38692188</v>
      </c>
      <c r="S621" s="13">
        <v>-1.1355364299999999</v>
      </c>
      <c r="T621">
        <v>0.96315838099999995</v>
      </c>
      <c r="U621">
        <v>-3.3204299E-2</v>
      </c>
    </row>
    <row r="622" spans="1:21" x14ac:dyDescent="0.2">
      <c r="A622" t="s">
        <v>422</v>
      </c>
      <c r="B622">
        <v>796240</v>
      </c>
      <c r="C622" t="s">
        <v>6942</v>
      </c>
      <c r="D622" t="s">
        <v>423</v>
      </c>
      <c r="E622" t="s">
        <v>6974</v>
      </c>
      <c r="F622">
        <v>3</v>
      </c>
      <c r="G622">
        <v>15</v>
      </c>
      <c r="H622" t="s">
        <v>8166</v>
      </c>
      <c r="J622" t="s">
        <v>1711</v>
      </c>
      <c r="M622" t="s">
        <v>8167</v>
      </c>
      <c r="N622">
        <v>2.0902262079999998</v>
      </c>
      <c r="O622">
        <v>4.2704203920000001</v>
      </c>
      <c r="P622">
        <v>0.23425843900000001</v>
      </c>
      <c r="Q622">
        <v>1.6181978999999999E-2</v>
      </c>
      <c r="S622" s="13">
        <v>-1.1357399450000001</v>
      </c>
      <c r="T622">
        <v>0.96226906800000001</v>
      </c>
      <c r="U622">
        <v>-7.7090003000000004E-2</v>
      </c>
    </row>
    <row r="623" spans="1:21" x14ac:dyDescent="0.2">
      <c r="A623" t="s">
        <v>645</v>
      </c>
      <c r="B623">
        <v>849960</v>
      </c>
      <c r="C623" t="s">
        <v>6927</v>
      </c>
      <c r="D623" t="s">
        <v>645</v>
      </c>
      <c r="E623" t="s">
        <v>6974</v>
      </c>
      <c r="F623">
        <v>12</v>
      </c>
      <c r="G623">
        <v>15</v>
      </c>
      <c r="H623" t="s">
        <v>8168</v>
      </c>
      <c r="J623" t="s">
        <v>8169</v>
      </c>
      <c r="M623" t="s">
        <v>8170</v>
      </c>
      <c r="N623">
        <v>1.982575982</v>
      </c>
      <c r="O623">
        <v>3.4571926419999999</v>
      </c>
      <c r="P623">
        <v>-0.114791479</v>
      </c>
      <c r="Q623">
        <v>1.868949E-3</v>
      </c>
      <c r="S623" s="13">
        <v>-1.1357938860000001</v>
      </c>
      <c r="T623">
        <v>0.96203335499999998</v>
      </c>
      <c r="U623">
        <v>-6.3053951999999996E-2</v>
      </c>
    </row>
    <row r="624" spans="1:21" x14ac:dyDescent="0.2">
      <c r="A624" t="s">
        <v>1598</v>
      </c>
      <c r="B624">
        <v>723400</v>
      </c>
      <c r="C624" t="s">
        <v>6945</v>
      </c>
      <c r="D624" t="s">
        <v>1598</v>
      </c>
      <c r="E624" t="s">
        <v>6970</v>
      </c>
      <c r="F624">
        <v>17</v>
      </c>
      <c r="G624">
        <v>14</v>
      </c>
      <c r="H624" t="s">
        <v>8171</v>
      </c>
      <c r="J624" t="s">
        <v>3332</v>
      </c>
      <c r="M624" t="s">
        <v>8172</v>
      </c>
      <c r="N624">
        <v>2.2220813349999999</v>
      </c>
      <c r="O624">
        <v>6.5440947090000003</v>
      </c>
      <c r="P624">
        <v>0.58228215500000002</v>
      </c>
      <c r="Q624">
        <v>0.35188233000000002</v>
      </c>
      <c r="S624" s="13">
        <v>-1.13593918</v>
      </c>
      <c r="T624">
        <v>0.96139845400000001</v>
      </c>
      <c r="U624">
        <v>-7.8249413000000004E-2</v>
      </c>
    </row>
    <row r="625" spans="1:21" x14ac:dyDescent="0.2">
      <c r="A625" t="s">
        <v>27</v>
      </c>
      <c r="B625">
        <v>560640</v>
      </c>
      <c r="C625" t="s">
        <v>6961</v>
      </c>
      <c r="D625" t="s">
        <v>29</v>
      </c>
      <c r="E625" t="s">
        <v>6915</v>
      </c>
      <c r="F625">
        <v>4</v>
      </c>
      <c r="G625">
        <v>13</v>
      </c>
      <c r="H625" t="s">
        <v>8173</v>
      </c>
      <c r="J625" t="s">
        <v>3739</v>
      </c>
      <c r="M625" t="s">
        <v>8174</v>
      </c>
      <c r="N625">
        <v>2.7247480949999998</v>
      </c>
      <c r="O625">
        <v>7.0822175119999997</v>
      </c>
      <c r="P625">
        <v>0.61298291999999999</v>
      </c>
      <c r="Q625">
        <v>0.48262032500000002</v>
      </c>
      <c r="S625" s="13">
        <v>-1.135983661</v>
      </c>
      <c r="T625">
        <v>0.96120408300000004</v>
      </c>
      <c r="U625">
        <v>-7.9253733000000007E-2</v>
      </c>
    </row>
    <row r="626" spans="1:21" x14ac:dyDescent="0.2">
      <c r="A626" t="s">
        <v>111</v>
      </c>
      <c r="B626">
        <v>712680</v>
      </c>
      <c r="C626" t="s">
        <v>6931</v>
      </c>
      <c r="D626" t="s">
        <v>112</v>
      </c>
      <c r="E626" t="s">
        <v>6970</v>
      </c>
      <c r="F626">
        <v>2</v>
      </c>
      <c r="G626">
        <v>14</v>
      </c>
      <c r="H626" t="s">
        <v>8175</v>
      </c>
      <c r="J626" t="s">
        <v>2407</v>
      </c>
      <c r="M626" t="s">
        <v>8176</v>
      </c>
      <c r="N626">
        <v>1.9323965059999999</v>
      </c>
      <c r="O626">
        <v>3.0528020530000002</v>
      </c>
      <c r="P626">
        <v>2.6493138999999999E-2</v>
      </c>
      <c r="Q626">
        <v>-0.38692188</v>
      </c>
      <c r="S626" s="13">
        <v>-1.13606202</v>
      </c>
      <c r="T626">
        <v>0.960861674</v>
      </c>
      <c r="U626">
        <v>-3.3407565E-2</v>
      </c>
    </row>
    <row r="627" spans="1:21" x14ac:dyDescent="0.2">
      <c r="A627" t="s">
        <v>507</v>
      </c>
      <c r="B627">
        <v>723040</v>
      </c>
      <c r="C627" t="s">
        <v>6945</v>
      </c>
      <c r="D627" t="s">
        <v>508</v>
      </c>
      <c r="E627" t="s">
        <v>6918</v>
      </c>
      <c r="F627">
        <v>5</v>
      </c>
      <c r="G627">
        <v>1</v>
      </c>
      <c r="H627" t="s">
        <v>8177</v>
      </c>
      <c r="J627" t="s">
        <v>5048</v>
      </c>
      <c r="M627" t="s">
        <v>8178</v>
      </c>
      <c r="N627">
        <v>2.2220813349999999</v>
      </c>
      <c r="O627">
        <v>6.5440947090000003</v>
      </c>
      <c r="P627">
        <v>0.58228215500000002</v>
      </c>
      <c r="Q627">
        <v>0.35188233000000002</v>
      </c>
      <c r="S627" s="13">
        <v>-1.136278745</v>
      </c>
      <c r="T627">
        <v>0.95991463300000002</v>
      </c>
      <c r="U627">
        <v>-7.8452347000000006E-2</v>
      </c>
    </row>
    <row r="628" spans="1:21" x14ac:dyDescent="0.2">
      <c r="A628" t="s">
        <v>551</v>
      </c>
      <c r="B628">
        <v>898440</v>
      </c>
      <c r="C628" t="s">
        <v>6914</v>
      </c>
      <c r="D628" t="s">
        <v>551</v>
      </c>
      <c r="E628" t="s">
        <v>6928</v>
      </c>
      <c r="F628">
        <v>11</v>
      </c>
      <c r="G628">
        <v>16</v>
      </c>
      <c r="H628" t="s">
        <v>8179</v>
      </c>
      <c r="J628" t="s">
        <v>2527</v>
      </c>
      <c r="M628" t="s">
        <v>8180</v>
      </c>
      <c r="N628">
        <v>1.8217074179999999</v>
      </c>
      <c r="O628">
        <v>4.1700741289999996</v>
      </c>
      <c r="P628">
        <v>0.189705977</v>
      </c>
      <c r="Q628">
        <v>-1.7194070999999998E-2</v>
      </c>
      <c r="S628" s="13">
        <v>-1.136369103</v>
      </c>
      <c r="T628">
        <v>0.95951978800000004</v>
      </c>
      <c r="U628">
        <v>-8.0634225000000004E-2</v>
      </c>
    </row>
    <row r="629" spans="1:21" x14ac:dyDescent="0.2">
      <c r="A629" t="s">
        <v>1010</v>
      </c>
      <c r="B629">
        <v>560120</v>
      </c>
      <c r="C629" t="s">
        <v>6961</v>
      </c>
      <c r="D629" t="s">
        <v>1010</v>
      </c>
      <c r="E629" t="s">
        <v>6970</v>
      </c>
      <c r="F629">
        <v>19</v>
      </c>
      <c r="G629">
        <v>14</v>
      </c>
      <c r="H629" t="s">
        <v>8181</v>
      </c>
      <c r="J629" t="s">
        <v>1012</v>
      </c>
      <c r="M629" t="s">
        <v>8182</v>
      </c>
      <c r="N629">
        <v>2.7247480949999998</v>
      </c>
      <c r="O629">
        <v>7.0822175119999997</v>
      </c>
      <c r="P629">
        <v>0.61298291999999999</v>
      </c>
      <c r="Q629">
        <v>0.48262032500000002</v>
      </c>
      <c r="S629" s="13">
        <v>-1.1363953010000001</v>
      </c>
      <c r="T629">
        <v>0.95940531100000004</v>
      </c>
      <c r="U629">
        <v>-7.9547567999999999E-2</v>
      </c>
    </row>
    <row r="630" spans="1:21" x14ac:dyDescent="0.2">
      <c r="A630" t="s">
        <v>2206</v>
      </c>
      <c r="B630">
        <v>560000</v>
      </c>
      <c r="C630" t="s">
        <v>6961</v>
      </c>
      <c r="D630" t="s">
        <v>2207</v>
      </c>
      <c r="E630" t="s">
        <v>6956</v>
      </c>
      <c r="F630">
        <v>3</v>
      </c>
      <c r="G630">
        <v>7</v>
      </c>
      <c r="H630" t="s">
        <v>8183</v>
      </c>
      <c r="J630" t="s">
        <v>2622</v>
      </c>
      <c r="M630" t="s">
        <v>8184</v>
      </c>
      <c r="N630">
        <v>2.7247480949999998</v>
      </c>
      <c r="O630">
        <v>7.0822175119999997</v>
      </c>
      <c r="P630">
        <v>0.61298291999999999</v>
      </c>
      <c r="Q630">
        <v>0.48262032500000002</v>
      </c>
      <c r="S630" s="13">
        <v>-1.136490295</v>
      </c>
      <c r="T630">
        <v>0.95899020899999998</v>
      </c>
      <c r="U630">
        <v>-7.9615404000000001E-2</v>
      </c>
    </row>
    <row r="631" spans="1:21" x14ac:dyDescent="0.2">
      <c r="A631" t="s">
        <v>892</v>
      </c>
      <c r="B631">
        <v>795320</v>
      </c>
      <c r="C631" t="s">
        <v>6942</v>
      </c>
      <c r="D631" t="s">
        <v>892</v>
      </c>
      <c r="E631" t="s">
        <v>6977</v>
      </c>
      <c r="F631">
        <v>21</v>
      </c>
      <c r="G631">
        <v>5</v>
      </c>
      <c r="H631" t="s">
        <v>8185</v>
      </c>
      <c r="J631" t="s">
        <v>3579</v>
      </c>
      <c r="M631" t="s">
        <v>8186</v>
      </c>
      <c r="N631">
        <v>2.0902262079999998</v>
      </c>
      <c r="O631">
        <v>4.2704203920000001</v>
      </c>
      <c r="P631">
        <v>0.23425843900000001</v>
      </c>
      <c r="Q631">
        <v>1.6181978999999999E-2</v>
      </c>
      <c r="S631" s="13">
        <v>-1.1366429149999999</v>
      </c>
      <c r="T631">
        <v>0.95832329500000002</v>
      </c>
      <c r="U631">
        <v>-7.7607415999999999E-2</v>
      </c>
    </row>
    <row r="632" spans="1:21" x14ac:dyDescent="0.2">
      <c r="A632" t="s">
        <v>727</v>
      </c>
      <c r="B632">
        <v>898000</v>
      </c>
      <c r="C632" t="s">
        <v>6914</v>
      </c>
      <c r="D632" t="s">
        <v>727</v>
      </c>
      <c r="E632" t="s">
        <v>7115</v>
      </c>
      <c r="F632">
        <v>23</v>
      </c>
      <c r="G632">
        <v>10</v>
      </c>
      <c r="H632" t="s">
        <v>8187</v>
      </c>
      <c r="J632" t="s">
        <v>729</v>
      </c>
      <c r="M632" t="s">
        <v>8188</v>
      </c>
      <c r="N632">
        <v>1.8217074179999999</v>
      </c>
      <c r="O632">
        <v>4.1700741289999996</v>
      </c>
      <c r="P632">
        <v>0.189705977</v>
      </c>
      <c r="Q632">
        <v>-1.7194070999999998E-2</v>
      </c>
      <c r="S632" s="13">
        <v>-1.1368983189999999</v>
      </c>
      <c r="T632">
        <v>0.95720723900000004</v>
      </c>
      <c r="U632">
        <v>-8.0883632999999996E-2</v>
      </c>
    </row>
    <row r="633" spans="1:21" x14ac:dyDescent="0.2">
      <c r="A633" t="s">
        <v>2657</v>
      </c>
      <c r="B633">
        <v>559280</v>
      </c>
      <c r="C633" t="s">
        <v>6961</v>
      </c>
      <c r="D633" t="s">
        <v>2658</v>
      </c>
      <c r="E633" t="s">
        <v>6977</v>
      </c>
      <c r="F633">
        <v>8</v>
      </c>
      <c r="G633">
        <v>5</v>
      </c>
      <c r="H633" t="s">
        <v>8189</v>
      </c>
      <c r="J633" t="s">
        <v>3283</v>
      </c>
      <c r="M633" t="s">
        <v>8190</v>
      </c>
      <c r="N633">
        <v>2.7247480949999998</v>
      </c>
      <c r="O633">
        <v>7.0822175119999997</v>
      </c>
      <c r="P633">
        <v>0.61298291999999999</v>
      </c>
      <c r="Q633">
        <v>0.48262032500000002</v>
      </c>
      <c r="S633" s="13">
        <v>-1.137060258</v>
      </c>
      <c r="T633">
        <v>0.95649960099999998</v>
      </c>
      <c r="U633">
        <v>-8.0022646000000003E-2</v>
      </c>
    </row>
    <row r="634" spans="1:21" x14ac:dyDescent="0.2">
      <c r="A634" t="s">
        <v>681</v>
      </c>
      <c r="B634">
        <v>559200</v>
      </c>
      <c r="C634" t="s">
        <v>6961</v>
      </c>
      <c r="D634" t="s">
        <v>682</v>
      </c>
      <c r="E634" t="s">
        <v>6907</v>
      </c>
      <c r="F634">
        <v>5</v>
      </c>
      <c r="G634">
        <v>4</v>
      </c>
      <c r="H634" t="s">
        <v>8191</v>
      </c>
      <c r="J634" t="s">
        <v>3867</v>
      </c>
      <c r="M634" t="s">
        <v>8192</v>
      </c>
      <c r="N634">
        <v>2.7247480949999998</v>
      </c>
      <c r="O634">
        <v>7.0822175119999997</v>
      </c>
      <c r="P634">
        <v>0.61298291999999999</v>
      </c>
      <c r="Q634">
        <v>0.48262032500000002</v>
      </c>
      <c r="S634" s="13">
        <v>-1.137123587</v>
      </c>
      <c r="T634">
        <v>0.95622286700000003</v>
      </c>
      <c r="U634">
        <v>-8.0067918000000002E-2</v>
      </c>
    </row>
    <row r="635" spans="1:21" x14ac:dyDescent="0.2">
      <c r="A635" t="s">
        <v>560</v>
      </c>
      <c r="B635">
        <v>813520</v>
      </c>
      <c r="C635" t="s">
        <v>6910</v>
      </c>
      <c r="D635" t="s">
        <v>560</v>
      </c>
      <c r="E635" t="s">
        <v>6928</v>
      </c>
      <c r="F635">
        <v>13</v>
      </c>
      <c r="G635">
        <v>16</v>
      </c>
      <c r="H635" t="s">
        <v>8193</v>
      </c>
      <c r="J635" t="s">
        <v>587</v>
      </c>
      <c r="M635" t="s">
        <v>8194</v>
      </c>
      <c r="N635">
        <v>1.9874741039999999</v>
      </c>
      <c r="O635">
        <v>3.7453511220000002</v>
      </c>
      <c r="P635">
        <v>0.451009722</v>
      </c>
      <c r="Q635">
        <v>-0.102386592</v>
      </c>
      <c r="S635" s="13">
        <v>-1.1374238809999999</v>
      </c>
      <c r="T635">
        <v>0.954910653</v>
      </c>
      <c r="U635">
        <v>-2.2029990999999999E-2</v>
      </c>
    </row>
    <row r="636" spans="1:21" x14ac:dyDescent="0.2">
      <c r="A636" t="s">
        <v>158</v>
      </c>
      <c r="B636">
        <v>913400</v>
      </c>
      <c r="C636" t="s">
        <v>6953</v>
      </c>
      <c r="D636" t="s">
        <v>158</v>
      </c>
      <c r="E636" t="s">
        <v>6918</v>
      </c>
      <c r="F636">
        <v>24</v>
      </c>
      <c r="G636">
        <v>1</v>
      </c>
      <c r="H636" t="s">
        <v>8195</v>
      </c>
      <c r="J636" t="s">
        <v>162</v>
      </c>
      <c r="M636" t="s">
        <v>8196</v>
      </c>
      <c r="N636">
        <v>1.921480887</v>
      </c>
      <c r="O636">
        <v>3.0856645180000002</v>
      </c>
      <c r="P636">
        <v>0.44706724399999997</v>
      </c>
      <c r="Q636">
        <v>-0.354940863</v>
      </c>
      <c r="S636" s="13">
        <v>-1.137443709</v>
      </c>
      <c r="T636">
        <v>0.954824008</v>
      </c>
      <c r="U636">
        <v>-2.1624164000000001E-2</v>
      </c>
    </row>
    <row r="637" spans="1:21" x14ac:dyDescent="0.2">
      <c r="A637" t="s">
        <v>727</v>
      </c>
      <c r="B637">
        <v>812840</v>
      </c>
      <c r="C637" t="s">
        <v>6910</v>
      </c>
      <c r="D637" t="s">
        <v>727</v>
      </c>
      <c r="E637" t="s">
        <v>7115</v>
      </c>
      <c r="F637">
        <v>23</v>
      </c>
      <c r="G637">
        <v>10</v>
      </c>
      <c r="H637" t="s">
        <v>8197</v>
      </c>
      <c r="J637" t="s">
        <v>3250</v>
      </c>
      <c r="M637" t="s">
        <v>8198</v>
      </c>
      <c r="N637">
        <v>1.9874741039999999</v>
      </c>
      <c r="O637">
        <v>3.7453511220000002</v>
      </c>
      <c r="P637">
        <v>0.451009722</v>
      </c>
      <c r="Q637">
        <v>-0.102386592</v>
      </c>
      <c r="S637" s="13">
        <v>-1.138155488</v>
      </c>
      <c r="T637">
        <v>0.95171369500000003</v>
      </c>
      <c r="U637">
        <v>-2.2366819E-2</v>
      </c>
    </row>
    <row r="638" spans="1:21" x14ac:dyDescent="0.2">
      <c r="A638" t="s">
        <v>1593</v>
      </c>
      <c r="B638">
        <v>793720</v>
      </c>
      <c r="C638" t="s">
        <v>6942</v>
      </c>
      <c r="D638" t="s">
        <v>1593</v>
      </c>
      <c r="E638" t="s">
        <v>6939</v>
      </c>
      <c r="F638">
        <v>14</v>
      </c>
      <c r="G638">
        <v>2</v>
      </c>
      <c r="H638" t="s">
        <v>8199</v>
      </c>
      <c r="J638" t="s">
        <v>2739</v>
      </c>
      <c r="M638" t="s">
        <v>8200</v>
      </c>
      <c r="N638">
        <v>2.0902262079999998</v>
      </c>
      <c r="O638">
        <v>4.2704203920000001</v>
      </c>
      <c r="P638">
        <v>0.23425843900000001</v>
      </c>
      <c r="Q638">
        <v>1.6181978999999999E-2</v>
      </c>
      <c r="S638" s="13">
        <v>-1.1382132970000001</v>
      </c>
      <c r="T638">
        <v>0.95146108299999999</v>
      </c>
      <c r="U638">
        <v>-7.8508733999999997E-2</v>
      </c>
    </row>
    <row r="639" spans="1:21" x14ac:dyDescent="0.2">
      <c r="A639" t="s">
        <v>583</v>
      </c>
      <c r="B639">
        <v>720880</v>
      </c>
      <c r="C639" t="s">
        <v>6945</v>
      </c>
      <c r="D639" t="s">
        <v>583</v>
      </c>
      <c r="E639" t="s">
        <v>6907</v>
      </c>
      <c r="F639">
        <v>23</v>
      </c>
      <c r="G639">
        <v>4</v>
      </c>
      <c r="H639" t="s">
        <v>8201</v>
      </c>
      <c r="J639" t="s">
        <v>2105</v>
      </c>
      <c r="M639" t="s">
        <v>8202</v>
      </c>
      <c r="N639">
        <v>2.2220813349999999</v>
      </c>
      <c r="O639">
        <v>6.5440947090000003</v>
      </c>
      <c r="P639">
        <v>0.58228215500000002</v>
      </c>
      <c r="Q639">
        <v>0.35188233000000002</v>
      </c>
      <c r="S639" s="13">
        <v>-1.138316135</v>
      </c>
      <c r="T639">
        <v>0.95101170499999998</v>
      </c>
      <c r="U639">
        <v>-7.9671942999999995E-2</v>
      </c>
    </row>
    <row r="640" spans="1:21" x14ac:dyDescent="0.2">
      <c r="A640" t="s">
        <v>1373</v>
      </c>
      <c r="B640">
        <v>557320</v>
      </c>
      <c r="C640" t="s">
        <v>6961</v>
      </c>
      <c r="D640" t="s">
        <v>1373</v>
      </c>
      <c r="E640" t="s">
        <v>6977</v>
      </c>
      <c r="F640">
        <v>10</v>
      </c>
      <c r="G640">
        <v>5</v>
      </c>
      <c r="H640" t="s">
        <v>8203</v>
      </c>
      <c r="J640" t="s">
        <v>2752</v>
      </c>
      <c r="M640" t="s">
        <v>8204</v>
      </c>
      <c r="N640">
        <v>2.7247480949999998</v>
      </c>
      <c r="O640">
        <v>7.0822175119999997</v>
      </c>
      <c r="P640">
        <v>0.61298291999999999</v>
      </c>
      <c r="Q640">
        <v>0.48262032500000002</v>
      </c>
      <c r="S640" s="13">
        <v>-1.1386118240000001</v>
      </c>
      <c r="T640">
        <v>0.94971961400000005</v>
      </c>
      <c r="U640">
        <v>-8.1133185999999996E-2</v>
      </c>
    </row>
    <row r="641" spans="1:21" x14ac:dyDescent="0.2">
      <c r="A641" t="s">
        <v>389</v>
      </c>
      <c r="B641">
        <v>793000</v>
      </c>
      <c r="C641" t="s">
        <v>6942</v>
      </c>
      <c r="D641" t="s">
        <v>389</v>
      </c>
      <c r="E641" t="s">
        <v>6974</v>
      </c>
      <c r="F641">
        <v>11</v>
      </c>
      <c r="G641">
        <v>15</v>
      </c>
      <c r="H641" t="s">
        <v>8205</v>
      </c>
      <c r="J641" t="s">
        <v>960</v>
      </c>
      <c r="M641" t="s">
        <v>8206</v>
      </c>
      <c r="N641">
        <v>2.0902262079999998</v>
      </c>
      <c r="O641">
        <v>4.2704203920000001</v>
      </c>
      <c r="P641">
        <v>0.23425843900000001</v>
      </c>
      <c r="Q641">
        <v>1.6181978999999999E-2</v>
      </c>
      <c r="S641" s="13">
        <v>-1.138919969</v>
      </c>
      <c r="T641">
        <v>0.948373087</v>
      </c>
      <c r="U641">
        <v>-7.8914938000000004E-2</v>
      </c>
    </row>
    <row r="642" spans="1:21" x14ac:dyDescent="0.2">
      <c r="A642" t="s">
        <v>1788</v>
      </c>
      <c r="B642">
        <v>719720</v>
      </c>
      <c r="C642" t="s">
        <v>6945</v>
      </c>
      <c r="D642" t="s">
        <v>1788</v>
      </c>
      <c r="E642" t="s">
        <v>6956</v>
      </c>
      <c r="F642">
        <v>10</v>
      </c>
      <c r="G642">
        <v>7</v>
      </c>
      <c r="H642" t="s">
        <v>8207</v>
      </c>
      <c r="J642" t="s">
        <v>3876</v>
      </c>
      <c r="M642" t="s">
        <v>8208</v>
      </c>
      <c r="N642">
        <v>2.2220813349999999</v>
      </c>
      <c r="O642">
        <v>6.5440947090000003</v>
      </c>
      <c r="P642">
        <v>0.58228215500000002</v>
      </c>
      <c r="Q642">
        <v>0.35188233000000002</v>
      </c>
      <c r="S642" s="13">
        <v>-1.139410289</v>
      </c>
      <c r="T642">
        <v>0.946230503</v>
      </c>
      <c r="U642">
        <v>-8.0328327000000005E-2</v>
      </c>
    </row>
    <row r="643" spans="1:21" x14ac:dyDescent="0.2">
      <c r="A643" t="s">
        <v>1461</v>
      </c>
      <c r="B643">
        <v>895800</v>
      </c>
      <c r="C643" t="s">
        <v>6914</v>
      </c>
      <c r="D643" t="s">
        <v>1461</v>
      </c>
      <c r="E643" t="s">
        <v>6918</v>
      </c>
      <c r="F643">
        <v>21</v>
      </c>
      <c r="G643">
        <v>1</v>
      </c>
      <c r="H643" t="s">
        <v>8209</v>
      </c>
      <c r="J643" t="s">
        <v>3581</v>
      </c>
      <c r="M643" t="s">
        <v>8210</v>
      </c>
      <c r="N643">
        <v>1.8217074179999999</v>
      </c>
      <c r="O643">
        <v>4.1700741289999996</v>
      </c>
      <c r="P643">
        <v>0.189705977</v>
      </c>
      <c r="Q643">
        <v>-1.7194070999999998E-2</v>
      </c>
      <c r="S643" s="13">
        <v>-1.1395443940000001</v>
      </c>
      <c r="T643">
        <v>0.94564449399999995</v>
      </c>
      <c r="U643">
        <v>-8.2132831000000003E-2</v>
      </c>
    </row>
    <row r="644" spans="1:21" x14ac:dyDescent="0.2">
      <c r="A644" t="s">
        <v>1714</v>
      </c>
      <c r="B644">
        <v>719480</v>
      </c>
      <c r="C644" t="s">
        <v>6945</v>
      </c>
      <c r="D644" t="s">
        <v>1715</v>
      </c>
      <c r="E644" t="s">
        <v>6915</v>
      </c>
      <c r="F644">
        <v>7</v>
      </c>
      <c r="G644">
        <v>13</v>
      </c>
      <c r="H644" t="s">
        <v>8211</v>
      </c>
      <c r="J644" t="s">
        <v>4272</v>
      </c>
      <c r="M644" t="s">
        <v>8212</v>
      </c>
      <c r="N644">
        <v>2.2220813349999999</v>
      </c>
      <c r="O644">
        <v>6.5440947090000003</v>
      </c>
      <c r="P644">
        <v>0.58228215500000002</v>
      </c>
      <c r="Q644">
        <v>0.35188233000000002</v>
      </c>
      <c r="S644" s="13">
        <v>-1.139636665</v>
      </c>
      <c r="T644">
        <v>0.94524128900000004</v>
      </c>
      <c r="U644">
        <v>-8.0464254999999998E-2</v>
      </c>
    </row>
    <row r="645" spans="1:21" x14ac:dyDescent="0.2">
      <c r="A645" t="s">
        <v>198</v>
      </c>
      <c r="B645">
        <v>902760</v>
      </c>
      <c r="C645" t="s">
        <v>6938</v>
      </c>
      <c r="D645" t="s">
        <v>199</v>
      </c>
      <c r="E645" t="s">
        <v>6918</v>
      </c>
      <c r="F645">
        <v>3</v>
      </c>
      <c r="G645">
        <v>1</v>
      </c>
      <c r="H645" t="s">
        <v>8213</v>
      </c>
      <c r="J645" t="s">
        <v>865</v>
      </c>
      <c r="M645" t="s">
        <v>8214</v>
      </c>
      <c r="N645">
        <v>2.092758737</v>
      </c>
      <c r="O645">
        <v>5.3323610669999999</v>
      </c>
      <c r="P645">
        <v>0.70420098600000003</v>
      </c>
      <c r="Q645">
        <v>0.41355372699999998</v>
      </c>
      <c r="S645" s="13">
        <v>-1.1398144969999999</v>
      </c>
      <c r="T645">
        <v>0.944464207</v>
      </c>
      <c r="U645">
        <v>-5.3037451999999999E-2</v>
      </c>
    </row>
    <row r="646" spans="1:21" x14ac:dyDescent="0.2">
      <c r="A646" t="s">
        <v>385</v>
      </c>
      <c r="B646">
        <v>792040</v>
      </c>
      <c r="C646" t="s">
        <v>6942</v>
      </c>
      <c r="D646" t="s">
        <v>386</v>
      </c>
      <c r="E646" t="s">
        <v>6928</v>
      </c>
      <c r="F646">
        <v>7</v>
      </c>
      <c r="G646">
        <v>16</v>
      </c>
      <c r="H646" t="s">
        <v>8215</v>
      </c>
      <c r="J646" t="s">
        <v>4716</v>
      </c>
      <c r="M646" t="s">
        <v>8216</v>
      </c>
      <c r="N646">
        <v>2.0902262079999998</v>
      </c>
      <c r="O646">
        <v>4.2704203920000001</v>
      </c>
      <c r="P646">
        <v>0.23425843900000001</v>
      </c>
      <c r="Q646">
        <v>1.6181978999999999E-2</v>
      </c>
      <c r="S646" s="13">
        <v>-1.139862199</v>
      </c>
      <c r="T646">
        <v>0.94425575900000003</v>
      </c>
      <c r="U646">
        <v>-7.9457135999999998E-2</v>
      </c>
    </row>
    <row r="647" spans="1:21" x14ac:dyDescent="0.2">
      <c r="A647" t="s">
        <v>280</v>
      </c>
      <c r="B647">
        <v>811000</v>
      </c>
      <c r="C647" t="s">
        <v>6910</v>
      </c>
      <c r="D647" t="s">
        <v>280</v>
      </c>
      <c r="E647" t="s">
        <v>6921</v>
      </c>
      <c r="F647">
        <v>24</v>
      </c>
      <c r="G647">
        <v>8</v>
      </c>
      <c r="H647" t="s">
        <v>8217</v>
      </c>
      <c r="J647" t="s">
        <v>474</v>
      </c>
      <c r="M647" t="s">
        <v>8218</v>
      </c>
      <c r="N647">
        <v>1.9874741039999999</v>
      </c>
      <c r="O647">
        <v>3.7453511220000002</v>
      </c>
      <c r="P647">
        <v>0.451009722</v>
      </c>
      <c r="Q647">
        <v>-0.102386592</v>
      </c>
      <c r="S647" s="13">
        <v>-1.1401351319999999</v>
      </c>
      <c r="T647">
        <v>0.94306310299999996</v>
      </c>
      <c r="U647">
        <v>-2.3279547000000001E-2</v>
      </c>
    </row>
    <row r="648" spans="1:21" x14ac:dyDescent="0.2">
      <c r="A648" t="s">
        <v>325</v>
      </c>
      <c r="B648">
        <v>718840</v>
      </c>
      <c r="C648" t="s">
        <v>6945</v>
      </c>
      <c r="D648" t="s">
        <v>326</v>
      </c>
      <c r="E648" t="s">
        <v>6921</v>
      </c>
      <c r="F648">
        <v>2</v>
      </c>
      <c r="G648">
        <v>8</v>
      </c>
      <c r="H648" t="s">
        <v>8219</v>
      </c>
      <c r="J648" t="s">
        <v>6159</v>
      </c>
      <c r="M648" t="s">
        <v>8220</v>
      </c>
      <c r="N648">
        <v>2.2220813349999999</v>
      </c>
      <c r="O648">
        <v>6.5440947090000003</v>
      </c>
      <c r="P648">
        <v>0.58228215500000002</v>
      </c>
      <c r="Q648">
        <v>0.35188233000000002</v>
      </c>
      <c r="S648" s="13">
        <v>-1.140240337</v>
      </c>
      <c r="T648">
        <v>0.94260338399999999</v>
      </c>
      <c r="U648">
        <v>-8.0826937000000001E-2</v>
      </c>
    </row>
    <row r="649" spans="1:21" x14ac:dyDescent="0.2">
      <c r="A649" t="s">
        <v>485</v>
      </c>
      <c r="B649">
        <v>895120</v>
      </c>
      <c r="C649" t="s">
        <v>6914</v>
      </c>
      <c r="D649" t="s">
        <v>486</v>
      </c>
      <c r="E649" t="s">
        <v>6974</v>
      </c>
      <c r="F649">
        <v>8</v>
      </c>
      <c r="G649">
        <v>15</v>
      </c>
      <c r="H649" t="s">
        <v>8221</v>
      </c>
      <c r="J649" t="s">
        <v>5593</v>
      </c>
      <c r="M649" t="s">
        <v>8222</v>
      </c>
      <c r="N649">
        <v>1.8217074179999999</v>
      </c>
      <c r="O649">
        <v>4.1700741289999996</v>
      </c>
      <c r="P649">
        <v>0.189705977</v>
      </c>
      <c r="Q649">
        <v>-1.7194070999999998E-2</v>
      </c>
      <c r="S649" s="13">
        <v>-1.140362272</v>
      </c>
      <c r="T649">
        <v>0.94207055500000003</v>
      </c>
      <c r="U649">
        <v>-8.2519674000000001E-2</v>
      </c>
    </row>
    <row r="650" spans="1:21" x14ac:dyDescent="0.2">
      <c r="A650" t="s">
        <v>364</v>
      </c>
      <c r="B650">
        <v>718320</v>
      </c>
      <c r="C650" t="s">
        <v>6945</v>
      </c>
      <c r="D650" t="s">
        <v>364</v>
      </c>
      <c r="E650" t="s">
        <v>6970</v>
      </c>
      <c r="F650">
        <v>23</v>
      </c>
      <c r="G650">
        <v>14</v>
      </c>
      <c r="H650" t="s">
        <v>8223</v>
      </c>
      <c r="J650" t="s">
        <v>2018</v>
      </c>
      <c r="M650" t="s">
        <v>8224</v>
      </c>
      <c r="N650">
        <v>2.2220813349999999</v>
      </c>
      <c r="O650">
        <v>6.5440947090000003</v>
      </c>
      <c r="P650">
        <v>0.58228215500000002</v>
      </c>
      <c r="Q650">
        <v>0.35188233000000002</v>
      </c>
      <c r="S650" s="13">
        <v>-1.1407308190000001</v>
      </c>
      <c r="T650">
        <v>0.94046008699999994</v>
      </c>
      <c r="U650">
        <v>-8.1121839000000001E-2</v>
      </c>
    </row>
    <row r="651" spans="1:21" x14ac:dyDescent="0.2">
      <c r="A651" t="s">
        <v>759</v>
      </c>
      <c r="B651">
        <v>708800</v>
      </c>
      <c r="C651" t="s">
        <v>6931</v>
      </c>
      <c r="D651" t="s">
        <v>760</v>
      </c>
      <c r="E651" t="s">
        <v>6907</v>
      </c>
      <c r="F651">
        <v>4</v>
      </c>
      <c r="G651">
        <v>4</v>
      </c>
      <c r="H651" t="s">
        <v>8225</v>
      </c>
      <c r="N651">
        <v>1.9323965059999999</v>
      </c>
      <c r="O651">
        <v>3.0528020530000002</v>
      </c>
      <c r="P651">
        <v>2.6493138999999999E-2</v>
      </c>
      <c r="Q651">
        <v>-0.38692188</v>
      </c>
      <c r="S651" s="13">
        <v>-1.141160239</v>
      </c>
      <c r="T651">
        <v>0.93858361999999995</v>
      </c>
      <c r="U651">
        <v>-3.5384205000000002E-2</v>
      </c>
    </row>
    <row r="652" spans="1:21" x14ac:dyDescent="0.2">
      <c r="A652" t="s">
        <v>610</v>
      </c>
      <c r="B652">
        <v>708760</v>
      </c>
      <c r="C652" t="s">
        <v>6931</v>
      </c>
      <c r="D652" t="s">
        <v>611</v>
      </c>
      <c r="E652" t="s">
        <v>6974</v>
      </c>
      <c r="F652">
        <v>9</v>
      </c>
      <c r="G652">
        <v>15</v>
      </c>
      <c r="H652" t="s">
        <v>8226</v>
      </c>
      <c r="N652">
        <v>1.9323965059999999</v>
      </c>
      <c r="O652">
        <v>3.0528020530000002</v>
      </c>
      <c r="P652">
        <v>2.6493138999999999E-2</v>
      </c>
      <c r="Q652">
        <v>-0.38692188</v>
      </c>
      <c r="S652" s="13">
        <v>-1.141212798</v>
      </c>
      <c r="T652">
        <v>0.93835394900000002</v>
      </c>
      <c r="U652">
        <v>-3.5404629999999999E-2</v>
      </c>
    </row>
    <row r="653" spans="1:21" x14ac:dyDescent="0.2">
      <c r="A653" t="s">
        <v>2089</v>
      </c>
      <c r="B653">
        <v>717400</v>
      </c>
      <c r="C653" t="s">
        <v>6945</v>
      </c>
      <c r="D653" t="s">
        <v>2090</v>
      </c>
      <c r="E653" t="s">
        <v>7085</v>
      </c>
      <c r="F653">
        <v>3</v>
      </c>
      <c r="G653">
        <v>9</v>
      </c>
      <c r="H653" t="s">
        <v>8227</v>
      </c>
      <c r="J653" t="s">
        <v>4248</v>
      </c>
      <c r="M653" t="s">
        <v>8228</v>
      </c>
      <c r="N653">
        <v>2.2220813349999999</v>
      </c>
      <c r="O653">
        <v>6.5440947090000003</v>
      </c>
      <c r="P653">
        <v>0.58228215500000002</v>
      </c>
      <c r="Q653">
        <v>0.35188233000000002</v>
      </c>
      <c r="S653" s="13">
        <v>-1.1415985959999999</v>
      </c>
      <c r="T653">
        <v>0.93666809900000003</v>
      </c>
      <c r="U653">
        <v>-8.1644079999999994E-2</v>
      </c>
    </row>
    <row r="654" spans="1:21" x14ac:dyDescent="0.2">
      <c r="A654" t="s">
        <v>2206</v>
      </c>
      <c r="B654">
        <v>708400</v>
      </c>
      <c r="C654" t="s">
        <v>6931</v>
      </c>
      <c r="D654" t="s">
        <v>2207</v>
      </c>
      <c r="E654" t="s">
        <v>6956</v>
      </c>
      <c r="F654">
        <v>3</v>
      </c>
      <c r="G654">
        <v>7</v>
      </c>
      <c r="H654" t="s">
        <v>8229</v>
      </c>
      <c r="J654" t="s">
        <v>3492</v>
      </c>
      <c r="M654" t="s">
        <v>8230</v>
      </c>
      <c r="N654">
        <v>1.9323965059999999</v>
      </c>
      <c r="O654">
        <v>3.0528020530000002</v>
      </c>
      <c r="P654">
        <v>2.6493138999999999E-2</v>
      </c>
      <c r="Q654">
        <v>-0.38692188</v>
      </c>
      <c r="S654" s="13">
        <v>-1.141685829</v>
      </c>
      <c r="T654">
        <v>0.936286913</v>
      </c>
      <c r="U654">
        <v>-3.5588494999999998E-2</v>
      </c>
    </row>
    <row r="655" spans="1:21" x14ac:dyDescent="0.2">
      <c r="A655" t="s">
        <v>1365</v>
      </c>
      <c r="B655">
        <v>809520</v>
      </c>
      <c r="C655" t="s">
        <v>6910</v>
      </c>
      <c r="D655" t="s">
        <v>1365</v>
      </c>
      <c r="E655" t="s">
        <v>6970</v>
      </c>
      <c r="F655">
        <v>21</v>
      </c>
      <c r="G655">
        <v>14</v>
      </c>
      <c r="H655" t="s">
        <v>8231</v>
      </c>
      <c r="J655" t="s">
        <v>5883</v>
      </c>
      <c r="M655" t="s">
        <v>8232</v>
      </c>
      <c r="N655">
        <v>1.9874741039999999</v>
      </c>
      <c r="O655">
        <v>3.7453511220000002</v>
      </c>
      <c r="P655">
        <v>0.451009722</v>
      </c>
      <c r="Q655">
        <v>-0.102386592</v>
      </c>
      <c r="S655" s="13">
        <v>-1.1417274550000001</v>
      </c>
      <c r="T655">
        <v>0.93610501800000001</v>
      </c>
      <c r="U655">
        <v>-2.4015091999999998E-2</v>
      </c>
    </row>
    <row r="656" spans="1:21" x14ac:dyDescent="0.2">
      <c r="A656" t="s">
        <v>389</v>
      </c>
      <c r="B656">
        <v>717200</v>
      </c>
      <c r="C656" t="s">
        <v>6945</v>
      </c>
      <c r="D656" t="s">
        <v>389</v>
      </c>
      <c r="E656" t="s">
        <v>6974</v>
      </c>
      <c r="F656">
        <v>11</v>
      </c>
      <c r="G656">
        <v>15</v>
      </c>
      <c r="H656" t="s">
        <v>8233</v>
      </c>
      <c r="J656" t="s">
        <v>2633</v>
      </c>
      <c r="M656" t="s">
        <v>8234</v>
      </c>
      <c r="N656">
        <v>2.2220813349999999</v>
      </c>
      <c r="O656">
        <v>6.5440947090000003</v>
      </c>
      <c r="P656">
        <v>0.58228215500000002</v>
      </c>
      <c r="Q656">
        <v>0.35188233000000002</v>
      </c>
      <c r="S656" s="13">
        <v>-1.1417872440000001</v>
      </c>
      <c r="T656">
        <v>0.93584375399999997</v>
      </c>
      <c r="U656">
        <v>-8.1757694000000006E-2</v>
      </c>
    </row>
    <row r="657" spans="1:21" x14ac:dyDescent="0.2">
      <c r="A657" t="s">
        <v>422</v>
      </c>
      <c r="B657">
        <v>893840</v>
      </c>
      <c r="C657" t="s">
        <v>6914</v>
      </c>
      <c r="D657" t="s">
        <v>423</v>
      </c>
      <c r="E657" t="s">
        <v>6974</v>
      </c>
      <c r="F657">
        <v>3</v>
      </c>
      <c r="G657">
        <v>15</v>
      </c>
      <c r="H657" t="s">
        <v>8235</v>
      </c>
      <c r="J657" t="s">
        <v>3543</v>
      </c>
      <c r="M657" t="s">
        <v>8236</v>
      </c>
      <c r="N657">
        <v>1.8217074179999999</v>
      </c>
      <c r="O657">
        <v>4.1700741289999996</v>
      </c>
      <c r="P657">
        <v>0.189705977</v>
      </c>
      <c r="Q657">
        <v>-1.7194070999999998E-2</v>
      </c>
      <c r="S657" s="13">
        <v>-1.141901807</v>
      </c>
      <c r="T657">
        <v>0.93534313999999996</v>
      </c>
      <c r="U657">
        <v>-8.3248786000000005E-2</v>
      </c>
    </row>
    <row r="658" spans="1:21" x14ac:dyDescent="0.2">
      <c r="A658" t="s">
        <v>33</v>
      </c>
      <c r="B658">
        <v>893760</v>
      </c>
      <c r="C658" t="s">
        <v>6914</v>
      </c>
      <c r="D658" t="s">
        <v>33</v>
      </c>
      <c r="E658" t="s">
        <v>6918</v>
      </c>
      <c r="F658">
        <v>17</v>
      </c>
      <c r="G658">
        <v>1</v>
      </c>
      <c r="H658" t="s">
        <v>8237</v>
      </c>
      <c r="J658" t="s">
        <v>324</v>
      </c>
      <c r="M658" t="s">
        <v>8238</v>
      </c>
      <c r="N658">
        <v>1.8217074179999999</v>
      </c>
      <c r="O658">
        <v>4.1700741289999996</v>
      </c>
      <c r="P658">
        <v>0.189705977</v>
      </c>
      <c r="Q658">
        <v>-1.7194070999999998E-2</v>
      </c>
      <c r="S658" s="13">
        <v>-1.1419980270000001</v>
      </c>
      <c r="T658">
        <v>0.93492267699999998</v>
      </c>
      <c r="U658">
        <v>-8.3294397000000006E-2</v>
      </c>
    </row>
    <row r="659" spans="1:21" x14ac:dyDescent="0.2">
      <c r="A659" t="s">
        <v>1857</v>
      </c>
      <c r="B659">
        <v>716520</v>
      </c>
      <c r="C659" t="s">
        <v>6945</v>
      </c>
      <c r="D659" t="s">
        <v>1858</v>
      </c>
      <c r="E659" t="s">
        <v>6974</v>
      </c>
      <c r="F659">
        <v>6</v>
      </c>
      <c r="G659">
        <v>15</v>
      </c>
      <c r="H659" t="s">
        <v>8239</v>
      </c>
      <c r="J659" t="s">
        <v>3539</v>
      </c>
      <c r="M659" t="s">
        <v>8240</v>
      </c>
      <c r="N659">
        <v>2.2220813349999999</v>
      </c>
      <c r="O659">
        <v>6.5440947090000003</v>
      </c>
      <c r="P659">
        <v>0.58228215500000002</v>
      </c>
      <c r="Q659">
        <v>0.35188233000000002</v>
      </c>
      <c r="S659" s="13">
        <v>-1.142428644</v>
      </c>
      <c r="T659">
        <v>0.93304098000000002</v>
      </c>
      <c r="U659">
        <v>-8.2144202999999999E-2</v>
      </c>
    </row>
    <row r="660" spans="1:21" x14ac:dyDescent="0.2">
      <c r="A660" t="s">
        <v>307</v>
      </c>
      <c r="B660">
        <v>843520</v>
      </c>
      <c r="C660" t="s">
        <v>6927</v>
      </c>
      <c r="D660" t="s">
        <v>308</v>
      </c>
      <c r="E660" t="s">
        <v>6915</v>
      </c>
      <c r="F660">
        <v>3</v>
      </c>
      <c r="G660">
        <v>13</v>
      </c>
      <c r="H660" t="s">
        <v>8241</v>
      </c>
      <c r="J660" t="s">
        <v>8242</v>
      </c>
      <c r="M660" t="s">
        <v>8243</v>
      </c>
      <c r="N660">
        <v>1.982575982</v>
      </c>
      <c r="O660">
        <v>3.4571926419999999</v>
      </c>
      <c r="P660">
        <v>-0.114791479</v>
      </c>
      <c r="Q660">
        <v>1.868949E-3</v>
      </c>
      <c r="S660" s="13">
        <v>-1.142476187</v>
      </c>
      <c r="T660">
        <v>0.93283323100000004</v>
      </c>
      <c r="U660">
        <v>-6.6572781999999997E-2</v>
      </c>
    </row>
    <row r="661" spans="1:21" x14ac:dyDescent="0.2">
      <c r="A661" t="s">
        <v>1491</v>
      </c>
      <c r="B661">
        <v>748440</v>
      </c>
      <c r="C661" t="s">
        <v>6906</v>
      </c>
      <c r="D661" t="s">
        <v>1491</v>
      </c>
      <c r="E661" t="s">
        <v>6928</v>
      </c>
      <c r="F661">
        <v>15</v>
      </c>
      <c r="G661">
        <v>16</v>
      </c>
      <c r="H661" t="s">
        <v>8244</v>
      </c>
      <c r="J661" t="s">
        <v>1912</v>
      </c>
      <c r="M661" t="s">
        <v>8245</v>
      </c>
      <c r="N661">
        <v>1.813871112</v>
      </c>
      <c r="O661">
        <v>2.6633694910000001</v>
      </c>
      <c r="P661">
        <v>-0.29586356800000002</v>
      </c>
      <c r="Q661">
        <v>-0.59018158399999998</v>
      </c>
      <c r="S661" s="13">
        <v>-1.142898593</v>
      </c>
      <c r="T661">
        <v>0.93098741200000001</v>
      </c>
      <c r="U661">
        <v>-7.7461128000000004E-2</v>
      </c>
    </row>
    <row r="662" spans="1:21" x14ac:dyDescent="0.2">
      <c r="A662" t="s">
        <v>153</v>
      </c>
      <c r="B662">
        <v>892880</v>
      </c>
      <c r="C662" t="s">
        <v>6914</v>
      </c>
      <c r="D662" t="s">
        <v>153</v>
      </c>
      <c r="E662" t="s">
        <v>6928</v>
      </c>
      <c r="F662">
        <v>14</v>
      </c>
      <c r="G662">
        <v>16</v>
      </c>
      <c r="H662" t="s">
        <v>8246</v>
      </c>
      <c r="J662" t="s">
        <v>2620</v>
      </c>
      <c r="M662" t="s">
        <v>8247</v>
      </c>
      <c r="N662">
        <v>1.8217074179999999</v>
      </c>
      <c r="O662">
        <v>4.1700741289999996</v>
      </c>
      <c r="P662">
        <v>0.189705977</v>
      </c>
      <c r="Q662">
        <v>-1.7194070999999998E-2</v>
      </c>
      <c r="S662" s="13">
        <v>-1.143056458</v>
      </c>
      <c r="T662">
        <v>0.93029757899999999</v>
      </c>
      <c r="U662">
        <v>-8.3796424999999994E-2</v>
      </c>
    </row>
    <row r="663" spans="1:21" x14ac:dyDescent="0.2">
      <c r="A663" t="s">
        <v>329</v>
      </c>
      <c r="B663">
        <v>715800</v>
      </c>
      <c r="C663" t="s">
        <v>6945</v>
      </c>
      <c r="D663" t="s">
        <v>329</v>
      </c>
      <c r="E663" t="s">
        <v>6924</v>
      </c>
      <c r="F663">
        <v>22</v>
      </c>
      <c r="G663">
        <v>6</v>
      </c>
      <c r="H663" t="s">
        <v>8248</v>
      </c>
      <c r="J663" t="s">
        <v>6419</v>
      </c>
      <c r="M663" t="s">
        <v>8249</v>
      </c>
      <c r="N663">
        <v>2.2220813349999999</v>
      </c>
      <c r="O663">
        <v>6.5440947090000003</v>
      </c>
      <c r="P663">
        <v>0.58228215500000002</v>
      </c>
      <c r="Q663">
        <v>0.35188233000000002</v>
      </c>
      <c r="S663" s="13">
        <v>-1.143107774</v>
      </c>
      <c r="T663">
        <v>0.93007333700000006</v>
      </c>
      <c r="U663">
        <v>-8.2553823999999998E-2</v>
      </c>
    </row>
    <row r="664" spans="1:21" x14ac:dyDescent="0.2">
      <c r="A664" t="s">
        <v>689</v>
      </c>
      <c r="B664">
        <v>907720</v>
      </c>
      <c r="C664" t="s">
        <v>6953</v>
      </c>
      <c r="D664" t="s">
        <v>690</v>
      </c>
      <c r="E664" t="s">
        <v>6911</v>
      </c>
      <c r="F664">
        <v>5</v>
      </c>
      <c r="G664">
        <v>12</v>
      </c>
      <c r="H664" t="s">
        <v>8250</v>
      </c>
      <c r="J664" t="s">
        <v>5297</v>
      </c>
      <c r="M664" t="s">
        <v>8251</v>
      </c>
      <c r="N664">
        <v>1.921480887</v>
      </c>
      <c r="O664">
        <v>3.0856645180000002</v>
      </c>
      <c r="P664">
        <v>0.44706724399999997</v>
      </c>
      <c r="Q664">
        <v>-0.354940863</v>
      </c>
      <c r="S664" s="13">
        <v>-1.143337415</v>
      </c>
      <c r="T664">
        <v>0.929069861</v>
      </c>
      <c r="U664">
        <v>-2.4443076000000001E-2</v>
      </c>
    </row>
    <row r="665" spans="1:21" x14ac:dyDescent="0.2">
      <c r="A665" t="s">
        <v>1362</v>
      </c>
      <c r="B665">
        <v>707120</v>
      </c>
      <c r="C665" t="s">
        <v>6931</v>
      </c>
      <c r="D665" t="s">
        <v>1362</v>
      </c>
      <c r="E665" t="s">
        <v>7115</v>
      </c>
      <c r="F665">
        <v>22</v>
      </c>
      <c r="G665">
        <v>10</v>
      </c>
      <c r="H665" t="s">
        <v>8252</v>
      </c>
      <c r="N665">
        <v>1.9323965059999999</v>
      </c>
      <c r="O665">
        <v>3.0528020530000002</v>
      </c>
      <c r="P665">
        <v>2.6493138999999999E-2</v>
      </c>
      <c r="Q665">
        <v>-0.38692188</v>
      </c>
      <c r="S665" s="13">
        <v>-1.143367716</v>
      </c>
      <c r="T665">
        <v>0.928937452</v>
      </c>
      <c r="U665">
        <v>-3.6242867999999998E-2</v>
      </c>
    </row>
    <row r="666" spans="1:21" x14ac:dyDescent="0.2">
      <c r="A666" t="s">
        <v>912</v>
      </c>
      <c r="B666">
        <v>807720</v>
      </c>
      <c r="C666" t="s">
        <v>6910</v>
      </c>
      <c r="D666" t="s">
        <v>912</v>
      </c>
      <c r="E666" t="s">
        <v>6921</v>
      </c>
      <c r="F666">
        <v>23</v>
      </c>
      <c r="G666">
        <v>8</v>
      </c>
      <c r="H666" t="s">
        <v>8253</v>
      </c>
      <c r="J666" t="s">
        <v>2202</v>
      </c>
      <c r="M666" t="s">
        <v>8254</v>
      </c>
      <c r="N666">
        <v>1.9874741039999999</v>
      </c>
      <c r="O666">
        <v>3.7453511220000002</v>
      </c>
      <c r="P666">
        <v>0.451009722</v>
      </c>
      <c r="Q666">
        <v>-0.102386592</v>
      </c>
      <c r="S666" s="13">
        <v>-1.1436640629999999</v>
      </c>
      <c r="T666">
        <v>0.92764248199999999</v>
      </c>
      <c r="U666">
        <v>-2.4911355E-2</v>
      </c>
    </row>
    <row r="667" spans="1:21" x14ac:dyDescent="0.2">
      <c r="A667" t="s">
        <v>1773</v>
      </c>
      <c r="B667">
        <v>788160</v>
      </c>
      <c r="C667" t="s">
        <v>6942</v>
      </c>
      <c r="D667" t="s">
        <v>1773</v>
      </c>
      <c r="E667" t="s">
        <v>6970</v>
      </c>
      <c r="F667">
        <v>15</v>
      </c>
      <c r="G667">
        <v>14</v>
      </c>
      <c r="H667" t="s">
        <v>8255</v>
      </c>
      <c r="J667" t="s">
        <v>1775</v>
      </c>
      <c r="M667" t="s">
        <v>8256</v>
      </c>
      <c r="N667">
        <v>2.0902262079999998</v>
      </c>
      <c r="O667">
        <v>4.2704203920000001</v>
      </c>
      <c r="P667">
        <v>0.23425843900000001</v>
      </c>
      <c r="Q667">
        <v>1.6181978999999999E-2</v>
      </c>
      <c r="S667" s="13">
        <v>-1.1436703770000001</v>
      </c>
      <c r="T667">
        <v>0.927614893</v>
      </c>
      <c r="U667">
        <v>-8.1655439999999996E-2</v>
      </c>
    </row>
    <row r="668" spans="1:21" x14ac:dyDescent="0.2">
      <c r="A668" t="s">
        <v>129</v>
      </c>
      <c r="B668">
        <v>807680</v>
      </c>
      <c r="C668" t="s">
        <v>6910</v>
      </c>
      <c r="D668" t="s">
        <v>129</v>
      </c>
      <c r="E668" t="s">
        <v>7006</v>
      </c>
      <c r="F668">
        <v>24</v>
      </c>
      <c r="G668">
        <v>3</v>
      </c>
      <c r="H668" t="s">
        <v>8257</v>
      </c>
      <c r="J668" t="s">
        <v>720</v>
      </c>
      <c r="M668" t="s">
        <v>8258</v>
      </c>
      <c r="N668">
        <v>1.9874741039999999</v>
      </c>
      <c r="O668">
        <v>3.7453511220000002</v>
      </c>
      <c r="P668">
        <v>0.451009722</v>
      </c>
      <c r="Q668">
        <v>-0.102386592</v>
      </c>
      <c r="S668" s="13">
        <v>-1.143707099</v>
      </c>
      <c r="T668">
        <v>0.92745442600000005</v>
      </c>
      <c r="U668">
        <v>-2.4931293E-2</v>
      </c>
    </row>
    <row r="669" spans="1:21" x14ac:dyDescent="0.2">
      <c r="A669" t="s">
        <v>342</v>
      </c>
      <c r="B669">
        <v>550640</v>
      </c>
      <c r="C669" t="s">
        <v>6961</v>
      </c>
      <c r="D669" t="s">
        <v>342</v>
      </c>
      <c r="E669" t="s">
        <v>6956</v>
      </c>
      <c r="F669">
        <v>15</v>
      </c>
      <c r="G669">
        <v>7</v>
      </c>
      <c r="H669" t="s">
        <v>8259</v>
      </c>
      <c r="J669" t="s">
        <v>4004</v>
      </c>
      <c r="M669" t="s">
        <v>8260</v>
      </c>
      <c r="N669">
        <v>2.7247480949999998</v>
      </c>
      <c r="O669">
        <v>7.0822175119999997</v>
      </c>
      <c r="P669">
        <v>0.61298291999999999</v>
      </c>
      <c r="Q669">
        <v>0.48262032500000002</v>
      </c>
      <c r="S669" s="13">
        <v>-1.143899813</v>
      </c>
      <c r="T669">
        <v>0.92661230800000005</v>
      </c>
      <c r="U669">
        <v>-8.4939561999999996E-2</v>
      </c>
    </row>
    <row r="670" spans="1:21" x14ac:dyDescent="0.2">
      <c r="A670" t="s">
        <v>541</v>
      </c>
      <c r="B670">
        <v>787800</v>
      </c>
      <c r="C670" t="s">
        <v>6942</v>
      </c>
      <c r="D670" t="s">
        <v>542</v>
      </c>
      <c r="E670" t="s">
        <v>6974</v>
      </c>
      <c r="F670">
        <v>1</v>
      </c>
      <c r="G670">
        <v>15</v>
      </c>
      <c r="H670" t="s">
        <v>8261</v>
      </c>
      <c r="J670" t="s">
        <v>544</v>
      </c>
      <c r="M670" t="s">
        <v>8262</v>
      </c>
      <c r="N670">
        <v>2.0902262079999998</v>
      </c>
      <c r="O670">
        <v>4.2704203920000001</v>
      </c>
      <c r="P670">
        <v>0.23425843900000001</v>
      </c>
      <c r="Q670">
        <v>1.6181978999999999E-2</v>
      </c>
      <c r="S670" s="13">
        <v>-1.1440237129999999</v>
      </c>
      <c r="T670">
        <v>0.92607089499999995</v>
      </c>
      <c r="U670">
        <v>-8.1859972000000003E-2</v>
      </c>
    </row>
    <row r="671" spans="1:21" x14ac:dyDescent="0.2">
      <c r="A671" t="s">
        <v>998</v>
      </c>
      <c r="B671">
        <v>706600</v>
      </c>
      <c r="C671" t="s">
        <v>6931</v>
      </c>
      <c r="D671" t="s">
        <v>998</v>
      </c>
      <c r="E671" t="s">
        <v>6970</v>
      </c>
      <c r="F671">
        <v>13</v>
      </c>
      <c r="G671">
        <v>14</v>
      </c>
      <c r="H671" t="s">
        <v>8263</v>
      </c>
      <c r="N671">
        <v>1.9323965059999999</v>
      </c>
      <c r="O671">
        <v>3.0528020530000002</v>
      </c>
      <c r="P671">
        <v>2.6493138999999999E-2</v>
      </c>
      <c r="Q671">
        <v>-0.38692188</v>
      </c>
      <c r="S671" s="13">
        <v>-1.144050982</v>
      </c>
      <c r="T671">
        <v>0.92595173399999997</v>
      </c>
      <c r="U671">
        <v>-3.6508989999999998E-2</v>
      </c>
    </row>
    <row r="672" spans="1:21" x14ac:dyDescent="0.2">
      <c r="A672" t="s">
        <v>1521</v>
      </c>
      <c r="B672">
        <v>550400</v>
      </c>
      <c r="C672" t="s">
        <v>6961</v>
      </c>
      <c r="D672" t="s">
        <v>1521</v>
      </c>
      <c r="E672" t="s">
        <v>6921</v>
      </c>
      <c r="F672">
        <v>10</v>
      </c>
      <c r="G672">
        <v>8</v>
      </c>
      <c r="H672" t="s">
        <v>8264</v>
      </c>
      <c r="J672" t="s">
        <v>6067</v>
      </c>
      <c r="M672" t="s">
        <v>8265</v>
      </c>
      <c r="N672">
        <v>2.7247480949999998</v>
      </c>
      <c r="O672">
        <v>7.0822175119999997</v>
      </c>
      <c r="P672">
        <v>0.61298291999999999</v>
      </c>
      <c r="Q672">
        <v>0.48262032500000002</v>
      </c>
      <c r="S672" s="13">
        <v>-1.144089801</v>
      </c>
      <c r="T672">
        <v>0.92578210500000002</v>
      </c>
      <c r="U672">
        <v>-8.5076940000000004E-2</v>
      </c>
    </row>
    <row r="673" spans="1:21" x14ac:dyDescent="0.2">
      <c r="A673" t="s">
        <v>1231</v>
      </c>
      <c r="B673">
        <v>714680</v>
      </c>
      <c r="C673" t="s">
        <v>6945</v>
      </c>
      <c r="D673" t="s">
        <v>1231</v>
      </c>
      <c r="E673" t="s">
        <v>7085</v>
      </c>
      <c r="F673">
        <v>21</v>
      </c>
      <c r="G673">
        <v>9</v>
      </c>
      <c r="H673" t="s">
        <v>8266</v>
      </c>
      <c r="J673" t="s">
        <v>4447</v>
      </c>
      <c r="M673" t="s">
        <v>8267</v>
      </c>
      <c r="N673">
        <v>2.2220813349999999</v>
      </c>
      <c r="O673">
        <v>6.5440947090000003</v>
      </c>
      <c r="P673">
        <v>0.58228215500000002</v>
      </c>
      <c r="Q673">
        <v>0.35188233000000002</v>
      </c>
      <c r="S673" s="13">
        <v>-1.144164199</v>
      </c>
      <c r="T673">
        <v>0.92545700399999997</v>
      </c>
      <c r="U673">
        <v>-8.3191780000000007E-2</v>
      </c>
    </row>
    <row r="674" spans="1:21" x14ac:dyDescent="0.2">
      <c r="A674" t="s">
        <v>1598</v>
      </c>
      <c r="B674">
        <v>550160</v>
      </c>
      <c r="C674" t="s">
        <v>6961</v>
      </c>
      <c r="D674" t="s">
        <v>1598</v>
      </c>
      <c r="E674" t="s">
        <v>6970</v>
      </c>
      <c r="F674">
        <v>17</v>
      </c>
      <c r="G674">
        <v>14</v>
      </c>
      <c r="H674" t="s">
        <v>8268</v>
      </c>
      <c r="J674" t="s">
        <v>1809</v>
      </c>
      <c r="M674" t="s">
        <v>8269</v>
      </c>
      <c r="N674">
        <v>2.7247480949999998</v>
      </c>
      <c r="O674">
        <v>7.0822175119999997</v>
      </c>
      <c r="P674">
        <v>0.61298291999999999</v>
      </c>
      <c r="Q674">
        <v>0.48262032500000002</v>
      </c>
      <c r="S674" s="13">
        <v>-1.144279788</v>
      </c>
      <c r="T674">
        <v>0.92495190299999996</v>
      </c>
      <c r="U674">
        <v>-8.5214363000000001E-2</v>
      </c>
    </row>
    <row r="675" spans="1:21" x14ac:dyDescent="0.2">
      <c r="A675" t="s">
        <v>482</v>
      </c>
      <c r="B675">
        <v>714440</v>
      </c>
      <c r="C675" t="s">
        <v>6945</v>
      </c>
      <c r="D675" t="s">
        <v>482</v>
      </c>
      <c r="E675" t="s">
        <v>6946</v>
      </c>
      <c r="F675">
        <v>15</v>
      </c>
      <c r="G675">
        <v>11</v>
      </c>
      <c r="H675" t="s">
        <v>8270</v>
      </c>
      <c r="J675" t="s">
        <v>4467</v>
      </c>
      <c r="M675" t="s">
        <v>8271</v>
      </c>
      <c r="N675">
        <v>2.2220813349999999</v>
      </c>
      <c r="O675">
        <v>6.5440947090000003</v>
      </c>
      <c r="P675">
        <v>0.58228215500000002</v>
      </c>
      <c r="Q675">
        <v>0.35188233000000002</v>
      </c>
      <c r="S675" s="13">
        <v>-1.1443905750000001</v>
      </c>
      <c r="T675">
        <v>0.92446779000000001</v>
      </c>
      <c r="U675">
        <v>-8.3328606999999999E-2</v>
      </c>
    </row>
    <row r="676" spans="1:21" x14ac:dyDescent="0.2">
      <c r="A676" t="s">
        <v>2224</v>
      </c>
      <c r="B676">
        <v>806960</v>
      </c>
      <c r="C676" t="s">
        <v>6910</v>
      </c>
      <c r="D676" t="s">
        <v>2224</v>
      </c>
      <c r="E676" t="s">
        <v>6974</v>
      </c>
      <c r="F676">
        <v>18</v>
      </c>
      <c r="G676">
        <v>15</v>
      </c>
      <c r="H676" t="s">
        <v>8272</v>
      </c>
      <c r="J676" t="s">
        <v>3008</v>
      </c>
      <c r="M676" t="s">
        <v>8273</v>
      </c>
      <c r="N676">
        <v>1.9874741039999999</v>
      </c>
      <c r="O676">
        <v>3.7453511220000002</v>
      </c>
      <c r="P676">
        <v>0.451009722</v>
      </c>
      <c r="Q676">
        <v>-0.102386592</v>
      </c>
      <c r="S676" s="13">
        <v>-1.144481742</v>
      </c>
      <c r="T676">
        <v>0.92406941099999995</v>
      </c>
      <c r="U676">
        <v>-2.5290334000000001E-2</v>
      </c>
    </row>
    <row r="677" spans="1:21" x14ac:dyDescent="0.2">
      <c r="A677" t="s">
        <v>1971</v>
      </c>
      <c r="B677">
        <v>548120</v>
      </c>
      <c r="C677" t="s">
        <v>6961</v>
      </c>
      <c r="D677" t="s">
        <v>1971</v>
      </c>
      <c r="E677" t="s">
        <v>7115</v>
      </c>
      <c r="F677">
        <v>10</v>
      </c>
      <c r="G677">
        <v>10</v>
      </c>
      <c r="H677" t="s">
        <v>8274</v>
      </c>
      <c r="J677" t="s">
        <v>1973</v>
      </c>
      <c r="M677" t="s">
        <v>8275</v>
      </c>
      <c r="N677">
        <v>2.7247480949999998</v>
      </c>
      <c r="O677">
        <v>7.0822175119999997</v>
      </c>
      <c r="P677">
        <v>0.61298291999999999</v>
      </c>
      <c r="Q677">
        <v>0.48262032500000002</v>
      </c>
      <c r="S677" s="13">
        <v>-1.1458946839999999</v>
      </c>
      <c r="T677">
        <v>0.91789518000000003</v>
      </c>
      <c r="U677">
        <v>-8.6384211000000002E-2</v>
      </c>
    </row>
    <row r="678" spans="1:21" x14ac:dyDescent="0.2">
      <c r="A678" t="s">
        <v>2139</v>
      </c>
      <c r="B678">
        <v>785720</v>
      </c>
      <c r="C678" t="s">
        <v>6942</v>
      </c>
      <c r="D678" t="s">
        <v>2140</v>
      </c>
      <c r="E678" t="s">
        <v>6924</v>
      </c>
      <c r="F678">
        <v>1</v>
      </c>
      <c r="G678">
        <v>6</v>
      </c>
      <c r="H678" t="s">
        <v>8276</v>
      </c>
      <c r="J678" t="s">
        <v>3218</v>
      </c>
      <c r="M678" t="s">
        <v>8277</v>
      </c>
      <c r="N678">
        <v>2.0902262079999998</v>
      </c>
      <c r="O678">
        <v>4.2704203920000001</v>
      </c>
      <c r="P678">
        <v>0.23425843900000001</v>
      </c>
      <c r="Q678">
        <v>1.6181978999999999E-2</v>
      </c>
      <c r="S678" s="13">
        <v>-1.1460652099999999</v>
      </c>
      <c r="T678">
        <v>0.91715001799999996</v>
      </c>
      <c r="U678">
        <v>-8.3043599999999995E-2</v>
      </c>
    </row>
    <row r="679" spans="1:21" x14ac:dyDescent="0.2">
      <c r="A679" t="s">
        <v>1620</v>
      </c>
      <c r="B679">
        <v>805240</v>
      </c>
      <c r="C679" t="s">
        <v>6910</v>
      </c>
      <c r="D679" t="s">
        <v>1620</v>
      </c>
      <c r="E679" t="s">
        <v>6911</v>
      </c>
      <c r="F679">
        <v>18</v>
      </c>
      <c r="G679">
        <v>12</v>
      </c>
      <c r="H679" t="s">
        <v>8278</v>
      </c>
      <c r="J679" t="s">
        <v>5155</v>
      </c>
      <c r="M679" t="s">
        <v>8279</v>
      </c>
      <c r="N679">
        <v>1.9874741039999999</v>
      </c>
      <c r="O679">
        <v>3.7453511220000002</v>
      </c>
      <c r="P679">
        <v>0.451009722</v>
      </c>
      <c r="Q679">
        <v>-0.102386592</v>
      </c>
      <c r="S679" s="13">
        <v>-1.1463322789999999</v>
      </c>
      <c r="T679">
        <v>0.915982988</v>
      </c>
      <c r="U679">
        <v>-2.6149246000000001E-2</v>
      </c>
    </row>
    <row r="680" spans="1:21" x14ac:dyDescent="0.2">
      <c r="A680" t="s">
        <v>435</v>
      </c>
      <c r="B680">
        <v>712280</v>
      </c>
      <c r="C680" t="s">
        <v>6945</v>
      </c>
      <c r="D680" t="s">
        <v>435</v>
      </c>
      <c r="E680" t="s">
        <v>6915</v>
      </c>
      <c r="F680">
        <v>14</v>
      </c>
      <c r="G680">
        <v>13</v>
      </c>
      <c r="H680" t="s">
        <v>8280</v>
      </c>
      <c r="J680" t="s">
        <v>5044</v>
      </c>
      <c r="M680" t="s">
        <v>8281</v>
      </c>
      <c r="N680">
        <v>2.2220813349999999</v>
      </c>
      <c r="O680">
        <v>6.5440947090000003</v>
      </c>
      <c r="P680">
        <v>0.58228215500000002</v>
      </c>
      <c r="Q680">
        <v>0.35188233000000002</v>
      </c>
      <c r="S680" s="13">
        <v>-1.146427965</v>
      </c>
      <c r="T680">
        <v>0.91556486199999998</v>
      </c>
      <c r="U680">
        <v>-8.4561994000000001E-2</v>
      </c>
    </row>
    <row r="681" spans="1:21" x14ac:dyDescent="0.2">
      <c r="A681" t="s">
        <v>2457</v>
      </c>
      <c r="B681">
        <v>712040</v>
      </c>
      <c r="C681" t="s">
        <v>6945</v>
      </c>
      <c r="D681" t="s">
        <v>2458</v>
      </c>
      <c r="E681" t="s">
        <v>7115</v>
      </c>
      <c r="F681">
        <v>5</v>
      </c>
      <c r="G681">
        <v>10</v>
      </c>
      <c r="H681" t="s">
        <v>8282</v>
      </c>
      <c r="J681" t="s">
        <v>3841</v>
      </c>
      <c r="M681" t="s">
        <v>8283</v>
      </c>
      <c r="N681">
        <v>2.2220813349999999</v>
      </c>
      <c r="O681">
        <v>6.5440947090000003</v>
      </c>
      <c r="P681">
        <v>0.58228215500000002</v>
      </c>
      <c r="Q681">
        <v>0.35188233000000002</v>
      </c>
      <c r="S681" s="13">
        <v>-1.1466543419999999</v>
      </c>
      <c r="T681">
        <v>0.91457564800000002</v>
      </c>
      <c r="U681">
        <v>-8.4699253000000002E-2</v>
      </c>
    </row>
    <row r="682" spans="1:21" x14ac:dyDescent="0.2">
      <c r="A682" t="s">
        <v>988</v>
      </c>
      <c r="B682">
        <v>784880</v>
      </c>
      <c r="C682" t="s">
        <v>6942</v>
      </c>
      <c r="D682" t="s">
        <v>988</v>
      </c>
      <c r="E682" t="s">
        <v>6974</v>
      </c>
      <c r="F682">
        <v>16</v>
      </c>
      <c r="G682">
        <v>15</v>
      </c>
      <c r="H682" t="s">
        <v>8284</v>
      </c>
      <c r="J682" t="s">
        <v>2002</v>
      </c>
      <c r="M682" t="s">
        <v>8285</v>
      </c>
      <c r="N682">
        <v>2.0902262079999998</v>
      </c>
      <c r="O682">
        <v>4.2704203920000001</v>
      </c>
      <c r="P682">
        <v>0.23425843900000001</v>
      </c>
      <c r="Q682">
        <v>1.6181978999999999E-2</v>
      </c>
      <c r="S682" s="13">
        <v>-1.1468896609999999</v>
      </c>
      <c r="T682">
        <v>0.91354735600000003</v>
      </c>
      <c r="U682">
        <v>-8.3522519000000003E-2</v>
      </c>
    </row>
    <row r="683" spans="1:21" x14ac:dyDescent="0.2">
      <c r="A683" t="s">
        <v>178</v>
      </c>
      <c r="B683">
        <v>704240</v>
      </c>
      <c r="C683" t="s">
        <v>6931</v>
      </c>
      <c r="D683" t="s">
        <v>178</v>
      </c>
      <c r="E683" t="s">
        <v>6970</v>
      </c>
      <c r="F683">
        <v>14</v>
      </c>
      <c r="G683">
        <v>14</v>
      </c>
      <c r="H683" t="s">
        <v>8286</v>
      </c>
      <c r="N683">
        <v>1.9323965059999999</v>
      </c>
      <c r="O683">
        <v>3.0528020530000002</v>
      </c>
      <c r="P683">
        <v>2.6493138999999999E-2</v>
      </c>
      <c r="Q683">
        <v>-0.38692188</v>
      </c>
      <c r="S683" s="13">
        <v>-1.1471519610000001</v>
      </c>
      <c r="T683">
        <v>0.91240116500000001</v>
      </c>
      <c r="U683">
        <v>-3.7718823999999998E-2</v>
      </c>
    </row>
    <row r="684" spans="1:21" x14ac:dyDescent="0.2">
      <c r="A684" t="s">
        <v>2031</v>
      </c>
      <c r="B684">
        <v>839000</v>
      </c>
      <c r="C684" t="s">
        <v>6927</v>
      </c>
      <c r="D684" t="s">
        <v>2032</v>
      </c>
      <c r="E684" t="s">
        <v>6924</v>
      </c>
      <c r="F684">
        <v>3</v>
      </c>
      <c r="G684">
        <v>6</v>
      </c>
      <c r="H684" t="s">
        <v>8287</v>
      </c>
      <c r="J684" t="s">
        <v>8288</v>
      </c>
      <c r="M684" t="s">
        <v>8289</v>
      </c>
      <c r="N684">
        <v>1.982575982</v>
      </c>
      <c r="O684">
        <v>3.4571926419999999</v>
      </c>
      <c r="P684">
        <v>-0.114791479</v>
      </c>
      <c r="Q684">
        <v>1.868949E-3</v>
      </c>
      <c r="S684" s="13">
        <v>-1.147166248</v>
      </c>
      <c r="T684">
        <v>0.91233873399999998</v>
      </c>
      <c r="U684">
        <v>-6.9059658999999995E-2</v>
      </c>
    </row>
    <row r="685" spans="1:21" x14ac:dyDescent="0.2">
      <c r="A685" t="s">
        <v>500</v>
      </c>
      <c r="B685">
        <v>783360</v>
      </c>
      <c r="C685" t="s">
        <v>6942</v>
      </c>
      <c r="D685" t="s">
        <v>501</v>
      </c>
      <c r="E685" t="s">
        <v>7115</v>
      </c>
      <c r="F685">
        <v>9</v>
      </c>
      <c r="G685">
        <v>10</v>
      </c>
      <c r="H685" t="s">
        <v>8290</v>
      </c>
      <c r="J685" t="s">
        <v>4698</v>
      </c>
      <c r="M685" t="s">
        <v>8291</v>
      </c>
      <c r="N685">
        <v>2.0902262079999998</v>
      </c>
      <c r="O685">
        <v>4.2704203920000001</v>
      </c>
      <c r="P685">
        <v>0.23425843900000001</v>
      </c>
      <c r="Q685">
        <v>1.6181978999999999E-2</v>
      </c>
      <c r="S685" s="13">
        <v>-1.1483815239999999</v>
      </c>
      <c r="T685">
        <v>0.90702825399999998</v>
      </c>
      <c r="U685">
        <v>-8.4390481000000003E-2</v>
      </c>
    </row>
    <row r="686" spans="1:21" x14ac:dyDescent="0.2">
      <c r="A686" t="s">
        <v>400</v>
      </c>
      <c r="B686">
        <v>710080</v>
      </c>
      <c r="C686" t="s">
        <v>6945</v>
      </c>
      <c r="D686" t="s">
        <v>400</v>
      </c>
      <c r="E686" t="s">
        <v>6939</v>
      </c>
      <c r="F686">
        <v>11</v>
      </c>
      <c r="G686">
        <v>2</v>
      </c>
      <c r="H686" t="s">
        <v>8292</v>
      </c>
      <c r="J686" t="s">
        <v>1933</v>
      </c>
      <c r="M686" t="s">
        <v>8293</v>
      </c>
      <c r="N686">
        <v>2.2220813349999999</v>
      </c>
      <c r="O686">
        <v>6.5440947090000003</v>
      </c>
      <c r="P686">
        <v>0.58228215500000002</v>
      </c>
      <c r="Q686">
        <v>0.35188233000000002</v>
      </c>
      <c r="S686" s="13">
        <v>-1.1485030839999999</v>
      </c>
      <c r="T686">
        <v>0.90649706500000005</v>
      </c>
      <c r="U686">
        <v>-8.5821832000000001E-2</v>
      </c>
    </row>
    <row r="687" spans="1:21" x14ac:dyDescent="0.2">
      <c r="A687" t="s">
        <v>567</v>
      </c>
      <c r="B687">
        <v>837680</v>
      </c>
      <c r="C687" t="s">
        <v>6927</v>
      </c>
      <c r="D687" t="s">
        <v>567</v>
      </c>
      <c r="E687" t="s">
        <v>6924</v>
      </c>
      <c r="F687">
        <v>24</v>
      </c>
      <c r="G687">
        <v>6</v>
      </c>
      <c r="H687" t="s">
        <v>8294</v>
      </c>
      <c r="J687" t="s">
        <v>8295</v>
      </c>
      <c r="M687" t="s">
        <v>8296</v>
      </c>
      <c r="N687">
        <v>1.982575982</v>
      </c>
      <c r="O687">
        <v>3.4571926419999999</v>
      </c>
      <c r="P687">
        <v>-0.114791479</v>
      </c>
      <c r="Q687">
        <v>1.868949E-3</v>
      </c>
      <c r="S687" s="13">
        <v>-1.148535912</v>
      </c>
      <c r="T687">
        <v>0.906353615</v>
      </c>
      <c r="U687">
        <v>-6.9788610000000001E-2</v>
      </c>
    </row>
    <row r="688" spans="1:21" x14ac:dyDescent="0.2">
      <c r="A688" t="s">
        <v>1052</v>
      </c>
      <c r="B688">
        <v>709320</v>
      </c>
      <c r="C688" t="s">
        <v>6945</v>
      </c>
      <c r="D688" t="s">
        <v>1052</v>
      </c>
      <c r="E688" t="s">
        <v>7085</v>
      </c>
      <c r="F688">
        <v>19</v>
      </c>
      <c r="G688">
        <v>9</v>
      </c>
      <c r="H688" t="s">
        <v>8297</v>
      </c>
      <c r="J688" t="s">
        <v>3609</v>
      </c>
      <c r="M688" t="s">
        <v>8298</v>
      </c>
      <c r="N688">
        <v>2.2220813349999999</v>
      </c>
      <c r="O688">
        <v>6.5440947090000003</v>
      </c>
      <c r="P688">
        <v>0.58228215500000002</v>
      </c>
      <c r="Q688">
        <v>0.35188233000000002</v>
      </c>
      <c r="S688" s="13">
        <v>-1.1492199439999999</v>
      </c>
      <c r="T688">
        <v>0.90336455299999996</v>
      </c>
      <c r="U688">
        <v>-8.6257898999999999E-2</v>
      </c>
    </row>
    <row r="689" spans="1:21" x14ac:dyDescent="0.2">
      <c r="A689" t="s">
        <v>165</v>
      </c>
      <c r="B689">
        <v>891520</v>
      </c>
      <c r="C689" t="s">
        <v>6938</v>
      </c>
      <c r="D689" t="s">
        <v>166</v>
      </c>
      <c r="E689" t="s">
        <v>6928</v>
      </c>
      <c r="F689">
        <v>2</v>
      </c>
      <c r="G689">
        <v>16</v>
      </c>
      <c r="H689" t="s">
        <v>8299</v>
      </c>
      <c r="J689" t="s">
        <v>360</v>
      </c>
      <c r="M689" t="s">
        <v>8300</v>
      </c>
      <c r="N689">
        <v>2.092758737</v>
      </c>
      <c r="O689">
        <v>5.3323610669999999</v>
      </c>
      <c r="P689">
        <v>0.70420098600000003</v>
      </c>
      <c r="Q689">
        <v>0.41355372699999998</v>
      </c>
      <c r="S689" s="13">
        <v>-1.149467537</v>
      </c>
      <c r="T689">
        <v>0.90228262800000003</v>
      </c>
      <c r="U689">
        <v>-5.9056251999999997E-2</v>
      </c>
    </row>
    <row r="690" spans="1:21" x14ac:dyDescent="0.2">
      <c r="A690" t="s">
        <v>567</v>
      </c>
      <c r="B690">
        <v>709000</v>
      </c>
      <c r="C690" t="s">
        <v>6945</v>
      </c>
      <c r="D690" t="s">
        <v>567</v>
      </c>
      <c r="E690" t="s">
        <v>6924</v>
      </c>
      <c r="F690">
        <v>24</v>
      </c>
      <c r="G690">
        <v>6</v>
      </c>
      <c r="H690" t="s">
        <v>8301</v>
      </c>
      <c r="J690" t="s">
        <v>6349</v>
      </c>
      <c r="M690" t="s">
        <v>8302</v>
      </c>
      <c r="N690">
        <v>2.2220813349999999</v>
      </c>
      <c r="O690">
        <v>6.5440947090000003</v>
      </c>
      <c r="P690">
        <v>0.58228215500000002</v>
      </c>
      <c r="Q690">
        <v>0.35188233000000002</v>
      </c>
      <c r="S690" s="13">
        <v>-1.1495217790000001</v>
      </c>
      <c r="T690">
        <v>0.90204560099999997</v>
      </c>
      <c r="U690">
        <v>-8.6441638000000001E-2</v>
      </c>
    </row>
    <row r="691" spans="1:21" x14ac:dyDescent="0.2">
      <c r="A691" t="s">
        <v>972</v>
      </c>
      <c r="B691">
        <v>802240</v>
      </c>
      <c r="C691" t="s">
        <v>6910</v>
      </c>
      <c r="D691" t="s">
        <v>972</v>
      </c>
      <c r="E691" t="s">
        <v>7085</v>
      </c>
      <c r="F691">
        <v>17</v>
      </c>
      <c r="G691">
        <v>9</v>
      </c>
      <c r="H691" t="s">
        <v>8303</v>
      </c>
      <c r="J691" t="s">
        <v>3937</v>
      </c>
      <c r="M691" t="s">
        <v>8304</v>
      </c>
      <c r="N691">
        <v>1.9874741039999999</v>
      </c>
      <c r="O691">
        <v>3.7453511220000002</v>
      </c>
      <c r="P691">
        <v>0.451009722</v>
      </c>
      <c r="Q691">
        <v>-0.102386592</v>
      </c>
      <c r="S691" s="13">
        <v>-1.1495599599999999</v>
      </c>
      <c r="T691">
        <v>0.90187876199999994</v>
      </c>
      <c r="U691">
        <v>-2.7651424000000001E-2</v>
      </c>
    </row>
    <row r="692" spans="1:21" x14ac:dyDescent="0.2">
      <c r="A692" t="s">
        <v>348</v>
      </c>
      <c r="B692">
        <v>891120</v>
      </c>
      <c r="C692" t="s">
        <v>6938</v>
      </c>
      <c r="D692" t="s">
        <v>349</v>
      </c>
      <c r="E692" t="s">
        <v>6907</v>
      </c>
      <c r="F692">
        <v>1</v>
      </c>
      <c r="G692">
        <v>4</v>
      </c>
      <c r="H692" t="s">
        <v>8305</v>
      </c>
      <c r="J692" t="s">
        <v>2286</v>
      </c>
      <c r="M692" t="s">
        <v>8306</v>
      </c>
      <c r="N692">
        <v>2.092758737</v>
      </c>
      <c r="O692">
        <v>5.3323610669999999</v>
      </c>
      <c r="P692">
        <v>0.70420098600000003</v>
      </c>
      <c r="Q692">
        <v>0.41355372699999998</v>
      </c>
      <c r="S692" s="13">
        <v>-1.1498110610000001</v>
      </c>
      <c r="T692">
        <v>0.90078150400000001</v>
      </c>
      <c r="U692">
        <v>-5.9271988999999997E-2</v>
      </c>
    </row>
    <row r="693" spans="1:21" x14ac:dyDescent="0.2">
      <c r="A693" t="s">
        <v>52</v>
      </c>
      <c r="B693">
        <v>702000</v>
      </c>
      <c r="C693" t="s">
        <v>6931</v>
      </c>
      <c r="D693" t="s">
        <v>53</v>
      </c>
      <c r="E693" t="s">
        <v>6918</v>
      </c>
      <c r="F693">
        <v>2</v>
      </c>
      <c r="G693">
        <v>1</v>
      </c>
      <c r="H693" t="s">
        <v>8307</v>
      </c>
      <c r="J693" t="s">
        <v>6841</v>
      </c>
      <c r="M693" t="s">
        <v>8308</v>
      </c>
      <c r="N693">
        <v>1.9323965059999999</v>
      </c>
      <c r="O693">
        <v>3.0528020530000002</v>
      </c>
      <c r="P693">
        <v>2.6493138999999999E-2</v>
      </c>
      <c r="Q693">
        <v>-0.38692188</v>
      </c>
      <c r="S693" s="13">
        <v>-1.1500952630000001</v>
      </c>
      <c r="T693">
        <v>0.89953960799999999</v>
      </c>
      <c r="U693">
        <v>-3.8870267999999999E-2</v>
      </c>
    </row>
    <row r="694" spans="1:21" x14ac:dyDescent="0.2">
      <c r="A694" t="s">
        <v>1092</v>
      </c>
      <c r="B694">
        <v>836080</v>
      </c>
      <c r="C694" t="s">
        <v>6927</v>
      </c>
      <c r="D694" t="s">
        <v>1092</v>
      </c>
      <c r="E694" t="s">
        <v>6970</v>
      </c>
      <c r="F694">
        <v>20</v>
      </c>
      <c r="G694">
        <v>14</v>
      </c>
      <c r="H694" t="s">
        <v>8309</v>
      </c>
      <c r="J694" t="s">
        <v>8310</v>
      </c>
      <c r="M694" t="s">
        <v>8311</v>
      </c>
      <c r="N694">
        <v>1.982575982</v>
      </c>
      <c r="O694">
        <v>3.4571926419999999</v>
      </c>
      <c r="P694">
        <v>-0.114791479</v>
      </c>
      <c r="Q694">
        <v>1.868949E-3</v>
      </c>
      <c r="S694" s="13">
        <v>-1.1501961110000001</v>
      </c>
      <c r="T694">
        <v>0.89909892599999996</v>
      </c>
      <c r="U694">
        <v>-7.0673830000000007E-2</v>
      </c>
    </row>
    <row r="695" spans="1:21" x14ac:dyDescent="0.2">
      <c r="A695" t="s">
        <v>1208</v>
      </c>
      <c r="B695">
        <v>542000</v>
      </c>
      <c r="C695" t="s">
        <v>6961</v>
      </c>
      <c r="D695" t="s">
        <v>1208</v>
      </c>
      <c r="E695" t="s">
        <v>6921</v>
      </c>
      <c r="F695">
        <v>15</v>
      </c>
      <c r="G695">
        <v>8</v>
      </c>
      <c r="H695" t="s">
        <v>8312</v>
      </c>
      <c r="J695" t="s">
        <v>3186</v>
      </c>
      <c r="M695" t="s">
        <v>8313</v>
      </c>
      <c r="N695">
        <v>2.7247480949999998</v>
      </c>
      <c r="O695">
        <v>7.0822175119999997</v>
      </c>
      <c r="P695">
        <v>0.61298291999999999</v>
      </c>
      <c r="Q695">
        <v>0.48262032500000002</v>
      </c>
      <c r="S695" s="13">
        <v>-1.1507393690000001</v>
      </c>
      <c r="T695">
        <v>0.89672501400000004</v>
      </c>
      <c r="U695">
        <v>-8.9912782999999996E-2</v>
      </c>
    </row>
    <row r="696" spans="1:21" x14ac:dyDescent="0.2">
      <c r="A696" t="s">
        <v>663</v>
      </c>
      <c r="B696">
        <v>886400</v>
      </c>
      <c r="C696" t="s">
        <v>6914</v>
      </c>
      <c r="D696" t="s">
        <v>663</v>
      </c>
      <c r="E696" t="s">
        <v>6918</v>
      </c>
      <c r="F696">
        <v>15</v>
      </c>
      <c r="G696">
        <v>1</v>
      </c>
      <c r="H696" t="s">
        <v>8314</v>
      </c>
      <c r="J696" t="s">
        <v>4485</v>
      </c>
      <c r="M696" t="s">
        <v>8315</v>
      </c>
      <c r="N696">
        <v>1.8217074179999999</v>
      </c>
      <c r="O696">
        <v>4.1700741289999996</v>
      </c>
      <c r="P696">
        <v>0.189705977</v>
      </c>
      <c r="Q696">
        <v>-1.7194070999999998E-2</v>
      </c>
      <c r="S696" s="13">
        <v>-1.150850352</v>
      </c>
      <c r="T696">
        <v>0.89624004000000002</v>
      </c>
      <c r="U696">
        <v>-8.7511159000000005E-2</v>
      </c>
    </row>
    <row r="697" spans="1:21" x14ac:dyDescent="0.2">
      <c r="A697" t="s">
        <v>385</v>
      </c>
      <c r="B697">
        <v>800920</v>
      </c>
      <c r="C697" t="s">
        <v>6910</v>
      </c>
      <c r="D697" t="s">
        <v>386</v>
      </c>
      <c r="E697" t="s">
        <v>6928</v>
      </c>
      <c r="F697">
        <v>7</v>
      </c>
      <c r="G697">
        <v>16</v>
      </c>
      <c r="H697" t="s">
        <v>8316</v>
      </c>
      <c r="J697" t="s">
        <v>1894</v>
      </c>
      <c r="M697" t="s">
        <v>8317</v>
      </c>
      <c r="N697">
        <v>1.9874741039999999</v>
      </c>
      <c r="O697">
        <v>3.7453511220000002</v>
      </c>
      <c r="P697">
        <v>0.451009722</v>
      </c>
      <c r="Q697">
        <v>-0.102386592</v>
      </c>
      <c r="S697" s="13">
        <v>-1.1509801390000001</v>
      </c>
      <c r="T697">
        <v>0.89567290200000005</v>
      </c>
      <c r="U697">
        <v>-2.8314032999999999E-2</v>
      </c>
    </row>
    <row r="698" spans="1:21" x14ac:dyDescent="0.2">
      <c r="A698" t="s">
        <v>364</v>
      </c>
      <c r="B698">
        <v>701240</v>
      </c>
      <c r="C698" t="s">
        <v>6931</v>
      </c>
      <c r="D698" t="s">
        <v>364</v>
      </c>
      <c r="E698" t="s">
        <v>6970</v>
      </c>
      <c r="F698">
        <v>23</v>
      </c>
      <c r="G698">
        <v>14</v>
      </c>
      <c r="H698" t="s">
        <v>8318</v>
      </c>
      <c r="N698">
        <v>1.9323965059999999</v>
      </c>
      <c r="O698">
        <v>3.0528020530000002</v>
      </c>
      <c r="P698">
        <v>2.6493138999999999E-2</v>
      </c>
      <c r="Q698">
        <v>-0.38692188</v>
      </c>
      <c r="S698" s="13">
        <v>-1.1510938829999999</v>
      </c>
      <c r="T698">
        <v>0.89517586500000002</v>
      </c>
      <c r="U698">
        <v>-3.9261630999999998E-2</v>
      </c>
    </row>
    <row r="699" spans="1:21" x14ac:dyDescent="0.2">
      <c r="A699" t="s">
        <v>1535</v>
      </c>
      <c r="B699">
        <v>900120</v>
      </c>
      <c r="C699" t="s">
        <v>6953</v>
      </c>
      <c r="D699" t="s">
        <v>1535</v>
      </c>
      <c r="E699" t="s">
        <v>6907</v>
      </c>
      <c r="F699">
        <v>19</v>
      </c>
      <c r="G699">
        <v>4</v>
      </c>
      <c r="H699" t="s">
        <v>8319</v>
      </c>
      <c r="J699" t="s">
        <v>2843</v>
      </c>
      <c r="M699" t="s">
        <v>8320</v>
      </c>
      <c r="N699">
        <v>1.921480887</v>
      </c>
      <c r="O699">
        <v>3.0856645180000002</v>
      </c>
      <c r="P699">
        <v>0.44706724399999997</v>
      </c>
      <c r="Q699">
        <v>-0.354940863</v>
      </c>
      <c r="S699" s="13">
        <v>-1.1512233590000001</v>
      </c>
      <c r="T699">
        <v>0.894610087</v>
      </c>
      <c r="U699">
        <v>-2.8243707999999999E-2</v>
      </c>
    </row>
    <row r="700" spans="1:21" x14ac:dyDescent="0.2">
      <c r="A700" t="s">
        <v>1208</v>
      </c>
      <c r="B700">
        <v>889280</v>
      </c>
      <c r="C700" t="s">
        <v>6938</v>
      </c>
      <c r="D700" t="s">
        <v>1208</v>
      </c>
      <c r="E700" t="s">
        <v>6921</v>
      </c>
      <c r="F700">
        <v>15</v>
      </c>
      <c r="G700">
        <v>8</v>
      </c>
      <c r="H700" t="s">
        <v>8321</v>
      </c>
      <c r="J700" t="s">
        <v>3221</v>
      </c>
      <c r="M700" t="s">
        <v>8322</v>
      </c>
      <c r="N700">
        <v>2.092758737</v>
      </c>
      <c r="O700">
        <v>5.3323610669999999</v>
      </c>
      <c r="P700">
        <v>0.70420098600000003</v>
      </c>
      <c r="Q700">
        <v>0.41355372699999998</v>
      </c>
      <c r="S700" s="13">
        <v>-1.1513912740000001</v>
      </c>
      <c r="T700">
        <v>0.89387633399999999</v>
      </c>
      <c r="U700">
        <v>-6.0265761000000001E-2</v>
      </c>
    </row>
    <row r="701" spans="1:21" x14ac:dyDescent="0.2">
      <c r="A701" t="s">
        <v>106</v>
      </c>
      <c r="B701">
        <v>888480</v>
      </c>
      <c r="C701" t="s">
        <v>6938</v>
      </c>
      <c r="D701" t="s">
        <v>107</v>
      </c>
      <c r="E701" t="s">
        <v>6907</v>
      </c>
      <c r="F701">
        <v>2</v>
      </c>
      <c r="G701">
        <v>4</v>
      </c>
      <c r="H701" t="s">
        <v>8323</v>
      </c>
      <c r="J701" t="s">
        <v>5723</v>
      </c>
      <c r="M701" t="s">
        <v>8324</v>
      </c>
      <c r="N701">
        <v>2.092758737</v>
      </c>
      <c r="O701">
        <v>5.3323610669999999</v>
      </c>
      <c r="P701">
        <v>0.70420098600000003</v>
      </c>
      <c r="Q701">
        <v>0.41355372699999998</v>
      </c>
      <c r="S701" s="13">
        <v>-1.1520783240000001</v>
      </c>
      <c r="T701">
        <v>0.89087408700000004</v>
      </c>
      <c r="U701">
        <v>-6.0698545999999999E-2</v>
      </c>
    </row>
    <row r="702" spans="1:21" x14ac:dyDescent="0.2">
      <c r="A702" t="s">
        <v>169</v>
      </c>
      <c r="B702">
        <v>706080</v>
      </c>
      <c r="C702" t="s">
        <v>6945</v>
      </c>
      <c r="D702" t="s">
        <v>169</v>
      </c>
      <c r="E702" t="s">
        <v>6918</v>
      </c>
      <c r="F702">
        <v>16</v>
      </c>
      <c r="G702">
        <v>1</v>
      </c>
      <c r="H702" t="s">
        <v>8325</v>
      </c>
      <c r="J702" t="s">
        <v>4509</v>
      </c>
      <c r="M702" t="s">
        <v>8326</v>
      </c>
      <c r="N702">
        <v>2.2220813349999999</v>
      </c>
      <c r="O702">
        <v>6.5440947090000003</v>
      </c>
      <c r="P702">
        <v>0.58228215500000002</v>
      </c>
      <c r="Q702">
        <v>0.35188233000000002</v>
      </c>
      <c r="S702" s="13">
        <v>-1.152276029</v>
      </c>
      <c r="T702">
        <v>0.89001016099999997</v>
      </c>
      <c r="U702">
        <v>-8.8121852000000001E-2</v>
      </c>
    </row>
    <row r="703" spans="1:21" x14ac:dyDescent="0.2">
      <c r="A703" t="s">
        <v>405</v>
      </c>
      <c r="B703">
        <v>779240</v>
      </c>
      <c r="C703" t="s">
        <v>6942</v>
      </c>
      <c r="D703" t="s">
        <v>405</v>
      </c>
      <c r="E703" t="s">
        <v>6946</v>
      </c>
      <c r="F703">
        <v>23</v>
      </c>
      <c r="G703">
        <v>11</v>
      </c>
      <c r="H703" t="s">
        <v>8327</v>
      </c>
      <c r="J703" t="s">
        <v>3324</v>
      </c>
      <c r="M703" t="s">
        <v>8328</v>
      </c>
      <c r="N703">
        <v>2.0902262079999998</v>
      </c>
      <c r="O703">
        <v>4.2704203920000001</v>
      </c>
      <c r="P703">
        <v>0.23425843900000001</v>
      </c>
      <c r="Q703">
        <v>1.6181978999999999E-2</v>
      </c>
      <c r="S703" s="13">
        <v>-1.15242526</v>
      </c>
      <c r="T703">
        <v>0.88935805599999995</v>
      </c>
      <c r="U703">
        <v>-8.6751872999999993E-2</v>
      </c>
    </row>
    <row r="704" spans="1:21" x14ac:dyDescent="0.2">
      <c r="A704" t="s">
        <v>380</v>
      </c>
      <c r="B704">
        <v>898800</v>
      </c>
      <c r="C704" t="s">
        <v>6953</v>
      </c>
      <c r="D704" t="s">
        <v>380</v>
      </c>
      <c r="E704" t="s">
        <v>6928</v>
      </c>
      <c r="F704">
        <v>16</v>
      </c>
      <c r="G704">
        <v>16</v>
      </c>
      <c r="H704" t="s">
        <v>8329</v>
      </c>
      <c r="J704" t="s">
        <v>4388</v>
      </c>
      <c r="M704" t="s">
        <v>8330</v>
      </c>
      <c r="N704">
        <v>1.921480887</v>
      </c>
      <c r="O704">
        <v>3.0856645180000002</v>
      </c>
      <c r="P704">
        <v>0.44706724399999997</v>
      </c>
      <c r="Q704">
        <v>-0.354940863</v>
      </c>
      <c r="S704" s="13">
        <v>-1.1525930230000001</v>
      </c>
      <c r="T704">
        <v>0.88862496800000002</v>
      </c>
      <c r="U704">
        <v>-2.8907221E-2</v>
      </c>
    </row>
    <row r="705" spans="1:21" x14ac:dyDescent="0.2">
      <c r="A705" t="s">
        <v>1413</v>
      </c>
      <c r="B705">
        <v>705640</v>
      </c>
      <c r="C705" t="s">
        <v>6945</v>
      </c>
      <c r="D705" t="s">
        <v>1413</v>
      </c>
      <c r="E705" t="s">
        <v>6977</v>
      </c>
      <c r="F705">
        <v>18</v>
      </c>
      <c r="G705">
        <v>5</v>
      </c>
      <c r="H705" t="s">
        <v>8331</v>
      </c>
      <c r="J705" t="s">
        <v>6313</v>
      </c>
      <c r="M705" t="s">
        <v>8332</v>
      </c>
      <c r="N705">
        <v>2.2220813349999999</v>
      </c>
      <c r="O705">
        <v>6.5440947090000003</v>
      </c>
      <c r="P705">
        <v>0.58228215500000002</v>
      </c>
      <c r="Q705">
        <v>0.35188233000000002</v>
      </c>
      <c r="S705" s="13">
        <v>-1.152691052</v>
      </c>
      <c r="T705">
        <v>0.88819660199999995</v>
      </c>
      <c r="U705">
        <v>-8.8375598999999999E-2</v>
      </c>
    </row>
    <row r="706" spans="1:21" x14ac:dyDescent="0.2">
      <c r="A706" t="s">
        <v>1256</v>
      </c>
      <c r="B706">
        <v>699680</v>
      </c>
      <c r="C706" t="s">
        <v>6931</v>
      </c>
      <c r="D706" t="s">
        <v>1257</v>
      </c>
      <c r="E706" t="s">
        <v>6946</v>
      </c>
      <c r="F706">
        <v>7</v>
      </c>
      <c r="G706">
        <v>11</v>
      </c>
      <c r="H706" t="s">
        <v>8333</v>
      </c>
      <c r="N706">
        <v>1.9323965059999999</v>
      </c>
      <c r="O706">
        <v>3.0528020530000002</v>
      </c>
      <c r="P706">
        <v>2.6493138999999999E-2</v>
      </c>
      <c r="Q706">
        <v>-0.38692188</v>
      </c>
      <c r="S706" s="13">
        <v>-1.1531436829999999</v>
      </c>
      <c r="T706">
        <v>0.88621870899999999</v>
      </c>
      <c r="U706">
        <v>-4.0066062E-2</v>
      </c>
    </row>
    <row r="707" spans="1:21" x14ac:dyDescent="0.2">
      <c r="A707" t="s">
        <v>214</v>
      </c>
      <c r="B707">
        <v>778200</v>
      </c>
      <c r="C707" t="s">
        <v>6942</v>
      </c>
      <c r="D707" t="s">
        <v>215</v>
      </c>
      <c r="E707" t="s">
        <v>6939</v>
      </c>
      <c r="F707">
        <v>9</v>
      </c>
      <c r="G707">
        <v>2</v>
      </c>
      <c r="H707" t="s">
        <v>8334</v>
      </c>
      <c r="J707" t="s">
        <v>217</v>
      </c>
      <c r="M707" t="s">
        <v>8335</v>
      </c>
      <c r="N707">
        <v>2.0902262079999998</v>
      </c>
      <c r="O707">
        <v>4.2704203920000001</v>
      </c>
      <c r="P707">
        <v>0.23425843900000001</v>
      </c>
      <c r="Q707">
        <v>1.6181978999999999E-2</v>
      </c>
      <c r="S707" s="13">
        <v>-1.153446008</v>
      </c>
      <c r="T707">
        <v>0.88489761700000003</v>
      </c>
      <c r="U707">
        <v>-8.7349987000000004E-2</v>
      </c>
    </row>
    <row r="708" spans="1:21" x14ac:dyDescent="0.2">
      <c r="A708" t="s">
        <v>1160</v>
      </c>
      <c r="B708">
        <v>777560</v>
      </c>
      <c r="C708" t="s">
        <v>6942</v>
      </c>
      <c r="D708" t="s">
        <v>1160</v>
      </c>
      <c r="E708" t="s">
        <v>6907</v>
      </c>
      <c r="F708">
        <v>22</v>
      </c>
      <c r="G708">
        <v>4</v>
      </c>
      <c r="H708" t="s">
        <v>8336</v>
      </c>
      <c r="J708" t="s">
        <v>1162</v>
      </c>
      <c r="M708" t="s">
        <v>8337</v>
      </c>
      <c r="N708">
        <v>2.0902262079999998</v>
      </c>
      <c r="O708">
        <v>4.2704203920000001</v>
      </c>
      <c r="P708">
        <v>0.23425843900000001</v>
      </c>
      <c r="Q708">
        <v>1.6181978999999999E-2</v>
      </c>
      <c r="S708" s="13">
        <v>-1.154074161</v>
      </c>
      <c r="T708">
        <v>0.88215273199999999</v>
      </c>
      <c r="U708">
        <v>-8.7718467999999994E-2</v>
      </c>
    </row>
    <row r="709" spans="1:21" x14ac:dyDescent="0.2">
      <c r="A709" t="s">
        <v>1073</v>
      </c>
      <c r="B709">
        <v>704160</v>
      </c>
      <c r="C709" t="s">
        <v>6945</v>
      </c>
      <c r="D709" t="s">
        <v>1073</v>
      </c>
      <c r="E709" t="s">
        <v>7115</v>
      </c>
      <c r="F709">
        <v>18</v>
      </c>
      <c r="G709">
        <v>10</v>
      </c>
      <c r="H709" t="s">
        <v>8338</v>
      </c>
      <c r="J709" t="s">
        <v>4780</v>
      </c>
      <c r="M709" t="s">
        <v>8339</v>
      </c>
      <c r="N709">
        <v>2.2220813349999999</v>
      </c>
      <c r="O709">
        <v>6.5440947090000003</v>
      </c>
      <c r="P709">
        <v>0.58228215500000002</v>
      </c>
      <c r="Q709">
        <v>0.35188233000000002</v>
      </c>
      <c r="S709" s="13">
        <v>-1.154087042</v>
      </c>
      <c r="T709">
        <v>0.88209644700000001</v>
      </c>
      <c r="U709">
        <v>-8.9230202999999994E-2</v>
      </c>
    </row>
    <row r="710" spans="1:21" x14ac:dyDescent="0.2">
      <c r="A710" t="s">
        <v>169</v>
      </c>
      <c r="B710">
        <v>886080</v>
      </c>
      <c r="C710" t="s">
        <v>6938</v>
      </c>
      <c r="D710" t="s">
        <v>169</v>
      </c>
      <c r="E710" t="s">
        <v>6918</v>
      </c>
      <c r="F710">
        <v>16</v>
      </c>
      <c r="G710">
        <v>1</v>
      </c>
      <c r="H710" t="s">
        <v>8340</v>
      </c>
      <c r="J710" t="s">
        <v>1761</v>
      </c>
      <c r="M710" t="s">
        <v>8341</v>
      </c>
      <c r="N710">
        <v>2.092758737</v>
      </c>
      <c r="O710">
        <v>5.3323610669999999</v>
      </c>
      <c r="P710">
        <v>0.70420098600000003</v>
      </c>
      <c r="Q710">
        <v>0.41355372699999998</v>
      </c>
      <c r="S710" s="13">
        <v>-1.1541394709999999</v>
      </c>
      <c r="T710">
        <v>0.881867344</v>
      </c>
      <c r="U710">
        <v>-6.1999496000000001E-2</v>
      </c>
    </row>
    <row r="711" spans="1:21" x14ac:dyDescent="0.2">
      <c r="A711" t="s">
        <v>47</v>
      </c>
      <c r="B711">
        <v>776600</v>
      </c>
      <c r="C711" t="s">
        <v>6942</v>
      </c>
      <c r="D711" t="s">
        <v>48</v>
      </c>
      <c r="E711" t="s">
        <v>6918</v>
      </c>
      <c r="F711">
        <v>8</v>
      </c>
      <c r="G711">
        <v>1</v>
      </c>
      <c r="H711" t="s">
        <v>8342</v>
      </c>
      <c r="J711" t="s">
        <v>50</v>
      </c>
      <c r="M711" t="s">
        <v>8343</v>
      </c>
      <c r="N711">
        <v>2.0902262079999998</v>
      </c>
      <c r="O711">
        <v>4.2704203920000001</v>
      </c>
      <c r="P711">
        <v>0.23425843900000001</v>
      </c>
      <c r="Q711">
        <v>1.6181978999999999E-2</v>
      </c>
      <c r="S711" s="13">
        <v>-1.155016391</v>
      </c>
      <c r="T711">
        <v>0.87803540400000002</v>
      </c>
      <c r="U711">
        <v>-8.8271774999999997E-2</v>
      </c>
    </row>
    <row r="712" spans="1:21" x14ac:dyDescent="0.2">
      <c r="A712" t="s">
        <v>1595</v>
      </c>
      <c r="B712">
        <v>698160</v>
      </c>
      <c r="C712" t="s">
        <v>6931</v>
      </c>
      <c r="D712" t="s">
        <v>1595</v>
      </c>
      <c r="E712" t="s">
        <v>6974</v>
      </c>
      <c r="F712">
        <v>23</v>
      </c>
      <c r="G712">
        <v>15</v>
      </c>
      <c r="H712" t="s">
        <v>8344</v>
      </c>
      <c r="N712">
        <v>1.9323965059999999</v>
      </c>
      <c r="O712">
        <v>3.0528020530000002</v>
      </c>
      <c r="P712">
        <v>2.6493138999999999E-2</v>
      </c>
      <c r="Q712">
        <v>-0.38692188</v>
      </c>
      <c r="S712" s="13">
        <v>-1.1551409239999999</v>
      </c>
      <c r="T712">
        <v>0.87749122400000001</v>
      </c>
      <c r="U712">
        <v>-4.0851301999999999E-2</v>
      </c>
    </row>
    <row r="713" spans="1:21" x14ac:dyDescent="0.2">
      <c r="A713" t="s">
        <v>907</v>
      </c>
      <c r="B713">
        <v>536240</v>
      </c>
      <c r="C713" t="s">
        <v>6961</v>
      </c>
      <c r="D713" t="s">
        <v>907</v>
      </c>
      <c r="E713" t="s">
        <v>6946</v>
      </c>
      <c r="F713">
        <v>19</v>
      </c>
      <c r="G713">
        <v>11</v>
      </c>
      <c r="H713" t="s">
        <v>8345</v>
      </c>
      <c r="J713" t="s">
        <v>3529</v>
      </c>
      <c r="M713" t="s">
        <v>8346</v>
      </c>
      <c r="N713">
        <v>2.7247480949999998</v>
      </c>
      <c r="O713">
        <v>7.0822175119999997</v>
      </c>
      <c r="P713">
        <v>0.61298291999999999</v>
      </c>
      <c r="Q713">
        <v>0.48262032500000002</v>
      </c>
      <c r="S713" s="13">
        <v>-1.155299072</v>
      </c>
      <c r="T713">
        <v>0.87680015099999997</v>
      </c>
      <c r="U713">
        <v>-9.3260186999999994E-2</v>
      </c>
    </row>
    <row r="714" spans="1:21" x14ac:dyDescent="0.2">
      <c r="A714" t="s">
        <v>883</v>
      </c>
      <c r="B714">
        <v>702840</v>
      </c>
      <c r="C714" t="s">
        <v>6945</v>
      </c>
      <c r="D714" t="s">
        <v>883</v>
      </c>
      <c r="E714" t="s">
        <v>6977</v>
      </c>
      <c r="F714">
        <v>17</v>
      </c>
      <c r="G714">
        <v>5</v>
      </c>
      <c r="H714" t="s">
        <v>8347</v>
      </c>
      <c r="J714" t="s">
        <v>5181</v>
      </c>
      <c r="M714" t="s">
        <v>8348</v>
      </c>
      <c r="N714">
        <v>2.2220813349999999</v>
      </c>
      <c r="O714">
        <v>6.5440947090000003</v>
      </c>
      <c r="P714">
        <v>0.58228215500000002</v>
      </c>
      <c r="Q714">
        <v>0.35188233000000002</v>
      </c>
      <c r="S714" s="13">
        <v>-1.155332113</v>
      </c>
      <c r="T714">
        <v>0.87665576899999997</v>
      </c>
      <c r="U714">
        <v>-8.9993838000000007E-2</v>
      </c>
    </row>
    <row r="715" spans="1:21" x14ac:dyDescent="0.2">
      <c r="A715" t="s">
        <v>1764</v>
      </c>
      <c r="B715">
        <v>884200</v>
      </c>
      <c r="C715" t="s">
        <v>6938</v>
      </c>
      <c r="D715" t="s">
        <v>1764</v>
      </c>
      <c r="E715" t="s">
        <v>7115</v>
      </c>
      <c r="F715">
        <v>20</v>
      </c>
      <c r="G715">
        <v>10</v>
      </c>
      <c r="H715" t="s">
        <v>8349</v>
      </c>
      <c r="J715" t="s">
        <v>3178</v>
      </c>
      <c r="M715" t="s">
        <v>8350</v>
      </c>
      <c r="N715">
        <v>2.092758737</v>
      </c>
      <c r="O715">
        <v>5.3323610669999999</v>
      </c>
      <c r="P715">
        <v>0.70420098600000003</v>
      </c>
      <c r="Q715">
        <v>0.41355372699999998</v>
      </c>
      <c r="S715" s="13">
        <v>-1.155754036</v>
      </c>
      <c r="T715">
        <v>0.87481206199999995</v>
      </c>
      <c r="U715">
        <v>-6.3021301000000002E-2</v>
      </c>
    </row>
    <row r="716" spans="1:21" x14ac:dyDescent="0.2">
      <c r="A716" t="s">
        <v>1436</v>
      </c>
      <c r="B716">
        <v>775400</v>
      </c>
      <c r="C716" t="s">
        <v>6942</v>
      </c>
      <c r="D716" t="s">
        <v>1437</v>
      </c>
      <c r="E716" t="s">
        <v>6907</v>
      </c>
      <c r="F716">
        <v>6</v>
      </c>
      <c r="G716">
        <v>4</v>
      </c>
      <c r="H716" t="s">
        <v>8351</v>
      </c>
      <c r="J716" t="s">
        <v>3326</v>
      </c>
      <c r="M716" t="s">
        <v>8352</v>
      </c>
      <c r="N716">
        <v>2.0902262079999998</v>
      </c>
      <c r="O716">
        <v>4.2704203920000001</v>
      </c>
      <c r="P716">
        <v>0.23425843900000001</v>
      </c>
      <c r="Q716">
        <v>1.6181978999999999E-2</v>
      </c>
      <c r="S716" s="13">
        <v>-1.156194178</v>
      </c>
      <c r="T716">
        <v>0.87288874500000002</v>
      </c>
      <c r="U716">
        <v>-8.8964402999999997E-2</v>
      </c>
    </row>
    <row r="717" spans="1:21" x14ac:dyDescent="0.2">
      <c r="A717" t="s">
        <v>18</v>
      </c>
      <c r="B717">
        <v>701560</v>
      </c>
      <c r="C717" t="s">
        <v>6945</v>
      </c>
      <c r="D717" t="s">
        <v>19</v>
      </c>
      <c r="E717" t="s">
        <v>6928</v>
      </c>
      <c r="F717">
        <v>1</v>
      </c>
      <c r="G717">
        <v>16</v>
      </c>
      <c r="H717" t="s">
        <v>8353</v>
      </c>
      <c r="J717" t="s">
        <v>5889</v>
      </c>
      <c r="M717" t="s">
        <v>8354</v>
      </c>
      <c r="N717">
        <v>2.2220813349999999</v>
      </c>
      <c r="O717">
        <v>6.5440947090000003</v>
      </c>
      <c r="P717">
        <v>0.58228215500000002</v>
      </c>
      <c r="Q717">
        <v>0.35188233000000002</v>
      </c>
      <c r="S717" s="13">
        <v>-1.156539456</v>
      </c>
      <c r="T717">
        <v>0.87137995999999995</v>
      </c>
      <c r="U717">
        <v>-9.0735618000000004E-2</v>
      </c>
    </row>
    <row r="718" spans="1:21" x14ac:dyDescent="0.2">
      <c r="A718" t="s">
        <v>598</v>
      </c>
      <c r="B718">
        <v>829920</v>
      </c>
      <c r="C718" t="s">
        <v>6927</v>
      </c>
      <c r="D718" t="s">
        <v>598</v>
      </c>
      <c r="E718" t="s">
        <v>7006</v>
      </c>
      <c r="F718">
        <v>22</v>
      </c>
      <c r="G718">
        <v>3</v>
      </c>
      <c r="H718" t="s">
        <v>8355</v>
      </c>
      <c r="J718" t="s">
        <v>8356</v>
      </c>
      <c r="M718" t="s">
        <v>8357</v>
      </c>
      <c r="N718">
        <v>1.982575982</v>
      </c>
      <c r="O718">
        <v>3.4571926419999999</v>
      </c>
      <c r="P718">
        <v>-0.114791479</v>
      </c>
      <c r="Q718">
        <v>1.868949E-3</v>
      </c>
      <c r="S718" s="13">
        <v>-1.1565878759999999</v>
      </c>
      <c r="T718">
        <v>0.87116837199999997</v>
      </c>
      <c r="U718">
        <v>-7.4098874999999995E-2</v>
      </c>
    </row>
    <row r="719" spans="1:21" x14ac:dyDescent="0.2">
      <c r="A719" t="s">
        <v>2040</v>
      </c>
      <c r="B719">
        <v>894920</v>
      </c>
      <c r="C719" t="s">
        <v>6953</v>
      </c>
      <c r="D719" t="s">
        <v>2040</v>
      </c>
      <c r="E719" t="s">
        <v>6946</v>
      </c>
      <c r="F719">
        <v>18</v>
      </c>
      <c r="G719">
        <v>11</v>
      </c>
      <c r="H719" t="s">
        <v>8358</v>
      </c>
      <c r="J719" t="s">
        <v>5457</v>
      </c>
      <c r="M719" t="s">
        <v>8359</v>
      </c>
      <c r="N719">
        <v>1.921480887</v>
      </c>
      <c r="O719">
        <v>3.0856645180000002</v>
      </c>
      <c r="P719">
        <v>0.44706724399999997</v>
      </c>
      <c r="Q719">
        <v>-0.354940863</v>
      </c>
      <c r="S719" s="13">
        <v>-1.156619005</v>
      </c>
      <c r="T719">
        <v>0.87103234600000001</v>
      </c>
      <c r="U719">
        <v>-3.0863438E-2</v>
      </c>
    </row>
    <row r="720" spans="1:21" x14ac:dyDescent="0.2">
      <c r="A720" t="s">
        <v>1108</v>
      </c>
      <c r="B720">
        <v>534160</v>
      </c>
      <c r="C720" t="s">
        <v>6961</v>
      </c>
      <c r="D720" t="s">
        <v>1109</v>
      </c>
      <c r="E720" t="s">
        <v>6977</v>
      </c>
      <c r="F720">
        <v>3</v>
      </c>
      <c r="G720">
        <v>5</v>
      </c>
      <c r="H720" t="s">
        <v>8360</v>
      </c>
      <c r="J720" t="s">
        <v>6551</v>
      </c>
      <c r="M720" t="s">
        <v>8361</v>
      </c>
      <c r="N720">
        <v>2.7247480949999998</v>
      </c>
      <c r="O720">
        <v>7.0822175119999997</v>
      </c>
      <c r="P720">
        <v>0.61298291999999999</v>
      </c>
      <c r="Q720">
        <v>0.48262032500000002</v>
      </c>
      <c r="S720" s="13">
        <v>-1.156945632</v>
      </c>
      <c r="T720">
        <v>0.86960506199999998</v>
      </c>
      <c r="U720">
        <v>-9.4475341000000004E-2</v>
      </c>
    </row>
    <row r="721" spans="1:21" x14ac:dyDescent="0.2">
      <c r="A721" t="s">
        <v>385</v>
      </c>
      <c r="B721">
        <v>700840</v>
      </c>
      <c r="C721" t="s">
        <v>6945</v>
      </c>
      <c r="D721" t="s">
        <v>386</v>
      </c>
      <c r="E721" t="s">
        <v>6928</v>
      </c>
      <c r="F721">
        <v>7</v>
      </c>
      <c r="G721">
        <v>16</v>
      </c>
      <c r="H721" t="s">
        <v>8362</v>
      </c>
      <c r="J721" t="s">
        <v>559</v>
      </c>
      <c r="M721" t="s">
        <v>8363</v>
      </c>
      <c r="N721">
        <v>2.2220813349999999</v>
      </c>
      <c r="O721">
        <v>6.5440947090000003</v>
      </c>
      <c r="P721">
        <v>0.58228215500000002</v>
      </c>
      <c r="Q721">
        <v>0.35188233000000002</v>
      </c>
      <c r="S721" s="13">
        <v>-1.1572185859999999</v>
      </c>
      <c r="T721">
        <v>0.86841231699999999</v>
      </c>
      <c r="U721">
        <v>-9.1153426999999995E-2</v>
      </c>
    </row>
    <row r="722" spans="1:21" x14ac:dyDescent="0.2">
      <c r="A722" t="s">
        <v>1698</v>
      </c>
      <c r="B722">
        <v>774000</v>
      </c>
      <c r="C722" t="s">
        <v>6942</v>
      </c>
      <c r="D722" t="s">
        <v>1698</v>
      </c>
      <c r="E722" t="s">
        <v>6921</v>
      </c>
      <c r="F722">
        <v>11</v>
      </c>
      <c r="G722">
        <v>8</v>
      </c>
      <c r="H722" t="s">
        <v>8364</v>
      </c>
      <c r="J722" t="s">
        <v>1961</v>
      </c>
      <c r="M722" t="s">
        <v>8365</v>
      </c>
      <c r="N722">
        <v>2.0902262079999998</v>
      </c>
      <c r="O722">
        <v>4.2704203920000001</v>
      </c>
      <c r="P722">
        <v>0.23425843900000001</v>
      </c>
      <c r="Q722">
        <v>1.6181978999999999E-2</v>
      </c>
      <c r="S722" s="13">
        <v>-1.1575682629999999</v>
      </c>
      <c r="T722">
        <v>0.86688430800000005</v>
      </c>
      <c r="U722">
        <v>-8.9773865999999994E-2</v>
      </c>
    </row>
    <row r="723" spans="1:21" x14ac:dyDescent="0.2">
      <c r="A723" t="s">
        <v>671</v>
      </c>
      <c r="B723">
        <v>532560</v>
      </c>
      <c r="C723" t="s">
        <v>6961</v>
      </c>
      <c r="D723" t="s">
        <v>672</v>
      </c>
      <c r="E723" t="s">
        <v>6970</v>
      </c>
      <c r="F723">
        <v>6</v>
      </c>
      <c r="G723">
        <v>14</v>
      </c>
      <c r="H723" t="s">
        <v>8366</v>
      </c>
      <c r="J723" t="s">
        <v>5959</v>
      </c>
      <c r="M723" t="s">
        <v>8367</v>
      </c>
      <c r="N723">
        <v>2.7247480949999998</v>
      </c>
      <c r="O723">
        <v>7.0822175119999997</v>
      </c>
      <c r="P723">
        <v>0.61298291999999999</v>
      </c>
      <c r="Q723">
        <v>0.48262032500000002</v>
      </c>
      <c r="S723" s="13">
        <v>-1.1582122159999999</v>
      </c>
      <c r="T723">
        <v>0.86407037799999997</v>
      </c>
      <c r="U723">
        <v>-9.5412393999999998E-2</v>
      </c>
    </row>
    <row r="724" spans="1:21" x14ac:dyDescent="0.2">
      <c r="A724" t="s">
        <v>1190</v>
      </c>
      <c r="B724">
        <v>532240</v>
      </c>
      <c r="C724" t="s">
        <v>6961</v>
      </c>
      <c r="D724" t="s">
        <v>1190</v>
      </c>
      <c r="E724" t="s">
        <v>6921</v>
      </c>
      <c r="F724">
        <v>17</v>
      </c>
      <c r="G724">
        <v>8</v>
      </c>
      <c r="H724" t="s">
        <v>8368</v>
      </c>
      <c r="J724" t="s">
        <v>1577</v>
      </c>
      <c r="M724" t="s">
        <v>8369</v>
      </c>
      <c r="N724">
        <v>2.7247480949999998</v>
      </c>
      <c r="O724">
        <v>7.0822175119999997</v>
      </c>
      <c r="P724">
        <v>0.61298291999999999</v>
      </c>
      <c r="Q724">
        <v>0.48262032500000002</v>
      </c>
      <c r="S724" s="13">
        <v>-1.158465533</v>
      </c>
      <c r="T724">
        <v>0.862963441</v>
      </c>
      <c r="U724">
        <v>-9.5600046999999994E-2</v>
      </c>
    </row>
    <row r="725" spans="1:21" x14ac:dyDescent="0.2">
      <c r="A725" t="s">
        <v>560</v>
      </c>
      <c r="B725">
        <v>893000</v>
      </c>
      <c r="C725" t="s">
        <v>6953</v>
      </c>
      <c r="D725" t="s">
        <v>560</v>
      </c>
      <c r="E725" t="s">
        <v>6928</v>
      </c>
      <c r="F725">
        <v>13</v>
      </c>
      <c r="G725">
        <v>16</v>
      </c>
      <c r="H725" t="s">
        <v>8370</v>
      </c>
      <c r="J725" t="s">
        <v>562</v>
      </c>
      <c r="M725" t="s">
        <v>8371</v>
      </c>
      <c r="N725">
        <v>1.921480887</v>
      </c>
      <c r="O725">
        <v>3.0856645180000002</v>
      </c>
      <c r="P725">
        <v>0.44706724399999997</v>
      </c>
      <c r="Q725">
        <v>-0.354940863</v>
      </c>
      <c r="S725" s="13">
        <v>-1.158611244</v>
      </c>
      <c r="T725">
        <v>0.86232671900000002</v>
      </c>
      <c r="U725">
        <v>-3.1834730999999998E-2</v>
      </c>
    </row>
    <row r="726" spans="1:21" x14ac:dyDescent="0.2">
      <c r="A726" t="s">
        <v>203</v>
      </c>
      <c r="B726">
        <v>699120</v>
      </c>
      <c r="C726" t="s">
        <v>6945</v>
      </c>
      <c r="D726" t="s">
        <v>204</v>
      </c>
      <c r="E726" t="s">
        <v>6915</v>
      </c>
      <c r="F726">
        <v>1</v>
      </c>
      <c r="G726">
        <v>13</v>
      </c>
      <c r="H726" t="s">
        <v>8372</v>
      </c>
      <c r="J726" t="s">
        <v>6339</v>
      </c>
      <c r="M726" t="s">
        <v>8373</v>
      </c>
      <c r="N726">
        <v>2.2220813349999999</v>
      </c>
      <c r="O726">
        <v>6.5440947090000003</v>
      </c>
      <c r="P726">
        <v>0.58228215500000002</v>
      </c>
      <c r="Q726">
        <v>0.35188233000000002</v>
      </c>
      <c r="S726" s="13">
        <v>-1.158840952</v>
      </c>
      <c r="T726">
        <v>0.86132294899999995</v>
      </c>
      <c r="U726">
        <v>-9.2153155E-2</v>
      </c>
    </row>
    <row r="727" spans="1:21" x14ac:dyDescent="0.2">
      <c r="A727" t="s">
        <v>1989</v>
      </c>
      <c r="B727">
        <v>531680</v>
      </c>
      <c r="C727" t="s">
        <v>6961</v>
      </c>
      <c r="D727" t="s">
        <v>1990</v>
      </c>
      <c r="E727" t="s">
        <v>6921</v>
      </c>
      <c r="F727">
        <v>9</v>
      </c>
      <c r="G727">
        <v>8</v>
      </c>
      <c r="H727" t="s">
        <v>8374</v>
      </c>
      <c r="J727" t="s">
        <v>6523</v>
      </c>
      <c r="M727" t="s">
        <v>8375</v>
      </c>
      <c r="N727">
        <v>2.7247480949999998</v>
      </c>
      <c r="O727">
        <v>7.0822175119999997</v>
      </c>
      <c r="P727">
        <v>0.61298291999999999</v>
      </c>
      <c r="Q727">
        <v>0.48262032500000002</v>
      </c>
      <c r="S727" s="13">
        <v>-1.1589088380000001</v>
      </c>
      <c r="T727">
        <v>0.86102630199999997</v>
      </c>
      <c r="U727">
        <v>-9.5928635999999998E-2</v>
      </c>
    </row>
    <row r="728" spans="1:21" x14ac:dyDescent="0.2">
      <c r="A728" t="s">
        <v>563</v>
      </c>
      <c r="B728">
        <v>737200</v>
      </c>
      <c r="C728" t="s">
        <v>6906</v>
      </c>
      <c r="D728" t="s">
        <v>564</v>
      </c>
      <c r="E728" t="s">
        <v>6928</v>
      </c>
      <c r="F728">
        <v>9</v>
      </c>
      <c r="G728">
        <v>16</v>
      </c>
      <c r="H728" t="s">
        <v>8376</v>
      </c>
      <c r="J728" t="s">
        <v>8377</v>
      </c>
      <c r="M728" t="s">
        <v>8378</v>
      </c>
      <c r="N728">
        <v>1.813871112</v>
      </c>
      <c r="O728">
        <v>2.6633694910000001</v>
      </c>
      <c r="P728">
        <v>-0.29586356800000002</v>
      </c>
      <c r="Q728">
        <v>-0.59018158399999998</v>
      </c>
      <c r="S728" s="13">
        <v>-1.159204991</v>
      </c>
      <c r="T728">
        <v>0.85973218100000004</v>
      </c>
      <c r="U728">
        <v>-8.3830674999999993E-2</v>
      </c>
    </row>
    <row r="729" spans="1:21" x14ac:dyDescent="0.2">
      <c r="A729" t="s">
        <v>355</v>
      </c>
      <c r="B729">
        <v>531040</v>
      </c>
      <c r="C729" t="s">
        <v>6961</v>
      </c>
      <c r="D729" t="s">
        <v>356</v>
      </c>
      <c r="E729" t="s">
        <v>6946</v>
      </c>
      <c r="F729">
        <v>3</v>
      </c>
      <c r="G729">
        <v>11</v>
      </c>
      <c r="H729" t="s">
        <v>8379</v>
      </c>
      <c r="J729" t="s">
        <v>2819</v>
      </c>
      <c r="M729" t="s">
        <v>8380</v>
      </c>
      <c r="N729">
        <v>2.7247480949999998</v>
      </c>
      <c r="O729">
        <v>7.0822175119999997</v>
      </c>
      <c r="P729">
        <v>0.61298291999999999</v>
      </c>
      <c r="Q729">
        <v>0.48262032500000002</v>
      </c>
      <c r="S729" s="13">
        <v>-1.159415471</v>
      </c>
      <c r="T729">
        <v>0.85881242800000002</v>
      </c>
      <c r="U729">
        <v>-9.6304470000000003E-2</v>
      </c>
    </row>
    <row r="730" spans="1:21" x14ac:dyDescent="0.2">
      <c r="A730" t="s">
        <v>1422</v>
      </c>
      <c r="B730">
        <v>530840</v>
      </c>
      <c r="C730" t="s">
        <v>6961</v>
      </c>
      <c r="D730" t="s">
        <v>1423</v>
      </c>
      <c r="E730" t="s">
        <v>6956</v>
      </c>
      <c r="F730">
        <v>4</v>
      </c>
      <c r="G730">
        <v>7</v>
      </c>
      <c r="H730" t="s">
        <v>8381</v>
      </c>
      <c r="J730" t="s">
        <v>3604</v>
      </c>
      <c r="M730" t="s">
        <v>8382</v>
      </c>
      <c r="N730">
        <v>2.7247480949999998</v>
      </c>
      <c r="O730">
        <v>7.0822175119999997</v>
      </c>
      <c r="P730">
        <v>0.61298291999999999</v>
      </c>
      <c r="Q730">
        <v>0.48262032500000002</v>
      </c>
      <c r="S730" s="13">
        <v>-1.1595737939999999</v>
      </c>
      <c r="T730">
        <v>0.85812059299999999</v>
      </c>
      <c r="U730">
        <v>-9.6421985000000002E-2</v>
      </c>
    </row>
    <row r="731" spans="1:21" x14ac:dyDescent="0.2">
      <c r="A731" t="s">
        <v>283</v>
      </c>
      <c r="B731">
        <v>530800</v>
      </c>
      <c r="C731" t="s">
        <v>6961</v>
      </c>
      <c r="D731" t="s">
        <v>284</v>
      </c>
      <c r="E731" t="s">
        <v>6928</v>
      </c>
      <c r="F731">
        <v>6</v>
      </c>
      <c r="G731">
        <v>16</v>
      </c>
      <c r="H731" t="s">
        <v>8383</v>
      </c>
      <c r="J731" t="s">
        <v>2841</v>
      </c>
      <c r="M731" t="s">
        <v>8384</v>
      </c>
      <c r="N731">
        <v>2.7247480949999998</v>
      </c>
      <c r="O731">
        <v>7.0822175119999997</v>
      </c>
      <c r="P731">
        <v>0.61298291999999999</v>
      </c>
      <c r="Q731">
        <v>0.48262032500000002</v>
      </c>
      <c r="S731" s="13">
        <v>-1.159605459</v>
      </c>
      <c r="T731">
        <v>0.85798222599999996</v>
      </c>
      <c r="U731">
        <v>-9.6445491999999994E-2</v>
      </c>
    </row>
    <row r="732" spans="1:21" x14ac:dyDescent="0.2">
      <c r="A732" t="s">
        <v>709</v>
      </c>
      <c r="B732">
        <v>771560</v>
      </c>
      <c r="C732" t="s">
        <v>6942</v>
      </c>
      <c r="D732" t="s">
        <v>709</v>
      </c>
      <c r="E732" t="s">
        <v>6928</v>
      </c>
      <c r="F732">
        <v>20</v>
      </c>
      <c r="G732">
        <v>16</v>
      </c>
      <c r="H732" t="s">
        <v>8385</v>
      </c>
      <c r="J732" t="s">
        <v>4662</v>
      </c>
      <c r="M732" t="s">
        <v>8386</v>
      </c>
      <c r="N732">
        <v>2.0902262079999998</v>
      </c>
      <c r="O732">
        <v>4.2704203920000001</v>
      </c>
      <c r="P732">
        <v>0.23425843900000001</v>
      </c>
      <c r="Q732">
        <v>1.6181978999999999E-2</v>
      </c>
      <c r="S732" s="13">
        <v>-1.159963096</v>
      </c>
      <c r="T732">
        <v>0.85641943399999998</v>
      </c>
      <c r="U732">
        <v>-9.1188262000000006E-2</v>
      </c>
    </row>
    <row r="733" spans="1:21" x14ac:dyDescent="0.2">
      <c r="A733" t="s">
        <v>94</v>
      </c>
      <c r="B733">
        <v>826560</v>
      </c>
      <c r="C733" t="s">
        <v>6927</v>
      </c>
      <c r="D733" t="s">
        <v>95</v>
      </c>
      <c r="E733" t="s">
        <v>6939</v>
      </c>
      <c r="F733">
        <v>1</v>
      </c>
      <c r="G733">
        <v>2</v>
      </c>
      <c r="H733" t="s">
        <v>8387</v>
      </c>
      <c r="J733" t="s">
        <v>8388</v>
      </c>
      <c r="M733" t="s">
        <v>8389</v>
      </c>
      <c r="N733">
        <v>1.982575982</v>
      </c>
      <c r="O733">
        <v>3.4571926419999999</v>
      </c>
      <c r="P733">
        <v>-0.114791479</v>
      </c>
      <c r="Q733">
        <v>1.868949E-3</v>
      </c>
      <c r="S733" s="13">
        <v>-1.160074294</v>
      </c>
      <c r="T733">
        <v>0.855933524</v>
      </c>
      <c r="U733">
        <v>-7.5978529000000003E-2</v>
      </c>
    </row>
    <row r="734" spans="1:21" x14ac:dyDescent="0.2">
      <c r="A734" t="s">
        <v>448</v>
      </c>
      <c r="B734">
        <v>878480</v>
      </c>
      <c r="C734" t="s">
        <v>6938</v>
      </c>
      <c r="D734" t="s">
        <v>448</v>
      </c>
      <c r="E734" t="s">
        <v>6974</v>
      </c>
      <c r="F734">
        <v>22</v>
      </c>
      <c r="G734">
        <v>15</v>
      </c>
      <c r="H734" t="s">
        <v>8390</v>
      </c>
      <c r="J734" t="s">
        <v>3501</v>
      </c>
      <c r="M734" t="s">
        <v>8391</v>
      </c>
      <c r="N734">
        <v>2.092758737</v>
      </c>
      <c r="O734">
        <v>5.3323610669999999</v>
      </c>
      <c r="P734">
        <v>0.70420098600000003</v>
      </c>
      <c r="Q734">
        <v>0.41355372699999998</v>
      </c>
      <c r="S734" s="13">
        <v>-1.160666438</v>
      </c>
      <c r="T734">
        <v>0.85334599200000005</v>
      </c>
      <c r="U734">
        <v>-6.6145068000000001E-2</v>
      </c>
    </row>
    <row r="735" spans="1:21" x14ac:dyDescent="0.2">
      <c r="A735" t="s">
        <v>345</v>
      </c>
      <c r="B735">
        <v>791640</v>
      </c>
      <c r="C735" t="s">
        <v>6910</v>
      </c>
      <c r="D735" t="s">
        <v>345</v>
      </c>
      <c r="E735" t="s">
        <v>6918</v>
      </c>
      <c r="F735">
        <v>19</v>
      </c>
      <c r="G735">
        <v>1</v>
      </c>
      <c r="H735" t="s">
        <v>8392</v>
      </c>
      <c r="J735" t="s">
        <v>6079</v>
      </c>
      <c r="M735" t="s">
        <v>8393</v>
      </c>
      <c r="N735">
        <v>1.9874741039999999</v>
      </c>
      <c r="O735">
        <v>3.7453511220000002</v>
      </c>
      <c r="P735">
        <v>0.451009722</v>
      </c>
      <c r="Q735">
        <v>-0.102386592</v>
      </c>
      <c r="S735" s="13">
        <v>-1.160964431</v>
      </c>
      <c r="T735">
        <v>0.85204382899999997</v>
      </c>
      <c r="U735">
        <v>-3.3001126999999998E-2</v>
      </c>
    </row>
    <row r="736" spans="1:21" x14ac:dyDescent="0.2">
      <c r="A736" t="s">
        <v>1595</v>
      </c>
      <c r="B736">
        <v>696840</v>
      </c>
      <c r="C736" t="s">
        <v>6945</v>
      </c>
      <c r="D736" t="s">
        <v>1595</v>
      </c>
      <c r="E736" t="s">
        <v>6974</v>
      </c>
      <c r="F736">
        <v>23</v>
      </c>
      <c r="G736">
        <v>15</v>
      </c>
      <c r="H736" t="s">
        <v>8394</v>
      </c>
      <c r="J736" t="s">
        <v>5873</v>
      </c>
      <c r="M736" t="s">
        <v>8395</v>
      </c>
      <c r="N736">
        <v>2.2220813349999999</v>
      </c>
      <c r="O736">
        <v>6.5440947090000003</v>
      </c>
      <c r="P736">
        <v>0.58228215500000002</v>
      </c>
      <c r="Q736">
        <v>0.35188233000000002</v>
      </c>
      <c r="S736" s="13">
        <v>-1.16099153</v>
      </c>
      <c r="T736">
        <v>0.85192541300000002</v>
      </c>
      <c r="U736">
        <v>-9.3481933000000003E-2</v>
      </c>
    </row>
    <row r="737" spans="1:21" x14ac:dyDescent="0.2">
      <c r="A737" t="s">
        <v>27</v>
      </c>
      <c r="B737">
        <v>770440</v>
      </c>
      <c r="C737" t="s">
        <v>6942</v>
      </c>
      <c r="D737" t="s">
        <v>29</v>
      </c>
      <c r="E737" t="s">
        <v>6915</v>
      </c>
      <c r="F737">
        <v>4</v>
      </c>
      <c r="G737">
        <v>13</v>
      </c>
      <c r="H737" t="s">
        <v>8396</v>
      </c>
      <c r="J737" t="s">
        <v>31</v>
      </c>
      <c r="M737" t="s">
        <v>8397</v>
      </c>
      <c r="N737">
        <v>2.0902262079999998</v>
      </c>
      <c r="O737">
        <v>4.2704203920000001</v>
      </c>
      <c r="P737">
        <v>0.23425843900000001</v>
      </c>
      <c r="Q737">
        <v>1.6181978999999999E-2</v>
      </c>
      <c r="S737" s="13">
        <v>-1.161062364</v>
      </c>
      <c r="T737">
        <v>0.85161588499999996</v>
      </c>
      <c r="U737">
        <v>-9.1839038999999997E-2</v>
      </c>
    </row>
    <row r="738" spans="1:21" x14ac:dyDescent="0.2">
      <c r="A738" t="s">
        <v>283</v>
      </c>
      <c r="B738">
        <v>791320</v>
      </c>
      <c r="C738" t="s">
        <v>6910</v>
      </c>
      <c r="D738" t="s">
        <v>284</v>
      </c>
      <c r="E738" t="s">
        <v>6928</v>
      </c>
      <c r="F738">
        <v>6</v>
      </c>
      <c r="G738">
        <v>16</v>
      </c>
      <c r="H738" t="s">
        <v>8398</v>
      </c>
      <c r="J738" t="s">
        <v>3131</v>
      </c>
      <c r="M738" t="s">
        <v>8399</v>
      </c>
      <c r="N738">
        <v>1.9874741039999999</v>
      </c>
      <c r="O738">
        <v>3.7453511220000002</v>
      </c>
      <c r="P738">
        <v>0.451009722</v>
      </c>
      <c r="Q738">
        <v>-0.102386592</v>
      </c>
      <c r="S738" s="13">
        <v>-1.161308717</v>
      </c>
      <c r="T738">
        <v>0.85053937800000001</v>
      </c>
      <c r="U738">
        <v>-3.3163656999999999E-2</v>
      </c>
    </row>
    <row r="739" spans="1:21" x14ac:dyDescent="0.2">
      <c r="A739" t="s">
        <v>1275</v>
      </c>
      <c r="B739">
        <v>696480</v>
      </c>
      <c r="C739" t="s">
        <v>6945</v>
      </c>
      <c r="D739" t="s">
        <v>1276</v>
      </c>
      <c r="E739" t="s">
        <v>7085</v>
      </c>
      <c r="F739">
        <v>5</v>
      </c>
      <c r="G739">
        <v>9</v>
      </c>
      <c r="H739" t="s">
        <v>8400</v>
      </c>
      <c r="J739" t="s">
        <v>5843</v>
      </c>
      <c r="M739" t="s">
        <v>8401</v>
      </c>
      <c r="N739">
        <v>2.2220813349999999</v>
      </c>
      <c r="O739">
        <v>6.5440947090000003</v>
      </c>
      <c r="P739">
        <v>0.58228215500000002</v>
      </c>
      <c r="Q739">
        <v>0.35188233000000002</v>
      </c>
      <c r="S739" s="13">
        <v>-1.161331095</v>
      </c>
      <c r="T739">
        <v>0.85044159200000002</v>
      </c>
      <c r="U739">
        <v>-9.3692111999999994E-2</v>
      </c>
    </row>
    <row r="740" spans="1:21" x14ac:dyDescent="0.2">
      <c r="A740" t="s">
        <v>1897</v>
      </c>
      <c r="B740">
        <v>528520</v>
      </c>
      <c r="C740" t="s">
        <v>6961</v>
      </c>
      <c r="D740" t="s">
        <v>1897</v>
      </c>
      <c r="E740" t="s">
        <v>7085</v>
      </c>
      <c r="F740">
        <v>14</v>
      </c>
      <c r="G740">
        <v>9</v>
      </c>
      <c r="H740" t="s">
        <v>8402</v>
      </c>
      <c r="J740" t="s">
        <v>4674</v>
      </c>
      <c r="M740" t="s">
        <v>8403</v>
      </c>
      <c r="N740">
        <v>2.7247480949999998</v>
      </c>
      <c r="O740">
        <v>7.0822175119999997</v>
      </c>
      <c r="P740">
        <v>0.61298291999999999</v>
      </c>
      <c r="Q740">
        <v>0.48262032500000002</v>
      </c>
      <c r="S740" s="13">
        <v>-1.1614103419999999</v>
      </c>
      <c r="T740">
        <v>0.85009530099999997</v>
      </c>
      <c r="U740">
        <v>-9.7787489000000005E-2</v>
      </c>
    </row>
    <row r="741" spans="1:21" x14ac:dyDescent="0.2">
      <c r="A741" t="s">
        <v>625</v>
      </c>
      <c r="B741">
        <v>770000</v>
      </c>
      <c r="C741" t="s">
        <v>6942</v>
      </c>
      <c r="D741" t="s">
        <v>625</v>
      </c>
      <c r="E741" t="s">
        <v>6918</v>
      </c>
      <c r="F741">
        <v>11</v>
      </c>
      <c r="G741">
        <v>1</v>
      </c>
      <c r="H741" t="s">
        <v>8404</v>
      </c>
      <c r="J741" t="s">
        <v>943</v>
      </c>
      <c r="M741" t="s">
        <v>8405</v>
      </c>
      <c r="N741">
        <v>2.0902262079999998</v>
      </c>
      <c r="O741">
        <v>4.2704203920000001</v>
      </c>
      <c r="P741">
        <v>0.23425843900000001</v>
      </c>
      <c r="Q741">
        <v>1.6181978999999999E-2</v>
      </c>
      <c r="S741" s="13">
        <v>-1.1614942189999999</v>
      </c>
      <c r="T741">
        <v>0.84972877599999996</v>
      </c>
      <c r="U741">
        <v>-9.2094967999999999E-2</v>
      </c>
    </row>
    <row r="742" spans="1:21" x14ac:dyDescent="0.2">
      <c r="A742" t="s">
        <v>839</v>
      </c>
      <c r="B742">
        <v>769800</v>
      </c>
      <c r="C742" t="s">
        <v>6942</v>
      </c>
      <c r="D742" t="s">
        <v>840</v>
      </c>
      <c r="E742" t="s">
        <v>6928</v>
      </c>
      <c r="F742">
        <v>5</v>
      </c>
      <c r="G742">
        <v>16</v>
      </c>
      <c r="H742" t="s">
        <v>8406</v>
      </c>
      <c r="J742" t="s">
        <v>4623</v>
      </c>
      <c r="M742" t="s">
        <v>8407</v>
      </c>
      <c r="N742">
        <v>2.0902262079999998</v>
      </c>
      <c r="O742">
        <v>4.2704203920000001</v>
      </c>
      <c r="P742">
        <v>0.23425843900000001</v>
      </c>
      <c r="Q742">
        <v>1.6181978999999999E-2</v>
      </c>
      <c r="S742" s="13">
        <v>-1.161690517</v>
      </c>
      <c r="T742">
        <v>0.84887100000000004</v>
      </c>
      <c r="U742">
        <v>-9.2211348999999998E-2</v>
      </c>
    </row>
    <row r="743" spans="1:21" x14ac:dyDescent="0.2">
      <c r="A743" t="s">
        <v>165</v>
      </c>
      <c r="B743">
        <v>693160</v>
      </c>
      <c r="C743" t="s">
        <v>6931</v>
      </c>
      <c r="D743" t="s">
        <v>166</v>
      </c>
      <c r="E743" t="s">
        <v>6928</v>
      </c>
      <c r="F743">
        <v>2</v>
      </c>
      <c r="G743">
        <v>16</v>
      </c>
      <c r="H743" t="s">
        <v>8408</v>
      </c>
      <c r="J743" t="s">
        <v>184</v>
      </c>
      <c r="M743" t="s">
        <v>8409</v>
      </c>
      <c r="N743">
        <v>1.9323965059999999</v>
      </c>
      <c r="O743">
        <v>3.0528020530000002</v>
      </c>
      <c r="P743">
        <v>2.6493138999999999E-2</v>
      </c>
      <c r="Q743">
        <v>-0.38692188</v>
      </c>
      <c r="S743" s="13">
        <v>-1.161710794</v>
      </c>
      <c r="T743">
        <v>0.84878239200000005</v>
      </c>
      <c r="U743">
        <v>-4.3444390999999999E-2</v>
      </c>
    </row>
    <row r="744" spans="1:21" x14ac:dyDescent="0.2">
      <c r="A744" t="s">
        <v>1825</v>
      </c>
      <c r="B744">
        <v>695960</v>
      </c>
      <c r="C744" t="s">
        <v>6945</v>
      </c>
      <c r="D744" t="s">
        <v>1826</v>
      </c>
      <c r="E744" t="s">
        <v>6956</v>
      </c>
      <c r="F744">
        <v>9</v>
      </c>
      <c r="G744">
        <v>7</v>
      </c>
      <c r="H744" t="s">
        <v>8410</v>
      </c>
      <c r="J744" t="s">
        <v>4008</v>
      </c>
      <c r="M744" t="s">
        <v>8411</v>
      </c>
      <c r="N744">
        <v>2.2220813349999999</v>
      </c>
      <c r="O744">
        <v>6.5440947090000003</v>
      </c>
      <c r="P744">
        <v>0.58228215500000002</v>
      </c>
      <c r="Q744">
        <v>0.35188233000000002</v>
      </c>
      <c r="S744" s="13">
        <v>-1.161821577</v>
      </c>
      <c r="T744">
        <v>0.84829829499999998</v>
      </c>
      <c r="U744">
        <v>-9.3995884000000002E-2</v>
      </c>
    </row>
    <row r="745" spans="1:21" x14ac:dyDescent="0.2">
      <c r="A745" t="s">
        <v>801</v>
      </c>
      <c r="B745">
        <v>790840</v>
      </c>
      <c r="C745" t="s">
        <v>6910</v>
      </c>
      <c r="D745" t="s">
        <v>801</v>
      </c>
      <c r="E745" t="s">
        <v>6911</v>
      </c>
      <c r="F745">
        <v>23</v>
      </c>
      <c r="G745">
        <v>12</v>
      </c>
      <c r="H745" t="s">
        <v>8412</v>
      </c>
      <c r="J745" t="s">
        <v>803</v>
      </c>
      <c r="M745" t="s">
        <v>8413</v>
      </c>
      <c r="N745">
        <v>1.9874741039999999</v>
      </c>
      <c r="O745">
        <v>3.7453511220000002</v>
      </c>
      <c r="P745">
        <v>0.451009722</v>
      </c>
      <c r="Q745">
        <v>-0.102386592</v>
      </c>
      <c r="S745" s="13">
        <v>-1.161825146</v>
      </c>
      <c r="T745">
        <v>0.848282702</v>
      </c>
      <c r="U745">
        <v>-3.3407565E-2</v>
      </c>
    </row>
    <row r="746" spans="1:21" x14ac:dyDescent="0.2">
      <c r="A746" t="s">
        <v>283</v>
      </c>
      <c r="B746">
        <v>889640</v>
      </c>
      <c r="C746" t="s">
        <v>6953</v>
      </c>
      <c r="D746" t="s">
        <v>284</v>
      </c>
      <c r="E746" t="s">
        <v>6928</v>
      </c>
      <c r="F746">
        <v>6</v>
      </c>
      <c r="G746">
        <v>16</v>
      </c>
      <c r="H746" t="s">
        <v>8414</v>
      </c>
      <c r="J746" t="s">
        <v>1929</v>
      </c>
      <c r="M746" t="s">
        <v>8415</v>
      </c>
      <c r="N746">
        <v>1.921480887</v>
      </c>
      <c r="O746">
        <v>3.0856645180000002</v>
      </c>
      <c r="P746">
        <v>0.44706724399999997</v>
      </c>
      <c r="Q746">
        <v>-0.354940863</v>
      </c>
      <c r="S746" s="13">
        <v>-1.162097661</v>
      </c>
      <c r="T746">
        <v>0.84709187200000002</v>
      </c>
      <c r="U746">
        <v>-3.3539739999999998E-2</v>
      </c>
    </row>
    <row r="747" spans="1:21" x14ac:dyDescent="0.2">
      <c r="A747" t="s">
        <v>253</v>
      </c>
      <c r="B747">
        <v>824000</v>
      </c>
      <c r="C747" t="s">
        <v>6927</v>
      </c>
      <c r="D747" t="s">
        <v>254</v>
      </c>
      <c r="E747" t="s">
        <v>6939</v>
      </c>
      <c r="F747">
        <v>4</v>
      </c>
      <c r="G747">
        <v>2</v>
      </c>
      <c r="H747" t="s">
        <v>8416</v>
      </c>
      <c r="J747" t="s">
        <v>8417</v>
      </c>
      <c r="M747" t="s">
        <v>8418</v>
      </c>
      <c r="N747">
        <v>1.982575982</v>
      </c>
      <c r="O747">
        <v>3.4571926419999999</v>
      </c>
      <c r="P747">
        <v>-0.114791479</v>
      </c>
      <c r="Q747">
        <v>1.868949E-3</v>
      </c>
      <c r="S747" s="13">
        <v>-1.1627306120000001</v>
      </c>
      <c r="T747">
        <v>0.84432602199999995</v>
      </c>
      <c r="U747">
        <v>-7.7416126000000002E-2</v>
      </c>
    </row>
    <row r="748" spans="1:21" x14ac:dyDescent="0.2">
      <c r="A748" t="s">
        <v>2319</v>
      </c>
      <c r="B748">
        <v>526520</v>
      </c>
      <c r="C748" t="s">
        <v>6961</v>
      </c>
      <c r="D748" t="s">
        <v>2320</v>
      </c>
      <c r="E748" t="s">
        <v>6915</v>
      </c>
      <c r="F748">
        <v>8</v>
      </c>
      <c r="G748">
        <v>13</v>
      </c>
      <c r="H748" t="s">
        <v>8419</v>
      </c>
      <c r="J748" t="s">
        <v>4882</v>
      </c>
      <c r="M748" t="s">
        <v>8420</v>
      </c>
      <c r="N748">
        <v>2.7247480949999998</v>
      </c>
      <c r="O748">
        <v>7.0822175119999997</v>
      </c>
      <c r="P748">
        <v>0.61298291999999999</v>
      </c>
      <c r="Q748">
        <v>0.48262032500000002</v>
      </c>
      <c r="S748" s="13">
        <v>-1.162993572</v>
      </c>
      <c r="T748">
        <v>0.84317694600000004</v>
      </c>
      <c r="U748">
        <v>-9.8968103000000002E-2</v>
      </c>
    </row>
    <row r="749" spans="1:21" x14ac:dyDescent="0.2">
      <c r="A749" t="s">
        <v>89</v>
      </c>
      <c r="B749">
        <v>876280</v>
      </c>
      <c r="C749" t="s">
        <v>6914</v>
      </c>
      <c r="D749" t="s">
        <v>90</v>
      </c>
      <c r="E749" t="s">
        <v>6921</v>
      </c>
      <c r="F749">
        <v>1</v>
      </c>
      <c r="G749">
        <v>8</v>
      </c>
      <c r="H749" t="s">
        <v>8421</v>
      </c>
      <c r="J749" t="s">
        <v>341</v>
      </c>
      <c r="M749" t="s">
        <v>8422</v>
      </c>
      <c r="N749">
        <v>1.8217074179999999</v>
      </c>
      <c r="O749">
        <v>4.1700741289999996</v>
      </c>
      <c r="P749">
        <v>0.189705977</v>
      </c>
      <c r="Q749">
        <v>-1.7194070999999998E-2</v>
      </c>
      <c r="S749" s="13">
        <v>-1.1630222990000001</v>
      </c>
      <c r="T749">
        <v>0.84305141500000003</v>
      </c>
      <c r="U749">
        <v>-9.3376880999999995E-2</v>
      </c>
    </row>
    <row r="750" spans="1:21" x14ac:dyDescent="0.2">
      <c r="A750" t="s">
        <v>2089</v>
      </c>
      <c r="B750">
        <v>692080</v>
      </c>
      <c r="C750" t="s">
        <v>6931</v>
      </c>
      <c r="D750" t="s">
        <v>2090</v>
      </c>
      <c r="E750" t="s">
        <v>7085</v>
      </c>
      <c r="F750">
        <v>3</v>
      </c>
      <c r="G750">
        <v>9</v>
      </c>
      <c r="H750" t="s">
        <v>8423</v>
      </c>
      <c r="J750" t="s">
        <v>2434</v>
      </c>
      <c r="M750" t="s">
        <v>8424</v>
      </c>
      <c r="N750">
        <v>1.9323965059999999</v>
      </c>
      <c r="O750">
        <v>3.0528020530000002</v>
      </c>
      <c r="P750">
        <v>2.6493138999999999E-2</v>
      </c>
      <c r="Q750">
        <v>-0.38692188</v>
      </c>
      <c r="S750" s="13">
        <v>-1.1631298859999999</v>
      </c>
      <c r="T750">
        <v>0.84258128399999999</v>
      </c>
      <c r="U750">
        <v>-4.4006537999999998E-2</v>
      </c>
    </row>
    <row r="751" spans="1:21" x14ac:dyDescent="0.2">
      <c r="A751" t="s">
        <v>746</v>
      </c>
      <c r="B751">
        <v>694080</v>
      </c>
      <c r="C751" t="s">
        <v>6945</v>
      </c>
      <c r="D751" t="s">
        <v>746</v>
      </c>
      <c r="E751" t="s">
        <v>6974</v>
      </c>
      <c r="F751">
        <v>19</v>
      </c>
      <c r="G751">
        <v>15</v>
      </c>
      <c r="H751" t="s">
        <v>8425</v>
      </c>
      <c r="J751" t="s">
        <v>3781</v>
      </c>
      <c r="M751" t="s">
        <v>8426</v>
      </c>
      <c r="N751">
        <v>2.2220813349999999</v>
      </c>
      <c r="O751">
        <v>6.5440947090000003</v>
      </c>
      <c r="P751">
        <v>0.58228215500000002</v>
      </c>
      <c r="Q751">
        <v>0.35188233000000002</v>
      </c>
      <c r="S751" s="13">
        <v>-1.163594861</v>
      </c>
      <c r="T751">
        <v>0.84054945000000003</v>
      </c>
      <c r="U751">
        <v>-9.5095912000000005E-2</v>
      </c>
    </row>
    <row r="752" spans="1:21" x14ac:dyDescent="0.2">
      <c r="A752" t="s">
        <v>1668</v>
      </c>
      <c r="B752">
        <v>525600</v>
      </c>
      <c r="C752" t="s">
        <v>6961</v>
      </c>
      <c r="D752" t="s">
        <v>1668</v>
      </c>
      <c r="E752" t="s">
        <v>6915</v>
      </c>
      <c r="F752">
        <v>10</v>
      </c>
      <c r="G752">
        <v>13</v>
      </c>
      <c r="H752" t="s">
        <v>8427</v>
      </c>
      <c r="J752" t="s">
        <v>6517</v>
      </c>
      <c r="M752" t="s">
        <v>8428</v>
      </c>
      <c r="N752">
        <v>2.7247480949999998</v>
      </c>
      <c r="O752">
        <v>7.0822175119999997</v>
      </c>
      <c r="P752">
        <v>0.61298291999999999</v>
      </c>
      <c r="Q752">
        <v>0.48262032500000002</v>
      </c>
      <c r="S752" s="13">
        <v>-1.1637218579999999</v>
      </c>
      <c r="T752">
        <v>0.839994503</v>
      </c>
      <c r="U752">
        <v>-9.9512265000000003E-2</v>
      </c>
    </row>
    <row r="753" spans="1:21" x14ac:dyDescent="0.2">
      <c r="A753" t="s">
        <v>577</v>
      </c>
      <c r="B753">
        <v>691600</v>
      </c>
      <c r="C753" t="s">
        <v>6931</v>
      </c>
      <c r="D753" t="s">
        <v>578</v>
      </c>
      <c r="E753" t="s">
        <v>7115</v>
      </c>
      <c r="F753">
        <v>1</v>
      </c>
      <c r="G753">
        <v>10</v>
      </c>
      <c r="H753" t="s">
        <v>8429</v>
      </c>
      <c r="J753" t="s">
        <v>4604</v>
      </c>
      <c r="M753" t="s">
        <v>8430</v>
      </c>
      <c r="N753">
        <v>1.9323965059999999</v>
      </c>
      <c r="O753">
        <v>3.0528020530000002</v>
      </c>
      <c r="P753">
        <v>2.6493138999999999E-2</v>
      </c>
      <c r="Q753">
        <v>-0.38692188</v>
      </c>
      <c r="S753" s="13">
        <v>-1.163760594</v>
      </c>
      <c r="T753">
        <v>0.83982523600000003</v>
      </c>
      <c r="U753">
        <v>-4.4256614E-2</v>
      </c>
    </row>
    <row r="754" spans="1:21" x14ac:dyDescent="0.2">
      <c r="A754" t="s">
        <v>99</v>
      </c>
      <c r="B754">
        <v>767280</v>
      </c>
      <c r="C754" t="s">
        <v>6942</v>
      </c>
      <c r="D754" t="s">
        <v>101</v>
      </c>
      <c r="E754" t="s">
        <v>6918</v>
      </c>
      <c r="F754">
        <v>4</v>
      </c>
      <c r="G754">
        <v>1</v>
      </c>
      <c r="H754" t="s">
        <v>8431</v>
      </c>
      <c r="J754" t="s">
        <v>122</v>
      </c>
      <c r="M754" t="s">
        <v>8432</v>
      </c>
      <c r="N754">
        <v>2.0902262079999998</v>
      </c>
      <c r="O754">
        <v>4.2704203920000001</v>
      </c>
      <c r="P754">
        <v>0.23425843900000001</v>
      </c>
      <c r="Q754">
        <v>1.6181978999999999E-2</v>
      </c>
      <c r="S754" s="13">
        <v>-1.164163869</v>
      </c>
      <c r="T754">
        <v>0.83806301400000005</v>
      </c>
      <c r="U754">
        <v>-9.3680432999999994E-2</v>
      </c>
    </row>
    <row r="755" spans="1:21" x14ac:dyDescent="0.2">
      <c r="A755" t="s">
        <v>547</v>
      </c>
      <c r="B755">
        <v>691280</v>
      </c>
      <c r="C755" t="s">
        <v>6931</v>
      </c>
      <c r="D755" t="s">
        <v>548</v>
      </c>
      <c r="E755" t="s">
        <v>6970</v>
      </c>
      <c r="F755">
        <v>5</v>
      </c>
      <c r="G755">
        <v>14</v>
      </c>
      <c r="H755" t="s">
        <v>8433</v>
      </c>
      <c r="N755">
        <v>1.9323965059999999</v>
      </c>
      <c r="O755">
        <v>3.0528020530000002</v>
      </c>
      <c r="P755">
        <v>2.6493138999999999E-2</v>
      </c>
      <c r="Q755">
        <v>-0.38692188</v>
      </c>
      <c r="S755" s="13">
        <v>-1.164181066</v>
      </c>
      <c r="T755">
        <v>0.83798787100000005</v>
      </c>
      <c r="U755">
        <v>-4.4423412000000002E-2</v>
      </c>
    </row>
    <row r="756" spans="1:21" x14ac:dyDescent="0.2">
      <c r="A756" t="s">
        <v>1373</v>
      </c>
      <c r="B756">
        <v>693280</v>
      </c>
      <c r="C756" t="s">
        <v>6945</v>
      </c>
      <c r="D756" t="s">
        <v>1373</v>
      </c>
      <c r="E756" t="s">
        <v>6977</v>
      </c>
      <c r="F756">
        <v>10</v>
      </c>
      <c r="G756">
        <v>5</v>
      </c>
      <c r="H756" t="s">
        <v>8434</v>
      </c>
      <c r="J756" t="s">
        <v>5785</v>
      </c>
      <c r="M756" t="s">
        <v>8435</v>
      </c>
      <c r="N756">
        <v>2.2220813349999999</v>
      </c>
      <c r="O756">
        <v>6.5440947090000003</v>
      </c>
      <c r="P756">
        <v>0.58228215500000002</v>
      </c>
      <c r="Q756">
        <v>0.35188233000000002</v>
      </c>
      <c r="S756" s="13">
        <v>-1.16434945</v>
      </c>
      <c r="T756">
        <v>0.83725206900000004</v>
      </c>
      <c r="U756">
        <v>-9.5564856000000004E-2</v>
      </c>
    </row>
    <row r="757" spans="1:21" x14ac:dyDescent="0.2">
      <c r="A757" t="s">
        <v>1857</v>
      </c>
      <c r="B757">
        <v>524080</v>
      </c>
      <c r="C757" t="s">
        <v>6961</v>
      </c>
      <c r="D757" t="s">
        <v>1858</v>
      </c>
      <c r="E757" t="s">
        <v>6974</v>
      </c>
      <c r="F757">
        <v>6</v>
      </c>
      <c r="G757">
        <v>15</v>
      </c>
      <c r="H757" t="s">
        <v>8436</v>
      </c>
      <c r="J757" t="s">
        <v>4527</v>
      </c>
      <c r="M757" t="s">
        <v>8437</v>
      </c>
      <c r="N757">
        <v>2.7247480949999998</v>
      </c>
      <c r="O757">
        <v>7.0822175119999997</v>
      </c>
      <c r="P757">
        <v>0.61298291999999999</v>
      </c>
      <c r="Q757">
        <v>0.48262032500000002</v>
      </c>
      <c r="S757" s="13">
        <v>-1.164925113</v>
      </c>
      <c r="T757">
        <v>0.83473655300000005</v>
      </c>
      <c r="U757">
        <v>-0.100412812</v>
      </c>
    </row>
    <row r="758" spans="1:21" x14ac:dyDescent="0.2">
      <c r="A758" t="s">
        <v>195</v>
      </c>
      <c r="B758">
        <v>690600</v>
      </c>
      <c r="C758" t="s">
        <v>6931</v>
      </c>
      <c r="D758" t="s">
        <v>195</v>
      </c>
      <c r="E758" t="s">
        <v>6907</v>
      </c>
      <c r="F758">
        <v>24</v>
      </c>
      <c r="G758">
        <v>4</v>
      </c>
      <c r="H758" t="s">
        <v>8438</v>
      </c>
      <c r="N758">
        <v>1.9323965059999999</v>
      </c>
      <c r="O758">
        <v>3.0528020530000002</v>
      </c>
      <c r="P758">
        <v>2.6493138999999999E-2</v>
      </c>
      <c r="Q758">
        <v>-0.38692188</v>
      </c>
      <c r="S758" s="13">
        <v>-1.1650745680000001</v>
      </c>
      <c r="T758">
        <v>0.83408346899999997</v>
      </c>
      <c r="U758">
        <v>-4.4778070000000003E-2</v>
      </c>
    </row>
    <row r="759" spans="1:21" x14ac:dyDescent="0.2">
      <c r="A759" t="s">
        <v>1198</v>
      </c>
      <c r="B759">
        <v>733120</v>
      </c>
      <c r="C759" t="s">
        <v>6906</v>
      </c>
      <c r="D759" t="s">
        <v>1199</v>
      </c>
      <c r="E759" t="s">
        <v>6924</v>
      </c>
      <c r="F759">
        <v>2</v>
      </c>
      <c r="G759">
        <v>6</v>
      </c>
      <c r="H759" t="s">
        <v>8439</v>
      </c>
      <c r="J759" t="s">
        <v>1201</v>
      </c>
      <c r="M759" t="s">
        <v>8440</v>
      </c>
      <c r="N759">
        <v>1.813871112</v>
      </c>
      <c r="O759">
        <v>2.6633694910000001</v>
      </c>
      <c r="P759">
        <v>-0.29586356800000002</v>
      </c>
      <c r="Q759">
        <v>-0.59018158399999998</v>
      </c>
      <c r="S759" s="13">
        <v>-1.1651240389999999</v>
      </c>
      <c r="T759">
        <v>0.83386729299999995</v>
      </c>
      <c r="U759">
        <v>-8.6166059000000003E-2</v>
      </c>
    </row>
    <row r="760" spans="1:21" x14ac:dyDescent="0.2">
      <c r="A760" t="s">
        <v>1144</v>
      </c>
      <c r="B760">
        <v>766200</v>
      </c>
      <c r="C760" t="s">
        <v>6942</v>
      </c>
      <c r="D760" t="s">
        <v>1145</v>
      </c>
      <c r="E760" t="s">
        <v>6974</v>
      </c>
      <c r="F760">
        <v>7</v>
      </c>
      <c r="G760">
        <v>15</v>
      </c>
      <c r="H760" t="s">
        <v>8441</v>
      </c>
      <c r="J760" t="s">
        <v>1147</v>
      </c>
      <c r="M760" t="s">
        <v>8442</v>
      </c>
      <c r="N760">
        <v>2.0902262079999998</v>
      </c>
      <c r="O760">
        <v>4.2704203920000001</v>
      </c>
      <c r="P760">
        <v>0.23425843900000001</v>
      </c>
      <c r="Q760">
        <v>1.6181978999999999E-2</v>
      </c>
      <c r="S760" s="13">
        <v>-1.1652238779999999</v>
      </c>
      <c r="T760">
        <v>0.83343102000000002</v>
      </c>
      <c r="U760">
        <v>-9.4311564000000001E-2</v>
      </c>
    </row>
    <row r="761" spans="1:21" x14ac:dyDescent="0.2">
      <c r="A761" t="s">
        <v>1069</v>
      </c>
      <c r="B761">
        <v>874240</v>
      </c>
      <c r="C761" t="s">
        <v>6914</v>
      </c>
      <c r="D761" t="s">
        <v>1070</v>
      </c>
      <c r="E761" t="s">
        <v>7085</v>
      </c>
      <c r="F761">
        <v>6</v>
      </c>
      <c r="G761">
        <v>9</v>
      </c>
      <c r="H761" t="s">
        <v>8443</v>
      </c>
      <c r="J761" t="s">
        <v>5079</v>
      </c>
      <c r="M761" t="s">
        <v>8444</v>
      </c>
      <c r="N761">
        <v>1.8217074179999999</v>
      </c>
      <c r="O761">
        <v>4.1700741289999996</v>
      </c>
      <c r="P761">
        <v>0.189705977</v>
      </c>
      <c r="Q761">
        <v>-1.7194070999999998E-2</v>
      </c>
      <c r="S761" s="13">
        <v>-1.165475933</v>
      </c>
      <c r="T761">
        <v>0.83232959699999998</v>
      </c>
      <c r="U761">
        <v>-9.4568954999999996E-2</v>
      </c>
    </row>
    <row r="762" spans="1:21" x14ac:dyDescent="0.2">
      <c r="A762" t="s">
        <v>165</v>
      </c>
      <c r="B762">
        <v>821200</v>
      </c>
      <c r="C762" t="s">
        <v>6927</v>
      </c>
      <c r="D762" t="s">
        <v>166</v>
      </c>
      <c r="E762" t="s">
        <v>6928</v>
      </c>
      <c r="F762">
        <v>2</v>
      </c>
      <c r="G762">
        <v>16</v>
      </c>
      <c r="H762" t="s">
        <v>8445</v>
      </c>
      <c r="J762" t="s">
        <v>8446</v>
      </c>
      <c r="M762" t="s">
        <v>8447</v>
      </c>
      <c r="N762">
        <v>1.982575982</v>
      </c>
      <c r="O762">
        <v>3.4571926419999999</v>
      </c>
      <c r="P762">
        <v>-0.114791479</v>
      </c>
      <c r="Q762">
        <v>1.868949E-3</v>
      </c>
      <c r="S762" s="13">
        <v>-1.1656359599999999</v>
      </c>
      <c r="T762">
        <v>0.83163031499999995</v>
      </c>
      <c r="U762">
        <v>-7.8993966999999998E-2</v>
      </c>
    </row>
    <row r="763" spans="1:21" x14ac:dyDescent="0.2">
      <c r="A763" t="s">
        <v>1986</v>
      </c>
      <c r="B763">
        <v>523160</v>
      </c>
      <c r="C763" t="s">
        <v>6961</v>
      </c>
      <c r="D763" t="s">
        <v>1986</v>
      </c>
      <c r="E763" t="s">
        <v>6977</v>
      </c>
      <c r="F763">
        <v>11</v>
      </c>
      <c r="G763">
        <v>5</v>
      </c>
      <c r="H763" t="s">
        <v>8448</v>
      </c>
      <c r="J763" t="s">
        <v>5179</v>
      </c>
      <c r="M763" t="s">
        <v>8449</v>
      </c>
      <c r="N763">
        <v>2.7247480949999998</v>
      </c>
      <c r="O763">
        <v>7.0822175119999997</v>
      </c>
      <c r="P763">
        <v>0.61298291999999999</v>
      </c>
      <c r="Q763">
        <v>0.48262032500000002</v>
      </c>
      <c r="S763" s="13">
        <v>-1.165653399</v>
      </c>
      <c r="T763">
        <v>0.83155411000000001</v>
      </c>
      <c r="U763">
        <v>-0.10095878799999999</v>
      </c>
    </row>
    <row r="764" spans="1:21" x14ac:dyDescent="0.2">
      <c r="A764" t="s">
        <v>511</v>
      </c>
      <c r="B764">
        <v>765240</v>
      </c>
      <c r="C764" t="s">
        <v>6942</v>
      </c>
      <c r="D764" t="s">
        <v>511</v>
      </c>
      <c r="E764" t="s">
        <v>6911</v>
      </c>
      <c r="F764">
        <v>21</v>
      </c>
      <c r="G764">
        <v>12</v>
      </c>
      <c r="H764" t="s">
        <v>8450</v>
      </c>
      <c r="J764" t="s">
        <v>515</v>
      </c>
      <c r="M764" t="s">
        <v>8451</v>
      </c>
      <c r="N764">
        <v>2.0902262079999998</v>
      </c>
      <c r="O764">
        <v>4.2704203920000001</v>
      </c>
      <c r="P764">
        <v>0.23425843900000001</v>
      </c>
      <c r="Q764">
        <v>1.6181978999999999E-2</v>
      </c>
      <c r="S764" s="13">
        <v>-1.166166107</v>
      </c>
      <c r="T764">
        <v>0.82931369300000002</v>
      </c>
      <c r="U764">
        <v>-9.4873341E-2</v>
      </c>
    </row>
    <row r="765" spans="1:21" x14ac:dyDescent="0.2">
      <c r="A765" t="s">
        <v>616</v>
      </c>
      <c r="B765">
        <v>731880</v>
      </c>
      <c r="C765" t="s">
        <v>6906</v>
      </c>
      <c r="D765" t="s">
        <v>616</v>
      </c>
      <c r="E765" t="s">
        <v>6974</v>
      </c>
      <c r="F765">
        <v>17</v>
      </c>
      <c r="G765">
        <v>15</v>
      </c>
      <c r="H765" t="s">
        <v>8452</v>
      </c>
      <c r="J765" t="s">
        <v>618</v>
      </c>
      <c r="M765" t="s">
        <v>8453</v>
      </c>
      <c r="N765">
        <v>1.813871112</v>
      </c>
      <c r="O765">
        <v>2.6633694910000001</v>
      </c>
      <c r="P765">
        <v>-0.29586356800000002</v>
      </c>
      <c r="Q765">
        <v>-0.59018158399999998</v>
      </c>
      <c r="S765" s="13">
        <v>-1.1669229649999999</v>
      </c>
      <c r="T765">
        <v>0.82600639600000003</v>
      </c>
      <c r="U765">
        <v>-8.6878328000000005E-2</v>
      </c>
    </row>
    <row r="766" spans="1:21" x14ac:dyDescent="0.2">
      <c r="A766" t="s">
        <v>1703</v>
      </c>
      <c r="B766">
        <v>884640</v>
      </c>
      <c r="C766" t="s">
        <v>6953</v>
      </c>
      <c r="D766" t="s">
        <v>1703</v>
      </c>
      <c r="E766" t="s">
        <v>6928</v>
      </c>
      <c r="F766">
        <v>21</v>
      </c>
      <c r="G766">
        <v>16</v>
      </c>
      <c r="H766" t="s">
        <v>8454</v>
      </c>
      <c r="J766" t="s">
        <v>1881</v>
      </c>
      <c r="M766" t="s">
        <v>8455</v>
      </c>
      <c r="N766">
        <v>1.921480887</v>
      </c>
      <c r="O766">
        <v>3.0856645180000002</v>
      </c>
      <c r="P766">
        <v>0.44706724399999997</v>
      </c>
      <c r="Q766">
        <v>-0.354940863</v>
      </c>
      <c r="S766" s="13">
        <v>-1.167285782</v>
      </c>
      <c r="T766">
        <v>0.82442096799999998</v>
      </c>
      <c r="U766">
        <v>-3.6089411000000002E-2</v>
      </c>
    </row>
    <row r="767" spans="1:21" x14ac:dyDescent="0.2">
      <c r="A767" t="s">
        <v>99</v>
      </c>
      <c r="B767">
        <v>689920</v>
      </c>
      <c r="C767" t="s">
        <v>6945</v>
      </c>
      <c r="D767" t="s">
        <v>101</v>
      </c>
      <c r="E767" t="s">
        <v>6918</v>
      </c>
      <c r="F767">
        <v>4</v>
      </c>
      <c r="G767">
        <v>1</v>
      </c>
      <c r="H767" t="s">
        <v>8456</v>
      </c>
      <c r="J767" t="s">
        <v>6511</v>
      </c>
      <c r="M767" t="s">
        <v>8457</v>
      </c>
      <c r="N767">
        <v>2.2220813349999999</v>
      </c>
      <c r="O767">
        <v>6.5440947090000003</v>
      </c>
      <c r="P767">
        <v>0.58228215500000002</v>
      </c>
      <c r="Q767">
        <v>0.35188233000000002</v>
      </c>
      <c r="S767" s="13">
        <v>-1.1675187229999999</v>
      </c>
      <c r="T767">
        <v>0.82340307000000001</v>
      </c>
      <c r="U767">
        <v>-9.7539967000000005E-2</v>
      </c>
    </row>
    <row r="768" spans="1:21" x14ac:dyDescent="0.2">
      <c r="A768" t="s">
        <v>2319</v>
      </c>
      <c r="B768">
        <v>688560</v>
      </c>
      <c r="C768" t="s">
        <v>6931</v>
      </c>
      <c r="D768" t="s">
        <v>2320</v>
      </c>
      <c r="E768" t="s">
        <v>6915</v>
      </c>
      <c r="F768">
        <v>8</v>
      </c>
      <c r="G768">
        <v>13</v>
      </c>
      <c r="H768" t="s">
        <v>8458</v>
      </c>
      <c r="N768">
        <v>1.9323965059999999</v>
      </c>
      <c r="O768">
        <v>3.0528020530000002</v>
      </c>
      <c r="P768">
        <v>2.6493138999999999E-2</v>
      </c>
      <c r="Q768">
        <v>-0.38692188</v>
      </c>
      <c r="S768" s="13">
        <v>-1.1677550750000001</v>
      </c>
      <c r="T768">
        <v>0.82237026599999996</v>
      </c>
      <c r="U768">
        <v>-4.5843784999999998E-2</v>
      </c>
    </row>
    <row r="769" spans="1:21" x14ac:dyDescent="0.2">
      <c r="A769" t="s">
        <v>267</v>
      </c>
      <c r="B769">
        <v>688760</v>
      </c>
      <c r="C769" t="s">
        <v>6945</v>
      </c>
      <c r="D769" t="s">
        <v>268</v>
      </c>
      <c r="E769" t="s">
        <v>6911</v>
      </c>
      <c r="F769">
        <v>2</v>
      </c>
      <c r="G769">
        <v>12</v>
      </c>
      <c r="H769" t="s">
        <v>8459</v>
      </c>
      <c r="J769" t="s">
        <v>2478</v>
      </c>
      <c r="M769" t="s">
        <v>8460</v>
      </c>
      <c r="N769">
        <v>2.2220813349999999</v>
      </c>
      <c r="O769">
        <v>6.5440947090000003</v>
      </c>
      <c r="P769">
        <v>0.58228215500000002</v>
      </c>
      <c r="Q769">
        <v>0.35188233000000002</v>
      </c>
      <c r="S769" s="13">
        <v>-1.1686128769999999</v>
      </c>
      <c r="T769">
        <v>0.81862186800000003</v>
      </c>
      <c r="U769">
        <v>-9.8223941999999995E-2</v>
      </c>
    </row>
    <row r="770" spans="1:21" x14ac:dyDescent="0.2">
      <c r="A770" t="s">
        <v>2035</v>
      </c>
      <c r="B770">
        <v>818240</v>
      </c>
      <c r="C770" t="s">
        <v>6927</v>
      </c>
      <c r="D770" t="s">
        <v>2035</v>
      </c>
      <c r="E770" t="s">
        <v>7115</v>
      </c>
      <c r="F770">
        <v>14</v>
      </c>
      <c r="G770">
        <v>10</v>
      </c>
      <c r="H770" t="s">
        <v>8461</v>
      </c>
      <c r="J770" t="s">
        <v>8462</v>
      </c>
      <c r="M770" t="s">
        <v>8463</v>
      </c>
      <c r="N770">
        <v>1.982575982</v>
      </c>
      <c r="O770">
        <v>3.4571926419999999</v>
      </c>
      <c r="P770">
        <v>-0.114791479</v>
      </c>
      <c r="Q770">
        <v>1.868949E-3</v>
      </c>
      <c r="S770" s="13">
        <v>-1.168707328</v>
      </c>
      <c r="T770">
        <v>0.81820914</v>
      </c>
      <c r="U770">
        <v>-8.0668225999999996E-2</v>
      </c>
    </row>
    <row r="771" spans="1:21" x14ac:dyDescent="0.2">
      <c r="A771" t="s">
        <v>1511</v>
      </c>
      <c r="B771">
        <v>784440</v>
      </c>
      <c r="C771" t="s">
        <v>6910</v>
      </c>
      <c r="D771" t="s">
        <v>1512</v>
      </c>
      <c r="E771" t="s">
        <v>6970</v>
      </c>
      <c r="F771">
        <v>4</v>
      </c>
      <c r="G771">
        <v>14</v>
      </c>
      <c r="H771" t="s">
        <v>8464</v>
      </c>
      <c r="J771" t="s">
        <v>1514</v>
      </c>
      <c r="M771" t="s">
        <v>8465</v>
      </c>
      <c r="N771">
        <v>1.9874741039999999</v>
      </c>
      <c r="O771">
        <v>3.7453511220000002</v>
      </c>
      <c r="P771">
        <v>0.451009722</v>
      </c>
      <c r="Q771">
        <v>-0.102386592</v>
      </c>
      <c r="S771" s="13">
        <v>-1.1687108639999999</v>
      </c>
      <c r="T771">
        <v>0.81819368599999998</v>
      </c>
      <c r="U771">
        <v>-3.6672837999999999E-2</v>
      </c>
    </row>
    <row r="772" spans="1:21" x14ac:dyDescent="0.2">
      <c r="A772" t="s">
        <v>753</v>
      </c>
      <c r="B772">
        <v>688360</v>
      </c>
      <c r="C772" t="s">
        <v>6945</v>
      </c>
      <c r="D772" t="s">
        <v>753</v>
      </c>
      <c r="E772" t="s">
        <v>6911</v>
      </c>
      <c r="F772">
        <v>10</v>
      </c>
      <c r="G772">
        <v>12</v>
      </c>
      <c r="H772" t="s">
        <v>8466</v>
      </c>
      <c r="J772" t="s">
        <v>3558</v>
      </c>
      <c r="M772" t="s">
        <v>8467</v>
      </c>
      <c r="N772">
        <v>2.2220813349999999</v>
      </c>
      <c r="O772">
        <v>6.5440947090000003</v>
      </c>
      <c r="P772">
        <v>0.58228215500000002</v>
      </c>
      <c r="Q772">
        <v>0.35188233000000002</v>
      </c>
      <c r="S772" s="13">
        <v>-1.1689901709999999</v>
      </c>
      <c r="T772">
        <v>0.81697317700000005</v>
      </c>
      <c r="U772">
        <v>-9.8460045999999996E-2</v>
      </c>
    </row>
    <row r="773" spans="1:21" x14ac:dyDescent="0.2">
      <c r="A773" t="s">
        <v>320</v>
      </c>
      <c r="B773">
        <v>518840</v>
      </c>
      <c r="C773" t="s">
        <v>6961</v>
      </c>
      <c r="D773" t="s">
        <v>320</v>
      </c>
      <c r="E773" t="s">
        <v>6907</v>
      </c>
      <c r="F773">
        <v>13</v>
      </c>
      <c r="G773">
        <v>4</v>
      </c>
      <c r="H773" t="s">
        <v>8468</v>
      </c>
      <c r="J773" t="s">
        <v>3683</v>
      </c>
      <c r="M773" t="s">
        <v>8469</v>
      </c>
      <c r="N773">
        <v>2.7247480949999998</v>
      </c>
      <c r="O773">
        <v>7.0822175119999997</v>
      </c>
      <c r="P773">
        <v>0.61298291999999999</v>
      </c>
      <c r="Q773">
        <v>0.48262032500000002</v>
      </c>
      <c r="S773" s="13">
        <v>-1.169073177</v>
      </c>
      <c r="T773">
        <v>0.81661046299999995</v>
      </c>
      <c r="U773">
        <v>-0.10353172200000001</v>
      </c>
    </row>
    <row r="774" spans="1:21" x14ac:dyDescent="0.2">
      <c r="A774" t="s">
        <v>534</v>
      </c>
      <c r="B774">
        <v>762120</v>
      </c>
      <c r="C774" t="s">
        <v>6942</v>
      </c>
      <c r="D774" t="s">
        <v>534</v>
      </c>
      <c r="E774" t="s">
        <v>6928</v>
      </c>
      <c r="F774">
        <v>22</v>
      </c>
      <c r="G774">
        <v>16</v>
      </c>
      <c r="H774" t="s">
        <v>8470</v>
      </c>
      <c r="J774" t="s">
        <v>906</v>
      </c>
      <c r="M774" t="s">
        <v>8471</v>
      </c>
      <c r="N774">
        <v>2.0902262079999998</v>
      </c>
      <c r="O774">
        <v>4.2704203920000001</v>
      </c>
      <c r="P774">
        <v>0.23425843900000001</v>
      </c>
      <c r="Q774">
        <v>1.6181978999999999E-2</v>
      </c>
      <c r="S774" s="13">
        <v>-1.1692283530000001</v>
      </c>
      <c r="T774">
        <v>0.81593237799999996</v>
      </c>
      <c r="U774">
        <v>-9.6704151000000002E-2</v>
      </c>
    </row>
    <row r="775" spans="1:21" x14ac:dyDescent="0.2">
      <c r="A775" t="s">
        <v>345</v>
      </c>
      <c r="B775">
        <v>730000</v>
      </c>
      <c r="C775" t="s">
        <v>6906</v>
      </c>
      <c r="D775" t="s">
        <v>345</v>
      </c>
      <c r="E775" t="s">
        <v>6918</v>
      </c>
      <c r="F775">
        <v>19</v>
      </c>
      <c r="G775">
        <v>1</v>
      </c>
      <c r="H775" t="s">
        <v>8472</v>
      </c>
      <c r="J775" t="s">
        <v>419</v>
      </c>
      <c r="M775" t="s">
        <v>8473</v>
      </c>
      <c r="N775">
        <v>1.813871112</v>
      </c>
      <c r="O775">
        <v>2.6633694910000001</v>
      </c>
      <c r="P775">
        <v>-0.29586356800000002</v>
      </c>
      <c r="Q775">
        <v>-0.59018158399999998</v>
      </c>
      <c r="S775" s="13">
        <v>-1.1696503700000001</v>
      </c>
      <c r="T775">
        <v>0.81408826099999998</v>
      </c>
      <c r="U775">
        <v>-8.7960452999999994E-2</v>
      </c>
    </row>
    <row r="776" spans="1:21" x14ac:dyDescent="0.2">
      <c r="A776" t="s">
        <v>1825</v>
      </c>
      <c r="B776">
        <v>517840</v>
      </c>
      <c r="C776" t="s">
        <v>6961</v>
      </c>
      <c r="D776" t="s">
        <v>1826</v>
      </c>
      <c r="E776" t="s">
        <v>6956</v>
      </c>
      <c r="F776">
        <v>9</v>
      </c>
      <c r="G776">
        <v>7</v>
      </c>
      <c r="H776" t="s">
        <v>8474</v>
      </c>
      <c r="J776" t="s">
        <v>4101</v>
      </c>
      <c r="M776" t="s">
        <v>8475</v>
      </c>
      <c r="N776">
        <v>2.7247480949999998</v>
      </c>
      <c r="O776">
        <v>7.0822175119999997</v>
      </c>
      <c r="P776">
        <v>0.61298291999999999</v>
      </c>
      <c r="Q776">
        <v>0.48262032500000002</v>
      </c>
      <c r="S776" s="13">
        <v>-1.169864792</v>
      </c>
      <c r="T776">
        <v>0.813151285</v>
      </c>
      <c r="U776">
        <v>-0.10412948700000001</v>
      </c>
    </row>
    <row r="777" spans="1:21" x14ac:dyDescent="0.2">
      <c r="A777" t="s">
        <v>1144</v>
      </c>
      <c r="B777">
        <v>782800</v>
      </c>
      <c r="C777" t="s">
        <v>6910</v>
      </c>
      <c r="D777" t="s">
        <v>1145</v>
      </c>
      <c r="E777" t="s">
        <v>6974</v>
      </c>
      <c r="F777">
        <v>7</v>
      </c>
      <c r="G777">
        <v>15</v>
      </c>
      <c r="H777" t="s">
        <v>8476</v>
      </c>
      <c r="J777" t="s">
        <v>3012</v>
      </c>
      <c r="M777" t="s">
        <v>8477</v>
      </c>
      <c r="N777">
        <v>1.9874741039999999</v>
      </c>
      <c r="O777">
        <v>3.7453511220000002</v>
      </c>
      <c r="P777">
        <v>0.451009722</v>
      </c>
      <c r="Q777">
        <v>-0.102386592</v>
      </c>
      <c r="S777" s="13">
        <v>-1.1704753299999999</v>
      </c>
      <c r="T777">
        <v>0.81048337500000001</v>
      </c>
      <c r="U777">
        <v>-3.7513530000000003E-2</v>
      </c>
    </row>
    <row r="778" spans="1:21" x14ac:dyDescent="0.2">
      <c r="A778" t="s">
        <v>239</v>
      </c>
      <c r="B778">
        <v>686480</v>
      </c>
      <c r="C778" t="s">
        <v>6945</v>
      </c>
      <c r="D778" t="s">
        <v>240</v>
      </c>
      <c r="E778" t="s">
        <v>6977</v>
      </c>
      <c r="F778">
        <v>1</v>
      </c>
      <c r="G778">
        <v>5</v>
      </c>
      <c r="H778" t="s">
        <v>8478</v>
      </c>
      <c r="J778" t="s">
        <v>4429</v>
      </c>
      <c r="M778" t="s">
        <v>8479</v>
      </c>
      <c r="N778">
        <v>2.2220813349999999</v>
      </c>
      <c r="O778">
        <v>6.5440947090000003</v>
      </c>
      <c r="P778">
        <v>0.58228215500000002</v>
      </c>
      <c r="Q778">
        <v>0.35188233000000002</v>
      </c>
      <c r="S778" s="13">
        <v>-1.1707634549999999</v>
      </c>
      <c r="T778">
        <v>0.80922433299999996</v>
      </c>
      <c r="U778">
        <v>-9.9571454000000004E-2</v>
      </c>
    </row>
    <row r="779" spans="1:21" x14ac:dyDescent="0.2">
      <c r="A779" t="s">
        <v>1092</v>
      </c>
      <c r="B779">
        <v>516680</v>
      </c>
      <c r="C779" t="s">
        <v>6961</v>
      </c>
      <c r="D779" t="s">
        <v>1092</v>
      </c>
      <c r="E779" t="s">
        <v>6970</v>
      </c>
      <c r="F779">
        <v>20</v>
      </c>
      <c r="G779">
        <v>14</v>
      </c>
      <c r="H779" t="s">
        <v>8480</v>
      </c>
      <c r="J779" t="s">
        <v>5569</v>
      </c>
      <c r="M779" t="s">
        <v>8481</v>
      </c>
      <c r="N779">
        <v>2.7247480949999998</v>
      </c>
      <c r="O779">
        <v>7.0822175119999997</v>
      </c>
      <c r="P779">
        <v>0.61298291999999999</v>
      </c>
      <c r="Q779">
        <v>0.48262032500000002</v>
      </c>
      <c r="S779" s="13">
        <v>-1.170783066</v>
      </c>
      <c r="T779">
        <v>0.80913863900000005</v>
      </c>
      <c r="U779">
        <v>-0.104823928</v>
      </c>
    </row>
    <row r="780" spans="1:21" x14ac:dyDescent="0.2">
      <c r="A780" t="s">
        <v>2035</v>
      </c>
      <c r="B780">
        <v>516600</v>
      </c>
      <c r="C780" t="s">
        <v>6961</v>
      </c>
      <c r="D780" t="s">
        <v>2035</v>
      </c>
      <c r="E780" t="s">
        <v>7115</v>
      </c>
      <c r="F780">
        <v>14</v>
      </c>
      <c r="G780">
        <v>10</v>
      </c>
      <c r="H780" t="s">
        <v>8482</v>
      </c>
      <c r="J780" t="s">
        <v>5069</v>
      </c>
      <c r="M780" t="s">
        <v>8483</v>
      </c>
      <c r="N780">
        <v>2.7247480949999998</v>
      </c>
      <c r="O780">
        <v>7.0822175119999997</v>
      </c>
      <c r="P780">
        <v>0.61298291999999999</v>
      </c>
      <c r="Q780">
        <v>0.48262032500000002</v>
      </c>
      <c r="S780" s="13">
        <v>-1.1708463950000001</v>
      </c>
      <c r="T780">
        <v>0.80886190499999999</v>
      </c>
      <c r="U780">
        <v>-0.104871861</v>
      </c>
    </row>
    <row r="781" spans="1:21" x14ac:dyDescent="0.2">
      <c r="A781" t="s">
        <v>1736</v>
      </c>
      <c r="B781">
        <v>515880</v>
      </c>
      <c r="C781" t="s">
        <v>6961</v>
      </c>
      <c r="D781" t="s">
        <v>1736</v>
      </c>
      <c r="E781" t="s">
        <v>6924</v>
      </c>
      <c r="F781">
        <v>16</v>
      </c>
      <c r="G781">
        <v>6</v>
      </c>
      <c r="H781" t="s">
        <v>8484</v>
      </c>
      <c r="J781" t="s">
        <v>1738</v>
      </c>
      <c r="M781" t="s">
        <v>8485</v>
      </c>
      <c r="N781">
        <v>2.7247480949999998</v>
      </c>
      <c r="O781">
        <v>7.0822175119999997</v>
      </c>
      <c r="P781">
        <v>0.61298291999999999</v>
      </c>
      <c r="Q781">
        <v>0.48262032500000002</v>
      </c>
      <c r="S781" s="13">
        <v>-1.1714163580000001</v>
      </c>
      <c r="T781">
        <v>0.80637129699999999</v>
      </c>
      <c r="U781">
        <v>-0.10530349999999999</v>
      </c>
    </row>
    <row r="782" spans="1:21" x14ac:dyDescent="0.2">
      <c r="A782" t="s">
        <v>225</v>
      </c>
      <c r="B782">
        <v>781720</v>
      </c>
      <c r="C782" t="s">
        <v>6910</v>
      </c>
      <c r="D782" t="s">
        <v>225</v>
      </c>
      <c r="E782" t="s">
        <v>6918</v>
      </c>
      <c r="F782">
        <v>20</v>
      </c>
      <c r="G782">
        <v>1</v>
      </c>
      <c r="H782" t="s">
        <v>8486</v>
      </c>
      <c r="J782" t="s">
        <v>982</v>
      </c>
      <c r="M782" t="s">
        <v>8487</v>
      </c>
      <c r="N782">
        <v>1.9874741039999999</v>
      </c>
      <c r="O782">
        <v>3.7453511220000002</v>
      </c>
      <c r="P782">
        <v>0.451009722</v>
      </c>
      <c r="Q782">
        <v>-0.102386592</v>
      </c>
      <c r="S782" s="13">
        <v>-1.171637295</v>
      </c>
      <c r="T782">
        <v>0.80540585399999998</v>
      </c>
      <c r="U782">
        <v>-3.8068047000000001E-2</v>
      </c>
    </row>
    <row r="783" spans="1:21" x14ac:dyDescent="0.2">
      <c r="A783" t="s">
        <v>94</v>
      </c>
      <c r="B783">
        <v>880320</v>
      </c>
      <c r="C783" t="s">
        <v>6953</v>
      </c>
      <c r="D783" t="s">
        <v>95</v>
      </c>
      <c r="E783" t="s">
        <v>6939</v>
      </c>
      <c r="F783">
        <v>1</v>
      </c>
      <c r="G783">
        <v>2</v>
      </c>
      <c r="H783" t="s">
        <v>8488</v>
      </c>
      <c r="J783" t="s">
        <v>627</v>
      </c>
      <c r="M783" t="s">
        <v>8489</v>
      </c>
      <c r="N783">
        <v>1.921480887</v>
      </c>
      <c r="O783">
        <v>3.0856645180000002</v>
      </c>
      <c r="P783">
        <v>0.44706724399999997</v>
      </c>
      <c r="Q783">
        <v>-0.354940863</v>
      </c>
      <c r="S783" s="13">
        <v>-1.1717683189999999</v>
      </c>
      <c r="T783">
        <v>0.804833307</v>
      </c>
      <c r="U783">
        <v>-3.8304444999999999E-2</v>
      </c>
    </row>
    <row r="784" spans="1:21" x14ac:dyDescent="0.2">
      <c r="A784" t="s">
        <v>1163</v>
      </c>
      <c r="B784">
        <v>728320</v>
      </c>
      <c r="C784" t="s">
        <v>6906</v>
      </c>
      <c r="D784" t="s">
        <v>1164</v>
      </c>
      <c r="E784" t="s">
        <v>6918</v>
      </c>
      <c r="F784">
        <v>6</v>
      </c>
      <c r="G784">
        <v>1</v>
      </c>
      <c r="H784" t="s">
        <v>8490</v>
      </c>
      <c r="J784" t="s">
        <v>1430</v>
      </c>
      <c r="M784" t="s">
        <v>8491</v>
      </c>
      <c r="N784">
        <v>1.813871112</v>
      </c>
      <c r="O784">
        <v>2.6633694910000001</v>
      </c>
      <c r="P784">
        <v>-0.29586356800000002</v>
      </c>
      <c r="Q784">
        <v>-0.59018158399999998</v>
      </c>
      <c r="S784" s="13">
        <v>-1.1720876250000001</v>
      </c>
      <c r="T784">
        <v>0.80343801299999995</v>
      </c>
      <c r="U784">
        <v>-8.8929745000000004E-2</v>
      </c>
    </row>
    <row r="785" spans="1:21" x14ac:dyDescent="0.2">
      <c r="A785" t="s">
        <v>1119</v>
      </c>
      <c r="B785">
        <v>879520</v>
      </c>
      <c r="C785" t="s">
        <v>6953</v>
      </c>
      <c r="D785" t="s">
        <v>1120</v>
      </c>
      <c r="E785" t="s">
        <v>6915</v>
      </c>
      <c r="F785">
        <v>9</v>
      </c>
      <c r="G785">
        <v>13</v>
      </c>
      <c r="H785" t="s">
        <v>8492</v>
      </c>
      <c r="J785" t="s">
        <v>1122</v>
      </c>
      <c r="M785" t="s">
        <v>8493</v>
      </c>
      <c r="N785">
        <v>1.921480887</v>
      </c>
      <c r="O785">
        <v>3.0856645180000002</v>
      </c>
      <c r="P785">
        <v>0.44706724399999997</v>
      </c>
      <c r="Q785">
        <v>-0.354940863</v>
      </c>
      <c r="S785" s="13">
        <v>-1.1725984190000001</v>
      </c>
      <c r="T785">
        <v>0.80120596200000005</v>
      </c>
      <c r="U785">
        <v>-3.8715880000000001E-2</v>
      </c>
    </row>
    <row r="786" spans="1:21" x14ac:dyDescent="0.2">
      <c r="A786" t="s">
        <v>998</v>
      </c>
      <c r="B786">
        <v>757880</v>
      </c>
      <c r="C786" t="s">
        <v>6942</v>
      </c>
      <c r="D786" t="s">
        <v>998</v>
      </c>
      <c r="E786" t="s">
        <v>6970</v>
      </c>
      <c r="F786">
        <v>13</v>
      </c>
      <c r="G786">
        <v>14</v>
      </c>
      <c r="H786" t="s">
        <v>8494</v>
      </c>
      <c r="J786" t="s">
        <v>1000</v>
      </c>
      <c r="M786" t="s">
        <v>8495</v>
      </c>
      <c r="N786">
        <v>2.0902262079999998</v>
      </c>
      <c r="O786">
        <v>4.2704203920000001</v>
      </c>
      <c r="P786">
        <v>0.23425843900000001</v>
      </c>
      <c r="Q786">
        <v>1.6181978999999999E-2</v>
      </c>
      <c r="S786" s="13">
        <v>-1.173389867</v>
      </c>
      <c r="T786">
        <v>0.79774751300000002</v>
      </c>
      <c r="U786">
        <v>-9.9204610999999998E-2</v>
      </c>
    </row>
    <row r="787" spans="1:21" x14ac:dyDescent="0.2">
      <c r="A787" t="s">
        <v>1133</v>
      </c>
      <c r="B787">
        <v>684120</v>
      </c>
      <c r="C787" t="s">
        <v>6931</v>
      </c>
      <c r="D787" t="s">
        <v>1134</v>
      </c>
      <c r="E787" t="s">
        <v>6907</v>
      </c>
      <c r="F787">
        <v>8</v>
      </c>
      <c r="G787">
        <v>4</v>
      </c>
      <c r="H787" t="s">
        <v>8496</v>
      </c>
      <c r="N787">
        <v>1.9323965059999999</v>
      </c>
      <c r="O787">
        <v>3.0528020530000002</v>
      </c>
      <c r="P787">
        <v>2.6493138999999999E-2</v>
      </c>
      <c r="Q787">
        <v>-0.38692188</v>
      </c>
      <c r="S787" s="13">
        <v>-1.1735891199999999</v>
      </c>
      <c r="T787">
        <v>0.79687682199999998</v>
      </c>
      <c r="U787">
        <v>-4.8172363000000003E-2</v>
      </c>
    </row>
    <row r="788" spans="1:21" x14ac:dyDescent="0.2">
      <c r="A788" t="s">
        <v>1882</v>
      </c>
      <c r="B788">
        <v>779840</v>
      </c>
      <c r="C788" t="s">
        <v>6910</v>
      </c>
      <c r="D788" t="s">
        <v>1882</v>
      </c>
      <c r="E788" t="s">
        <v>7006</v>
      </c>
      <c r="F788">
        <v>20</v>
      </c>
      <c r="G788">
        <v>3</v>
      </c>
      <c r="H788" t="s">
        <v>8497</v>
      </c>
      <c r="J788" t="s">
        <v>6473</v>
      </c>
      <c r="M788" t="s">
        <v>8498</v>
      </c>
      <c r="N788">
        <v>1.9874741039999999</v>
      </c>
      <c r="O788">
        <v>3.7453511220000002</v>
      </c>
      <c r="P788">
        <v>0.451009722</v>
      </c>
      <c r="Q788">
        <v>-0.102386592</v>
      </c>
      <c r="S788" s="13">
        <v>-1.1736599750000001</v>
      </c>
      <c r="T788">
        <v>0.796567205</v>
      </c>
      <c r="U788">
        <v>-3.9035009000000002E-2</v>
      </c>
    </row>
    <row r="789" spans="1:21" x14ac:dyDescent="0.2">
      <c r="A789" t="s">
        <v>352</v>
      </c>
      <c r="B789">
        <v>683640</v>
      </c>
      <c r="C789" t="s">
        <v>6931</v>
      </c>
      <c r="D789" t="s">
        <v>352</v>
      </c>
      <c r="E789" t="s">
        <v>6928</v>
      </c>
      <c r="F789">
        <v>17</v>
      </c>
      <c r="G789">
        <v>16</v>
      </c>
      <c r="H789" t="s">
        <v>8499</v>
      </c>
      <c r="N789">
        <v>1.9323965059999999</v>
      </c>
      <c r="O789">
        <v>3.0528020530000002</v>
      </c>
      <c r="P789">
        <v>2.6493138999999999E-2</v>
      </c>
      <c r="Q789">
        <v>-0.38692188</v>
      </c>
      <c r="S789" s="13">
        <v>-1.174219828</v>
      </c>
      <c r="T789">
        <v>0.794120775</v>
      </c>
      <c r="U789">
        <v>-4.8424850999999998E-2</v>
      </c>
    </row>
    <row r="790" spans="1:21" x14ac:dyDescent="0.2">
      <c r="A790" t="s">
        <v>67</v>
      </c>
      <c r="B790">
        <v>756840</v>
      </c>
      <c r="C790" t="s">
        <v>6942</v>
      </c>
      <c r="D790" t="s">
        <v>69</v>
      </c>
      <c r="E790" t="s">
        <v>6974</v>
      </c>
      <c r="F790">
        <v>2</v>
      </c>
      <c r="G790">
        <v>15</v>
      </c>
      <c r="H790" t="s">
        <v>8500</v>
      </c>
      <c r="J790" t="s">
        <v>1221</v>
      </c>
      <c r="M790" t="s">
        <v>8501</v>
      </c>
      <c r="N790">
        <v>2.0902262079999998</v>
      </c>
      <c r="O790">
        <v>4.2704203920000001</v>
      </c>
      <c r="P790">
        <v>0.23425843900000001</v>
      </c>
      <c r="Q790">
        <v>1.6181978999999999E-2</v>
      </c>
      <c r="S790" s="13">
        <v>-1.1744106160000001</v>
      </c>
      <c r="T790">
        <v>0.79328707499999995</v>
      </c>
      <c r="U790">
        <v>-9.9820137000000003E-2</v>
      </c>
    </row>
    <row r="791" spans="1:21" x14ac:dyDescent="0.2">
      <c r="A791" t="s">
        <v>139</v>
      </c>
      <c r="B791">
        <v>682040</v>
      </c>
      <c r="C791" t="s">
        <v>6945</v>
      </c>
      <c r="D791" t="s">
        <v>139</v>
      </c>
      <c r="E791" t="s">
        <v>6939</v>
      </c>
      <c r="F791">
        <v>17</v>
      </c>
      <c r="G791">
        <v>2</v>
      </c>
      <c r="H791" t="s">
        <v>8502</v>
      </c>
      <c r="J791" t="s">
        <v>1999</v>
      </c>
      <c r="M791" t="s">
        <v>8503</v>
      </c>
      <c r="N791">
        <v>2.2220813349999999</v>
      </c>
      <c r="O791">
        <v>6.5440947090000003</v>
      </c>
      <c r="P791">
        <v>0.58228215500000002</v>
      </c>
      <c r="Q791">
        <v>0.35188233000000002</v>
      </c>
      <c r="S791" s="13">
        <v>-1.174951423</v>
      </c>
      <c r="T791">
        <v>0.79092386999999997</v>
      </c>
      <c r="U791">
        <v>-0.102207616</v>
      </c>
    </row>
    <row r="792" spans="1:21" x14ac:dyDescent="0.2">
      <c r="A792" t="s">
        <v>1144</v>
      </c>
      <c r="B792">
        <v>682800</v>
      </c>
      <c r="C792" t="s">
        <v>6931</v>
      </c>
      <c r="D792" t="s">
        <v>1145</v>
      </c>
      <c r="E792" t="s">
        <v>6974</v>
      </c>
      <c r="F792">
        <v>7</v>
      </c>
      <c r="G792">
        <v>15</v>
      </c>
      <c r="H792" t="s">
        <v>8504</v>
      </c>
      <c r="N792">
        <v>1.9323965059999999</v>
      </c>
      <c r="O792">
        <v>3.0528020530000002</v>
      </c>
      <c r="P792">
        <v>2.6493138999999999E-2</v>
      </c>
      <c r="Q792">
        <v>-0.38692188</v>
      </c>
      <c r="S792" s="13">
        <v>-1.1753235660000001</v>
      </c>
      <c r="T792">
        <v>0.78929769100000002</v>
      </c>
      <c r="U792">
        <v>-4.8867057999999998E-2</v>
      </c>
    </row>
    <row r="793" spans="1:21" x14ac:dyDescent="0.2">
      <c r="A793" t="s">
        <v>1349</v>
      </c>
      <c r="B793">
        <v>811640</v>
      </c>
      <c r="C793" t="s">
        <v>6927</v>
      </c>
      <c r="D793" t="s">
        <v>1350</v>
      </c>
      <c r="E793" t="s">
        <v>6939</v>
      </c>
      <c r="F793">
        <v>6</v>
      </c>
      <c r="G793">
        <v>2</v>
      </c>
      <c r="H793" t="s">
        <v>8505</v>
      </c>
      <c r="J793" t="s">
        <v>8506</v>
      </c>
      <c r="M793" t="s">
        <v>8507</v>
      </c>
      <c r="N793">
        <v>1.982575982</v>
      </c>
      <c r="O793">
        <v>3.4571926419999999</v>
      </c>
      <c r="P793">
        <v>-0.114791479</v>
      </c>
      <c r="Q793">
        <v>1.868949E-3</v>
      </c>
      <c r="S793" s="13">
        <v>-1.175555648</v>
      </c>
      <c r="T793">
        <v>0.78828354700000003</v>
      </c>
      <c r="U793">
        <v>-8.4424778000000006E-2</v>
      </c>
    </row>
    <row r="794" spans="1:21" x14ac:dyDescent="0.2">
      <c r="A794" t="s">
        <v>111</v>
      </c>
      <c r="B794">
        <v>876280</v>
      </c>
      <c r="C794" t="s">
        <v>6953</v>
      </c>
      <c r="D794" t="s">
        <v>112</v>
      </c>
      <c r="E794" t="s">
        <v>6970</v>
      </c>
      <c r="F794">
        <v>2</v>
      </c>
      <c r="G794">
        <v>14</v>
      </c>
      <c r="H794" t="s">
        <v>8508</v>
      </c>
      <c r="J794" t="s">
        <v>3169</v>
      </c>
      <c r="M794" t="s">
        <v>8509</v>
      </c>
      <c r="N794">
        <v>1.921480887</v>
      </c>
      <c r="O794">
        <v>3.0856645180000002</v>
      </c>
      <c r="P794">
        <v>0.44706724399999997</v>
      </c>
      <c r="Q794">
        <v>-0.354940863</v>
      </c>
      <c r="S794" s="13">
        <v>-1.175960321</v>
      </c>
      <c r="T794">
        <v>0.78651521599999996</v>
      </c>
      <c r="U794">
        <v>-4.0386185999999998E-2</v>
      </c>
    </row>
    <row r="795" spans="1:21" x14ac:dyDescent="0.2">
      <c r="A795" t="s">
        <v>1595</v>
      </c>
      <c r="B795">
        <v>725600</v>
      </c>
      <c r="C795" t="s">
        <v>6906</v>
      </c>
      <c r="D795" t="s">
        <v>1595</v>
      </c>
      <c r="E795" t="s">
        <v>6974</v>
      </c>
      <c r="F795">
        <v>23</v>
      </c>
      <c r="G795">
        <v>15</v>
      </c>
      <c r="H795" t="s">
        <v>8510</v>
      </c>
      <c r="J795" t="s">
        <v>1597</v>
      </c>
      <c r="M795" t="s">
        <v>8511</v>
      </c>
      <c r="N795">
        <v>1.813871112</v>
      </c>
      <c r="O795">
        <v>2.6633694910000001</v>
      </c>
      <c r="P795">
        <v>-0.29586356800000002</v>
      </c>
      <c r="Q795">
        <v>-0.59018158399999998</v>
      </c>
      <c r="S795" s="13">
        <v>-1.1760336570000001</v>
      </c>
      <c r="T795">
        <v>0.78619475400000005</v>
      </c>
      <c r="U795">
        <v>-9.0503676000000005E-2</v>
      </c>
    </row>
    <row r="796" spans="1:21" x14ac:dyDescent="0.2">
      <c r="A796" t="s">
        <v>1160</v>
      </c>
      <c r="B796">
        <v>680840</v>
      </c>
      <c r="C796" t="s">
        <v>6945</v>
      </c>
      <c r="D796" t="s">
        <v>1160</v>
      </c>
      <c r="E796" t="s">
        <v>6907</v>
      </c>
      <c r="F796">
        <v>22</v>
      </c>
      <c r="G796">
        <v>4</v>
      </c>
      <c r="H796" t="s">
        <v>8512</v>
      </c>
      <c r="J796" t="s">
        <v>6359</v>
      </c>
      <c r="M796" t="s">
        <v>8513</v>
      </c>
      <c r="N796">
        <v>2.2220813349999999</v>
      </c>
      <c r="O796">
        <v>6.5440947090000003</v>
      </c>
      <c r="P796">
        <v>0.58228215500000002</v>
      </c>
      <c r="Q796">
        <v>0.35188233000000002</v>
      </c>
      <c r="S796" s="13">
        <v>-1.1760833070000001</v>
      </c>
      <c r="T796">
        <v>0.78597779800000001</v>
      </c>
      <c r="U796">
        <v>-0.102922848</v>
      </c>
    </row>
    <row r="797" spans="1:21" x14ac:dyDescent="0.2">
      <c r="A797" t="s">
        <v>929</v>
      </c>
      <c r="B797">
        <v>509920</v>
      </c>
      <c r="C797" t="s">
        <v>6961</v>
      </c>
      <c r="D797" t="s">
        <v>929</v>
      </c>
      <c r="E797" t="s">
        <v>6956</v>
      </c>
      <c r="F797">
        <v>19</v>
      </c>
      <c r="G797">
        <v>7</v>
      </c>
      <c r="H797" t="s">
        <v>8514</v>
      </c>
      <c r="J797" t="s">
        <v>3981</v>
      </c>
      <c r="M797" t="s">
        <v>8515</v>
      </c>
      <c r="N797">
        <v>2.7247480949999998</v>
      </c>
      <c r="O797">
        <v>7.0822175119999997</v>
      </c>
      <c r="P797">
        <v>0.61298291999999999</v>
      </c>
      <c r="Q797">
        <v>0.48262032500000002</v>
      </c>
      <c r="S797" s="13">
        <v>-1.1761343849999999</v>
      </c>
      <c r="T797">
        <v>0.785754599</v>
      </c>
      <c r="U797">
        <v>-0.108893079</v>
      </c>
    </row>
    <row r="798" spans="1:21" x14ac:dyDescent="0.2">
      <c r="A798" t="s">
        <v>1511</v>
      </c>
      <c r="B798">
        <v>865360</v>
      </c>
      <c r="C798" t="s">
        <v>6914</v>
      </c>
      <c r="D798" t="s">
        <v>1512</v>
      </c>
      <c r="E798" t="s">
        <v>6970</v>
      </c>
      <c r="F798">
        <v>4</v>
      </c>
      <c r="G798">
        <v>14</v>
      </c>
      <c r="H798" t="s">
        <v>8516</v>
      </c>
      <c r="J798" t="s">
        <v>5389</v>
      </c>
      <c r="M798" t="s">
        <v>8517</v>
      </c>
      <c r="N798">
        <v>1.8217074179999999</v>
      </c>
      <c r="O798">
        <v>4.1700741289999996</v>
      </c>
      <c r="P798">
        <v>0.189705977</v>
      </c>
      <c r="Q798">
        <v>-1.7194070999999998E-2</v>
      </c>
      <c r="S798" s="13">
        <v>-1.1761564550000001</v>
      </c>
      <c r="T798">
        <v>0.785658156</v>
      </c>
      <c r="U798">
        <v>-9.9796445999999997E-2</v>
      </c>
    </row>
    <row r="799" spans="1:21" x14ac:dyDescent="0.2">
      <c r="A799" t="s">
        <v>650</v>
      </c>
      <c r="B799">
        <v>810760</v>
      </c>
      <c r="C799" t="s">
        <v>6927</v>
      </c>
      <c r="D799" t="s">
        <v>651</v>
      </c>
      <c r="E799" t="s">
        <v>7085</v>
      </c>
      <c r="F799">
        <v>9</v>
      </c>
      <c r="G799">
        <v>9</v>
      </c>
      <c r="H799" t="s">
        <v>8518</v>
      </c>
      <c r="J799" t="s">
        <v>8519</v>
      </c>
      <c r="M799" t="s">
        <v>8520</v>
      </c>
      <c r="N799">
        <v>1.982575982</v>
      </c>
      <c r="O799">
        <v>3.4571926419999999</v>
      </c>
      <c r="P799">
        <v>-0.114791479</v>
      </c>
      <c r="Q799">
        <v>1.868949E-3</v>
      </c>
      <c r="S799" s="13">
        <v>-1.1764687570000001</v>
      </c>
      <c r="T799">
        <v>0.78429346799999999</v>
      </c>
      <c r="U799">
        <v>-8.4928114999999998E-2</v>
      </c>
    </row>
    <row r="800" spans="1:21" x14ac:dyDescent="0.2">
      <c r="A800" t="s">
        <v>741</v>
      </c>
      <c r="B800">
        <v>679520</v>
      </c>
      <c r="C800" t="s">
        <v>6945</v>
      </c>
      <c r="D800" t="s">
        <v>741</v>
      </c>
      <c r="E800" t="s">
        <v>6946</v>
      </c>
      <c r="F800">
        <v>17</v>
      </c>
      <c r="G800">
        <v>11</v>
      </c>
      <c r="H800" t="s">
        <v>8521</v>
      </c>
      <c r="J800" t="s">
        <v>3069</v>
      </c>
      <c r="M800" t="s">
        <v>8522</v>
      </c>
      <c r="N800">
        <v>2.2220813349999999</v>
      </c>
      <c r="O800">
        <v>6.5440947090000003</v>
      </c>
      <c r="P800">
        <v>0.58228215500000002</v>
      </c>
      <c r="Q800">
        <v>0.35188233000000002</v>
      </c>
      <c r="S800" s="13">
        <v>-1.1773283779999999</v>
      </c>
      <c r="T800">
        <v>0.78053711999999997</v>
      </c>
      <c r="U800">
        <v>-0.103710965</v>
      </c>
    </row>
    <row r="801" spans="1:21" x14ac:dyDescent="0.2">
      <c r="A801" t="s">
        <v>541</v>
      </c>
      <c r="B801">
        <v>809800</v>
      </c>
      <c r="C801" t="s">
        <v>6927</v>
      </c>
      <c r="D801" t="s">
        <v>542</v>
      </c>
      <c r="E801" t="s">
        <v>6974</v>
      </c>
      <c r="F801">
        <v>1</v>
      </c>
      <c r="G801">
        <v>15</v>
      </c>
      <c r="H801" t="s">
        <v>8523</v>
      </c>
      <c r="J801" t="s">
        <v>8524</v>
      </c>
      <c r="M801" t="s">
        <v>8525</v>
      </c>
      <c r="N801">
        <v>1.982575982</v>
      </c>
      <c r="O801">
        <v>3.4571926419999999</v>
      </c>
      <c r="P801">
        <v>-0.114791479</v>
      </c>
      <c r="Q801">
        <v>1.868949E-3</v>
      </c>
      <c r="S801" s="13">
        <v>-1.1774648759999999</v>
      </c>
      <c r="T801">
        <v>0.77994065400000001</v>
      </c>
      <c r="U801">
        <v>-8.5477876999999994E-2</v>
      </c>
    </row>
    <row r="802" spans="1:21" x14ac:dyDescent="0.2">
      <c r="A802" t="s">
        <v>2499</v>
      </c>
      <c r="B802">
        <v>507720</v>
      </c>
      <c r="C802" t="s">
        <v>6961</v>
      </c>
      <c r="D802" t="s">
        <v>2500</v>
      </c>
      <c r="E802" t="s">
        <v>6977</v>
      </c>
      <c r="F802">
        <v>9</v>
      </c>
      <c r="G802">
        <v>5</v>
      </c>
      <c r="H802" t="s">
        <v>8526</v>
      </c>
      <c r="J802" t="s">
        <v>5769</v>
      </c>
      <c r="M802" t="s">
        <v>8527</v>
      </c>
      <c r="N802">
        <v>2.7247480949999998</v>
      </c>
      <c r="O802">
        <v>7.0822175119999997</v>
      </c>
      <c r="P802">
        <v>0.61298291999999999</v>
      </c>
      <c r="Q802">
        <v>0.48262032500000002</v>
      </c>
      <c r="S802" s="13">
        <v>-1.1778759379999999</v>
      </c>
      <c r="T802">
        <v>0.77814440900000004</v>
      </c>
      <c r="U802">
        <v>-0.11022562499999999</v>
      </c>
    </row>
    <row r="803" spans="1:21" x14ac:dyDescent="0.2">
      <c r="A803" t="s">
        <v>894</v>
      </c>
      <c r="B803">
        <v>752800</v>
      </c>
      <c r="C803" t="s">
        <v>6942</v>
      </c>
      <c r="D803" t="s">
        <v>894</v>
      </c>
      <c r="E803" t="s">
        <v>6939</v>
      </c>
      <c r="F803">
        <v>18</v>
      </c>
      <c r="G803">
        <v>2</v>
      </c>
      <c r="H803" t="s">
        <v>8528</v>
      </c>
      <c r="J803" t="s">
        <v>5008</v>
      </c>
      <c r="M803" t="s">
        <v>8529</v>
      </c>
      <c r="N803">
        <v>2.0902262079999998</v>
      </c>
      <c r="O803">
        <v>4.2704203920000001</v>
      </c>
      <c r="P803">
        <v>0.23425843900000001</v>
      </c>
      <c r="Q803">
        <v>1.6181978999999999E-2</v>
      </c>
      <c r="S803" s="13">
        <v>-1.178375832</v>
      </c>
      <c r="T803">
        <v>0.77595998700000002</v>
      </c>
      <c r="U803">
        <v>-0.102219527</v>
      </c>
    </row>
    <row r="804" spans="1:21" x14ac:dyDescent="0.2">
      <c r="A804" t="s">
        <v>129</v>
      </c>
      <c r="B804">
        <v>678360</v>
      </c>
      <c r="C804" t="s">
        <v>6945</v>
      </c>
      <c r="D804" t="s">
        <v>129</v>
      </c>
      <c r="E804" t="s">
        <v>7006</v>
      </c>
      <c r="F804">
        <v>24</v>
      </c>
      <c r="G804">
        <v>3</v>
      </c>
      <c r="H804" t="s">
        <v>8530</v>
      </c>
      <c r="J804" t="s">
        <v>6061</v>
      </c>
      <c r="M804" t="s">
        <v>8531</v>
      </c>
      <c r="N804">
        <v>2.2220813349999999</v>
      </c>
      <c r="O804">
        <v>6.5440947090000003</v>
      </c>
      <c r="P804">
        <v>0.58228215500000002</v>
      </c>
      <c r="Q804">
        <v>0.35188233000000002</v>
      </c>
      <c r="S804" s="13">
        <v>-1.1784225319999999</v>
      </c>
      <c r="T804">
        <v>0.77575591799999999</v>
      </c>
      <c r="U804">
        <v>-0.104404736</v>
      </c>
    </row>
    <row r="805" spans="1:21" x14ac:dyDescent="0.2">
      <c r="A805" t="s">
        <v>124</v>
      </c>
      <c r="B805">
        <v>677840</v>
      </c>
      <c r="C805" t="s">
        <v>6945</v>
      </c>
      <c r="D805" t="s">
        <v>125</v>
      </c>
      <c r="E805" t="s">
        <v>6918</v>
      </c>
      <c r="F805">
        <v>7</v>
      </c>
      <c r="G805">
        <v>1</v>
      </c>
      <c r="H805" t="s">
        <v>8532</v>
      </c>
      <c r="J805" t="s">
        <v>2263</v>
      </c>
      <c r="M805" t="s">
        <v>8533</v>
      </c>
      <c r="N805">
        <v>2.2220813349999999</v>
      </c>
      <c r="O805">
        <v>6.5440947090000003</v>
      </c>
      <c r="P805">
        <v>0.58228215500000002</v>
      </c>
      <c r="Q805">
        <v>0.35188233000000002</v>
      </c>
      <c r="S805" s="13">
        <v>-1.178913015</v>
      </c>
      <c r="T805">
        <v>0.77361262099999994</v>
      </c>
      <c r="U805">
        <v>-0.10471609699999999</v>
      </c>
    </row>
    <row r="806" spans="1:21" x14ac:dyDescent="0.2">
      <c r="A806" t="s">
        <v>1349</v>
      </c>
      <c r="B806">
        <v>676880</v>
      </c>
      <c r="C806" t="s">
        <v>6945</v>
      </c>
      <c r="D806" t="s">
        <v>1350</v>
      </c>
      <c r="E806" t="s">
        <v>6939</v>
      </c>
      <c r="F806">
        <v>6</v>
      </c>
      <c r="G806">
        <v>2</v>
      </c>
      <c r="H806" t="s">
        <v>8534</v>
      </c>
      <c r="J806" t="s">
        <v>1529</v>
      </c>
      <c r="M806" t="s">
        <v>8535</v>
      </c>
      <c r="N806">
        <v>2.2220813349999999</v>
      </c>
      <c r="O806">
        <v>6.5440947090000003</v>
      </c>
      <c r="P806">
        <v>0.58228215500000002</v>
      </c>
      <c r="Q806">
        <v>0.35188233000000002</v>
      </c>
      <c r="S806" s="13">
        <v>-1.1798185210000001</v>
      </c>
      <c r="T806">
        <v>0.76965576400000002</v>
      </c>
      <c r="U806">
        <v>-0.10529150399999999</v>
      </c>
    </row>
    <row r="807" spans="1:21" x14ac:dyDescent="0.2">
      <c r="A807" t="s">
        <v>1963</v>
      </c>
      <c r="B807">
        <v>773680</v>
      </c>
      <c r="C807" t="s">
        <v>6910</v>
      </c>
      <c r="D807" t="s">
        <v>1963</v>
      </c>
      <c r="E807" t="s">
        <v>6939</v>
      </c>
      <c r="F807">
        <v>12</v>
      </c>
      <c r="G807">
        <v>2</v>
      </c>
      <c r="H807" t="s">
        <v>8536</v>
      </c>
      <c r="J807" t="s">
        <v>5205</v>
      </c>
      <c r="M807" t="s">
        <v>8537</v>
      </c>
      <c r="N807">
        <v>1.9874741039999999</v>
      </c>
      <c r="O807">
        <v>3.7453511220000002</v>
      </c>
      <c r="P807">
        <v>0.451009722</v>
      </c>
      <c r="Q807">
        <v>-0.102386592</v>
      </c>
      <c r="S807" s="13">
        <v>-1.180287479</v>
      </c>
      <c r="T807">
        <v>0.76760652699999998</v>
      </c>
      <c r="U807">
        <v>-4.2218523000000001E-2</v>
      </c>
    </row>
    <row r="808" spans="1:21" x14ac:dyDescent="0.2">
      <c r="A808" t="s">
        <v>1773</v>
      </c>
      <c r="B808">
        <v>503720</v>
      </c>
      <c r="C808" t="s">
        <v>6961</v>
      </c>
      <c r="D808" t="s">
        <v>1773</v>
      </c>
      <c r="E808" t="s">
        <v>6970</v>
      </c>
      <c r="F808">
        <v>15</v>
      </c>
      <c r="G808">
        <v>14</v>
      </c>
      <c r="H808" t="s">
        <v>8538</v>
      </c>
      <c r="J808" t="s">
        <v>5299</v>
      </c>
      <c r="M808" t="s">
        <v>8539</v>
      </c>
      <c r="N808">
        <v>2.7247480949999998</v>
      </c>
      <c r="O808">
        <v>7.0822175119999997</v>
      </c>
      <c r="P808">
        <v>0.61298291999999999</v>
      </c>
      <c r="Q808">
        <v>0.48262032500000002</v>
      </c>
      <c r="S808" s="13">
        <v>-1.1810423990000001</v>
      </c>
      <c r="T808">
        <v>0.76430769899999995</v>
      </c>
      <c r="U808">
        <v>-0.11265896</v>
      </c>
    </row>
    <row r="809" spans="1:21" x14ac:dyDescent="0.2">
      <c r="A809" t="s">
        <v>2348</v>
      </c>
      <c r="B809">
        <v>772960</v>
      </c>
      <c r="C809" t="s">
        <v>6910</v>
      </c>
      <c r="D809" t="s">
        <v>2348</v>
      </c>
      <c r="E809" t="s">
        <v>6911</v>
      </c>
      <c r="F809">
        <v>11</v>
      </c>
      <c r="G809">
        <v>12</v>
      </c>
      <c r="H809" t="s">
        <v>8540</v>
      </c>
      <c r="J809" t="s">
        <v>3083</v>
      </c>
      <c r="M809" t="s">
        <v>8541</v>
      </c>
      <c r="N809">
        <v>1.9874741039999999</v>
      </c>
      <c r="O809">
        <v>3.7453511220000002</v>
      </c>
      <c r="P809">
        <v>0.451009722</v>
      </c>
      <c r="Q809">
        <v>-0.102386592</v>
      </c>
      <c r="S809" s="13">
        <v>-1.1810621219999999</v>
      </c>
      <c r="T809">
        <v>0.76422151299999996</v>
      </c>
      <c r="U809">
        <v>-4.2592150000000002E-2</v>
      </c>
    </row>
    <row r="810" spans="1:21" x14ac:dyDescent="0.2">
      <c r="A810" t="s">
        <v>1133</v>
      </c>
      <c r="B810">
        <v>871360</v>
      </c>
      <c r="C810" t="s">
        <v>6953</v>
      </c>
      <c r="D810" t="s">
        <v>1134</v>
      </c>
      <c r="E810" t="s">
        <v>6907</v>
      </c>
      <c r="F810">
        <v>8</v>
      </c>
      <c r="G810">
        <v>4</v>
      </c>
      <c r="H810" t="s">
        <v>8542</v>
      </c>
      <c r="J810" t="s">
        <v>2060</v>
      </c>
      <c r="M810" t="s">
        <v>8543</v>
      </c>
      <c r="N810">
        <v>1.921480887</v>
      </c>
      <c r="O810">
        <v>3.0856645180000002</v>
      </c>
      <c r="P810">
        <v>0.44706724399999997</v>
      </c>
      <c r="Q810">
        <v>-0.354940863</v>
      </c>
      <c r="S810" s="13">
        <v>-1.1810654330000001</v>
      </c>
      <c r="T810">
        <v>0.76420704699999997</v>
      </c>
      <c r="U810">
        <v>-4.2934923999999999E-2</v>
      </c>
    </row>
    <row r="811" spans="1:21" x14ac:dyDescent="0.2">
      <c r="A811" t="s">
        <v>52</v>
      </c>
      <c r="B811">
        <v>854720</v>
      </c>
      <c r="C811" t="s">
        <v>6938</v>
      </c>
      <c r="D811" t="s">
        <v>53</v>
      </c>
      <c r="E811" t="s">
        <v>6918</v>
      </c>
      <c r="F811">
        <v>2</v>
      </c>
      <c r="G811">
        <v>1</v>
      </c>
      <c r="H811" t="s">
        <v>8544</v>
      </c>
      <c r="J811" t="s">
        <v>526</v>
      </c>
      <c r="M811" t="s">
        <v>8545</v>
      </c>
      <c r="N811">
        <v>2.092758737</v>
      </c>
      <c r="O811">
        <v>5.3323610669999999</v>
      </c>
      <c r="P811">
        <v>0.70420098600000003</v>
      </c>
      <c r="Q811">
        <v>0.41355372699999998</v>
      </c>
      <c r="S811" s="13">
        <v>-1.181071797</v>
      </c>
      <c r="T811">
        <v>0.76417923700000001</v>
      </c>
      <c r="U811">
        <v>-7.9366723E-2</v>
      </c>
    </row>
    <row r="812" spans="1:21" x14ac:dyDescent="0.2">
      <c r="A812" t="s">
        <v>89</v>
      </c>
      <c r="B812">
        <v>675440</v>
      </c>
      <c r="C812" t="s">
        <v>6945</v>
      </c>
      <c r="D812" t="s">
        <v>90</v>
      </c>
      <c r="E812" t="s">
        <v>6921</v>
      </c>
      <c r="F812">
        <v>1</v>
      </c>
      <c r="G812">
        <v>8</v>
      </c>
      <c r="H812" t="s">
        <v>8546</v>
      </c>
      <c r="J812" t="s">
        <v>2979</v>
      </c>
      <c r="M812" t="s">
        <v>8547</v>
      </c>
      <c r="N812">
        <v>2.2220813349999999</v>
      </c>
      <c r="O812">
        <v>6.5440947090000003</v>
      </c>
      <c r="P812">
        <v>0.58228215500000002</v>
      </c>
      <c r="Q812">
        <v>0.35188233000000002</v>
      </c>
      <c r="S812" s="13">
        <v>-1.181176781</v>
      </c>
      <c r="T812">
        <v>0.76372047799999998</v>
      </c>
      <c r="U812">
        <v>-0.106156047</v>
      </c>
    </row>
    <row r="813" spans="1:21" x14ac:dyDescent="0.2">
      <c r="A813" t="s">
        <v>1668</v>
      </c>
      <c r="B813">
        <v>675400</v>
      </c>
      <c r="C813" t="s">
        <v>6945</v>
      </c>
      <c r="D813" t="s">
        <v>1668</v>
      </c>
      <c r="E813" t="s">
        <v>6915</v>
      </c>
      <c r="F813">
        <v>10</v>
      </c>
      <c r="G813">
        <v>13</v>
      </c>
      <c r="H813" t="s">
        <v>8548</v>
      </c>
      <c r="J813" t="s">
        <v>2243</v>
      </c>
      <c r="M813" t="s">
        <v>8549</v>
      </c>
      <c r="N813">
        <v>2.2220813349999999</v>
      </c>
      <c r="O813">
        <v>6.5440947090000003</v>
      </c>
      <c r="P813">
        <v>0.58228215500000002</v>
      </c>
      <c r="Q813">
        <v>0.35188233000000002</v>
      </c>
      <c r="S813" s="13">
        <v>-1.1812145110000001</v>
      </c>
      <c r="T813">
        <v>0.76355560899999997</v>
      </c>
      <c r="U813">
        <v>-0.10618008700000001</v>
      </c>
    </row>
    <row r="814" spans="1:21" x14ac:dyDescent="0.2">
      <c r="A814" t="s">
        <v>554</v>
      </c>
      <c r="B814">
        <v>854200</v>
      </c>
      <c r="C814" t="s">
        <v>6938</v>
      </c>
      <c r="D814" t="s">
        <v>555</v>
      </c>
      <c r="E814" t="s">
        <v>6928</v>
      </c>
      <c r="F814">
        <v>3</v>
      </c>
      <c r="G814">
        <v>16</v>
      </c>
      <c r="H814" t="s">
        <v>8550</v>
      </c>
      <c r="J814" t="s">
        <v>5255</v>
      </c>
      <c r="M814" t="s">
        <v>8551</v>
      </c>
      <c r="N814">
        <v>2.092758737</v>
      </c>
      <c r="O814">
        <v>5.3323610669999999</v>
      </c>
      <c r="P814">
        <v>0.70420098600000003</v>
      </c>
      <c r="Q814">
        <v>0.41355372699999998</v>
      </c>
      <c r="S814" s="13">
        <v>-1.1815183789999999</v>
      </c>
      <c r="T814">
        <v>0.76222777600000002</v>
      </c>
      <c r="U814">
        <v>-7.9660634999999994E-2</v>
      </c>
    </row>
    <row r="815" spans="1:21" x14ac:dyDescent="0.2">
      <c r="A815" t="s">
        <v>1076</v>
      </c>
      <c r="B815">
        <v>805720</v>
      </c>
      <c r="C815" t="s">
        <v>6927</v>
      </c>
      <c r="D815" t="s">
        <v>1077</v>
      </c>
      <c r="E815" t="s">
        <v>6977</v>
      </c>
      <c r="F815">
        <v>7</v>
      </c>
      <c r="G815">
        <v>5</v>
      </c>
      <c r="H815" t="s">
        <v>8552</v>
      </c>
      <c r="J815" t="s">
        <v>8553</v>
      </c>
      <c r="M815" t="s">
        <v>8554</v>
      </c>
      <c r="N815">
        <v>1.982575982</v>
      </c>
      <c r="O815">
        <v>3.4571926419999999</v>
      </c>
      <c r="P815">
        <v>-0.114791479</v>
      </c>
      <c r="Q815">
        <v>1.868949E-3</v>
      </c>
      <c r="S815" s="13">
        <v>-1.1816983830000001</v>
      </c>
      <c r="T815">
        <v>0.76144119600000004</v>
      </c>
      <c r="U815">
        <v>-8.7822158999999997E-2</v>
      </c>
    </row>
    <row r="816" spans="1:21" x14ac:dyDescent="0.2">
      <c r="A816" t="s">
        <v>1703</v>
      </c>
      <c r="B816">
        <v>772160</v>
      </c>
      <c r="C816" t="s">
        <v>6910</v>
      </c>
      <c r="D816" t="s">
        <v>1703</v>
      </c>
      <c r="E816" t="s">
        <v>6928</v>
      </c>
      <c r="F816">
        <v>21</v>
      </c>
      <c r="G816">
        <v>16</v>
      </c>
      <c r="H816" t="s">
        <v>8555</v>
      </c>
      <c r="J816" t="s">
        <v>3176</v>
      </c>
      <c r="M816" t="s">
        <v>8556</v>
      </c>
      <c r="N816">
        <v>1.9874741039999999</v>
      </c>
      <c r="O816">
        <v>3.7453511220000002</v>
      </c>
      <c r="P816">
        <v>0.451009722</v>
      </c>
      <c r="Q816">
        <v>-0.102386592</v>
      </c>
      <c r="S816" s="13">
        <v>-1.1819228369999999</v>
      </c>
      <c r="T816">
        <v>0.76046038599999999</v>
      </c>
      <c r="U816">
        <v>-4.3007668999999998E-2</v>
      </c>
    </row>
    <row r="817" spans="1:21" x14ac:dyDescent="0.2">
      <c r="A817" t="s">
        <v>537</v>
      </c>
      <c r="B817">
        <v>870520</v>
      </c>
      <c r="C817" t="s">
        <v>6953</v>
      </c>
      <c r="D817" t="s">
        <v>538</v>
      </c>
      <c r="E817" t="s">
        <v>6928</v>
      </c>
      <c r="F817">
        <v>8</v>
      </c>
      <c r="G817">
        <v>16</v>
      </c>
      <c r="H817" t="s">
        <v>8557</v>
      </c>
      <c r="J817" t="s">
        <v>2351</v>
      </c>
      <c r="M817" t="s">
        <v>8558</v>
      </c>
      <c r="N817">
        <v>1.921480887</v>
      </c>
      <c r="O817">
        <v>3.0856645180000002</v>
      </c>
      <c r="P817">
        <v>0.44706724399999997</v>
      </c>
      <c r="Q817">
        <v>-0.354940863</v>
      </c>
      <c r="S817" s="13">
        <v>-1.181937037</v>
      </c>
      <c r="T817">
        <v>0.76039833499999998</v>
      </c>
      <c r="U817">
        <v>-4.3371574000000003E-2</v>
      </c>
    </row>
    <row r="818" spans="1:21" x14ac:dyDescent="0.2">
      <c r="A818" t="s">
        <v>2315</v>
      </c>
      <c r="B818">
        <v>674480</v>
      </c>
      <c r="C818" t="s">
        <v>6945</v>
      </c>
      <c r="D818" t="s">
        <v>2316</v>
      </c>
      <c r="E818" t="s">
        <v>6911</v>
      </c>
      <c r="F818">
        <v>4</v>
      </c>
      <c r="G818">
        <v>12</v>
      </c>
      <c r="H818" t="s">
        <v>8559</v>
      </c>
      <c r="J818" t="s">
        <v>5147</v>
      </c>
      <c r="M818" t="s">
        <v>8560</v>
      </c>
      <c r="N818">
        <v>2.2220813349999999</v>
      </c>
      <c r="O818">
        <v>6.5440947090000003</v>
      </c>
      <c r="P818">
        <v>0.58228215500000002</v>
      </c>
      <c r="Q818">
        <v>0.35188233000000002</v>
      </c>
      <c r="S818" s="13">
        <v>-1.1820822879999999</v>
      </c>
      <c r="T818">
        <v>0.75976362099999994</v>
      </c>
      <c r="U818">
        <v>-0.106733366</v>
      </c>
    </row>
    <row r="819" spans="1:21" x14ac:dyDescent="0.2">
      <c r="A819" t="s">
        <v>372</v>
      </c>
      <c r="B819">
        <v>721320</v>
      </c>
      <c r="C819" t="s">
        <v>6906</v>
      </c>
      <c r="D819" t="s">
        <v>372</v>
      </c>
      <c r="E819" t="s">
        <v>7006</v>
      </c>
      <c r="F819">
        <v>23</v>
      </c>
      <c r="G819">
        <v>3</v>
      </c>
      <c r="H819" t="s">
        <v>8561</v>
      </c>
      <c r="J819" t="s">
        <v>2786</v>
      </c>
      <c r="M819" t="s">
        <v>8562</v>
      </c>
      <c r="N819">
        <v>1.813871112</v>
      </c>
      <c r="O819">
        <v>2.6633694910000001</v>
      </c>
      <c r="P819">
        <v>-0.29586356800000002</v>
      </c>
      <c r="Q819">
        <v>-0.59018158399999998</v>
      </c>
      <c r="S819" s="13">
        <v>-1.1822428549999999</v>
      </c>
      <c r="T819">
        <v>0.75906198000000003</v>
      </c>
      <c r="U819">
        <v>-9.2991909999999997E-2</v>
      </c>
    </row>
    <row r="820" spans="1:21" x14ac:dyDescent="0.2">
      <c r="A820" t="s">
        <v>1550</v>
      </c>
      <c r="B820">
        <v>502120</v>
      </c>
      <c r="C820" t="s">
        <v>6961</v>
      </c>
      <c r="D820" t="s">
        <v>1550</v>
      </c>
      <c r="E820" t="s">
        <v>6974</v>
      </c>
      <c r="F820">
        <v>14</v>
      </c>
      <c r="G820">
        <v>15</v>
      </c>
      <c r="H820" t="s">
        <v>8563</v>
      </c>
      <c r="J820" t="s">
        <v>3823</v>
      </c>
      <c r="M820" t="s">
        <v>8564</v>
      </c>
      <c r="N820">
        <v>2.7247480949999998</v>
      </c>
      <c r="O820">
        <v>7.0822175119999997</v>
      </c>
      <c r="P820">
        <v>0.61298291999999999</v>
      </c>
      <c r="Q820">
        <v>0.48262032500000002</v>
      </c>
      <c r="S820" s="13">
        <v>-1.182308983</v>
      </c>
      <c r="T820">
        <v>0.75877301500000005</v>
      </c>
      <c r="U820">
        <v>-0.113636125</v>
      </c>
    </row>
    <row r="821" spans="1:21" x14ac:dyDescent="0.2">
      <c r="A821" t="s">
        <v>27</v>
      </c>
      <c r="B821">
        <v>853120</v>
      </c>
      <c r="C821" t="s">
        <v>6938</v>
      </c>
      <c r="D821" t="s">
        <v>29</v>
      </c>
      <c r="E821" t="s">
        <v>6915</v>
      </c>
      <c r="F821">
        <v>4</v>
      </c>
      <c r="G821">
        <v>13</v>
      </c>
      <c r="H821" t="s">
        <v>8565</v>
      </c>
      <c r="J821" t="s">
        <v>3861</v>
      </c>
      <c r="M821" t="s">
        <v>8566</v>
      </c>
      <c r="N821">
        <v>2.092758737</v>
      </c>
      <c r="O821">
        <v>5.3323610669999999</v>
      </c>
      <c r="P821">
        <v>0.70420098600000003</v>
      </c>
      <c r="Q821">
        <v>0.41355372699999998</v>
      </c>
      <c r="S821" s="13">
        <v>-1.1824458950000001</v>
      </c>
      <c r="T821">
        <v>0.75817474200000001</v>
      </c>
      <c r="U821">
        <v>-8.0271703999999999E-2</v>
      </c>
    </row>
    <row r="822" spans="1:21" x14ac:dyDescent="0.2">
      <c r="A822" t="s">
        <v>314</v>
      </c>
      <c r="B822">
        <v>804920</v>
      </c>
      <c r="C822" t="s">
        <v>6927</v>
      </c>
      <c r="D822" t="s">
        <v>315</v>
      </c>
      <c r="E822" t="s">
        <v>6915</v>
      </c>
      <c r="F822">
        <v>6</v>
      </c>
      <c r="G822">
        <v>13</v>
      </c>
      <c r="H822" t="s">
        <v>8567</v>
      </c>
      <c r="J822" t="s">
        <v>8568</v>
      </c>
      <c r="M822" t="s">
        <v>8569</v>
      </c>
      <c r="N822">
        <v>1.982575982</v>
      </c>
      <c r="O822">
        <v>3.4571926419999999</v>
      </c>
      <c r="P822">
        <v>-0.114791479</v>
      </c>
      <c r="Q822">
        <v>1.868949E-3</v>
      </c>
      <c r="S822" s="13">
        <v>-1.182528483</v>
      </c>
      <c r="T822">
        <v>0.75781385199999995</v>
      </c>
      <c r="U822">
        <v>-8.8283310000000004E-2</v>
      </c>
    </row>
    <row r="823" spans="1:21" x14ac:dyDescent="0.2">
      <c r="A823" t="s">
        <v>645</v>
      </c>
      <c r="B823">
        <v>500840</v>
      </c>
      <c r="C823" t="s">
        <v>6961</v>
      </c>
      <c r="D823" t="s">
        <v>645</v>
      </c>
      <c r="E823" t="s">
        <v>6974</v>
      </c>
      <c r="F823">
        <v>12</v>
      </c>
      <c r="G823">
        <v>15</v>
      </c>
      <c r="H823" t="s">
        <v>8570</v>
      </c>
      <c r="J823" t="s">
        <v>5439</v>
      </c>
      <c r="M823" t="s">
        <v>8571</v>
      </c>
      <c r="N823">
        <v>2.7247480949999998</v>
      </c>
      <c r="O823">
        <v>7.0822175119999997</v>
      </c>
      <c r="P823">
        <v>0.61298291999999999</v>
      </c>
      <c r="Q823">
        <v>0.48262032500000002</v>
      </c>
      <c r="S823" s="13">
        <v>-1.1833222510000001</v>
      </c>
      <c r="T823">
        <v>0.75434526700000004</v>
      </c>
      <c r="U823">
        <v>-0.114419443</v>
      </c>
    </row>
    <row r="824" spans="1:21" x14ac:dyDescent="0.2">
      <c r="A824" t="s">
        <v>2224</v>
      </c>
      <c r="B824">
        <v>804040</v>
      </c>
      <c r="C824" t="s">
        <v>6927</v>
      </c>
      <c r="D824" t="s">
        <v>2224</v>
      </c>
      <c r="E824" t="s">
        <v>6974</v>
      </c>
      <c r="F824">
        <v>18</v>
      </c>
      <c r="G824">
        <v>15</v>
      </c>
      <c r="H824" t="s">
        <v>8572</v>
      </c>
      <c r="J824" t="s">
        <v>8573</v>
      </c>
      <c r="M824" t="s">
        <v>8574</v>
      </c>
      <c r="N824">
        <v>1.982575982</v>
      </c>
      <c r="O824">
        <v>3.4571926419999999</v>
      </c>
      <c r="P824">
        <v>-0.114791479</v>
      </c>
      <c r="Q824">
        <v>1.868949E-3</v>
      </c>
      <c r="S824" s="13">
        <v>-1.1834415920000001</v>
      </c>
      <c r="T824">
        <v>0.75382377300000003</v>
      </c>
      <c r="U824">
        <v>-8.8791142000000003E-2</v>
      </c>
    </row>
    <row r="825" spans="1:21" x14ac:dyDescent="0.2">
      <c r="A825" t="s">
        <v>18</v>
      </c>
      <c r="B825">
        <v>747560</v>
      </c>
      <c r="C825" t="s">
        <v>6942</v>
      </c>
      <c r="D825" t="s">
        <v>19</v>
      </c>
      <c r="E825" t="s">
        <v>6928</v>
      </c>
      <c r="F825">
        <v>1</v>
      </c>
      <c r="G825">
        <v>16</v>
      </c>
      <c r="H825" t="s">
        <v>8575</v>
      </c>
      <c r="J825" t="s">
        <v>918</v>
      </c>
      <c r="M825" t="s">
        <v>8576</v>
      </c>
      <c r="N825">
        <v>2.0902262079999998</v>
      </c>
      <c r="O825">
        <v>4.2704203920000001</v>
      </c>
      <c r="P825">
        <v>0.23425843900000001</v>
      </c>
      <c r="Q825">
        <v>1.6181978999999999E-2</v>
      </c>
      <c r="S825" s="13">
        <v>-1.1835188350000001</v>
      </c>
      <c r="T825">
        <v>0.75348623999999997</v>
      </c>
      <c r="U825">
        <v>-0.10535148599999999</v>
      </c>
    </row>
    <row r="826" spans="1:21" x14ac:dyDescent="0.2">
      <c r="A826" t="s">
        <v>1422</v>
      </c>
      <c r="B826">
        <v>851840</v>
      </c>
      <c r="C826" t="s">
        <v>6938</v>
      </c>
      <c r="D826" t="s">
        <v>1423</v>
      </c>
      <c r="E826" t="s">
        <v>6956</v>
      </c>
      <c r="F826">
        <v>4</v>
      </c>
      <c r="G826">
        <v>7</v>
      </c>
      <c r="H826" t="s">
        <v>8577</v>
      </c>
      <c r="J826" t="s">
        <v>2549</v>
      </c>
      <c r="M826" t="s">
        <v>8578</v>
      </c>
      <c r="N826">
        <v>2.092758737</v>
      </c>
      <c r="O826">
        <v>5.3323610669999999</v>
      </c>
      <c r="P826">
        <v>0.70420098600000003</v>
      </c>
      <c r="Q826">
        <v>0.41355372699999998</v>
      </c>
      <c r="S826" s="13">
        <v>-1.183545173</v>
      </c>
      <c r="T826">
        <v>0.75337114599999999</v>
      </c>
      <c r="U826">
        <v>-8.0997048000000002E-2</v>
      </c>
    </row>
    <row r="827" spans="1:21" x14ac:dyDescent="0.2">
      <c r="A827" t="s">
        <v>625</v>
      </c>
      <c r="B827">
        <v>858920</v>
      </c>
      <c r="C827" t="s">
        <v>6914</v>
      </c>
      <c r="D827" t="s">
        <v>625</v>
      </c>
      <c r="E827" t="s">
        <v>6918</v>
      </c>
      <c r="F827">
        <v>11</v>
      </c>
      <c r="G827">
        <v>1</v>
      </c>
      <c r="H827" t="s">
        <v>8579</v>
      </c>
      <c r="J827" t="s">
        <v>6811</v>
      </c>
      <c r="M827" t="s">
        <v>8580</v>
      </c>
      <c r="N827">
        <v>1.8217074179999999</v>
      </c>
      <c r="O827">
        <v>4.1700741289999996</v>
      </c>
      <c r="P827">
        <v>0.189705977</v>
      </c>
      <c r="Q827">
        <v>-1.7194070999999998E-2</v>
      </c>
      <c r="S827" s="13">
        <v>-1.1839022400000001</v>
      </c>
      <c r="T827">
        <v>0.75181084899999995</v>
      </c>
      <c r="U827">
        <v>-0.103627309</v>
      </c>
    </row>
    <row r="828" spans="1:21" x14ac:dyDescent="0.2">
      <c r="A828" t="s">
        <v>541</v>
      </c>
      <c r="B828">
        <v>858920</v>
      </c>
      <c r="C828" t="s">
        <v>6914</v>
      </c>
      <c r="D828" t="s">
        <v>542</v>
      </c>
      <c r="E828" t="s">
        <v>6974</v>
      </c>
      <c r="F828">
        <v>1</v>
      </c>
      <c r="G828">
        <v>15</v>
      </c>
      <c r="H828" t="s">
        <v>8581</v>
      </c>
      <c r="J828" t="s">
        <v>2325</v>
      </c>
      <c r="M828" t="s">
        <v>8582</v>
      </c>
      <c r="N828">
        <v>1.8217074179999999</v>
      </c>
      <c r="O828">
        <v>4.1700741289999996</v>
      </c>
      <c r="P828">
        <v>0.189705977</v>
      </c>
      <c r="Q828">
        <v>-1.7194070999999998E-2</v>
      </c>
      <c r="S828" s="13">
        <v>-1.1839022400000001</v>
      </c>
      <c r="T828">
        <v>0.75181084899999995</v>
      </c>
      <c r="U828">
        <v>-0.103627309</v>
      </c>
    </row>
    <row r="829" spans="1:21" x14ac:dyDescent="0.2">
      <c r="A829" t="s">
        <v>337</v>
      </c>
      <c r="B829">
        <v>851280</v>
      </c>
      <c r="C829" t="s">
        <v>6938</v>
      </c>
      <c r="D829" t="s">
        <v>337</v>
      </c>
      <c r="E829" t="s">
        <v>6974</v>
      </c>
      <c r="F829">
        <v>13</v>
      </c>
      <c r="G829">
        <v>15</v>
      </c>
      <c r="H829" t="s">
        <v>8583</v>
      </c>
      <c r="J829" t="s">
        <v>2866</v>
      </c>
      <c r="M829" t="s">
        <v>8584</v>
      </c>
      <c r="N829">
        <v>2.092758737</v>
      </c>
      <c r="O829">
        <v>5.3323610669999999</v>
      </c>
      <c r="P829">
        <v>0.70420098600000003</v>
      </c>
      <c r="Q829">
        <v>0.41355372699999998</v>
      </c>
      <c r="S829" s="13">
        <v>-1.1840261080000001</v>
      </c>
      <c r="T829">
        <v>0.75126957299999997</v>
      </c>
      <c r="U829">
        <v>-8.1314767999999996E-2</v>
      </c>
    </row>
    <row r="830" spans="1:21" x14ac:dyDescent="0.2">
      <c r="A830" t="s">
        <v>259</v>
      </c>
      <c r="B830">
        <v>746760</v>
      </c>
      <c r="C830" t="s">
        <v>6942</v>
      </c>
      <c r="D830" t="s">
        <v>260</v>
      </c>
      <c r="E830" t="s">
        <v>6956</v>
      </c>
      <c r="F830">
        <v>1</v>
      </c>
      <c r="G830">
        <v>7</v>
      </c>
      <c r="H830" t="s">
        <v>8585</v>
      </c>
      <c r="J830" t="s">
        <v>262</v>
      </c>
      <c r="M830" t="s">
        <v>8586</v>
      </c>
      <c r="N830">
        <v>2.0902262079999998</v>
      </c>
      <c r="O830">
        <v>4.2704203920000001</v>
      </c>
      <c r="P830">
        <v>0.23425843900000001</v>
      </c>
      <c r="Q830">
        <v>1.6181978999999999E-2</v>
      </c>
      <c r="S830" s="13">
        <v>-1.184304026</v>
      </c>
      <c r="T830">
        <v>0.75005513400000001</v>
      </c>
      <c r="U830">
        <v>-0.105831642</v>
      </c>
    </row>
    <row r="831" spans="1:21" x14ac:dyDescent="0.2">
      <c r="A831" t="s">
        <v>465</v>
      </c>
      <c r="B831">
        <v>769880</v>
      </c>
      <c r="C831" t="s">
        <v>6910</v>
      </c>
      <c r="D831" t="s">
        <v>466</v>
      </c>
      <c r="E831" t="s">
        <v>6939</v>
      </c>
      <c r="F831">
        <v>8</v>
      </c>
      <c r="G831">
        <v>2</v>
      </c>
      <c r="H831" t="s">
        <v>8587</v>
      </c>
      <c r="J831" t="s">
        <v>2608</v>
      </c>
      <c r="M831" t="s">
        <v>8588</v>
      </c>
      <c r="N831">
        <v>1.9874741039999999</v>
      </c>
      <c r="O831">
        <v>3.7453511220000002</v>
      </c>
      <c r="P831">
        <v>0.451009722</v>
      </c>
      <c r="Q831">
        <v>-0.102386592</v>
      </c>
      <c r="S831" s="13">
        <v>-1.1843758740000001</v>
      </c>
      <c r="T831">
        <v>0.74974117399999995</v>
      </c>
      <c r="U831">
        <v>-4.4194081000000003E-2</v>
      </c>
    </row>
    <row r="832" spans="1:21" x14ac:dyDescent="0.2">
      <c r="A832" t="s">
        <v>221</v>
      </c>
      <c r="B832">
        <v>672000</v>
      </c>
      <c r="C832" t="s">
        <v>6945</v>
      </c>
      <c r="D832" t="s">
        <v>221</v>
      </c>
      <c r="E832" t="s">
        <v>6928</v>
      </c>
      <c r="F832">
        <v>12</v>
      </c>
      <c r="G832">
        <v>16</v>
      </c>
      <c r="H832" t="s">
        <v>8589</v>
      </c>
      <c r="J832" t="s">
        <v>2223</v>
      </c>
      <c r="M832" t="s">
        <v>8590</v>
      </c>
      <c r="N832">
        <v>2.2220813349999999</v>
      </c>
      <c r="O832">
        <v>6.5440947090000003</v>
      </c>
      <c r="P832">
        <v>0.58228215500000002</v>
      </c>
      <c r="Q832">
        <v>0.35188233000000002</v>
      </c>
      <c r="S832" s="13">
        <v>-1.184421513</v>
      </c>
      <c r="T832">
        <v>0.74954174100000004</v>
      </c>
      <c r="U832">
        <v>-0.10822833699999999</v>
      </c>
    </row>
    <row r="833" spans="1:21" x14ac:dyDescent="0.2">
      <c r="A833" t="s">
        <v>74</v>
      </c>
      <c r="B833">
        <v>675760</v>
      </c>
      <c r="C833" t="s">
        <v>6931</v>
      </c>
      <c r="D833" t="s">
        <v>75</v>
      </c>
      <c r="E833" t="s">
        <v>6970</v>
      </c>
      <c r="F833">
        <v>3</v>
      </c>
      <c r="G833">
        <v>14</v>
      </c>
      <c r="H833" t="s">
        <v>8591</v>
      </c>
      <c r="J833" t="s">
        <v>1935</v>
      </c>
      <c r="M833" t="s">
        <v>8592</v>
      </c>
      <c r="N833">
        <v>1.9323965059999999</v>
      </c>
      <c r="O833">
        <v>3.0528020530000002</v>
      </c>
      <c r="P833">
        <v>2.6493138999999999E-2</v>
      </c>
      <c r="Q833">
        <v>-0.38692188</v>
      </c>
      <c r="S833" s="13">
        <v>-1.184573944</v>
      </c>
      <c r="T833">
        <v>0.748875654</v>
      </c>
      <c r="U833">
        <v>-5.2590980000000002E-2</v>
      </c>
    </row>
    <row r="834" spans="1:21" x14ac:dyDescent="0.2">
      <c r="A834" t="s">
        <v>1055</v>
      </c>
      <c r="B834">
        <v>746400</v>
      </c>
      <c r="C834" t="s">
        <v>6942</v>
      </c>
      <c r="D834" t="s">
        <v>1055</v>
      </c>
      <c r="E834" t="s">
        <v>6970</v>
      </c>
      <c r="F834">
        <v>11</v>
      </c>
      <c r="G834">
        <v>14</v>
      </c>
      <c r="H834" t="s">
        <v>8593</v>
      </c>
      <c r="J834" t="s">
        <v>4726</v>
      </c>
      <c r="M834" t="s">
        <v>8594</v>
      </c>
      <c r="N834">
        <v>2.0902262079999998</v>
      </c>
      <c r="O834">
        <v>4.2704203920000001</v>
      </c>
      <c r="P834">
        <v>0.23425843900000001</v>
      </c>
      <c r="Q834">
        <v>1.6181978999999999E-2</v>
      </c>
      <c r="S834" s="13">
        <v>-1.184657362</v>
      </c>
      <c r="T834">
        <v>0.74851113599999997</v>
      </c>
      <c r="U834">
        <v>-0.10604788499999999</v>
      </c>
    </row>
    <row r="835" spans="1:21" x14ac:dyDescent="0.2">
      <c r="A835" t="s">
        <v>1231</v>
      </c>
      <c r="B835">
        <v>802800</v>
      </c>
      <c r="C835" t="s">
        <v>6927</v>
      </c>
      <c r="D835" t="s">
        <v>1231</v>
      </c>
      <c r="E835" t="s">
        <v>7085</v>
      </c>
      <c r="F835">
        <v>21</v>
      </c>
      <c r="G835">
        <v>9</v>
      </c>
      <c r="H835" t="s">
        <v>8595</v>
      </c>
      <c r="J835" t="s">
        <v>8596</v>
      </c>
      <c r="M835" t="s">
        <v>8597</v>
      </c>
      <c r="N835">
        <v>1.982575982</v>
      </c>
      <c r="O835">
        <v>3.4571926419999999</v>
      </c>
      <c r="P835">
        <v>-0.114791479</v>
      </c>
      <c r="Q835">
        <v>1.868949E-3</v>
      </c>
      <c r="S835" s="13">
        <v>-1.1847282459999999</v>
      </c>
      <c r="T835">
        <v>0.74820138899999999</v>
      </c>
      <c r="U835">
        <v>-8.9507733000000006E-2</v>
      </c>
    </row>
    <row r="836" spans="1:21" x14ac:dyDescent="0.2">
      <c r="A836" t="s">
        <v>33</v>
      </c>
      <c r="B836">
        <v>746280</v>
      </c>
      <c r="C836" t="s">
        <v>6942</v>
      </c>
      <c r="D836" t="s">
        <v>33</v>
      </c>
      <c r="E836" t="s">
        <v>6918</v>
      </c>
      <c r="F836">
        <v>17</v>
      </c>
      <c r="G836">
        <v>1</v>
      </c>
      <c r="H836" t="s">
        <v>8598</v>
      </c>
      <c r="J836" t="s">
        <v>5022</v>
      </c>
      <c r="M836" t="s">
        <v>8599</v>
      </c>
      <c r="N836">
        <v>2.0902262079999998</v>
      </c>
      <c r="O836">
        <v>4.2704203920000001</v>
      </c>
      <c r="P836">
        <v>0.23425843900000001</v>
      </c>
      <c r="Q836">
        <v>1.6181978999999999E-2</v>
      </c>
      <c r="S836" s="13">
        <v>-1.184775141</v>
      </c>
      <c r="T836">
        <v>0.74799647000000002</v>
      </c>
      <c r="U836">
        <v>-0.10611999</v>
      </c>
    </row>
    <row r="837" spans="1:21" x14ac:dyDescent="0.2">
      <c r="A837" t="s">
        <v>663</v>
      </c>
      <c r="B837">
        <v>802720</v>
      </c>
      <c r="C837" t="s">
        <v>6927</v>
      </c>
      <c r="D837" t="s">
        <v>663</v>
      </c>
      <c r="E837" t="s">
        <v>6918</v>
      </c>
      <c r="F837">
        <v>15</v>
      </c>
      <c r="G837">
        <v>1</v>
      </c>
      <c r="H837" t="s">
        <v>8600</v>
      </c>
      <c r="J837" t="s">
        <v>8601</v>
      </c>
      <c r="M837" t="s">
        <v>8602</v>
      </c>
      <c r="N837">
        <v>1.982575982</v>
      </c>
      <c r="O837">
        <v>3.4571926419999999</v>
      </c>
      <c r="P837">
        <v>-0.114791479</v>
      </c>
      <c r="Q837">
        <v>1.868949E-3</v>
      </c>
      <c r="S837" s="13">
        <v>-1.1848112559999999</v>
      </c>
      <c r="T837">
        <v>0.74783865400000005</v>
      </c>
      <c r="U837">
        <v>-8.9554006000000005E-2</v>
      </c>
    </row>
    <row r="838" spans="1:21" x14ac:dyDescent="0.2">
      <c r="A838" t="s">
        <v>13</v>
      </c>
      <c r="B838">
        <v>671360</v>
      </c>
      <c r="C838" t="s">
        <v>6945</v>
      </c>
      <c r="D838" t="s">
        <v>13</v>
      </c>
      <c r="E838" t="s">
        <v>6921</v>
      </c>
      <c r="F838">
        <v>22</v>
      </c>
      <c r="G838">
        <v>8</v>
      </c>
      <c r="H838" t="s">
        <v>8603</v>
      </c>
      <c r="J838" t="s">
        <v>991</v>
      </c>
      <c r="M838" t="s">
        <v>8604</v>
      </c>
      <c r="N838">
        <v>2.2220813349999999</v>
      </c>
      <c r="O838">
        <v>6.5440947090000003</v>
      </c>
      <c r="P838">
        <v>0.58228215500000002</v>
      </c>
      <c r="Q838">
        <v>0.35188233000000002</v>
      </c>
      <c r="S838" s="13">
        <v>-1.1850251839999999</v>
      </c>
      <c r="T838">
        <v>0.74690383699999996</v>
      </c>
      <c r="U838">
        <v>-0.108614972</v>
      </c>
    </row>
    <row r="839" spans="1:21" x14ac:dyDescent="0.2">
      <c r="A839" t="s">
        <v>448</v>
      </c>
      <c r="B839">
        <v>746000</v>
      </c>
      <c r="C839" t="s">
        <v>6942</v>
      </c>
      <c r="D839" t="s">
        <v>448</v>
      </c>
      <c r="E839" t="s">
        <v>6974</v>
      </c>
      <c r="F839">
        <v>22</v>
      </c>
      <c r="G839">
        <v>15</v>
      </c>
      <c r="H839" t="s">
        <v>8605</v>
      </c>
      <c r="J839" t="s">
        <v>4193</v>
      </c>
      <c r="M839" t="s">
        <v>8606</v>
      </c>
      <c r="N839">
        <v>2.0902262079999998</v>
      </c>
      <c r="O839">
        <v>4.2704203920000001</v>
      </c>
      <c r="P839">
        <v>0.23425843900000001</v>
      </c>
      <c r="Q839">
        <v>1.6181978999999999E-2</v>
      </c>
      <c r="S839" s="13">
        <v>-1.185049958</v>
      </c>
      <c r="T839">
        <v>0.74679558199999996</v>
      </c>
      <c r="U839">
        <v>-0.106288281</v>
      </c>
    </row>
    <row r="840" spans="1:21" x14ac:dyDescent="0.2">
      <c r="A840" t="s">
        <v>153</v>
      </c>
      <c r="B840">
        <v>802320</v>
      </c>
      <c r="C840" t="s">
        <v>6927</v>
      </c>
      <c r="D840" t="s">
        <v>153</v>
      </c>
      <c r="E840" t="s">
        <v>6928</v>
      </c>
      <c r="F840">
        <v>14</v>
      </c>
      <c r="G840">
        <v>16</v>
      </c>
      <c r="H840" t="s">
        <v>8607</v>
      </c>
      <c r="J840" t="s">
        <v>8608</v>
      </c>
      <c r="M840" t="s">
        <v>8609</v>
      </c>
      <c r="N840">
        <v>1.982575982</v>
      </c>
      <c r="O840">
        <v>3.4571926419999999</v>
      </c>
      <c r="P840">
        <v>-0.114791479</v>
      </c>
      <c r="Q840">
        <v>1.868949E-3</v>
      </c>
      <c r="S840" s="13">
        <v>-1.1852263059999999</v>
      </c>
      <c r="T840">
        <v>0.746024982</v>
      </c>
      <c r="U840">
        <v>-8.9785440999999994E-2</v>
      </c>
    </row>
    <row r="841" spans="1:21" x14ac:dyDescent="0.2">
      <c r="A841" t="s">
        <v>1409</v>
      </c>
      <c r="B841">
        <v>670840</v>
      </c>
      <c r="C841" t="s">
        <v>6945</v>
      </c>
      <c r="D841" t="s">
        <v>1410</v>
      </c>
      <c r="E841" t="s">
        <v>7115</v>
      </c>
      <c r="F841">
        <v>6</v>
      </c>
      <c r="G841">
        <v>10</v>
      </c>
      <c r="H841" t="s">
        <v>8610</v>
      </c>
      <c r="J841" t="s">
        <v>4166</v>
      </c>
      <c r="M841" t="s">
        <v>8611</v>
      </c>
      <c r="N841">
        <v>2.2220813349999999</v>
      </c>
      <c r="O841">
        <v>6.5440947090000003</v>
      </c>
      <c r="P841">
        <v>0.58228215500000002</v>
      </c>
      <c r="Q841">
        <v>0.35188233000000002</v>
      </c>
      <c r="S841" s="13">
        <v>-1.185515667</v>
      </c>
      <c r="T841">
        <v>0.74476053900000005</v>
      </c>
      <c r="U841">
        <v>-0.108929367</v>
      </c>
    </row>
    <row r="842" spans="1:21" x14ac:dyDescent="0.2">
      <c r="A842" t="s">
        <v>1269</v>
      </c>
      <c r="B842">
        <v>497640</v>
      </c>
      <c r="C842" t="s">
        <v>6961</v>
      </c>
      <c r="D842" t="s">
        <v>1269</v>
      </c>
      <c r="E842" t="s">
        <v>6924</v>
      </c>
      <c r="F842">
        <v>11</v>
      </c>
      <c r="G842">
        <v>6</v>
      </c>
      <c r="H842" t="s">
        <v>8612</v>
      </c>
      <c r="J842" t="s">
        <v>5869</v>
      </c>
      <c r="M842" t="s">
        <v>8613</v>
      </c>
      <c r="N842">
        <v>2.7247480949999998</v>
      </c>
      <c r="O842">
        <v>7.0822175119999997</v>
      </c>
      <c r="P842">
        <v>0.61298291999999999</v>
      </c>
      <c r="Q842">
        <v>0.48262032500000002</v>
      </c>
      <c r="S842" s="13">
        <v>-1.1858554189999999</v>
      </c>
      <c r="T842">
        <v>0.74327589900000002</v>
      </c>
      <c r="U842">
        <v>-0.116383941</v>
      </c>
    </row>
    <row r="843" spans="1:21" x14ac:dyDescent="0.2">
      <c r="A843" t="s">
        <v>804</v>
      </c>
      <c r="B843">
        <v>670400</v>
      </c>
      <c r="C843" t="s">
        <v>6945</v>
      </c>
      <c r="D843" t="s">
        <v>804</v>
      </c>
      <c r="E843" t="s">
        <v>6918</v>
      </c>
      <c r="F843">
        <v>18</v>
      </c>
      <c r="G843">
        <v>1</v>
      </c>
      <c r="H843" t="s">
        <v>8614</v>
      </c>
      <c r="J843" t="s">
        <v>806</v>
      </c>
      <c r="M843" t="s">
        <v>8615</v>
      </c>
      <c r="N843">
        <v>2.2220813349999999</v>
      </c>
      <c r="O843">
        <v>6.5440947090000003</v>
      </c>
      <c r="P843">
        <v>0.58228215500000002</v>
      </c>
      <c r="Q843">
        <v>0.35188233000000002</v>
      </c>
      <c r="S843" s="13">
        <v>-1.185930691</v>
      </c>
      <c r="T843">
        <v>0.74294698000000003</v>
      </c>
      <c r="U843">
        <v>-0.109195572</v>
      </c>
    </row>
    <row r="844" spans="1:21" x14ac:dyDescent="0.2">
      <c r="A844" t="s">
        <v>1668</v>
      </c>
      <c r="B844">
        <v>718560</v>
      </c>
      <c r="C844" t="s">
        <v>6906</v>
      </c>
      <c r="D844" t="s">
        <v>1668</v>
      </c>
      <c r="E844" t="s">
        <v>6915</v>
      </c>
      <c r="F844">
        <v>10</v>
      </c>
      <c r="G844">
        <v>13</v>
      </c>
      <c r="H844" t="s">
        <v>8616</v>
      </c>
      <c r="J844" t="s">
        <v>8617</v>
      </c>
      <c r="M844" t="s">
        <v>8618</v>
      </c>
      <c r="N844">
        <v>1.813871112</v>
      </c>
      <c r="O844">
        <v>2.6633694910000001</v>
      </c>
      <c r="P844">
        <v>-0.29586356800000002</v>
      </c>
      <c r="Q844">
        <v>-0.59018158399999998</v>
      </c>
      <c r="S844" s="13">
        <v>-1.1862469170000001</v>
      </c>
      <c r="T844">
        <v>0.74156514399999995</v>
      </c>
      <c r="U844">
        <v>-9.4604066000000001E-2</v>
      </c>
    </row>
    <row r="845" spans="1:21" x14ac:dyDescent="0.2">
      <c r="A845" t="s">
        <v>1778</v>
      </c>
      <c r="B845">
        <v>768040</v>
      </c>
      <c r="C845" t="s">
        <v>6910</v>
      </c>
      <c r="D845" t="s">
        <v>1778</v>
      </c>
      <c r="E845" t="s">
        <v>6974</v>
      </c>
      <c r="F845">
        <v>21</v>
      </c>
      <c r="G845">
        <v>15</v>
      </c>
      <c r="H845" t="s">
        <v>8619</v>
      </c>
      <c r="J845" t="s">
        <v>2720</v>
      </c>
      <c r="M845" t="s">
        <v>8620</v>
      </c>
      <c r="N845">
        <v>1.9874741039999999</v>
      </c>
      <c r="O845">
        <v>3.7453511220000002</v>
      </c>
      <c r="P845">
        <v>0.451009722</v>
      </c>
      <c r="Q845">
        <v>-0.102386592</v>
      </c>
      <c r="S845" s="13">
        <v>-1.1863555180000001</v>
      </c>
      <c r="T845">
        <v>0.741090582</v>
      </c>
      <c r="U845">
        <v>-4.5153906000000001E-2</v>
      </c>
    </row>
    <row r="846" spans="1:21" x14ac:dyDescent="0.2">
      <c r="A846" t="s">
        <v>172</v>
      </c>
      <c r="B846">
        <v>497000</v>
      </c>
      <c r="C846" t="s">
        <v>6961</v>
      </c>
      <c r="D846" t="s">
        <v>172</v>
      </c>
      <c r="E846" t="s">
        <v>7006</v>
      </c>
      <c r="F846">
        <v>11</v>
      </c>
      <c r="G846">
        <v>3</v>
      </c>
      <c r="H846" t="s">
        <v>8621</v>
      </c>
      <c r="J846" t="s">
        <v>2999</v>
      </c>
      <c r="M846" t="s">
        <v>8622</v>
      </c>
      <c r="N846">
        <v>2.7247480949999998</v>
      </c>
      <c r="O846">
        <v>7.0822175119999997</v>
      </c>
      <c r="P846">
        <v>0.61298291999999999</v>
      </c>
      <c r="Q846">
        <v>0.48262032500000002</v>
      </c>
      <c r="S846" s="13">
        <v>-1.1863620530000001</v>
      </c>
      <c r="T846">
        <v>0.74106202600000004</v>
      </c>
      <c r="U846">
        <v>-0.116777909</v>
      </c>
    </row>
    <row r="847" spans="1:21" x14ac:dyDescent="0.2">
      <c r="A847" t="s">
        <v>1882</v>
      </c>
      <c r="B847">
        <v>743600</v>
      </c>
      <c r="C847" t="s">
        <v>6942</v>
      </c>
      <c r="D847" t="s">
        <v>1882</v>
      </c>
      <c r="E847" t="s">
        <v>7006</v>
      </c>
      <c r="F847">
        <v>20</v>
      </c>
      <c r="G847">
        <v>3</v>
      </c>
      <c r="H847" t="s">
        <v>8623</v>
      </c>
      <c r="J847" t="s">
        <v>4396</v>
      </c>
      <c r="M847" t="s">
        <v>8624</v>
      </c>
      <c r="N847">
        <v>2.0902262079999998</v>
      </c>
      <c r="O847">
        <v>4.2704203920000001</v>
      </c>
      <c r="P847">
        <v>0.23425843900000001</v>
      </c>
      <c r="Q847">
        <v>1.6181978999999999E-2</v>
      </c>
      <c r="S847" s="13">
        <v>-1.1874055320000001</v>
      </c>
      <c r="T847">
        <v>0.73650226299999999</v>
      </c>
      <c r="U847">
        <v>-0.107733462</v>
      </c>
    </row>
    <row r="848" spans="1:21" x14ac:dyDescent="0.2">
      <c r="A848" t="s">
        <v>195</v>
      </c>
      <c r="B848">
        <v>799840</v>
      </c>
      <c r="C848" t="s">
        <v>6927</v>
      </c>
      <c r="D848" t="s">
        <v>195</v>
      </c>
      <c r="E848" t="s">
        <v>6907</v>
      </c>
      <c r="F848">
        <v>24</v>
      </c>
      <c r="G848">
        <v>4</v>
      </c>
      <c r="H848" t="s">
        <v>8625</v>
      </c>
      <c r="J848" t="s">
        <v>8626</v>
      </c>
      <c r="M848" t="s">
        <v>8627</v>
      </c>
      <c r="N848">
        <v>1.982575982</v>
      </c>
      <c r="O848">
        <v>3.4571926419999999</v>
      </c>
      <c r="P848">
        <v>-0.114791479</v>
      </c>
      <c r="Q848">
        <v>1.868949E-3</v>
      </c>
      <c r="S848" s="13">
        <v>-1.187799614</v>
      </c>
      <c r="T848">
        <v>0.73478021299999996</v>
      </c>
      <c r="U848">
        <v>-9.1223100000000001E-2</v>
      </c>
    </row>
    <row r="849" spans="1:21" x14ac:dyDescent="0.2">
      <c r="A849" t="s">
        <v>1675</v>
      </c>
      <c r="B849">
        <v>717320</v>
      </c>
      <c r="C849" t="s">
        <v>6906</v>
      </c>
      <c r="D849" t="s">
        <v>1675</v>
      </c>
      <c r="E849" t="s">
        <v>6915</v>
      </c>
      <c r="F849">
        <v>21</v>
      </c>
      <c r="G849">
        <v>13</v>
      </c>
      <c r="H849" t="s">
        <v>8628</v>
      </c>
      <c r="J849" t="s">
        <v>2946</v>
      </c>
      <c r="M849" t="s">
        <v>8629</v>
      </c>
      <c r="N849">
        <v>1.813871112</v>
      </c>
      <c r="O849">
        <v>2.6633694910000001</v>
      </c>
      <c r="P849">
        <v>-0.29586356800000002</v>
      </c>
      <c r="Q849">
        <v>-0.59018158399999998</v>
      </c>
      <c r="S849" s="13">
        <v>-1.1880458439999999</v>
      </c>
      <c r="T849">
        <v>0.73370424599999995</v>
      </c>
      <c r="U849">
        <v>-9.5330320999999996E-2</v>
      </c>
    </row>
    <row r="850" spans="1:21" x14ac:dyDescent="0.2">
      <c r="A850" t="s">
        <v>198</v>
      </c>
      <c r="B850">
        <v>766240</v>
      </c>
      <c r="C850" t="s">
        <v>6910</v>
      </c>
      <c r="D850" t="s">
        <v>199</v>
      </c>
      <c r="E850" t="s">
        <v>6918</v>
      </c>
      <c r="F850">
        <v>3</v>
      </c>
      <c r="G850">
        <v>1</v>
      </c>
      <c r="H850" t="s">
        <v>8630</v>
      </c>
      <c r="J850" t="s">
        <v>2327</v>
      </c>
      <c r="M850" t="s">
        <v>8631</v>
      </c>
      <c r="N850">
        <v>1.9874741039999999</v>
      </c>
      <c r="O850">
        <v>3.7453511220000002</v>
      </c>
      <c r="P850">
        <v>0.451009722</v>
      </c>
      <c r="Q850">
        <v>-0.102386592</v>
      </c>
      <c r="S850" s="13">
        <v>-1.188292127</v>
      </c>
      <c r="T850">
        <v>0.73262804599999998</v>
      </c>
      <c r="U850">
        <v>-4.6094922000000003E-2</v>
      </c>
    </row>
    <row r="851" spans="1:21" x14ac:dyDescent="0.2">
      <c r="A851" t="s">
        <v>1550</v>
      </c>
      <c r="B851">
        <v>799360</v>
      </c>
      <c r="C851" t="s">
        <v>6927</v>
      </c>
      <c r="D851" t="s">
        <v>1550</v>
      </c>
      <c r="E851" t="s">
        <v>6974</v>
      </c>
      <c r="F851">
        <v>14</v>
      </c>
      <c r="G851">
        <v>15</v>
      </c>
      <c r="H851" t="s">
        <v>8632</v>
      </c>
      <c r="J851" t="s">
        <v>8633</v>
      </c>
      <c r="M851" t="s">
        <v>8634</v>
      </c>
      <c r="N851">
        <v>1.982575982</v>
      </c>
      <c r="O851">
        <v>3.4571926419999999</v>
      </c>
      <c r="P851">
        <v>-0.114791479</v>
      </c>
      <c r="Q851">
        <v>1.868949E-3</v>
      </c>
      <c r="S851" s="13">
        <v>-1.188297674</v>
      </c>
      <c r="T851">
        <v>0.73260380700000005</v>
      </c>
      <c r="U851">
        <v>-9.1501908000000007E-2</v>
      </c>
    </row>
    <row r="852" spans="1:21" x14ac:dyDescent="0.2">
      <c r="A852" t="s">
        <v>345</v>
      </c>
      <c r="B852">
        <v>667800</v>
      </c>
      <c r="C852" t="s">
        <v>6945</v>
      </c>
      <c r="D852" t="s">
        <v>345</v>
      </c>
      <c r="E852" t="s">
        <v>6918</v>
      </c>
      <c r="F852">
        <v>19</v>
      </c>
      <c r="G852">
        <v>1</v>
      </c>
      <c r="H852" t="s">
        <v>8635</v>
      </c>
      <c r="J852" t="s">
        <v>3457</v>
      </c>
      <c r="M852" t="s">
        <v>8636</v>
      </c>
      <c r="N852">
        <v>2.2220813349999999</v>
      </c>
      <c r="O852">
        <v>6.5440947090000003</v>
      </c>
      <c r="P852">
        <v>0.58228215500000002</v>
      </c>
      <c r="Q852">
        <v>0.35188233000000002</v>
      </c>
      <c r="S852" s="13">
        <v>-1.188383105</v>
      </c>
      <c r="T852">
        <v>0.73223049200000001</v>
      </c>
      <c r="U852">
        <v>-0.110771938</v>
      </c>
    </row>
    <row r="853" spans="1:21" x14ac:dyDescent="0.2">
      <c r="A853" t="s">
        <v>1659</v>
      </c>
      <c r="B853">
        <v>667440</v>
      </c>
      <c r="C853" t="s">
        <v>6945</v>
      </c>
      <c r="D853" t="s">
        <v>1660</v>
      </c>
      <c r="E853" t="s">
        <v>6946</v>
      </c>
      <c r="F853">
        <v>8</v>
      </c>
      <c r="G853">
        <v>11</v>
      </c>
      <c r="H853" t="s">
        <v>8637</v>
      </c>
      <c r="J853" t="s">
        <v>6083</v>
      </c>
      <c r="M853" t="s">
        <v>8638</v>
      </c>
      <c r="N853">
        <v>2.2220813349999999</v>
      </c>
      <c r="O853">
        <v>6.5440947090000003</v>
      </c>
      <c r="P853">
        <v>0.58228215500000002</v>
      </c>
      <c r="Q853">
        <v>0.35188233000000002</v>
      </c>
      <c r="S853" s="13">
        <v>-1.18872267</v>
      </c>
      <c r="T853">
        <v>0.73074667100000001</v>
      </c>
      <c r="U853">
        <v>-0.11099065599999999</v>
      </c>
    </row>
    <row r="854" spans="1:21" x14ac:dyDescent="0.2">
      <c r="A854" t="s">
        <v>644</v>
      </c>
      <c r="B854">
        <v>493840</v>
      </c>
      <c r="C854" t="s">
        <v>6961</v>
      </c>
      <c r="D854" t="s">
        <v>644</v>
      </c>
      <c r="E854" t="s">
        <v>6946</v>
      </c>
      <c r="F854">
        <v>11</v>
      </c>
      <c r="G854">
        <v>11</v>
      </c>
      <c r="H854" t="s">
        <v>8639</v>
      </c>
      <c r="J854" t="s">
        <v>6055</v>
      </c>
      <c r="M854" t="s">
        <v>8640</v>
      </c>
      <c r="N854">
        <v>2.7247480949999998</v>
      </c>
      <c r="O854">
        <v>7.0822175119999997</v>
      </c>
      <c r="P854">
        <v>0.61298291999999999</v>
      </c>
      <c r="Q854">
        <v>0.48262032500000002</v>
      </c>
      <c r="S854" s="13">
        <v>-1.1888635569999999</v>
      </c>
      <c r="T854">
        <v>0.73013102500000004</v>
      </c>
      <c r="U854">
        <v>-0.11872838300000001</v>
      </c>
    </row>
    <row r="855" spans="1:21" x14ac:dyDescent="0.2">
      <c r="A855" t="s">
        <v>812</v>
      </c>
      <c r="B855">
        <v>741720</v>
      </c>
      <c r="C855" t="s">
        <v>6942</v>
      </c>
      <c r="D855" t="s">
        <v>813</v>
      </c>
      <c r="E855" t="s">
        <v>7115</v>
      </c>
      <c r="F855">
        <v>7</v>
      </c>
      <c r="G855">
        <v>10</v>
      </c>
      <c r="H855" t="s">
        <v>8641</v>
      </c>
      <c r="J855" t="s">
        <v>815</v>
      </c>
      <c r="M855" t="s">
        <v>8642</v>
      </c>
      <c r="N855">
        <v>2.0902262079999998</v>
      </c>
      <c r="O855">
        <v>4.2704203920000001</v>
      </c>
      <c r="P855">
        <v>0.23425843900000001</v>
      </c>
      <c r="Q855">
        <v>1.6181978999999999E-2</v>
      </c>
      <c r="S855" s="13">
        <v>-1.189250731</v>
      </c>
      <c r="T855">
        <v>0.728439163</v>
      </c>
      <c r="U855">
        <v>-0.108868889</v>
      </c>
    </row>
    <row r="856" spans="1:21" x14ac:dyDescent="0.2">
      <c r="A856" t="s">
        <v>185</v>
      </c>
      <c r="B856">
        <v>492960</v>
      </c>
      <c r="C856" t="s">
        <v>6961</v>
      </c>
      <c r="D856" t="s">
        <v>185</v>
      </c>
      <c r="E856" t="s">
        <v>6977</v>
      </c>
      <c r="F856">
        <v>23</v>
      </c>
      <c r="G856">
        <v>5</v>
      </c>
      <c r="H856" t="s">
        <v>8643</v>
      </c>
      <c r="J856" t="s">
        <v>2554</v>
      </c>
      <c r="M856" t="s">
        <v>8644</v>
      </c>
      <c r="N856">
        <v>2.7247480949999998</v>
      </c>
      <c r="O856">
        <v>7.0822175119999997</v>
      </c>
      <c r="P856">
        <v>0.61298291999999999</v>
      </c>
      <c r="Q856">
        <v>0.48262032500000002</v>
      </c>
      <c r="S856" s="13">
        <v>-1.1895601790000001</v>
      </c>
      <c r="T856">
        <v>0.72708694900000004</v>
      </c>
      <c r="U856">
        <v>-0.119273115</v>
      </c>
    </row>
    <row r="857" spans="1:21" x14ac:dyDescent="0.2">
      <c r="A857" t="s">
        <v>622</v>
      </c>
      <c r="B857">
        <v>671360</v>
      </c>
      <c r="C857" t="s">
        <v>6931</v>
      </c>
      <c r="D857" t="s">
        <v>622</v>
      </c>
      <c r="E857" t="s">
        <v>6928</v>
      </c>
      <c r="F857">
        <v>10</v>
      </c>
      <c r="G857">
        <v>16</v>
      </c>
      <c r="H857" t="s">
        <v>8645</v>
      </c>
      <c r="N857">
        <v>1.9323965059999999</v>
      </c>
      <c r="O857">
        <v>3.0528020530000002</v>
      </c>
      <c r="P857">
        <v>2.6493138999999999E-2</v>
      </c>
      <c r="Q857">
        <v>-0.38692188</v>
      </c>
      <c r="S857" s="13">
        <v>-1.1903554300000001</v>
      </c>
      <c r="T857">
        <v>0.72361188200000004</v>
      </c>
      <c r="U857">
        <v>-5.4934752000000003E-2</v>
      </c>
    </row>
    <row r="858" spans="1:21" x14ac:dyDescent="0.2">
      <c r="A858" t="s">
        <v>494</v>
      </c>
      <c r="B858">
        <v>664880</v>
      </c>
      <c r="C858" t="s">
        <v>6945</v>
      </c>
      <c r="D858" t="s">
        <v>495</v>
      </c>
      <c r="E858" t="s">
        <v>6939</v>
      </c>
      <c r="F858">
        <v>5</v>
      </c>
      <c r="G858">
        <v>2</v>
      </c>
      <c r="H858" t="s">
        <v>8646</v>
      </c>
      <c r="J858" t="s">
        <v>2908</v>
      </c>
      <c r="M858" t="s">
        <v>8647</v>
      </c>
      <c r="N858">
        <v>2.2220813349999999</v>
      </c>
      <c r="O858">
        <v>6.5440947090000003</v>
      </c>
      <c r="P858">
        <v>0.58228215500000002</v>
      </c>
      <c r="Q858">
        <v>0.35188233000000002</v>
      </c>
      <c r="S858" s="13">
        <v>-1.1911373540000001</v>
      </c>
      <c r="T858">
        <v>0.720195052</v>
      </c>
      <c r="U858">
        <v>-0.11254916700000001</v>
      </c>
    </row>
    <row r="859" spans="1:21" x14ac:dyDescent="0.2">
      <c r="A859" t="s">
        <v>846</v>
      </c>
      <c r="B859">
        <v>664800</v>
      </c>
      <c r="C859" t="s">
        <v>6945</v>
      </c>
      <c r="D859" t="s">
        <v>847</v>
      </c>
      <c r="E859" t="s">
        <v>6911</v>
      </c>
      <c r="F859">
        <v>9</v>
      </c>
      <c r="G859">
        <v>12</v>
      </c>
      <c r="H859" t="s">
        <v>8648</v>
      </c>
      <c r="J859" t="s">
        <v>3490</v>
      </c>
      <c r="M859" t="s">
        <v>8649</v>
      </c>
      <c r="N859">
        <v>2.2220813349999999</v>
      </c>
      <c r="O859">
        <v>6.5440947090000003</v>
      </c>
      <c r="P859">
        <v>0.58228215500000002</v>
      </c>
      <c r="Q859">
        <v>0.35188233000000002</v>
      </c>
      <c r="S859" s="13">
        <v>-1.1912128129999999</v>
      </c>
      <c r="T859">
        <v>0.71986531399999998</v>
      </c>
      <c r="U859">
        <v>-0.112597961</v>
      </c>
    </row>
    <row r="860" spans="1:21" x14ac:dyDescent="0.2">
      <c r="A860" t="s">
        <v>1675</v>
      </c>
      <c r="B860">
        <v>490840</v>
      </c>
      <c r="C860" t="s">
        <v>6961</v>
      </c>
      <c r="D860" t="s">
        <v>1675</v>
      </c>
      <c r="E860" t="s">
        <v>6915</v>
      </c>
      <c r="F860">
        <v>21</v>
      </c>
      <c r="G860">
        <v>13</v>
      </c>
      <c r="H860" t="s">
        <v>8650</v>
      </c>
      <c r="J860" t="s">
        <v>4048</v>
      </c>
      <c r="M860" t="s">
        <v>8651</v>
      </c>
      <c r="N860">
        <v>2.7247480949999998</v>
      </c>
      <c r="O860">
        <v>7.0822175119999997</v>
      </c>
      <c r="P860">
        <v>0.61298291999999999</v>
      </c>
      <c r="Q860">
        <v>0.48262032500000002</v>
      </c>
      <c r="S860" s="13">
        <v>-1.1912384030000001</v>
      </c>
      <c r="T860">
        <v>0.71975349200000005</v>
      </c>
      <c r="U860">
        <v>-0.120588239</v>
      </c>
    </row>
    <row r="861" spans="1:21" x14ac:dyDescent="0.2">
      <c r="A861" t="s">
        <v>610</v>
      </c>
      <c r="B861">
        <v>664760</v>
      </c>
      <c r="C861" t="s">
        <v>6945</v>
      </c>
      <c r="D861" t="s">
        <v>611</v>
      </c>
      <c r="E861" t="s">
        <v>6974</v>
      </c>
      <c r="F861">
        <v>9</v>
      </c>
      <c r="G861">
        <v>15</v>
      </c>
      <c r="H861" t="s">
        <v>8652</v>
      </c>
      <c r="J861" t="s">
        <v>2708</v>
      </c>
      <c r="M861" t="s">
        <v>8653</v>
      </c>
      <c r="N861">
        <v>2.2220813349999999</v>
      </c>
      <c r="O861">
        <v>6.5440947090000003</v>
      </c>
      <c r="P861">
        <v>0.58228215500000002</v>
      </c>
      <c r="Q861">
        <v>0.35188233000000002</v>
      </c>
      <c r="S861" s="13">
        <v>-1.1912505419999999</v>
      </c>
      <c r="T861">
        <v>0.71970044499999997</v>
      </c>
      <c r="U861">
        <v>-0.11262236</v>
      </c>
    </row>
    <row r="862" spans="1:21" x14ac:dyDescent="0.2">
      <c r="A862" t="s">
        <v>2028</v>
      </c>
      <c r="B862">
        <v>664520</v>
      </c>
      <c r="C862" t="s">
        <v>6945</v>
      </c>
      <c r="D862" t="s">
        <v>2028</v>
      </c>
      <c r="E862" t="s">
        <v>6924</v>
      </c>
      <c r="F862">
        <v>10</v>
      </c>
      <c r="G862">
        <v>6</v>
      </c>
      <c r="H862" t="s">
        <v>8654</v>
      </c>
      <c r="J862" t="s">
        <v>4517</v>
      </c>
      <c r="M862" t="s">
        <v>8655</v>
      </c>
      <c r="N862">
        <v>2.2220813349999999</v>
      </c>
      <c r="O862">
        <v>6.5440947090000003</v>
      </c>
      <c r="P862">
        <v>0.58228215500000002</v>
      </c>
      <c r="Q862">
        <v>0.35188233000000002</v>
      </c>
      <c r="S862" s="13">
        <v>-1.1914769190000001</v>
      </c>
      <c r="T862">
        <v>0.71871123100000001</v>
      </c>
      <c r="U862">
        <v>-0.112768782</v>
      </c>
    </row>
    <row r="863" spans="1:21" x14ac:dyDescent="0.2">
      <c r="A863" t="s">
        <v>2118</v>
      </c>
      <c r="B863">
        <v>739400</v>
      </c>
      <c r="C863" t="s">
        <v>6942</v>
      </c>
      <c r="D863" t="s">
        <v>2119</v>
      </c>
      <c r="E863" t="s">
        <v>6974</v>
      </c>
      <c r="F863">
        <v>4</v>
      </c>
      <c r="G863">
        <v>15</v>
      </c>
      <c r="H863" t="s">
        <v>8656</v>
      </c>
      <c r="J863" t="s">
        <v>2401</v>
      </c>
      <c r="M863" t="s">
        <v>8657</v>
      </c>
      <c r="N863">
        <v>2.0902262079999998</v>
      </c>
      <c r="O863">
        <v>4.2704203920000001</v>
      </c>
      <c r="P863">
        <v>0.23425843900000001</v>
      </c>
      <c r="Q863">
        <v>1.6181978999999999E-2</v>
      </c>
      <c r="S863" s="13">
        <v>-1.191527786</v>
      </c>
      <c r="T863">
        <v>0.71848895400000001</v>
      </c>
      <c r="U863">
        <v>-0.110274158</v>
      </c>
    </row>
    <row r="864" spans="1:21" x14ac:dyDescent="0.2">
      <c r="A864" t="s">
        <v>880</v>
      </c>
      <c r="B864">
        <v>664160</v>
      </c>
      <c r="C864" t="s">
        <v>6945</v>
      </c>
      <c r="D864" t="s">
        <v>880</v>
      </c>
      <c r="E864" t="s">
        <v>6939</v>
      </c>
      <c r="F864">
        <v>19</v>
      </c>
      <c r="G864">
        <v>2</v>
      </c>
      <c r="H864" t="s">
        <v>8658</v>
      </c>
      <c r="J864" t="s">
        <v>1607</v>
      </c>
      <c r="M864" t="s">
        <v>8659</v>
      </c>
      <c r="N864">
        <v>2.2220813349999999</v>
      </c>
      <c r="O864">
        <v>6.5440947090000003</v>
      </c>
      <c r="P864">
        <v>0.58228215500000002</v>
      </c>
      <c r="Q864">
        <v>0.35188233000000002</v>
      </c>
      <c r="S864" s="13">
        <v>-1.1918164840000001</v>
      </c>
      <c r="T864">
        <v>0.71722741000000001</v>
      </c>
      <c r="U864">
        <v>-0.112988508</v>
      </c>
    </row>
    <row r="865" spans="1:21" x14ac:dyDescent="0.2">
      <c r="A865" t="s">
        <v>1318</v>
      </c>
      <c r="B865">
        <v>795480</v>
      </c>
      <c r="C865" t="s">
        <v>6927</v>
      </c>
      <c r="D865" t="s">
        <v>1318</v>
      </c>
      <c r="E865" t="s">
        <v>6946</v>
      </c>
      <c r="F865">
        <v>20</v>
      </c>
      <c r="G865">
        <v>11</v>
      </c>
      <c r="H865" t="s">
        <v>8660</v>
      </c>
      <c r="J865" t="s">
        <v>8661</v>
      </c>
      <c r="M865" t="s">
        <v>8662</v>
      </c>
      <c r="N865">
        <v>1.982575982</v>
      </c>
      <c r="O865">
        <v>3.4571926419999999</v>
      </c>
      <c r="P865">
        <v>-0.114791479</v>
      </c>
      <c r="Q865">
        <v>1.868949E-3</v>
      </c>
      <c r="S865" s="13">
        <v>-1.1923236559999999</v>
      </c>
      <c r="T865">
        <v>0.71501118500000005</v>
      </c>
      <c r="U865">
        <v>-9.3762193999999993E-2</v>
      </c>
    </row>
    <row r="866" spans="1:21" x14ac:dyDescent="0.2">
      <c r="A866" t="s">
        <v>801</v>
      </c>
      <c r="B866">
        <v>795240</v>
      </c>
      <c r="C866" t="s">
        <v>6927</v>
      </c>
      <c r="D866" t="s">
        <v>801</v>
      </c>
      <c r="E866" t="s">
        <v>6911</v>
      </c>
      <c r="F866">
        <v>23</v>
      </c>
      <c r="G866">
        <v>12</v>
      </c>
      <c r="H866" t="s">
        <v>8663</v>
      </c>
      <c r="J866" t="s">
        <v>8664</v>
      </c>
      <c r="M866" t="s">
        <v>8665</v>
      </c>
      <c r="N866">
        <v>1.982575982</v>
      </c>
      <c r="O866">
        <v>3.4571926419999999</v>
      </c>
      <c r="P866">
        <v>-0.114791479</v>
      </c>
      <c r="Q866">
        <v>1.868949E-3</v>
      </c>
      <c r="S866" s="13">
        <v>-1.1925726860000001</v>
      </c>
      <c r="T866">
        <v>0.71392298200000004</v>
      </c>
      <c r="U866">
        <v>-9.3902393000000001E-2</v>
      </c>
    </row>
    <row r="867" spans="1:21" x14ac:dyDescent="0.2">
      <c r="A867" t="s">
        <v>956</v>
      </c>
      <c r="B867">
        <v>841160</v>
      </c>
      <c r="C867" t="s">
        <v>6938</v>
      </c>
      <c r="D867" t="s">
        <v>956</v>
      </c>
      <c r="E867" t="s">
        <v>6974</v>
      </c>
      <c r="F867">
        <v>15</v>
      </c>
      <c r="G867">
        <v>15</v>
      </c>
      <c r="H867" t="s">
        <v>8666</v>
      </c>
      <c r="J867" t="s">
        <v>5016</v>
      </c>
      <c r="M867" t="s">
        <v>8667</v>
      </c>
      <c r="N867">
        <v>2.092758737</v>
      </c>
      <c r="O867">
        <v>5.3323610669999999</v>
      </c>
      <c r="P867">
        <v>0.70420098600000003</v>
      </c>
      <c r="Q867">
        <v>0.41355372699999998</v>
      </c>
      <c r="S867" s="13">
        <v>-1.192717279</v>
      </c>
      <c r="T867">
        <v>0.71329114000000005</v>
      </c>
      <c r="U867">
        <v>-8.7096837999999996E-2</v>
      </c>
    </row>
    <row r="868" spans="1:21" x14ac:dyDescent="0.2">
      <c r="A868" t="s">
        <v>129</v>
      </c>
      <c r="B868">
        <v>860080</v>
      </c>
      <c r="C868" t="s">
        <v>6953</v>
      </c>
      <c r="D868" t="s">
        <v>129</v>
      </c>
      <c r="E868" t="s">
        <v>7006</v>
      </c>
      <c r="F868">
        <v>24</v>
      </c>
      <c r="G868">
        <v>3</v>
      </c>
      <c r="H868" t="s">
        <v>8668</v>
      </c>
      <c r="J868" t="s">
        <v>1652</v>
      </c>
      <c r="M868" t="s">
        <v>8669</v>
      </c>
      <c r="N868">
        <v>1.921480887</v>
      </c>
      <c r="O868">
        <v>3.0856645180000002</v>
      </c>
      <c r="P868">
        <v>0.44706724399999997</v>
      </c>
      <c r="Q868">
        <v>-0.354940863</v>
      </c>
      <c r="S868" s="13">
        <v>-1.1927698339999999</v>
      </c>
      <c r="T868">
        <v>0.71306148700000005</v>
      </c>
      <c r="U868">
        <v>-4.8835456999999999E-2</v>
      </c>
    </row>
    <row r="869" spans="1:21" x14ac:dyDescent="0.2">
      <c r="A869" t="s">
        <v>1082</v>
      </c>
      <c r="B869">
        <v>488720</v>
      </c>
      <c r="C869" t="s">
        <v>6961</v>
      </c>
      <c r="D869" t="s">
        <v>1082</v>
      </c>
      <c r="E869" t="s">
        <v>7115</v>
      </c>
      <c r="F869">
        <v>21</v>
      </c>
      <c r="G869">
        <v>10</v>
      </c>
      <c r="H869" t="s">
        <v>8670</v>
      </c>
      <c r="J869" t="s">
        <v>3412</v>
      </c>
      <c r="M869" t="s">
        <v>8671</v>
      </c>
      <c r="N869">
        <v>2.7247480949999998</v>
      </c>
      <c r="O869">
        <v>7.0822175119999997</v>
      </c>
      <c r="P869">
        <v>0.61298291999999999</v>
      </c>
      <c r="Q869">
        <v>0.48262032500000002</v>
      </c>
      <c r="S869" s="13">
        <v>-1.192916627</v>
      </c>
      <c r="T869">
        <v>0.71242003600000003</v>
      </c>
      <c r="U869">
        <v>-0.12190735799999999</v>
      </c>
    </row>
    <row r="870" spans="1:21" x14ac:dyDescent="0.2">
      <c r="A870" t="s">
        <v>1263</v>
      </c>
      <c r="B870">
        <v>761880</v>
      </c>
      <c r="C870" t="s">
        <v>6910</v>
      </c>
      <c r="D870" t="s">
        <v>1264</v>
      </c>
      <c r="E870" t="s">
        <v>6911</v>
      </c>
      <c r="F870">
        <v>7</v>
      </c>
      <c r="G870">
        <v>12</v>
      </c>
      <c r="H870" t="s">
        <v>8672</v>
      </c>
      <c r="J870" t="s">
        <v>4380</v>
      </c>
      <c r="M870" t="s">
        <v>8673</v>
      </c>
      <c r="N870">
        <v>1.9874741039999999</v>
      </c>
      <c r="O870">
        <v>3.7453511220000002</v>
      </c>
      <c r="P870">
        <v>0.451009722</v>
      </c>
      <c r="Q870">
        <v>-0.102386592</v>
      </c>
      <c r="S870" s="13">
        <v>-1.1929830219999999</v>
      </c>
      <c r="T870">
        <v>0.71212990399999998</v>
      </c>
      <c r="U870">
        <v>-4.8382759999999997E-2</v>
      </c>
    </row>
    <row r="871" spans="1:21" x14ac:dyDescent="0.2">
      <c r="A871" t="s">
        <v>1939</v>
      </c>
      <c r="B871">
        <v>840720</v>
      </c>
      <c r="C871" t="s">
        <v>6938</v>
      </c>
      <c r="D871" t="s">
        <v>1939</v>
      </c>
      <c r="E871" t="s">
        <v>6928</v>
      </c>
      <c r="F871">
        <v>19</v>
      </c>
      <c r="G871">
        <v>16</v>
      </c>
      <c r="H871" t="s">
        <v>8674</v>
      </c>
      <c r="J871" t="s">
        <v>2727</v>
      </c>
      <c r="M871" t="s">
        <v>8675</v>
      </c>
      <c r="N871">
        <v>2.092758737</v>
      </c>
      <c r="O871">
        <v>5.3323610669999999</v>
      </c>
      <c r="P871">
        <v>0.70420098600000003</v>
      </c>
      <c r="Q871">
        <v>0.41355372699999998</v>
      </c>
      <c r="S871" s="13">
        <v>-1.193095156</v>
      </c>
      <c r="T871">
        <v>0.71163990399999999</v>
      </c>
      <c r="U871">
        <v>-8.7349987000000004E-2</v>
      </c>
    </row>
    <row r="872" spans="1:21" x14ac:dyDescent="0.2">
      <c r="A872" t="s">
        <v>1222</v>
      </c>
      <c r="B872">
        <v>662800</v>
      </c>
      <c r="C872" t="s">
        <v>6945</v>
      </c>
      <c r="D872" t="s">
        <v>1223</v>
      </c>
      <c r="E872" t="s">
        <v>6907</v>
      </c>
      <c r="F872">
        <v>3</v>
      </c>
      <c r="G872">
        <v>4</v>
      </c>
      <c r="H872" t="s">
        <v>8676</v>
      </c>
      <c r="J872" t="s">
        <v>1707</v>
      </c>
      <c r="M872" t="s">
        <v>8677</v>
      </c>
      <c r="N872">
        <v>2.2220813349999999</v>
      </c>
      <c r="O872">
        <v>6.5440947090000003</v>
      </c>
      <c r="P872">
        <v>0.58228215500000002</v>
      </c>
      <c r="Q872">
        <v>0.35188233000000002</v>
      </c>
      <c r="S872" s="13">
        <v>-1.193099285</v>
      </c>
      <c r="T872">
        <v>0.71162186199999999</v>
      </c>
      <c r="U872">
        <v>-0.113819588</v>
      </c>
    </row>
    <row r="873" spans="1:21" x14ac:dyDescent="0.2">
      <c r="A873" t="s">
        <v>1010</v>
      </c>
      <c r="B873">
        <v>794560</v>
      </c>
      <c r="C873" t="s">
        <v>6927</v>
      </c>
      <c r="D873" t="s">
        <v>1010</v>
      </c>
      <c r="E873" t="s">
        <v>6970</v>
      </c>
      <c r="F873">
        <v>19</v>
      </c>
      <c r="G873">
        <v>14</v>
      </c>
      <c r="H873" t="s">
        <v>8678</v>
      </c>
      <c r="J873" t="s">
        <v>8679</v>
      </c>
      <c r="M873" t="s">
        <v>8680</v>
      </c>
      <c r="N873">
        <v>1.982575982</v>
      </c>
      <c r="O873">
        <v>3.4571926419999999</v>
      </c>
      <c r="P873">
        <v>-0.114791479</v>
      </c>
      <c r="Q873">
        <v>1.868949E-3</v>
      </c>
      <c r="S873" s="13">
        <v>-1.19327827</v>
      </c>
      <c r="T873">
        <v>0.71083973899999997</v>
      </c>
      <c r="U873">
        <v>-9.4299867999999995E-2</v>
      </c>
    </row>
    <row r="874" spans="1:21" x14ac:dyDescent="0.2">
      <c r="A874" t="s">
        <v>1971</v>
      </c>
      <c r="B874">
        <v>662160</v>
      </c>
      <c r="C874" t="s">
        <v>6945</v>
      </c>
      <c r="D874" t="s">
        <v>1971</v>
      </c>
      <c r="E874" t="s">
        <v>7115</v>
      </c>
      <c r="F874">
        <v>10</v>
      </c>
      <c r="G874">
        <v>10</v>
      </c>
      <c r="H874" t="s">
        <v>8681</v>
      </c>
      <c r="J874" t="s">
        <v>4465</v>
      </c>
      <c r="M874" t="s">
        <v>8682</v>
      </c>
      <c r="N874">
        <v>2.2220813349999999</v>
      </c>
      <c r="O874">
        <v>6.5440947090000003</v>
      </c>
      <c r="P874">
        <v>0.58228215500000002</v>
      </c>
      <c r="Q874">
        <v>0.35188233000000002</v>
      </c>
      <c r="S874" s="13">
        <v>-1.1937029560000001</v>
      </c>
      <c r="T874">
        <v>0.70898395800000003</v>
      </c>
      <c r="U874">
        <v>-0.11421123599999999</v>
      </c>
    </row>
    <row r="875" spans="1:21" x14ac:dyDescent="0.2">
      <c r="A875" t="s">
        <v>656</v>
      </c>
      <c r="B875">
        <v>839680</v>
      </c>
      <c r="C875" t="s">
        <v>6938</v>
      </c>
      <c r="D875" t="s">
        <v>656</v>
      </c>
      <c r="E875" t="s">
        <v>6956</v>
      </c>
      <c r="F875">
        <v>24</v>
      </c>
      <c r="G875">
        <v>7</v>
      </c>
      <c r="H875" t="s">
        <v>8683</v>
      </c>
      <c r="J875" t="s">
        <v>1088</v>
      </c>
      <c r="M875" t="s">
        <v>8684</v>
      </c>
      <c r="N875">
        <v>2.092758737</v>
      </c>
      <c r="O875">
        <v>5.3323610669999999</v>
      </c>
      <c r="P875">
        <v>0.70420098600000003</v>
      </c>
      <c r="Q875">
        <v>0.41355372699999998</v>
      </c>
      <c r="S875" s="13">
        <v>-1.1939883200000001</v>
      </c>
      <c r="T875">
        <v>0.70773698200000001</v>
      </c>
      <c r="U875">
        <v>-8.7948926999999996E-2</v>
      </c>
    </row>
    <row r="876" spans="1:21" x14ac:dyDescent="0.2">
      <c r="A876" t="s">
        <v>2167</v>
      </c>
      <c r="B876">
        <v>661840</v>
      </c>
      <c r="C876" t="s">
        <v>6945</v>
      </c>
      <c r="D876" t="s">
        <v>2168</v>
      </c>
      <c r="E876" t="s">
        <v>6956</v>
      </c>
      <c r="F876">
        <v>8</v>
      </c>
      <c r="G876">
        <v>7</v>
      </c>
      <c r="H876" t="s">
        <v>8685</v>
      </c>
      <c r="J876" t="s">
        <v>3355</v>
      </c>
      <c r="M876" t="s">
        <v>8686</v>
      </c>
      <c r="N876">
        <v>2.2220813349999999</v>
      </c>
      <c r="O876">
        <v>6.5440947090000003</v>
      </c>
      <c r="P876">
        <v>0.58228215500000002</v>
      </c>
      <c r="Q876">
        <v>0.35188233000000002</v>
      </c>
      <c r="S876" s="13">
        <v>-1.1940047920000001</v>
      </c>
      <c r="T876">
        <v>0.70766500600000004</v>
      </c>
      <c r="U876">
        <v>-0.114407193</v>
      </c>
    </row>
    <row r="877" spans="1:21" x14ac:dyDescent="0.2">
      <c r="A877" t="s">
        <v>1215</v>
      </c>
      <c r="B877">
        <v>668480</v>
      </c>
      <c r="C877" t="s">
        <v>6931</v>
      </c>
      <c r="D877" t="s">
        <v>1215</v>
      </c>
      <c r="E877" t="s">
        <v>6970</v>
      </c>
      <c r="F877">
        <v>18</v>
      </c>
      <c r="G877">
        <v>14</v>
      </c>
      <c r="H877" t="s">
        <v>8687</v>
      </c>
      <c r="N877">
        <v>1.9323965059999999</v>
      </c>
      <c r="O877">
        <v>3.0528020530000002</v>
      </c>
      <c r="P877">
        <v>2.6493138999999999E-2</v>
      </c>
      <c r="Q877">
        <v>-0.38692188</v>
      </c>
      <c r="S877" s="13">
        <v>-1.194139675</v>
      </c>
      <c r="T877">
        <v>0.70707559399999997</v>
      </c>
      <c r="U877">
        <v>-5.6475734E-2</v>
      </c>
    </row>
    <row r="878" spans="1:21" x14ac:dyDescent="0.2">
      <c r="A878" t="s">
        <v>956</v>
      </c>
      <c r="B878">
        <v>487120</v>
      </c>
      <c r="C878" t="s">
        <v>6961</v>
      </c>
      <c r="D878" t="s">
        <v>956</v>
      </c>
      <c r="E878" t="s">
        <v>6974</v>
      </c>
      <c r="F878">
        <v>15</v>
      </c>
      <c r="G878">
        <v>15</v>
      </c>
      <c r="H878" t="s">
        <v>8688</v>
      </c>
      <c r="J878" t="s">
        <v>5445</v>
      </c>
      <c r="M878" t="s">
        <v>8689</v>
      </c>
      <c r="N878">
        <v>2.7247480949999998</v>
      </c>
      <c r="O878">
        <v>7.0822175119999997</v>
      </c>
      <c r="P878">
        <v>0.61298291999999999</v>
      </c>
      <c r="Q878">
        <v>0.48262032500000002</v>
      </c>
      <c r="S878" s="13">
        <v>-1.1941832109999999</v>
      </c>
      <c r="T878">
        <v>0.70688535200000002</v>
      </c>
      <c r="U878">
        <v>-0.122905578</v>
      </c>
    </row>
    <row r="879" spans="1:21" x14ac:dyDescent="0.2">
      <c r="A879" t="s">
        <v>645</v>
      </c>
      <c r="B879">
        <v>668200</v>
      </c>
      <c r="C879" t="s">
        <v>6931</v>
      </c>
      <c r="D879" t="s">
        <v>645</v>
      </c>
      <c r="E879" t="s">
        <v>6974</v>
      </c>
      <c r="F879">
        <v>12</v>
      </c>
      <c r="G879">
        <v>15</v>
      </c>
      <c r="H879" t="s">
        <v>8690</v>
      </c>
      <c r="N879">
        <v>1.9323965059999999</v>
      </c>
      <c r="O879">
        <v>3.0528020530000002</v>
      </c>
      <c r="P879">
        <v>2.6493138999999999E-2</v>
      </c>
      <c r="Q879">
        <v>-0.38692188</v>
      </c>
      <c r="S879" s="13">
        <v>-1.194507588</v>
      </c>
      <c r="T879">
        <v>0.70546790000000004</v>
      </c>
      <c r="U879">
        <v>-5.6625844000000002E-2</v>
      </c>
    </row>
    <row r="880" spans="1:21" x14ac:dyDescent="0.2">
      <c r="A880" t="s">
        <v>2960</v>
      </c>
      <c r="B880">
        <v>668120</v>
      </c>
      <c r="C880" t="s">
        <v>6931</v>
      </c>
      <c r="D880" t="s">
        <v>2961</v>
      </c>
      <c r="E880" t="s">
        <v>6939</v>
      </c>
      <c r="F880">
        <v>7</v>
      </c>
      <c r="G880">
        <v>2</v>
      </c>
      <c r="H880" t="s">
        <v>8691</v>
      </c>
      <c r="N880">
        <v>1.9323965059999999</v>
      </c>
      <c r="O880">
        <v>3.0528020530000002</v>
      </c>
      <c r="P880">
        <v>2.6493138999999999E-2</v>
      </c>
      <c r="Q880">
        <v>-0.38692188</v>
      </c>
      <c r="S880" s="13">
        <v>-1.194612706</v>
      </c>
      <c r="T880">
        <v>0.70500855799999995</v>
      </c>
      <c r="U880">
        <v>-5.6668742000000001E-2</v>
      </c>
    </row>
    <row r="881" spans="1:21" x14ac:dyDescent="0.2">
      <c r="A881" t="s">
        <v>812</v>
      </c>
      <c r="B881">
        <v>668120</v>
      </c>
      <c r="C881" t="s">
        <v>6931</v>
      </c>
      <c r="D881" t="s">
        <v>813</v>
      </c>
      <c r="E881" t="s">
        <v>7115</v>
      </c>
      <c r="F881">
        <v>7</v>
      </c>
      <c r="G881">
        <v>10</v>
      </c>
      <c r="H881" t="s">
        <v>8692</v>
      </c>
      <c r="N881">
        <v>1.9323965059999999</v>
      </c>
      <c r="O881">
        <v>3.0528020530000002</v>
      </c>
      <c r="P881">
        <v>2.6493138999999999E-2</v>
      </c>
      <c r="Q881">
        <v>-0.38692188</v>
      </c>
      <c r="S881" s="13">
        <v>-1.194612706</v>
      </c>
      <c r="T881">
        <v>0.70500855799999995</v>
      </c>
      <c r="U881">
        <v>-5.6668742000000001E-2</v>
      </c>
    </row>
    <row r="882" spans="1:21" x14ac:dyDescent="0.2">
      <c r="A882" t="s">
        <v>153</v>
      </c>
      <c r="B882">
        <v>661160</v>
      </c>
      <c r="C882" t="s">
        <v>6945</v>
      </c>
      <c r="D882" t="s">
        <v>153</v>
      </c>
      <c r="E882" t="s">
        <v>6928</v>
      </c>
      <c r="F882">
        <v>14</v>
      </c>
      <c r="G882">
        <v>16</v>
      </c>
      <c r="H882" t="s">
        <v>8693</v>
      </c>
      <c r="J882" t="s">
        <v>4131</v>
      </c>
      <c r="M882" t="s">
        <v>8694</v>
      </c>
      <c r="N882">
        <v>2.2220813349999999</v>
      </c>
      <c r="O882">
        <v>6.5440947090000003</v>
      </c>
      <c r="P882">
        <v>0.58228215500000002</v>
      </c>
      <c r="Q882">
        <v>0.35188233000000002</v>
      </c>
      <c r="S882" s="13">
        <v>-1.194646192</v>
      </c>
      <c r="T882">
        <v>0.70486223199999998</v>
      </c>
      <c r="U882">
        <v>-0.114823894</v>
      </c>
    </row>
    <row r="883" spans="1:21" x14ac:dyDescent="0.2">
      <c r="A883" t="s">
        <v>1073</v>
      </c>
      <c r="B883">
        <v>486400</v>
      </c>
      <c r="C883" t="s">
        <v>6961</v>
      </c>
      <c r="D883" t="s">
        <v>1073</v>
      </c>
      <c r="E883" t="s">
        <v>7115</v>
      </c>
      <c r="F883">
        <v>18</v>
      </c>
      <c r="G883">
        <v>10</v>
      </c>
      <c r="H883" t="s">
        <v>8695</v>
      </c>
      <c r="J883" t="s">
        <v>3972</v>
      </c>
      <c r="M883" t="s">
        <v>8696</v>
      </c>
      <c r="N883">
        <v>2.7247480949999998</v>
      </c>
      <c r="O883">
        <v>7.0822175119999997</v>
      </c>
      <c r="P883">
        <v>0.61298291999999999</v>
      </c>
      <c r="Q883">
        <v>0.48262032500000002</v>
      </c>
      <c r="S883" s="13">
        <v>-1.1947531739999999</v>
      </c>
      <c r="T883">
        <v>0.70439474400000002</v>
      </c>
      <c r="U883">
        <v>-0.12335552700000001</v>
      </c>
    </row>
    <row r="884" spans="1:21" x14ac:dyDescent="0.2">
      <c r="A884" t="s">
        <v>1593</v>
      </c>
      <c r="B884">
        <v>759800</v>
      </c>
      <c r="C884" t="s">
        <v>6910</v>
      </c>
      <c r="D884" t="s">
        <v>1593</v>
      </c>
      <c r="E884" t="s">
        <v>6939</v>
      </c>
      <c r="F884">
        <v>14</v>
      </c>
      <c r="G884">
        <v>2</v>
      </c>
      <c r="H884" t="s">
        <v>8697</v>
      </c>
      <c r="J884" t="s">
        <v>3460</v>
      </c>
      <c r="M884" t="s">
        <v>8698</v>
      </c>
      <c r="N884">
        <v>1.9874741039999999</v>
      </c>
      <c r="O884">
        <v>3.7453511220000002</v>
      </c>
      <c r="P884">
        <v>0.451009722</v>
      </c>
      <c r="Q884">
        <v>-0.102386592</v>
      </c>
      <c r="S884" s="13">
        <v>-1.195220881</v>
      </c>
      <c r="T884">
        <v>0.70235097300000005</v>
      </c>
      <c r="U884">
        <v>-4.9478465999999999E-2</v>
      </c>
    </row>
    <row r="885" spans="1:21" x14ac:dyDescent="0.2">
      <c r="A885" t="s">
        <v>139</v>
      </c>
      <c r="B885">
        <v>759760</v>
      </c>
      <c r="C885" t="s">
        <v>6910</v>
      </c>
      <c r="D885" t="s">
        <v>139</v>
      </c>
      <c r="E885" t="s">
        <v>6939</v>
      </c>
      <c r="F885">
        <v>17</v>
      </c>
      <c r="G885">
        <v>2</v>
      </c>
      <c r="H885" t="s">
        <v>8699</v>
      </c>
      <c r="J885" t="s">
        <v>2416</v>
      </c>
      <c r="M885" t="s">
        <v>8700</v>
      </c>
      <c r="N885">
        <v>1.9874741039999999</v>
      </c>
      <c r="O885">
        <v>3.7453511220000002</v>
      </c>
      <c r="P885">
        <v>0.451009722</v>
      </c>
      <c r="Q885">
        <v>-0.102386592</v>
      </c>
      <c r="S885" s="13">
        <v>-1.1952639169999999</v>
      </c>
      <c r="T885">
        <v>0.702162917</v>
      </c>
      <c r="U885">
        <v>-4.9499564000000003E-2</v>
      </c>
    </row>
    <row r="886" spans="1:21" x14ac:dyDescent="0.2">
      <c r="A886" t="s">
        <v>214</v>
      </c>
      <c r="B886">
        <v>485640</v>
      </c>
      <c r="C886" t="s">
        <v>6961</v>
      </c>
      <c r="D886" t="s">
        <v>215</v>
      </c>
      <c r="E886" t="s">
        <v>6939</v>
      </c>
      <c r="F886">
        <v>9</v>
      </c>
      <c r="G886">
        <v>2</v>
      </c>
      <c r="H886" t="s">
        <v>8701</v>
      </c>
      <c r="J886" t="s">
        <v>5833</v>
      </c>
      <c r="M886" t="s">
        <v>8702</v>
      </c>
      <c r="N886">
        <v>2.7247480949999998</v>
      </c>
      <c r="O886">
        <v>7.0822175119999997</v>
      </c>
      <c r="P886">
        <v>0.61298291999999999</v>
      </c>
      <c r="Q886">
        <v>0.48262032500000002</v>
      </c>
      <c r="S886" s="13">
        <v>-1.195354802</v>
      </c>
      <c r="T886">
        <v>0.70176576899999998</v>
      </c>
      <c r="U886">
        <v>-0.12383097999999999</v>
      </c>
    </row>
    <row r="887" spans="1:21" x14ac:dyDescent="0.2">
      <c r="A887" t="s">
        <v>2108</v>
      </c>
      <c r="B887">
        <v>485040</v>
      </c>
      <c r="C887" t="s">
        <v>6961</v>
      </c>
      <c r="D887" t="s">
        <v>2108</v>
      </c>
      <c r="E887" t="s">
        <v>6956</v>
      </c>
      <c r="F887">
        <v>17</v>
      </c>
      <c r="G887">
        <v>7</v>
      </c>
      <c r="H887" t="s">
        <v>8703</v>
      </c>
      <c r="J887" t="s">
        <v>4109</v>
      </c>
      <c r="M887" t="s">
        <v>8704</v>
      </c>
      <c r="N887">
        <v>2.7247480949999998</v>
      </c>
      <c r="O887">
        <v>7.0822175119999997</v>
      </c>
      <c r="P887">
        <v>0.61298291999999999</v>
      </c>
      <c r="Q887">
        <v>0.48262032500000002</v>
      </c>
      <c r="S887" s="13">
        <v>-1.1958297710000001</v>
      </c>
      <c r="T887">
        <v>0.69969026300000003</v>
      </c>
      <c r="U887">
        <v>-0.124206705</v>
      </c>
    </row>
    <row r="888" spans="1:21" x14ac:dyDescent="0.2">
      <c r="A888" t="s">
        <v>1963</v>
      </c>
      <c r="B888">
        <v>792080</v>
      </c>
      <c r="C888" t="s">
        <v>6927</v>
      </c>
      <c r="D888" t="s">
        <v>1963</v>
      </c>
      <c r="E888" t="s">
        <v>6939</v>
      </c>
      <c r="F888">
        <v>12</v>
      </c>
      <c r="G888">
        <v>2</v>
      </c>
      <c r="H888" t="s">
        <v>8705</v>
      </c>
      <c r="J888" t="s">
        <v>8706</v>
      </c>
      <c r="M888" t="s">
        <v>8707</v>
      </c>
      <c r="N888">
        <v>1.982575982</v>
      </c>
      <c r="O888">
        <v>3.4571926419999999</v>
      </c>
      <c r="P888">
        <v>-0.114791479</v>
      </c>
      <c r="Q888">
        <v>1.868949E-3</v>
      </c>
      <c r="S888" s="13">
        <v>-1.1958515780000001</v>
      </c>
      <c r="T888">
        <v>0.69959497000000004</v>
      </c>
      <c r="U888">
        <v>-9.5752575000000006E-2</v>
      </c>
    </row>
    <row r="889" spans="1:21" x14ac:dyDescent="0.2">
      <c r="A889" t="s">
        <v>1095</v>
      </c>
      <c r="B889">
        <v>484480</v>
      </c>
      <c r="C889" t="s">
        <v>6961</v>
      </c>
      <c r="D889" t="s">
        <v>1096</v>
      </c>
      <c r="E889" t="s">
        <v>6977</v>
      </c>
      <c r="F889">
        <v>4</v>
      </c>
      <c r="G889">
        <v>5</v>
      </c>
      <c r="H889" t="s">
        <v>8708</v>
      </c>
      <c r="J889" t="s">
        <v>4018</v>
      </c>
      <c r="M889" t="s">
        <v>8709</v>
      </c>
      <c r="N889">
        <v>2.7247480949999998</v>
      </c>
      <c r="O889">
        <v>7.0822175119999997</v>
      </c>
      <c r="P889">
        <v>0.61298291999999999</v>
      </c>
      <c r="Q889">
        <v>0.48262032500000002</v>
      </c>
      <c r="S889" s="13">
        <v>-1.196273076</v>
      </c>
      <c r="T889">
        <v>0.69775312300000003</v>
      </c>
      <c r="U889">
        <v>-0.12455767500000001</v>
      </c>
    </row>
    <row r="890" spans="1:21" x14ac:dyDescent="0.2">
      <c r="A890" t="s">
        <v>929</v>
      </c>
      <c r="B890">
        <v>836680</v>
      </c>
      <c r="C890" t="s">
        <v>6938</v>
      </c>
      <c r="D890" t="s">
        <v>929</v>
      </c>
      <c r="E890" t="s">
        <v>6956</v>
      </c>
      <c r="F890">
        <v>19</v>
      </c>
      <c r="G890">
        <v>7</v>
      </c>
      <c r="H890" t="s">
        <v>8710</v>
      </c>
      <c r="J890" t="s">
        <v>931</v>
      </c>
      <c r="M890" t="s">
        <v>8711</v>
      </c>
      <c r="N890">
        <v>2.092758737</v>
      </c>
      <c r="O890">
        <v>5.3323610669999999</v>
      </c>
      <c r="P890">
        <v>0.70420098600000003</v>
      </c>
      <c r="Q890">
        <v>0.41355372699999998</v>
      </c>
      <c r="S890" s="13">
        <v>-1.196564754</v>
      </c>
      <c r="T890">
        <v>0.69647855400000003</v>
      </c>
      <c r="U890">
        <v>-8.9681280000000002E-2</v>
      </c>
    </row>
    <row r="891" spans="1:21" x14ac:dyDescent="0.2">
      <c r="A891" t="s">
        <v>947</v>
      </c>
      <c r="B891">
        <v>734000</v>
      </c>
      <c r="C891" t="s">
        <v>6942</v>
      </c>
      <c r="D891" t="s">
        <v>948</v>
      </c>
      <c r="E891" t="s">
        <v>6921</v>
      </c>
      <c r="F891">
        <v>7</v>
      </c>
      <c r="G891">
        <v>8</v>
      </c>
      <c r="H891" t="s">
        <v>8712</v>
      </c>
      <c r="J891" t="s">
        <v>2430</v>
      </c>
      <c r="M891" t="s">
        <v>8713</v>
      </c>
      <c r="N891">
        <v>2.0902262079999998</v>
      </c>
      <c r="O891">
        <v>4.2704203920000001</v>
      </c>
      <c r="P891">
        <v>0.23425843900000001</v>
      </c>
      <c r="Q891">
        <v>1.6181978999999999E-2</v>
      </c>
      <c r="S891" s="13">
        <v>-1.1968278269999999</v>
      </c>
      <c r="T891">
        <v>0.69532898600000004</v>
      </c>
      <c r="U891">
        <v>-0.113562761</v>
      </c>
    </row>
    <row r="892" spans="1:21" x14ac:dyDescent="0.2">
      <c r="A892" t="s">
        <v>106</v>
      </c>
      <c r="B892">
        <v>658800</v>
      </c>
      <c r="C892" t="s">
        <v>6945</v>
      </c>
      <c r="D892" t="s">
        <v>107</v>
      </c>
      <c r="E892" t="s">
        <v>6907</v>
      </c>
      <c r="F892">
        <v>2</v>
      </c>
      <c r="G892">
        <v>4</v>
      </c>
      <c r="H892" t="s">
        <v>8714</v>
      </c>
      <c r="J892" t="s">
        <v>4325</v>
      </c>
      <c r="M892" t="s">
        <v>8715</v>
      </c>
      <c r="N892">
        <v>2.2220813349999999</v>
      </c>
      <c r="O892">
        <v>6.5440947090000003</v>
      </c>
      <c r="P892">
        <v>0.58228215500000002</v>
      </c>
      <c r="Q892">
        <v>0.35188233000000002</v>
      </c>
      <c r="S892" s="13">
        <v>-1.196872229</v>
      </c>
      <c r="T892">
        <v>0.695134959</v>
      </c>
      <c r="U892">
        <v>-0.11627320100000001</v>
      </c>
    </row>
    <row r="893" spans="1:21" x14ac:dyDescent="0.2">
      <c r="A893" t="s">
        <v>951</v>
      </c>
      <c r="B893">
        <v>758120</v>
      </c>
      <c r="C893" t="s">
        <v>6910</v>
      </c>
      <c r="D893" t="s">
        <v>951</v>
      </c>
      <c r="E893" t="s">
        <v>6970</v>
      </c>
      <c r="F893">
        <v>16</v>
      </c>
      <c r="G893">
        <v>14</v>
      </c>
      <c r="H893" t="s">
        <v>8716</v>
      </c>
      <c r="J893" t="s">
        <v>5223</v>
      </c>
      <c r="M893" t="s">
        <v>8717</v>
      </c>
      <c r="N893">
        <v>1.9874741039999999</v>
      </c>
      <c r="O893">
        <v>3.7453511220000002</v>
      </c>
      <c r="P893">
        <v>0.451009722</v>
      </c>
      <c r="Q893">
        <v>-0.102386592</v>
      </c>
      <c r="S893" s="13">
        <v>-1.1970283820000001</v>
      </c>
      <c r="T893">
        <v>0.694452607</v>
      </c>
      <c r="U893">
        <v>-5.0365482000000003E-2</v>
      </c>
    </row>
    <row r="894" spans="1:21" x14ac:dyDescent="0.2">
      <c r="A894" t="s">
        <v>972</v>
      </c>
      <c r="B894">
        <v>733720</v>
      </c>
      <c r="C894" t="s">
        <v>6942</v>
      </c>
      <c r="D894" t="s">
        <v>972</v>
      </c>
      <c r="E894" t="s">
        <v>7085</v>
      </c>
      <c r="F894">
        <v>17</v>
      </c>
      <c r="G894">
        <v>9</v>
      </c>
      <c r="H894" t="s">
        <v>8718</v>
      </c>
      <c r="J894" t="s">
        <v>1382</v>
      </c>
      <c r="M894" t="s">
        <v>8719</v>
      </c>
      <c r="N894">
        <v>2.0902262079999998</v>
      </c>
      <c r="O894">
        <v>4.2704203920000001</v>
      </c>
      <c r="P894">
        <v>0.23425843900000001</v>
      </c>
      <c r="Q894">
        <v>1.6181978999999999E-2</v>
      </c>
      <c r="S894" s="13">
        <v>-1.1971026440000001</v>
      </c>
      <c r="T894">
        <v>0.69412809799999997</v>
      </c>
      <c r="U894">
        <v>-0.11373396199999999</v>
      </c>
    </row>
    <row r="895" spans="1:21" x14ac:dyDescent="0.2">
      <c r="A895" t="s">
        <v>2073</v>
      </c>
      <c r="B895">
        <v>666120</v>
      </c>
      <c r="C895" t="s">
        <v>6931</v>
      </c>
      <c r="D895" t="s">
        <v>2074</v>
      </c>
      <c r="E895" t="s">
        <v>7085</v>
      </c>
      <c r="F895">
        <v>2</v>
      </c>
      <c r="G895">
        <v>9</v>
      </c>
      <c r="H895" t="s">
        <v>8720</v>
      </c>
      <c r="J895" t="s">
        <v>6633</v>
      </c>
      <c r="M895" t="s">
        <v>8721</v>
      </c>
      <c r="N895">
        <v>1.9323965059999999</v>
      </c>
      <c r="O895">
        <v>3.0528020530000002</v>
      </c>
      <c r="P895">
        <v>2.6493138999999999E-2</v>
      </c>
      <c r="Q895">
        <v>-0.38692188</v>
      </c>
      <c r="S895" s="13">
        <v>-1.197240654</v>
      </c>
      <c r="T895">
        <v>0.69352502500000002</v>
      </c>
      <c r="U895">
        <v>-5.7742572999999998E-2</v>
      </c>
    </row>
    <row r="896" spans="1:21" x14ac:dyDescent="0.2">
      <c r="A896" t="s">
        <v>1857</v>
      </c>
      <c r="B896">
        <v>733560</v>
      </c>
      <c r="C896" t="s">
        <v>6942</v>
      </c>
      <c r="D896" t="s">
        <v>1858</v>
      </c>
      <c r="E896" t="s">
        <v>6974</v>
      </c>
      <c r="F896">
        <v>6</v>
      </c>
      <c r="G896">
        <v>15</v>
      </c>
      <c r="H896" t="s">
        <v>8722</v>
      </c>
      <c r="J896" t="s">
        <v>2469</v>
      </c>
      <c r="M896" t="s">
        <v>8723</v>
      </c>
      <c r="N896">
        <v>2.0902262079999998</v>
      </c>
      <c r="O896">
        <v>4.2704203920000001</v>
      </c>
      <c r="P896">
        <v>0.23425843900000001</v>
      </c>
      <c r="Q896">
        <v>1.6181978999999999E-2</v>
      </c>
      <c r="S896" s="13">
        <v>-1.1972596820000001</v>
      </c>
      <c r="T896">
        <v>0.69344187700000004</v>
      </c>
      <c r="U896">
        <v>-0.113831822</v>
      </c>
    </row>
    <row r="897" spans="1:21" x14ac:dyDescent="0.2">
      <c r="A897" t="s">
        <v>470</v>
      </c>
      <c r="B897">
        <v>790680</v>
      </c>
      <c r="C897" t="s">
        <v>6927</v>
      </c>
      <c r="D897" t="s">
        <v>470</v>
      </c>
      <c r="E897" t="s">
        <v>6970</v>
      </c>
      <c r="F897">
        <v>22</v>
      </c>
      <c r="G897">
        <v>14</v>
      </c>
      <c r="H897" t="s">
        <v>8724</v>
      </c>
      <c r="J897" t="s">
        <v>8725</v>
      </c>
      <c r="M897" t="s">
        <v>8726</v>
      </c>
      <c r="N897">
        <v>1.982575982</v>
      </c>
      <c r="O897">
        <v>3.4571926419999999</v>
      </c>
      <c r="P897">
        <v>-0.114791479</v>
      </c>
      <c r="Q897">
        <v>1.868949E-3</v>
      </c>
      <c r="S897" s="13">
        <v>-1.1973042519999999</v>
      </c>
      <c r="T897">
        <v>0.69324711699999997</v>
      </c>
      <c r="U897">
        <v>-9.6574803000000001E-2</v>
      </c>
    </row>
    <row r="898" spans="1:21" x14ac:dyDescent="0.2">
      <c r="A898" t="s">
        <v>765</v>
      </c>
      <c r="B898">
        <v>482880</v>
      </c>
      <c r="C898" t="s">
        <v>6961</v>
      </c>
      <c r="D898" t="s">
        <v>766</v>
      </c>
      <c r="E898" t="s">
        <v>7006</v>
      </c>
      <c r="F898">
        <v>4</v>
      </c>
      <c r="G898">
        <v>3</v>
      </c>
      <c r="H898" t="s">
        <v>8727</v>
      </c>
      <c r="J898" t="s">
        <v>3525</v>
      </c>
      <c r="M898" t="s">
        <v>8728</v>
      </c>
      <c r="N898">
        <v>2.7247480949999998</v>
      </c>
      <c r="O898">
        <v>7.0822175119999997</v>
      </c>
      <c r="P898">
        <v>0.61298291999999999</v>
      </c>
      <c r="Q898">
        <v>0.48262032500000002</v>
      </c>
      <c r="S898" s="13">
        <v>-1.1975396599999999</v>
      </c>
      <c r="T898">
        <v>0.69221843900000002</v>
      </c>
      <c r="U898">
        <v>-0.125562014</v>
      </c>
    </row>
    <row r="899" spans="1:21" x14ac:dyDescent="0.2">
      <c r="A899" t="s">
        <v>1126</v>
      </c>
      <c r="B899">
        <v>710560</v>
      </c>
      <c r="C899" t="s">
        <v>6906</v>
      </c>
      <c r="D899" t="s">
        <v>1126</v>
      </c>
      <c r="E899" t="s">
        <v>6970</v>
      </c>
      <c r="F899">
        <v>10</v>
      </c>
      <c r="G899">
        <v>14</v>
      </c>
      <c r="H899" t="s">
        <v>8729</v>
      </c>
      <c r="J899" t="s">
        <v>8730</v>
      </c>
      <c r="M899" t="s">
        <v>8731</v>
      </c>
      <c r="N899">
        <v>1.813871112</v>
      </c>
      <c r="O899">
        <v>2.6633694910000001</v>
      </c>
      <c r="P899">
        <v>-0.29586356800000002</v>
      </c>
      <c r="Q899">
        <v>-0.59018158399999998</v>
      </c>
      <c r="S899" s="13">
        <v>-1.1978528939999999</v>
      </c>
      <c r="T899">
        <v>0.690849677</v>
      </c>
      <c r="U899">
        <v>-9.9311081999999995E-2</v>
      </c>
    </row>
    <row r="900" spans="1:21" x14ac:dyDescent="0.2">
      <c r="A900" t="s">
        <v>868</v>
      </c>
      <c r="B900">
        <v>757320</v>
      </c>
      <c r="C900" t="s">
        <v>6910</v>
      </c>
      <c r="D900" t="s">
        <v>869</v>
      </c>
      <c r="E900" t="s">
        <v>7115</v>
      </c>
      <c r="F900">
        <v>4</v>
      </c>
      <c r="G900">
        <v>10</v>
      </c>
      <c r="H900" t="s">
        <v>8732</v>
      </c>
      <c r="J900" t="s">
        <v>2745</v>
      </c>
      <c r="M900" t="s">
        <v>8733</v>
      </c>
      <c r="N900">
        <v>1.9874741039999999</v>
      </c>
      <c r="O900">
        <v>3.7453511220000002</v>
      </c>
      <c r="P900">
        <v>0.451009722</v>
      </c>
      <c r="Q900">
        <v>-0.102386592</v>
      </c>
      <c r="S900" s="13">
        <v>-1.197889097</v>
      </c>
      <c r="T900">
        <v>0.69069148000000002</v>
      </c>
      <c r="U900">
        <v>-5.0788508000000003E-2</v>
      </c>
    </row>
    <row r="901" spans="1:21" x14ac:dyDescent="0.2">
      <c r="A901" t="s">
        <v>574</v>
      </c>
      <c r="B901">
        <v>657240</v>
      </c>
      <c r="C901" t="s">
        <v>6945</v>
      </c>
      <c r="D901" t="s">
        <v>574</v>
      </c>
      <c r="E901" t="s">
        <v>6977</v>
      </c>
      <c r="F901">
        <v>20</v>
      </c>
      <c r="G901">
        <v>5</v>
      </c>
      <c r="H901" t="s">
        <v>8734</v>
      </c>
      <c r="J901" t="s">
        <v>5185</v>
      </c>
      <c r="M901" t="s">
        <v>8735</v>
      </c>
      <c r="N901">
        <v>2.2220813349999999</v>
      </c>
      <c r="O901">
        <v>6.5440947090000003</v>
      </c>
      <c r="P901">
        <v>0.58228215500000002</v>
      </c>
      <c r="Q901">
        <v>0.35188233000000002</v>
      </c>
      <c r="S901" s="13">
        <v>-1.198343677</v>
      </c>
      <c r="T901">
        <v>0.68870506600000003</v>
      </c>
      <c r="U901">
        <v>-0.11723388</v>
      </c>
    </row>
    <row r="902" spans="1:21" x14ac:dyDescent="0.2">
      <c r="A902" t="s">
        <v>1155</v>
      </c>
      <c r="B902">
        <v>656880</v>
      </c>
      <c r="C902" t="s">
        <v>6945</v>
      </c>
      <c r="D902" t="s">
        <v>1156</v>
      </c>
      <c r="E902" t="s">
        <v>6970</v>
      </c>
      <c r="F902">
        <v>8</v>
      </c>
      <c r="G902">
        <v>14</v>
      </c>
      <c r="H902" t="s">
        <v>8736</v>
      </c>
      <c r="J902" t="s">
        <v>3623</v>
      </c>
      <c r="M902" t="s">
        <v>8737</v>
      </c>
      <c r="N902">
        <v>2.2220813349999999</v>
      </c>
      <c r="O902">
        <v>6.5440947090000003</v>
      </c>
      <c r="P902">
        <v>0.58228215500000002</v>
      </c>
      <c r="Q902">
        <v>0.35188233000000002</v>
      </c>
      <c r="S902" s="13">
        <v>-1.198683242</v>
      </c>
      <c r="T902">
        <v>0.68722124500000004</v>
      </c>
      <c r="U902">
        <v>-0.117455878</v>
      </c>
    </row>
    <row r="903" spans="1:21" x14ac:dyDescent="0.2">
      <c r="A903" t="s">
        <v>400</v>
      </c>
      <c r="B903">
        <v>732080</v>
      </c>
      <c r="C903" t="s">
        <v>6942</v>
      </c>
      <c r="D903" t="s">
        <v>400</v>
      </c>
      <c r="E903" t="s">
        <v>6939</v>
      </c>
      <c r="F903">
        <v>11</v>
      </c>
      <c r="G903">
        <v>2</v>
      </c>
      <c r="H903" t="s">
        <v>8738</v>
      </c>
      <c r="J903" t="s">
        <v>402</v>
      </c>
      <c r="M903" t="s">
        <v>8739</v>
      </c>
      <c r="N903">
        <v>2.0902262079999998</v>
      </c>
      <c r="O903">
        <v>4.2704203920000001</v>
      </c>
      <c r="P903">
        <v>0.23425843900000001</v>
      </c>
      <c r="Q903">
        <v>1.6181978999999999E-2</v>
      </c>
      <c r="S903" s="13">
        <v>-1.1987122859999999</v>
      </c>
      <c r="T903">
        <v>0.68709432999999998</v>
      </c>
      <c r="U903">
        <v>-0.11473807</v>
      </c>
    </row>
    <row r="904" spans="1:21" x14ac:dyDescent="0.2">
      <c r="A904" t="s">
        <v>1356</v>
      </c>
      <c r="B904">
        <v>481160</v>
      </c>
      <c r="C904" t="s">
        <v>6961</v>
      </c>
      <c r="D904" t="s">
        <v>1356</v>
      </c>
      <c r="E904" t="s">
        <v>6921</v>
      </c>
      <c r="F904">
        <v>19</v>
      </c>
      <c r="G904">
        <v>8</v>
      </c>
      <c r="H904" t="s">
        <v>8740</v>
      </c>
      <c r="J904" t="s">
        <v>5241</v>
      </c>
      <c r="M904" t="s">
        <v>8741</v>
      </c>
      <c r="N904">
        <v>2.7247480949999998</v>
      </c>
      <c r="O904">
        <v>7.0822175119999997</v>
      </c>
      <c r="P904">
        <v>0.61298291999999999</v>
      </c>
      <c r="Q904">
        <v>0.48262032500000002</v>
      </c>
      <c r="S904" s="13">
        <v>-1.1989012379999999</v>
      </c>
      <c r="T904">
        <v>0.68626865400000003</v>
      </c>
      <c r="U904">
        <v>-0.126644274</v>
      </c>
    </row>
    <row r="905" spans="1:21" x14ac:dyDescent="0.2">
      <c r="A905" t="s">
        <v>796</v>
      </c>
      <c r="B905">
        <v>756360</v>
      </c>
      <c r="C905" t="s">
        <v>6910</v>
      </c>
      <c r="D905" t="s">
        <v>796</v>
      </c>
      <c r="E905" t="s">
        <v>6918</v>
      </c>
      <c r="F905">
        <v>13</v>
      </c>
      <c r="G905">
        <v>1</v>
      </c>
      <c r="H905" t="s">
        <v>8742</v>
      </c>
      <c r="J905" t="s">
        <v>1274</v>
      </c>
      <c r="M905" t="s">
        <v>8743</v>
      </c>
      <c r="N905">
        <v>1.9874741039999999</v>
      </c>
      <c r="O905">
        <v>3.7453511220000002</v>
      </c>
      <c r="P905">
        <v>0.451009722</v>
      </c>
      <c r="Q905">
        <v>-0.102386592</v>
      </c>
      <c r="S905" s="13">
        <v>-1.1989219550000001</v>
      </c>
      <c r="T905">
        <v>0.68617812700000003</v>
      </c>
      <c r="U905">
        <v>-5.1296684000000002E-2</v>
      </c>
    </row>
    <row r="906" spans="1:21" x14ac:dyDescent="0.2">
      <c r="A906" t="s">
        <v>622</v>
      </c>
      <c r="B906">
        <v>731760</v>
      </c>
      <c r="C906" t="s">
        <v>6942</v>
      </c>
      <c r="D906" t="s">
        <v>622</v>
      </c>
      <c r="E906" t="s">
        <v>6928</v>
      </c>
      <c r="F906">
        <v>10</v>
      </c>
      <c r="G906">
        <v>16</v>
      </c>
      <c r="H906" t="s">
        <v>8744</v>
      </c>
      <c r="J906" t="s">
        <v>2046</v>
      </c>
      <c r="M906" t="s">
        <v>8745</v>
      </c>
      <c r="N906">
        <v>2.0902262079999998</v>
      </c>
      <c r="O906">
        <v>4.2704203920000001</v>
      </c>
      <c r="P906">
        <v>0.23425843900000001</v>
      </c>
      <c r="Q906">
        <v>1.6181978999999999E-2</v>
      </c>
      <c r="S906" s="13">
        <v>-1.199026363</v>
      </c>
      <c r="T906">
        <v>0.685721888</v>
      </c>
      <c r="U906">
        <v>-0.11493426399999999</v>
      </c>
    </row>
    <row r="907" spans="1:21" x14ac:dyDescent="0.2">
      <c r="A907" t="s">
        <v>995</v>
      </c>
      <c r="B907">
        <v>833440</v>
      </c>
      <c r="C907" t="s">
        <v>6938</v>
      </c>
      <c r="D907" t="s">
        <v>995</v>
      </c>
      <c r="E907" t="s">
        <v>6907</v>
      </c>
      <c r="F907">
        <v>20</v>
      </c>
      <c r="G907">
        <v>4</v>
      </c>
      <c r="H907" t="s">
        <v>8746</v>
      </c>
      <c r="J907" t="s">
        <v>3066</v>
      </c>
      <c r="M907" t="s">
        <v>8747</v>
      </c>
      <c r="N907">
        <v>2.092758737</v>
      </c>
      <c r="O907">
        <v>5.3323610669999999</v>
      </c>
      <c r="P907">
        <v>0.70420098600000003</v>
      </c>
      <c r="Q907">
        <v>0.41355372699999998</v>
      </c>
      <c r="S907" s="13">
        <v>-1.1993473029999999</v>
      </c>
      <c r="T907">
        <v>0.68431945100000002</v>
      </c>
      <c r="U907">
        <v>-9.1560014999999995E-2</v>
      </c>
    </row>
    <row r="908" spans="1:21" x14ac:dyDescent="0.2">
      <c r="A908" t="s">
        <v>687</v>
      </c>
      <c r="B908">
        <v>656000</v>
      </c>
      <c r="C908" t="s">
        <v>6945</v>
      </c>
      <c r="D908" t="s">
        <v>688</v>
      </c>
      <c r="E908" t="s">
        <v>6970</v>
      </c>
      <c r="F908">
        <v>9</v>
      </c>
      <c r="G908">
        <v>14</v>
      </c>
      <c r="H908" t="s">
        <v>8748</v>
      </c>
      <c r="J908" t="s">
        <v>3697</v>
      </c>
      <c r="M908" t="s">
        <v>8749</v>
      </c>
      <c r="N908">
        <v>2.2220813349999999</v>
      </c>
      <c r="O908">
        <v>6.5440947090000003</v>
      </c>
      <c r="P908">
        <v>0.58228215500000002</v>
      </c>
      <c r="Q908">
        <v>0.35188233000000002</v>
      </c>
      <c r="S908" s="13">
        <v>-1.1995132900000001</v>
      </c>
      <c r="T908">
        <v>0.68359412600000002</v>
      </c>
      <c r="U908">
        <v>-0.117999016</v>
      </c>
    </row>
    <row r="909" spans="1:21" x14ac:dyDescent="0.2">
      <c r="A909" t="s">
        <v>972</v>
      </c>
      <c r="B909">
        <v>480280</v>
      </c>
      <c r="C909" t="s">
        <v>6961</v>
      </c>
      <c r="D909" t="s">
        <v>972</v>
      </c>
      <c r="E909" t="s">
        <v>7085</v>
      </c>
      <c r="F909">
        <v>17</v>
      </c>
      <c r="G909">
        <v>9</v>
      </c>
      <c r="H909" t="s">
        <v>8750</v>
      </c>
      <c r="J909" t="s">
        <v>4886</v>
      </c>
      <c r="M909" t="s">
        <v>8751</v>
      </c>
      <c r="N909">
        <v>2.7247480949999998</v>
      </c>
      <c r="O909">
        <v>7.0822175119999997</v>
      </c>
      <c r="P909">
        <v>0.61298291999999999</v>
      </c>
      <c r="Q909">
        <v>0.48262032500000002</v>
      </c>
      <c r="S909" s="13">
        <v>-1.199597859</v>
      </c>
      <c r="T909">
        <v>0.68322457800000003</v>
      </c>
      <c r="U909">
        <v>-0.12719903299999999</v>
      </c>
    </row>
    <row r="910" spans="1:21" x14ac:dyDescent="0.2">
      <c r="A910" t="s">
        <v>894</v>
      </c>
      <c r="B910">
        <v>755640</v>
      </c>
      <c r="C910" t="s">
        <v>6910</v>
      </c>
      <c r="D910" t="s">
        <v>894</v>
      </c>
      <c r="E910" t="s">
        <v>6939</v>
      </c>
      <c r="F910">
        <v>18</v>
      </c>
      <c r="G910">
        <v>2</v>
      </c>
      <c r="H910" t="s">
        <v>8752</v>
      </c>
      <c r="J910" t="s">
        <v>1886</v>
      </c>
      <c r="M910" t="s">
        <v>8753</v>
      </c>
      <c r="N910">
        <v>1.9874741039999999</v>
      </c>
      <c r="O910">
        <v>3.7453511220000002</v>
      </c>
      <c r="P910">
        <v>0.451009722</v>
      </c>
      <c r="Q910">
        <v>-0.102386592</v>
      </c>
      <c r="S910" s="13">
        <v>-1.1996965980000001</v>
      </c>
      <c r="T910">
        <v>0.68279311300000001</v>
      </c>
      <c r="U910">
        <v>-5.1678205999999997E-2</v>
      </c>
    </row>
    <row r="911" spans="1:21" x14ac:dyDescent="0.2">
      <c r="A911" t="s">
        <v>1295</v>
      </c>
      <c r="B911">
        <v>480120</v>
      </c>
      <c r="C911" t="s">
        <v>6961</v>
      </c>
      <c r="D911" t="s">
        <v>1296</v>
      </c>
      <c r="E911" t="s">
        <v>6921</v>
      </c>
      <c r="F911">
        <v>5</v>
      </c>
      <c r="G911">
        <v>8</v>
      </c>
      <c r="H911" t="s">
        <v>8754</v>
      </c>
      <c r="J911" t="s">
        <v>5549</v>
      </c>
      <c r="M911" t="s">
        <v>8755</v>
      </c>
      <c r="N911">
        <v>2.7247480949999998</v>
      </c>
      <c r="O911">
        <v>7.0822175119999997</v>
      </c>
      <c r="P911">
        <v>0.61298291999999999</v>
      </c>
      <c r="Q911">
        <v>0.48262032500000002</v>
      </c>
      <c r="S911" s="13">
        <v>-1.199724518</v>
      </c>
      <c r="T911">
        <v>0.68267110900000005</v>
      </c>
      <c r="U911">
        <v>-0.12729997500000001</v>
      </c>
    </row>
    <row r="912" spans="1:21" x14ac:dyDescent="0.2">
      <c r="A912" t="s">
        <v>968</v>
      </c>
      <c r="B912">
        <v>709080</v>
      </c>
      <c r="C912" t="s">
        <v>6906</v>
      </c>
      <c r="D912" t="s">
        <v>969</v>
      </c>
      <c r="E912" t="s">
        <v>6970</v>
      </c>
      <c r="F912">
        <v>7</v>
      </c>
      <c r="G912">
        <v>14</v>
      </c>
      <c r="H912" t="s">
        <v>8756</v>
      </c>
      <c r="J912" t="s">
        <v>971</v>
      </c>
      <c r="M912" t="s">
        <v>8757</v>
      </c>
      <c r="N912">
        <v>1.813871112</v>
      </c>
      <c r="O912">
        <v>2.6633694910000001</v>
      </c>
      <c r="P912">
        <v>-0.29586356800000002</v>
      </c>
      <c r="Q912">
        <v>-0.59018158399999998</v>
      </c>
      <c r="S912" s="13">
        <v>-1.2</v>
      </c>
      <c r="T912">
        <v>0.68146731599999999</v>
      </c>
      <c r="U912">
        <v>-0.1001875</v>
      </c>
    </row>
    <row r="913" spans="1:21" x14ac:dyDescent="0.2">
      <c r="A913" t="s">
        <v>1729</v>
      </c>
      <c r="B913">
        <v>730280</v>
      </c>
      <c r="C913" t="s">
        <v>6942</v>
      </c>
      <c r="D913" t="s">
        <v>1729</v>
      </c>
      <c r="E913" t="s">
        <v>6907</v>
      </c>
      <c r="F913">
        <v>16</v>
      </c>
      <c r="G913">
        <v>4</v>
      </c>
      <c r="H913" t="s">
        <v>8758</v>
      </c>
      <c r="J913" t="s">
        <v>2756</v>
      </c>
      <c r="M913" t="s">
        <v>8759</v>
      </c>
      <c r="N913">
        <v>2.0902262079999998</v>
      </c>
      <c r="O913">
        <v>4.2704203920000001</v>
      </c>
      <c r="P913">
        <v>0.23425843900000001</v>
      </c>
      <c r="Q913">
        <v>1.6181978999999999E-2</v>
      </c>
      <c r="S913" s="13">
        <v>-1.200478967</v>
      </c>
      <c r="T913">
        <v>0.67937434100000005</v>
      </c>
      <c r="U913">
        <v>-0.115842817</v>
      </c>
    </row>
    <row r="914" spans="1:21" x14ac:dyDescent="0.2">
      <c r="A914" t="s">
        <v>1208</v>
      </c>
      <c r="B914">
        <v>654760</v>
      </c>
      <c r="C914" t="s">
        <v>6945</v>
      </c>
      <c r="D914" t="s">
        <v>1208</v>
      </c>
      <c r="E914" t="s">
        <v>6921</v>
      </c>
      <c r="F914">
        <v>15</v>
      </c>
      <c r="G914">
        <v>8</v>
      </c>
      <c r="H914" t="s">
        <v>8760</v>
      </c>
      <c r="J914" t="s">
        <v>2646</v>
      </c>
      <c r="M914" t="s">
        <v>8761</v>
      </c>
      <c r="N914">
        <v>2.2220813349999999</v>
      </c>
      <c r="O914">
        <v>6.5440947090000003</v>
      </c>
      <c r="P914">
        <v>0.58228215500000002</v>
      </c>
      <c r="Q914">
        <v>0.35188233000000002</v>
      </c>
      <c r="S914" s="13">
        <v>-1.2006829029999999</v>
      </c>
      <c r="T914">
        <v>0.67848318600000002</v>
      </c>
      <c r="U914">
        <v>-0.118765502</v>
      </c>
    </row>
    <row r="915" spans="1:21" x14ac:dyDescent="0.2">
      <c r="A915" t="s">
        <v>67</v>
      </c>
      <c r="B915">
        <v>852160</v>
      </c>
      <c r="C915" t="s">
        <v>6953</v>
      </c>
      <c r="D915" t="s">
        <v>69</v>
      </c>
      <c r="E915" t="s">
        <v>6974</v>
      </c>
      <c r="F915">
        <v>2</v>
      </c>
      <c r="G915">
        <v>15</v>
      </c>
      <c r="H915" t="s">
        <v>8762</v>
      </c>
      <c r="J915" t="s">
        <v>71</v>
      </c>
      <c r="M915" t="s">
        <v>8763</v>
      </c>
      <c r="N915">
        <v>1.921480887</v>
      </c>
      <c r="O915">
        <v>3.0856645180000002</v>
      </c>
      <c r="P915">
        <v>0.44706724399999997</v>
      </c>
      <c r="Q915">
        <v>-0.354940863</v>
      </c>
      <c r="S915" s="13">
        <v>-1.200987818</v>
      </c>
      <c r="T915">
        <v>0.67715077499999998</v>
      </c>
      <c r="U915">
        <v>-5.3026815999999997E-2</v>
      </c>
    </row>
    <row r="916" spans="1:21" x14ac:dyDescent="0.2">
      <c r="A916" t="s">
        <v>1362</v>
      </c>
      <c r="B916">
        <v>851720</v>
      </c>
      <c r="C916" t="s">
        <v>6953</v>
      </c>
      <c r="D916" t="s">
        <v>1362</v>
      </c>
      <c r="E916" t="s">
        <v>7115</v>
      </c>
      <c r="F916">
        <v>22</v>
      </c>
      <c r="G916">
        <v>10</v>
      </c>
      <c r="H916" t="s">
        <v>8764</v>
      </c>
      <c r="J916" t="s">
        <v>4469</v>
      </c>
      <c r="M916" t="s">
        <v>8765</v>
      </c>
      <c r="N916">
        <v>1.921480887</v>
      </c>
      <c r="O916">
        <v>3.0856645180000002</v>
      </c>
      <c r="P916">
        <v>0.44706724399999997</v>
      </c>
      <c r="Q916">
        <v>-0.354940863</v>
      </c>
      <c r="S916" s="13">
        <v>-1.201444373</v>
      </c>
      <c r="T916">
        <v>0.67515573600000001</v>
      </c>
      <c r="U916">
        <v>-5.326086E-2</v>
      </c>
    </row>
    <row r="917" spans="1:21" x14ac:dyDescent="0.2">
      <c r="A917" t="s">
        <v>1118</v>
      </c>
      <c r="B917">
        <v>753560</v>
      </c>
      <c r="C917" t="s">
        <v>6910</v>
      </c>
      <c r="D917" t="s">
        <v>1118</v>
      </c>
      <c r="E917" t="s">
        <v>6924</v>
      </c>
      <c r="F917">
        <v>13</v>
      </c>
      <c r="G917">
        <v>6</v>
      </c>
      <c r="H917" t="s">
        <v>8766</v>
      </c>
      <c r="J917" t="s">
        <v>3535</v>
      </c>
      <c r="M917" t="s">
        <v>8767</v>
      </c>
      <c r="N917">
        <v>1.9874741039999999</v>
      </c>
      <c r="O917">
        <v>3.7453511220000002</v>
      </c>
      <c r="P917">
        <v>0.451009722</v>
      </c>
      <c r="Q917">
        <v>-0.102386592</v>
      </c>
      <c r="S917" s="13">
        <v>-1.2019344569999999</v>
      </c>
      <c r="T917">
        <v>0.67301418300000004</v>
      </c>
      <c r="U917">
        <v>-5.2782269E-2</v>
      </c>
    </row>
    <row r="918" spans="1:21" x14ac:dyDescent="0.2">
      <c r="A918" t="s">
        <v>426</v>
      </c>
      <c r="B918">
        <v>653240</v>
      </c>
      <c r="C918" t="s">
        <v>6945</v>
      </c>
      <c r="D918" t="s">
        <v>426</v>
      </c>
      <c r="E918" t="s">
        <v>6911</v>
      </c>
      <c r="F918">
        <v>22</v>
      </c>
      <c r="G918">
        <v>12</v>
      </c>
      <c r="H918" t="s">
        <v>8768</v>
      </c>
      <c r="J918" t="s">
        <v>4041</v>
      </c>
      <c r="M918" t="s">
        <v>8769</v>
      </c>
      <c r="N918">
        <v>2.2220813349999999</v>
      </c>
      <c r="O918">
        <v>6.5440947090000003</v>
      </c>
      <c r="P918">
        <v>0.58228215500000002</v>
      </c>
      <c r="Q918">
        <v>0.35188233000000002</v>
      </c>
      <c r="S918" s="13">
        <v>-1.2021166219999999</v>
      </c>
      <c r="T918">
        <v>0.67221816300000004</v>
      </c>
      <c r="U918">
        <v>-0.119706914</v>
      </c>
    </row>
    <row r="919" spans="1:21" x14ac:dyDescent="0.2">
      <c r="A919" t="s">
        <v>1095</v>
      </c>
      <c r="B919">
        <v>652560</v>
      </c>
      <c r="C919" t="s">
        <v>6945</v>
      </c>
      <c r="D919" t="s">
        <v>1096</v>
      </c>
      <c r="E919" t="s">
        <v>6977</v>
      </c>
      <c r="F919">
        <v>4</v>
      </c>
      <c r="G919">
        <v>5</v>
      </c>
      <c r="H919" t="s">
        <v>8770</v>
      </c>
      <c r="J919" t="s">
        <v>5875</v>
      </c>
      <c r="M919" t="s">
        <v>8771</v>
      </c>
      <c r="N919">
        <v>2.2220813349999999</v>
      </c>
      <c r="O919">
        <v>6.5440947090000003</v>
      </c>
      <c r="P919">
        <v>0.58228215500000002</v>
      </c>
      <c r="Q919">
        <v>0.35188233000000002</v>
      </c>
      <c r="S919" s="13">
        <v>-1.202758022</v>
      </c>
      <c r="T919">
        <v>0.66941538899999997</v>
      </c>
      <c r="U919">
        <v>-0.120128734</v>
      </c>
    </row>
    <row r="920" spans="1:21" x14ac:dyDescent="0.2">
      <c r="A920" t="s">
        <v>929</v>
      </c>
      <c r="B920">
        <v>652000</v>
      </c>
      <c r="C920" t="s">
        <v>6945</v>
      </c>
      <c r="D920" t="s">
        <v>929</v>
      </c>
      <c r="E920" t="s">
        <v>6956</v>
      </c>
      <c r="F920">
        <v>19</v>
      </c>
      <c r="G920">
        <v>7</v>
      </c>
      <c r="H920" t="s">
        <v>8772</v>
      </c>
      <c r="J920" t="s">
        <v>4451</v>
      </c>
      <c r="M920" t="s">
        <v>8773</v>
      </c>
      <c r="N920">
        <v>2.2220813349999999</v>
      </c>
      <c r="O920">
        <v>6.5440947090000003</v>
      </c>
      <c r="P920">
        <v>0.58228215500000002</v>
      </c>
      <c r="Q920">
        <v>0.35188233000000002</v>
      </c>
      <c r="S920" s="13">
        <v>-1.2032862339999999</v>
      </c>
      <c r="T920">
        <v>0.66710722200000006</v>
      </c>
      <c r="U920">
        <v>-0.120476423</v>
      </c>
    </row>
    <row r="921" spans="1:21" x14ac:dyDescent="0.2">
      <c r="A921" t="s">
        <v>560</v>
      </c>
      <c r="B921">
        <v>784760</v>
      </c>
      <c r="C921" t="s">
        <v>6927</v>
      </c>
      <c r="D921" t="s">
        <v>560</v>
      </c>
      <c r="E921" t="s">
        <v>6928</v>
      </c>
      <c r="F921">
        <v>13</v>
      </c>
      <c r="G921">
        <v>16</v>
      </c>
      <c r="H921" t="s">
        <v>8774</v>
      </c>
      <c r="J921" t="s">
        <v>8775</v>
      </c>
      <c r="M921" t="s">
        <v>8776</v>
      </c>
      <c r="N921">
        <v>1.982575982</v>
      </c>
      <c r="O921">
        <v>3.4571926419999999</v>
      </c>
      <c r="P921">
        <v>-0.114791479</v>
      </c>
      <c r="Q921">
        <v>1.868949E-3</v>
      </c>
      <c r="S921" s="13">
        <v>-1.2034469880000001</v>
      </c>
      <c r="T921">
        <v>0.66640476699999995</v>
      </c>
      <c r="U921">
        <v>-0.100068962</v>
      </c>
    </row>
    <row r="922" spans="1:21" x14ac:dyDescent="0.2">
      <c r="A922" t="s">
        <v>2385</v>
      </c>
      <c r="B922">
        <v>475000</v>
      </c>
      <c r="C922" t="s">
        <v>6961</v>
      </c>
      <c r="D922" t="s">
        <v>2385</v>
      </c>
      <c r="E922" t="s">
        <v>6911</v>
      </c>
      <c r="F922">
        <v>19</v>
      </c>
      <c r="G922">
        <v>12</v>
      </c>
      <c r="H922" t="s">
        <v>8777</v>
      </c>
      <c r="J922" t="s">
        <v>4213</v>
      </c>
      <c r="M922" t="s">
        <v>8778</v>
      </c>
      <c r="N922">
        <v>2.7247480949999998</v>
      </c>
      <c r="O922">
        <v>7.0822175119999997</v>
      </c>
      <c r="P922">
        <v>0.61298291999999999</v>
      </c>
      <c r="Q922">
        <v>0.48262032500000002</v>
      </c>
      <c r="S922" s="13">
        <v>-1.2037775879999999</v>
      </c>
      <c r="T922">
        <v>0.66496012000000004</v>
      </c>
      <c r="U922">
        <v>-0.13054255300000001</v>
      </c>
    </row>
    <row r="923" spans="1:21" x14ac:dyDescent="0.2">
      <c r="A923" t="s">
        <v>458</v>
      </c>
      <c r="B923">
        <v>474960</v>
      </c>
      <c r="C923" t="s">
        <v>6961</v>
      </c>
      <c r="D923" t="s">
        <v>459</v>
      </c>
      <c r="E923" t="s">
        <v>6921</v>
      </c>
      <c r="F923">
        <v>4</v>
      </c>
      <c r="G923">
        <v>8</v>
      </c>
      <c r="H923" t="s">
        <v>8779</v>
      </c>
      <c r="J923" t="s">
        <v>6533</v>
      </c>
      <c r="M923" t="s">
        <v>8780</v>
      </c>
      <c r="N923">
        <v>2.7247480949999998</v>
      </c>
      <c r="O923">
        <v>7.0822175119999997</v>
      </c>
      <c r="P923">
        <v>0.61298291999999999</v>
      </c>
      <c r="Q923">
        <v>0.48262032500000002</v>
      </c>
      <c r="S923" s="13">
        <v>-1.2038092520000001</v>
      </c>
      <c r="T923">
        <v>0.66482175300000002</v>
      </c>
      <c r="U923">
        <v>-0.130567981</v>
      </c>
    </row>
    <row r="924" spans="1:21" x14ac:dyDescent="0.2">
      <c r="A924" t="s">
        <v>1426</v>
      </c>
      <c r="B924">
        <v>726680</v>
      </c>
      <c r="C924" t="s">
        <v>6942</v>
      </c>
      <c r="D924" t="s">
        <v>1426</v>
      </c>
      <c r="E924" t="s">
        <v>6907</v>
      </c>
      <c r="F924">
        <v>15</v>
      </c>
      <c r="G924">
        <v>4</v>
      </c>
      <c r="H924" t="s">
        <v>8781</v>
      </c>
      <c r="J924" t="s">
        <v>1428</v>
      </c>
      <c r="M924" t="s">
        <v>8782</v>
      </c>
      <c r="N924">
        <v>2.0902262079999998</v>
      </c>
      <c r="O924">
        <v>4.2704203920000001</v>
      </c>
      <c r="P924">
        <v>0.23425843900000001</v>
      </c>
      <c r="Q924">
        <v>1.6181978999999999E-2</v>
      </c>
      <c r="S924" s="13">
        <v>-1.2040123279999999</v>
      </c>
      <c r="T924">
        <v>0.663934362</v>
      </c>
      <c r="U924">
        <v>-0.118060779</v>
      </c>
    </row>
    <row r="925" spans="1:21" x14ac:dyDescent="0.2">
      <c r="A925" t="s">
        <v>554</v>
      </c>
      <c r="B925">
        <v>651160</v>
      </c>
      <c r="C925" t="s">
        <v>6945</v>
      </c>
      <c r="D925" t="s">
        <v>555</v>
      </c>
      <c r="E925" t="s">
        <v>6928</v>
      </c>
      <c r="F925">
        <v>3</v>
      </c>
      <c r="G925">
        <v>16</v>
      </c>
      <c r="H925" t="s">
        <v>8783</v>
      </c>
      <c r="J925" t="s">
        <v>3699</v>
      </c>
      <c r="M925" t="s">
        <v>8784</v>
      </c>
      <c r="N925">
        <v>2.2220813349999999</v>
      </c>
      <c r="O925">
        <v>6.5440947090000003</v>
      </c>
      <c r="P925">
        <v>0.58228215500000002</v>
      </c>
      <c r="Q925">
        <v>0.35188233000000002</v>
      </c>
      <c r="S925" s="13">
        <v>-1.204078553</v>
      </c>
      <c r="T925">
        <v>0.66364497300000003</v>
      </c>
      <c r="U925">
        <v>-0.12099847900000001</v>
      </c>
    </row>
    <row r="926" spans="1:21" x14ac:dyDescent="0.2">
      <c r="A926" t="s">
        <v>668</v>
      </c>
      <c r="B926">
        <v>706160</v>
      </c>
      <c r="C926" t="s">
        <v>6906</v>
      </c>
      <c r="D926" t="s">
        <v>668</v>
      </c>
      <c r="E926" t="s">
        <v>6956</v>
      </c>
      <c r="F926">
        <v>21</v>
      </c>
      <c r="G926">
        <v>7</v>
      </c>
      <c r="H926" t="s">
        <v>8785</v>
      </c>
      <c r="J926" t="s">
        <v>670</v>
      </c>
      <c r="M926" t="s">
        <v>8786</v>
      </c>
      <c r="N926">
        <v>1.813871112</v>
      </c>
      <c r="O926">
        <v>2.6633694910000001</v>
      </c>
      <c r="P926">
        <v>-0.29586356800000002</v>
      </c>
      <c r="Q926">
        <v>-0.59018158399999998</v>
      </c>
      <c r="S926" s="13">
        <v>-1.204236182</v>
      </c>
      <c r="T926">
        <v>0.66295616999999996</v>
      </c>
      <c r="U926">
        <v>-0.10192185300000001</v>
      </c>
    </row>
    <row r="927" spans="1:21" x14ac:dyDescent="0.2">
      <c r="A927" t="s">
        <v>426</v>
      </c>
      <c r="B927">
        <v>783880</v>
      </c>
      <c r="C927" t="s">
        <v>6927</v>
      </c>
      <c r="D927" t="s">
        <v>426</v>
      </c>
      <c r="E927" t="s">
        <v>6911</v>
      </c>
      <c r="F927">
        <v>22</v>
      </c>
      <c r="G927">
        <v>12</v>
      </c>
      <c r="H927" t="s">
        <v>8787</v>
      </c>
      <c r="J927" t="s">
        <v>8788</v>
      </c>
      <c r="M927" t="s">
        <v>8789</v>
      </c>
      <c r="N927">
        <v>1.982575982</v>
      </c>
      <c r="O927">
        <v>3.4571926419999999</v>
      </c>
      <c r="P927">
        <v>-0.114791479</v>
      </c>
      <c r="Q927">
        <v>1.868949E-3</v>
      </c>
      <c r="S927" s="13">
        <v>-1.2043600969999999</v>
      </c>
      <c r="T927">
        <v>0.66241468800000003</v>
      </c>
      <c r="U927">
        <v>-0.10059077199999999</v>
      </c>
    </row>
    <row r="928" spans="1:21" x14ac:dyDescent="0.2">
      <c r="A928" t="s">
        <v>1986</v>
      </c>
      <c r="B928">
        <v>726120</v>
      </c>
      <c r="C928" t="s">
        <v>6942</v>
      </c>
      <c r="D928" t="s">
        <v>1986</v>
      </c>
      <c r="E928" t="s">
        <v>6977</v>
      </c>
      <c r="F928">
        <v>11</v>
      </c>
      <c r="G928">
        <v>5</v>
      </c>
      <c r="H928" t="s">
        <v>8790</v>
      </c>
      <c r="J928" t="s">
        <v>1988</v>
      </c>
      <c r="M928" t="s">
        <v>8791</v>
      </c>
      <c r="N928">
        <v>2.0902262079999998</v>
      </c>
      <c r="O928">
        <v>4.2704203920000001</v>
      </c>
      <c r="P928">
        <v>0.23425843900000001</v>
      </c>
      <c r="Q928">
        <v>1.6181978999999999E-2</v>
      </c>
      <c r="S928" s="13">
        <v>-1.204561961</v>
      </c>
      <c r="T928">
        <v>0.66153258699999995</v>
      </c>
      <c r="U928">
        <v>-0.118406816</v>
      </c>
    </row>
    <row r="929" spans="1:21" x14ac:dyDescent="0.2">
      <c r="A929" t="s">
        <v>1954</v>
      </c>
      <c r="B929">
        <v>841680</v>
      </c>
      <c r="C929" t="s">
        <v>6914</v>
      </c>
      <c r="D929" t="s">
        <v>1955</v>
      </c>
      <c r="E929" t="s">
        <v>6918</v>
      </c>
      <c r="F929">
        <v>1</v>
      </c>
      <c r="G929">
        <v>1</v>
      </c>
      <c r="H929" t="s">
        <v>8792</v>
      </c>
      <c r="J929" t="s">
        <v>3888</v>
      </c>
      <c r="M929" t="s">
        <v>8793</v>
      </c>
      <c r="N929">
        <v>1.8217074179999999</v>
      </c>
      <c r="O929">
        <v>4.1700741289999996</v>
      </c>
      <c r="P929">
        <v>0.189705977</v>
      </c>
      <c r="Q929">
        <v>-1.7194070999999998E-2</v>
      </c>
      <c r="S929" s="13">
        <v>-1.204637849</v>
      </c>
      <c r="T929">
        <v>0.66120097799999999</v>
      </c>
      <c r="U929">
        <v>-0.114052087</v>
      </c>
    </row>
    <row r="930" spans="1:21" x14ac:dyDescent="0.2">
      <c r="A930" t="s">
        <v>1073</v>
      </c>
      <c r="B930">
        <v>705760</v>
      </c>
      <c r="C930" t="s">
        <v>6906</v>
      </c>
      <c r="D930" t="s">
        <v>1073</v>
      </c>
      <c r="E930" t="s">
        <v>7115</v>
      </c>
      <c r="F930">
        <v>18</v>
      </c>
      <c r="G930">
        <v>10</v>
      </c>
      <c r="H930" t="s">
        <v>8794</v>
      </c>
      <c r="J930" t="s">
        <v>1967</v>
      </c>
      <c r="M930" t="s">
        <v>8795</v>
      </c>
      <c r="N930">
        <v>1.813871112</v>
      </c>
      <c r="O930">
        <v>2.6633694910000001</v>
      </c>
      <c r="P930">
        <v>-0.29586356800000002</v>
      </c>
      <c r="Q930">
        <v>-0.59018158399999998</v>
      </c>
      <c r="S930" s="13">
        <v>-1.2048164800000001</v>
      </c>
      <c r="T930">
        <v>0.66042039699999999</v>
      </c>
      <c r="U930">
        <v>-0.102159976</v>
      </c>
    </row>
    <row r="931" spans="1:21" x14ac:dyDescent="0.2">
      <c r="A931" t="s">
        <v>995</v>
      </c>
      <c r="B931">
        <v>660320</v>
      </c>
      <c r="C931" t="s">
        <v>6931</v>
      </c>
      <c r="D931" t="s">
        <v>995</v>
      </c>
      <c r="E931" t="s">
        <v>6907</v>
      </c>
      <c r="F931">
        <v>20</v>
      </c>
      <c r="G931">
        <v>4</v>
      </c>
      <c r="H931" t="s">
        <v>8796</v>
      </c>
      <c r="N931">
        <v>1.9323965059999999</v>
      </c>
      <c r="O931">
        <v>3.0528020530000002</v>
      </c>
      <c r="P931">
        <v>2.6493138999999999E-2</v>
      </c>
      <c r="Q931">
        <v>-0.38692188</v>
      </c>
      <c r="S931" s="13">
        <v>-1.204861704</v>
      </c>
      <c r="T931">
        <v>0.66022277900000004</v>
      </c>
      <c r="U931">
        <v>-6.0871781E-2</v>
      </c>
    </row>
    <row r="932" spans="1:21" x14ac:dyDescent="0.2">
      <c r="A932" t="s">
        <v>1174</v>
      </c>
      <c r="B932">
        <v>783280</v>
      </c>
      <c r="C932" t="s">
        <v>6927</v>
      </c>
      <c r="D932" t="s">
        <v>1174</v>
      </c>
      <c r="E932" t="s">
        <v>7085</v>
      </c>
      <c r="F932">
        <v>16</v>
      </c>
      <c r="G932">
        <v>9</v>
      </c>
      <c r="H932" t="s">
        <v>8797</v>
      </c>
      <c r="J932" t="s">
        <v>8798</v>
      </c>
      <c r="M932" t="s">
        <v>8799</v>
      </c>
      <c r="N932">
        <v>1.982575982</v>
      </c>
      <c r="O932">
        <v>3.4571926419999999</v>
      </c>
      <c r="P932">
        <v>-0.114791479</v>
      </c>
      <c r="Q932">
        <v>1.868949E-3</v>
      </c>
      <c r="S932" s="13">
        <v>-1.2049826720000001</v>
      </c>
      <c r="T932">
        <v>0.65969417900000005</v>
      </c>
      <c r="U932">
        <v>-0.100946912</v>
      </c>
    </row>
    <row r="933" spans="1:21" x14ac:dyDescent="0.2">
      <c r="A933" t="s">
        <v>963</v>
      </c>
      <c r="B933">
        <v>660080</v>
      </c>
      <c r="C933" t="s">
        <v>6931</v>
      </c>
      <c r="D933" t="s">
        <v>963</v>
      </c>
      <c r="E933" t="s">
        <v>6939</v>
      </c>
      <c r="F933">
        <v>20</v>
      </c>
      <c r="G933">
        <v>2</v>
      </c>
      <c r="H933" t="s">
        <v>8800</v>
      </c>
      <c r="N933">
        <v>1.9323965059999999</v>
      </c>
      <c r="O933">
        <v>3.0528020530000002</v>
      </c>
      <c r="P933">
        <v>2.6493138999999999E-2</v>
      </c>
      <c r="Q933">
        <v>-0.38692188</v>
      </c>
      <c r="S933" s="13">
        <v>-1.2051770580000001</v>
      </c>
      <c r="T933">
        <v>0.65884475499999995</v>
      </c>
      <c r="U933">
        <v>-6.1001752999999999E-2</v>
      </c>
    </row>
    <row r="934" spans="1:21" x14ac:dyDescent="0.2">
      <c r="A934" t="s">
        <v>703</v>
      </c>
      <c r="B934">
        <v>649720</v>
      </c>
      <c r="C934" t="s">
        <v>6945</v>
      </c>
      <c r="D934" t="s">
        <v>704</v>
      </c>
      <c r="E934" t="s">
        <v>6924</v>
      </c>
      <c r="F934">
        <v>8</v>
      </c>
      <c r="G934">
        <v>6</v>
      </c>
      <c r="H934" t="s">
        <v>8801</v>
      </c>
      <c r="J934" t="s">
        <v>4417</v>
      </c>
      <c r="M934" t="s">
        <v>8802</v>
      </c>
      <c r="N934">
        <v>2.2220813349999999</v>
      </c>
      <c r="O934">
        <v>6.5440947090000003</v>
      </c>
      <c r="P934">
        <v>0.58228215500000002</v>
      </c>
      <c r="Q934">
        <v>0.35188233000000002</v>
      </c>
      <c r="S934" s="13">
        <v>-1.2054368129999999</v>
      </c>
      <c r="T934">
        <v>0.65770968699999999</v>
      </c>
      <c r="U934">
        <v>-0.121894894</v>
      </c>
    </row>
    <row r="935" spans="1:21" x14ac:dyDescent="0.2">
      <c r="A935" t="s">
        <v>1703</v>
      </c>
      <c r="B935">
        <v>649720</v>
      </c>
      <c r="C935" t="s">
        <v>6945</v>
      </c>
      <c r="D935" t="s">
        <v>1703</v>
      </c>
      <c r="E935" t="s">
        <v>6928</v>
      </c>
      <c r="F935">
        <v>21</v>
      </c>
      <c r="G935">
        <v>16</v>
      </c>
      <c r="H935" t="s">
        <v>8803</v>
      </c>
      <c r="J935" t="s">
        <v>5819</v>
      </c>
      <c r="M935" t="s">
        <v>8804</v>
      </c>
      <c r="N935">
        <v>2.2220813349999999</v>
      </c>
      <c r="O935">
        <v>6.5440947090000003</v>
      </c>
      <c r="P935">
        <v>0.58228215500000002</v>
      </c>
      <c r="Q935">
        <v>0.35188233000000002</v>
      </c>
      <c r="S935" s="13">
        <v>-1.2054368129999999</v>
      </c>
      <c r="T935">
        <v>0.65770968699999999</v>
      </c>
      <c r="U935">
        <v>-0.121894894</v>
      </c>
    </row>
    <row r="936" spans="1:21" x14ac:dyDescent="0.2">
      <c r="A936" t="s">
        <v>1335</v>
      </c>
      <c r="B936">
        <v>649600</v>
      </c>
      <c r="C936" t="s">
        <v>6945</v>
      </c>
      <c r="D936" t="s">
        <v>1335</v>
      </c>
      <c r="E936" t="s">
        <v>6915</v>
      </c>
      <c r="F936">
        <v>12</v>
      </c>
      <c r="G936">
        <v>13</v>
      </c>
      <c r="H936" t="s">
        <v>8805</v>
      </c>
      <c r="J936" t="s">
        <v>3234</v>
      </c>
      <c r="M936" t="s">
        <v>8806</v>
      </c>
      <c r="N936">
        <v>2.2220813349999999</v>
      </c>
      <c r="O936">
        <v>6.5440947090000003</v>
      </c>
      <c r="P936">
        <v>0.58228215500000002</v>
      </c>
      <c r="Q936">
        <v>0.35188233000000002</v>
      </c>
      <c r="S936" s="13">
        <v>-1.205550001</v>
      </c>
      <c r="T936">
        <v>0.65721507999999995</v>
      </c>
      <c r="U936">
        <v>-0.121969679</v>
      </c>
    </row>
    <row r="937" spans="1:21" x14ac:dyDescent="0.2">
      <c r="A937" t="s">
        <v>2791</v>
      </c>
      <c r="B937">
        <v>648960</v>
      </c>
      <c r="C937" t="s">
        <v>6945</v>
      </c>
      <c r="D937" t="s">
        <v>2792</v>
      </c>
      <c r="E937" t="s">
        <v>6921</v>
      </c>
      <c r="F937">
        <v>6</v>
      </c>
      <c r="G937">
        <v>8</v>
      </c>
      <c r="H937" t="s">
        <v>8807</v>
      </c>
      <c r="J937" t="s">
        <v>3074</v>
      </c>
      <c r="M937" t="s">
        <v>8808</v>
      </c>
      <c r="N937">
        <v>2.2220813349999999</v>
      </c>
      <c r="O937">
        <v>6.5440947090000003</v>
      </c>
      <c r="P937">
        <v>0.58228215500000002</v>
      </c>
      <c r="Q937">
        <v>0.35188233000000002</v>
      </c>
      <c r="S937" s="13">
        <v>-1.2061536719999999</v>
      </c>
      <c r="T937">
        <v>0.65457717500000001</v>
      </c>
      <c r="U937">
        <v>-0.12236875</v>
      </c>
    </row>
    <row r="938" spans="1:21" x14ac:dyDescent="0.2">
      <c r="A938" t="s">
        <v>772</v>
      </c>
      <c r="B938">
        <v>659320</v>
      </c>
      <c r="C938" t="s">
        <v>6931</v>
      </c>
      <c r="D938" t="s">
        <v>772</v>
      </c>
      <c r="E938" t="s">
        <v>6928</v>
      </c>
      <c r="F938">
        <v>18</v>
      </c>
      <c r="G938">
        <v>16</v>
      </c>
      <c r="H938" t="s">
        <v>8809</v>
      </c>
      <c r="N938">
        <v>1.9323965059999999</v>
      </c>
      <c r="O938">
        <v>3.0528020530000002</v>
      </c>
      <c r="P938">
        <v>2.6493138999999999E-2</v>
      </c>
      <c r="Q938">
        <v>-0.38692188</v>
      </c>
      <c r="S938" s="13">
        <v>-1.2061756779999999</v>
      </c>
      <c r="T938">
        <v>0.65448101299999994</v>
      </c>
      <c r="U938">
        <v>-6.1413585999999999E-2</v>
      </c>
    </row>
    <row r="939" spans="1:21" x14ac:dyDescent="0.2">
      <c r="A939" t="s">
        <v>727</v>
      </c>
      <c r="B939">
        <v>825240</v>
      </c>
      <c r="C939" t="s">
        <v>6938</v>
      </c>
      <c r="D939" t="s">
        <v>727</v>
      </c>
      <c r="E939" t="s">
        <v>7115</v>
      </c>
      <c r="F939">
        <v>23</v>
      </c>
      <c r="G939">
        <v>10</v>
      </c>
      <c r="H939" t="s">
        <v>8810</v>
      </c>
      <c r="J939" t="s">
        <v>5643</v>
      </c>
      <c r="M939" t="s">
        <v>8811</v>
      </c>
      <c r="N939">
        <v>2.092758737</v>
      </c>
      <c r="O939">
        <v>5.3323610669999999</v>
      </c>
      <c r="P939">
        <v>0.70420098600000003</v>
      </c>
      <c r="Q939">
        <v>0.41355372699999998</v>
      </c>
      <c r="S939" s="13">
        <v>-1.2063895570000001</v>
      </c>
      <c r="T939">
        <v>0.65354641300000005</v>
      </c>
      <c r="U939">
        <v>-9.6351473000000007E-2</v>
      </c>
    </row>
    <row r="940" spans="1:21" x14ac:dyDescent="0.2">
      <c r="A940" t="s">
        <v>352</v>
      </c>
      <c r="B940">
        <v>839960</v>
      </c>
      <c r="C940" t="s">
        <v>6914</v>
      </c>
      <c r="D940" t="s">
        <v>352</v>
      </c>
      <c r="E940" t="s">
        <v>6928</v>
      </c>
      <c r="F940">
        <v>17</v>
      </c>
      <c r="G940">
        <v>16</v>
      </c>
      <c r="H940" t="s">
        <v>8812</v>
      </c>
      <c r="J940" t="s">
        <v>1081</v>
      </c>
      <c r="M940" t="s">
        <v>8813</v>
      </c>
      <c r="N940">
        <v>1.8217074179999999</v>
      </c>
      <c r="O940">
        <v>4.1700741289999996</v>
      </c>
      <c r="P940">
        <v>0.189705977</v>
      </c>
      <c r="Q940">
        <v>-1.7194070999999998E-2</v>
      </c>
      <c r="S940" s="13">
        <v>-1.206706598</v>
      </c>
      <c r="T940">
        <v>0.65216101400000004</v>
      </c>
      <c r="U940">
        <v>-0.115106007</v>
      </c>
    </row>
    <row r="941" spans="1:21" x14ac:dyDescent="0.2">
      <c r="A941" t="s">
        <v>165</v>
      </c>
      <c r="B941">
        <v>846600</v>
      </c>
      <c r="C941" t="s">
        <v>6953</v>
      </c>
      <c r="D941" t="s">
        <v>166</v>
      </c>
      <c r="E941" t="s">
        <v>6928</v>
      </c>
      <c r="F941">
        <v>2</v>
      </c>
      <c r="G941">
        <v>16</v>
      </c>
      <c r="H941" t="s">
        <v>8814</v>
      </c>
      <c r="J941" t="s">
        <v>566</v>
      </c>
      <c r="M941" t="s">
        <v>8815</v>
      </c>
      <c r="N941">
        <v>1.921480887</v>
      </c>
      <c r="O941">
        <v>3.0856645180000002</v>
      </c>
      <c r="P941">
        <v>0.44706724399999997</v>
      </c>
      <c r="Q941">
        <v>-0.354940863</v>
      </c>
      <c r="S941" s="13">
        <v>-1.2067570089999999</v>
      </c>
      <c r="T941">
        <v>0.65194072999999997</v>
      </c>
      <c r="U941">
        <v>-5.5993590000000003E-2</v>
      </c>
    </row>
    <row r="942" spans="1:21" x14ac:dyDescent="0.2">
      <c r="A942" t="s">
        <v>477</v>
      </c>
      <c r="B942">
        <v>824800</v>
      </c>
      <c r="C942" t="s">
        <v>6938</v>
      </c>
      <c r="D942" t="s">
        <v>477</v>
      </c>
      <c r="E942" t="s">
        <v>6918</v>
      </c>
      <c r="F942">
        <v>12</v>
      </c>
      <c r="G942">
        <v>1</v>
      </c>
      <c r="H942" t="s">
        <v>8816</v>
      </c>
      <c r="J942" t="s">
        <v>3663</v>
      </c>
      <c r="M942" t="s">
        <v>8817</v>
      </c>
      <c r="N942">
        <v>2.092758737</v>
      </c>
      <c r="O942">
        <v>5.3323610669999999</v>
      </c>
      <c r="P942">
        <v>0.70420098600000003</v>
      </c>
      <c r="Q942">
        <v>0.41355372699999998</v>
      </c>
      <c r="S942" s="13">
        <v>-1.2067674340000001</v>
      </c>
      <c r="T942">
        <v>0.65189517600000002</v>
      </c>
      <c r="U942">
        <v>-9.6610076000000003E-2</v>
      </c>
    </row>
    <row r="943" spans="1:21" x14ac:dyDescent="0.2">
      <c r="A943" t="s">
        <v>1052</v>
      </c>
      <c r="B943">
        <v>748920</v>
      </c>
      <c r="C943" t="s">
        <v>6910</v>
      </c>
      <c r="D943" t="s">
        <v>1052</v>
      </c>
      <c r="E943" t="s">
        <v>7085</v>
      </c>
      <c r="F943">
        <v>19</v>
      </c>
      <c r="G943">
        <v>9</v>
      </c>
      <c r="H943" t="s">
        <v>8818</v>
      </c>
      <c r="J943" t="s">
        <v>2329</v>
      </c>
      <c r="M943" t="s">
        <v>8819</v>
      </c>
      <c r="N943">
        <v>1.9874741039999999</v>
      </c>
      <c r="O943">
        <v>3.7453511220000002</v>
      </c>
      <c r="P943">
        <v>0.451009722</v>
      </c>
      <c r="Q943">
        <v>-0.102386592</v>
      </c>
      <c r="S943" s="13">
        <v>-1.2069266030000001</v>
      </c>
      <c r="T943">
        <v>0.65119964600000002</v>
      </c>
      <c r="U943">
        <v>-5.5255339000000001E-2</v>
      </c>
    </row>
    <row r="944" spans="1:21" x14ac:dyDescent="0.2">
      <c r="A944" t="s">
        <v>610</v>
      </c>
      <c r="B944">
        <v>781360</v>
      </c>
      <c r="C944" t="s">
        <v>6927</v>
      </c>
      <c r="D944" t="s">
        <v>611</v>
      </c>
      <c r="E944" t="s">
        <v>6974</v>
      </c>
      <c r="F944">
        <v>9</v>
      </c>
      <c r="G944">
        <v>15</v>
      </c>
      <c r="H944" t="s">
        <v>8820</v>
      </c>
      <c r="J944" t="s">
        <v>8821</v>
      </c>
      <c r="M944" t="s">
        <v>8822</v>
      </c>
      <c r="N944">
        <v>1.982575982</v>
      </c>
      <c r="O944">
        <v>3.4571926419999999</v>
      </c>
      <c r="P944">
        <v>-0.114791479</v>
      </c>
      <c r="Q944">
        <v>1.868949E-3</v>
      </c>
      <c r="S944" s="13">
        <v>-1.20697491</v>
      </c>
      <c r="T944">
        <v>0.65098855200000005</v>
      </c>
      <c r="U944">
        <v>-0.102088525</v>
      </c>
    </row>
    <row r="945" spans="1:21" x14ac:dyDescent="0.2">
      <c r="A945" t="s">
        <v>718</v>
      </c>
      <c r="B945">
        <v>781120</v>
      </c>
      <c r="C945" t="s">
        <v>6927</v>
      </c>
      <c r="D945" t="s">
        <v>718</v>
      </c>
      <c r="E945" t="s">
        <v>6924</v>
      </c>
      <c r="F945">
        <v>14</v>
      </c>
      <c r="G945">
        <v>6</v>
      </c>
      <c r="H945" t="s">
        <v>8823</v>
      </c>
      <c r="J945" t="s">
        <v>8824</v>
      </c>
      <c r="M945" t="s">
        <v>8825</v>
      </c>
      <c r="N945">
        <v>1.982575982</v>
      </c>
      <c r="O945">
        <v>3.4571926419999999</v>
      </c>
      <c r="P945">
        <v>-0.114791479</v>
      </c>
      <c r="Q945">
        <v>1.868949E-3</v>
      </c>
      <c r="S945" s="13">
        <v>-1.20722394</v>
      </c>
      <c r="T945">
        <v>0.64990034900000004</v>
      </c>
      <c r="U945">
        <v>-0.10223143799999999</v>
      </c>
    </row>
    <row r="946" spans="1:21" x14ac:dyDescent="0.2">
      <c r="A946" t="s">
        <v>892</v>
      </c>
      <c r="B946">
        <v>470640</v>
      </c>
      <c r="C946" t="s">
        <v>6961</v>
      </c>
      <c r="D946" t="s">
        <v>892</v>
      </c>
      <c r="E946" t="s">
        <v>6977</v>
      </c>
      <c r="F946">
        <v>21</v>
      </c>
      <c r="G946">
        <v>5</v>
      </c>
      <c r="H946" t="s">
        <v>8826</v>
      </c>
      <c r="J946" t="s">
        <v>6441</v>
      </c>
      <c r="M946" t="s">
        <v>8827</v>
      </c>
      <c r="N946">
        <v>2.7247480949999998</v>
      </c>
      <c r="O946">
        <v>7.0822175119999997</v>
      </c>
      <c r="P946">
        <v>0.61298291999999999</v>
      </c>
      <c r="Q946">
        <v>0.48262032500000002</v>
      </c>
      <c r="S946" s="13">
        <v>-1.2072290299999999</v>
      </c>
      <c r="T946">
        <v>0.64987810599999996</v>
      </c>
      <c r="U946">
        <v>-0.13332302700000001</v>
      </c>
    </row>
    <row r="947" spans="1:21" x14ac:dyDescent="0.2">
      <c r="A947" t="s">
        <v>1133</v>
      </c>
      <c r="B947">
        <v>723400</v>
      </c>
      <c r="C947" t="s">
        <v>6942</v>
      </c>
      <c r="D947" t="s">
        <v>1134</v>
      </c>
      <c r="E947" t="s">
        <v>6907</v>
      </c>
      <c r="F947">
        <v>8</v>
      </c>
      <c r="G947">
        <v>4</v>
      </c>
      <c r="H947" t="s">
        <v>8828</v>
      </c>
      <c r="J947" t="s">
        <v>2612</v>
      </c>
      <c r="M947" t="s">
        <v>8829</v>
      </c>
      <c r="N947">
        <v>2.0902262079999998</v>
      </c>
      <c r="O947">
        <v>4.2704203920000001</v>
      </c>
      <c r="P947">
        <v>0.23425843900000001</v>
      </c>
      <c r="Q947">
        <v>1.6181978999999999E-2</v>
      </c>
      <c r="S947" s="13">
        <v>-1.207231612</v>
      </c>
      <c r="T947">
        <v>0.64986682500000004</v>
      </c>
      <c r="U947">
        <v>-0.120091498</v>
      </c>
    </row>
    <row r="948" spans="1:21" x14ac:dyDescent="0.2">
      <c r="A948" t="s">
        <v>1773</v>
      </c>
      <c r="B948">
        <v>647800</v>
      </c>
      <c r="C948" t="s">
        <v>6945</v>
      </c>
      <c r="D948" t="s">
        <v>1773</v>
      </c>
      <c r="E948" t="s">
        <v>6970</v>
      </c>
      <c r="F948">
        <v>15</v>
      </c>
      <c r="G948">
        <v>14</v>
      </c>
      <c r="H948" t="s">
        <v>8830</v>
      </c>
      <c r="J948" t="s">
        <v>4732</v>
      </c>
      <c r="M948" t="s">
        <v>8831</v>
      </c>
      <c r="N948">
        <v>2.2220813349999999</v>
      </c>
      <c r="O948">
        <v>6.5440947090000003</v>
      </c>
      <c r="P948">
        <v>0.58228215500000002</v>
      </c>
      <c r="Q948">
        <v>0.35188233000000002</v>
      </c>
      <c r="S948" s="13">
        <v>-1.2072478259999999</v>
      </c>
      <c r="T948">
        <v>0.64979597300000003</v>
      </c>
      <c r="U948">
        <v>-0.12309299999999999</v>
      </c>
    </row>
    <row r="949" spans="1:21" x14ac:dyDescent="0.2">
      <c r="A949" t="s">
        <v>2224</v>
      </c>
      <c r="B949">
        <v>658400</v>
      </c>
      <c r="C949" t="s">
        <v>6931</v>
      </c>
      <c r="D949" t="s">
        <v>2224</v>
      </c>
      <c r="E949" t="s">
        <v>6974</v>
      </c>
      <c r="F949">
        <v>18</v>
      </c>
      <c r="G949">
        <v>15</v>
      </c>
      <c r="H949" t="s">
        <v>8832</v>
      </c>
      <c r="N949">
        <v>1.9323965059999999</v>
      </c>
      <c r="O949">
        <v>3.0528020530000002</v>
      </c>
      <c r="P949">
        <v>2.6493138999999999E-2</v>
      </c>
      <c r="Q949">
        <v>-0.38692188</v>
      </c>
      <c r="S949" s="13">
        <v>-1.2073845350000001</v>
      </c>
      <c r="T949">
        <v>0.64919858799999997</v>
      </c>
      <c r="U949">
        <v>-6.1912644000000003E-2</v>
      </c>
    </row>
    <row r="950" spans="1:21" x14ac:dyDescent="0.2">
      <c r="A950" t="s">
        <v>1736</v>
      </c>
      <c r="B950">
        <v>722840</v>
      </c>
      <c r="C950" t="s">
        <v>6942</v>
      </c>
      <c r="D950" t="s">
        <v>1736</v>
      </c>
      <c r="E950" t="s">
        <v>6924</v>
      </c>
      <c r="F950">
        <v>16</v>
      </c>
      <c r="G950">
        <v>6</v>
      </c>
      <c r="H950" t="s">
        <v>8833</v>
      </c>
      <c r="J950" t="s">
        <v>3143</v>
      </c>
      <c r="M950" t="s">
        <v>8834</v>
      </c>
      <c r="N950">
        <v>2.0902262079999998</v>
      </c>
      <c r="O950">
        <v>4.2704203920000001</v>
      </c>
      <c r="P950">
        <v>0.23425843900000001</v>
      </c>
      <c r="Q950">
        <v>1.6181978999999999E-2</v>
      </c>
      <c r="S950" s="13">
        <v>-1.2077812459999999</v>
      </c>
      <c r="T950">
        <v>0.64746505099999996</v>
      </c>
      <c r="U950">
        <v>-0.12043915700000001</v>
      </c>
    </row>
    <row r="951" spans="1:21" x14ac:dyDescent="0.2">
      <c r="A951" t="s">
        <v>222</v>
      </c>
      <c r="B951">
        <v>722000</v>
      </c>
      <c r="C951" t="s">
        <v>6942</v>
      </c>
      <c r="D951" t="s">
        <v>222</v>
      </c>
      <c r="E951" t="s">
        <v>6924</v>
      </c>
      <c r="F951">
        <v>20</v>
      </c>
      <c r="G951">
        <v>6</v>
      </c>
      <c r="H951" t="s">
        <v>8835</v>
      </c>
      <c r="J951" t="s">
        <v>2393</v>
      </c>
      <c r="M951" t="s">
        <v>8836</v>
      </c>
      <c r="N951">
        <v>2.0902262079999998</v>
      </c>
      <c r="O951">
        <v>4.2704203920000001</v>
      </c>
      <c r="P951">
        <v>0.23425843900000001</v>
      </c>
      <c r="Q951">
        <v>1.6181978999999999E-2</v>
      </c>
      <c r="S951" s="13">
        <v>-1.2086056970000001</v>
      </c>
      <c r="T951">
        <v>0.64386238900000003</v>
      </c>
      <c r="U951">
        <v>-0.12096116799999999</v>
      </c>
    </row>
    <row r="952" spans="1:21" x14ac:dyDescent="0.2">
      <c r="A952" t="s">
        <v>727</v>
      </c>
      <c r="B952">
        <v>657440</v>
      </c>
      <c r="C952" t="s">
        <v>6931</v>
      </c>
      <c r="D952" t="s">
        <v>727</v>
      </c>
      <c r="E952" t="s">
        <v>7115</v>
      </c>
      <c r="F952">
        <v>23</v>
      </c>
      <c r="G952">
        <v>10</v>
      </c>
      <c r="H952" t="s">
        <v>8837</v>
      </c>
      <c r="N952">
        <v>1.9323965059999999</v>
      </c>
      <c r="O952">
        <v>3.0528020530000002</v>
      </c>
      <c r="P952">
        <v>2.6493138999999999E-2</v>
      </c>
      <c r="Q952">
        <v>-0.38692188</v>
      </c>
      <c r="S952" s="13">
        <v>-1.20864595</v>
      </c>
      <c r="T952">
        <v>0.64368649200000005</v>
      </c>
      <c r="U952">
        <v>-6.2434012999999997E-2</v>
      </c>
    </row>
    <row r="953" spans="1:21" x14ac:dyDescent="0.2">
      <c r="A953" t="s">
        <v>1688</v>
      </c>
      <c r="B953">
        <v>746560</v>
      </c>
      <c r="C953" t="s">
        <v>6910</v>
      </c>
      <c r="D953" t="s">
        <v>1688</v>
      </c>
      <c r="E953" t="s">
        <v>6915</v>
      </c>
      <c r="F953">
        <v>22</v>
      </c>
      <c r="G953">
        <v>13</v>
      </c>
      <c r="H953" t="s">
        <v>8838</v>
      </c>
      <c r="J953" t="s">
        <v>2677</v>
      </c>
      <c r="M953" t="s">
        <v>8839</v>
      </c>
      <c r="N953">
        <v>1.9874741039999999</v>
      </c>
      <c r="O953">
        <v>3.7453511220000002</v>
      </c>
      <c r="P953">
        <v>0.451009722</v>
      </c>
      <c r="Q953">
        <v>-0.102386592</v>
      </c>
      <c r="S953" s="13">
        <v>-1.209465711</v>
      </c>
      <c r="T953">
        <v>0.64010432100000003</v>
      </c>
      <c r="U953">
        <v>-5.6518618E-2</v>
      </c>
    </row>
    <row r="954" spans="1:21" x14ac:dyDescent="0.2">
      <c r="A954" t="s">
        <v>1394</v>
      </c>
      <c r="B954">
        <v>843600</v>
      </c>
      <c r="C954" t="s">
        <v>6953</v>
      </c>
      <c r="D954" t="s">
        <v>1394</v>
      </c>
      <c r="E954" t="s">
        <v>6939</v>
      </c>
      <c r="F954">
        <v>16</v>
      </c>
      <c r="G954">
        <v>2</v>
      </c>
      <c r="H954" t="s">
        <v>8840</v>
      </c>
      <c r="J954" t="s">
        <v>1406</v>
      </c>
      <c r="M954" t="s">
        <v>8841</v>
      </c>
      <c r="N954">
        <v>1.921480887</v>
      </c>
      <c r="O954">
        <v>3.0856645180000002</v>
      </c>
      <c r="P954">
        <v>0.44706724399999997</v>
      </c>
      <c r="Q954">
        <v>-0.354940863</v>
      </c>
      <c r="S954" s="13">
        <v>-1.209869882</v>
      </c>
      <c r="T954">
        <v>0.63833818799999997</v>
      </c>
      <c r="U954">
        <v>-5.7602825000000003E-2</v>
      </c>
    </row>
    <row r="955" spans="1:21" x14ac:dyDescent="0.2">
      <c r="A955" t="s">
        <v>929</v>
      </c>
      <c r="B955">
        <v>837080</v>
      </c>
      <c r="C955" t="s">
        <v>6914</v>
      </c>
      <c r="D955" t="s">
        <v>929</v>
      </c>
      <c r="E955" t="s">
        <v>6956</v>
      </c>
      <c r="F955">
        <v>19</v>
      </c>
      <c r="G955">
        <v>7</v>
      </c>
      <c r="H955" t="s">
        <v>8842</v>
      </c>
      <c r="J955" t="s">
        <v>2101</v>
      </c>
      <c r="M955" t="s">
        <v>8843</v>
      </c>
      <c r="N955">
        <v>1.8217074179999999</v>
      </c>
      <c r="O955">
        <v>4.1700741289999996</v>
      </c>
      <c r="P955">
        <v>0.189705977</v>
      </c>
      <c r="Q955">
        <v>-1.7194070999999998E-2</v>
      </c>
      <c r="S955" s="13">
        <v>-1.2101705519999999</v>
      </c>
      <c r="T955">
        <v>0.63702433000000003</v>
      </c>
      <c r="U955">
        <v>-0.116876457</v>
      </c>
    </row>
    <row r="956" spans="1:21" x14ac:dyDescent="0.2">
      <c r="A956" t="s">
        <v>79</v>
      </c>
      <c r="B956">
        <v>720240</v>
      </c>
      <c r="C956" t="s">
        <v>6942</v>
      </c>
      <c r="D956" t="s">
        <v>80</v>
      </c>
      <c r="E956" t="s">
        <v>6946</v>
      </c>
      <c r="F956">
        <v>1</v>
      </c>
      <c r="G956">
        <v>11</v>
      </c>
      <c r="H956" t="s">
        <v>8844</v>
      </c>
      <c r="J956" t="s">
        <v>82</v>
      </c>
      <c r="M956" t="s">
        <v>8845</v>
      </c>
      <c r="N956">
        <v>2.0902262079999998</v>
      </c>
      <c r="O956">
        <v>4.2704203920000001</v>
      </c>
      <c r="P956">
        <v>0.23425843900000001</v>
      </c>
      <c r="Q956">
        <v>1.6181978999999999E-2</v>
      </c>
      <c r="S956" s="13">
        <v>-1.210333117</v>
      </c>
      <c r="T956">
        <v>0.63631395499999999</v>
      </c>
      <c r="U956">
        <v>-0.122056945</v>
      </c>
    </row>
    <row r="957" spans="1:21" x14ac:dyDescent="0.2">
      <c r="A957" t="s">
        <v>337</v>
      </c>
      <c r="B957">
        <v>777960</v>
      </c>
      <c r="C957" t="s">
        <v>6927</v>
      </c>
      <c r="D957" t="s">
        <v>337</v>
      </c>
      <c r="E957" t="s">
        <v>6974</v>
      </c>
      <c r="F957">
        <v>13</v>
      </c>
      <c r="G957">
        <v>15</v>
      </c>
      <c r="H957" t="s">
        <v>8846</v>
      </c>
      <c r="J957" t="s">
        <v>8847</v>
      </c>
      <c r="M957" t="s">
        <v>8848</v>
      </c>
      <c r="N957">
        <v>1.982575982</v>
      </c>
      <c r="O957">
        <v>3.4571926419999999</v>
      </c>
      <c r="P957">
        <v>-0.114791479</v>
      </c>
      <c r="Q957">
        <v>1.868949E-3</v>
      </c>
      <c r="S957" s="13">
        <v>-1.2105028330000001</v>
      </c>
      <c r="T957">
        <v>0.63557233700000004</v>
      </c>
      <c r="U957">
        <v>-0.104117524</v>
      </c>
    </row>
    <row r="958" spans="1:21" x14ac:dyDescent="0.2">
      <c r="A958" t="s">
        <v>516</v>
      </c>
      <c r="B958">
        <v>719960</v>
      </c>
      <c r="C958" t="s">
        <v>6942</v>
      </c>
      <c r="D958" t="s">
        <v>516</v>
      </c>
      <c r="E958" t="s">
        <v>6939</v>
      </c>
      <c r="F958">
        <v>13</v>
      </c>
      <c r="G958">
        <v>2</v>
      </c>
      <c r="H958" t="s">
        <v>8849</v>
      </c>
      <c r="J958" t="s">
        <v>2605</v>
      </c>
      <c r="M958" t="s">
        <v>8850</v>
      </c>
      <c r="N958">
        <v>2.0902262079999998</v>
      </c>
      <c r="O958">
        <v>4.2704203920000001</v>
      </c>
      <c r="P958">
        <v>0.23425843900000001</v>
      </c>
      <c r="Q958">
        <v>1.6181978999999999E-2</v>
      </c>
      <c r="S958" s="13">
        <v>-1.210607934</v>
      </c>
      <c r="T958">
        <v>0.63511306700000003</v>
      </c>
      <c r="U958">
        <v>-0.12223152800000001</v>
      </c>
    </row>
    <row r="959" spans="1:21" x14ac:dyDescent="0.2">
      <c r="A959" t="s">
        <v>1062</v>
      </c>
      <c r="B959">
        <v>644160</v>
      </c>
      <c r="C959" t="s">
        <v>6945</v>
      </c>
      <c r="D959" t="s">
        <v>1062</v>
      </c>
      <c r="E959" t="s">
        <v>6924</v>
      </c>
      <c r="F959">
        <v>17</v>
      </c>
      <c r="G959">
        <v>6</v>
      </c>
      <c r="H959" t="s">
        <v>8851</v>
      </c>
      <c r="J959" t="s">
        <v>2690</v>
      </c>
      <c r="M959" t="s">
        <v>8852</v>
      </c>
      <c r="N959">
        <v>2.2220813349999999</v>
      </c>
      <c r="O959">
        <v>6.5440947090000003</v>
      </c>
      <c r="P959">
        <v>0.58228215500000002</v>
      </c>
      <c r="Q959">
        <v>0.35188233000000002</v>
      </c>
      <c r="S959" s="13">
        <v>-1.210681205</v>
      </c>
      <c r="T959">
        <v>0.63479289100000003</v>
      </c>
      <c r="U959">
        <v>-0.12537352299999999</v>
      </c>
    </row>
    <row r="960" spans="1:21" x14ac:dyDescent="0.2">
      <c r="A960" t="s">
        <v>551</v>
      </c>
      <c r="B960">
        <v>701680</v>
      </c>
      <c r="C960" t="s">
        <v>6906</v>
      </c>
      <c r="D960" t="s">
        <v>551</v>
      </c>
      <c r="E960" t="s">
        <v>6928</v>
      </c>
      <c r="F960">
        <v>11</v>
      </c>
      <c r="G960">
        <v>16</v>
      </c>
      <c r="H960" t="s">
        <v>8853</v>
      </c>
      <c r="J960" t="s">
        <v>8854</v>
      </c>
      <c r="M960" t="s">
        <v>8855</v>
      </c>
      <c r="N960">
        <v>1.813871112</v>
      </c>
      <c r="O960">
        <v>2.6633694910000001</v>
      </c>
      <c r="P960">
        <v>-0.29586356800000002</v>
      </c>
      <c r="Q960">
        <v>-0.59018158399999998</v>
      </c>
      <c r="S960" s="13">
        <v>-1.2107355289999999</v>
      </c>
      <c r="T960">
        <v>0.63455550900000002</v>
      </c>
      <c r="U960">
        <v>-0.10459631599999999</v>
      </c>
    </row>
    <row r="961" spans="1:21" x14ac:dyDescent="0.2">
      <c r="A961" t="s">
        <v>203</v>
      </c>
      <c r="B961">
        <v>842600</v>
      </c>
      <c r="C961" t="s">
        <v>6953</v>
      </c>
      <c r="D961" t="s">
        <v>204</v>
      </c>
      <c r="E961" t="s">
        <v>6915</v>
      </c>
      <c r="F961">
        <v>1</v>
      </c>
      <c r="G961">
        <v>13</v>
      </c>
      <c r="H961" t="s">
        <v>8856</v>
      </c>
      <c r="J961" t="s">
        <v>1018</v>
      </c>
      <c r="M961" t="s">
        <v>8857</v>
      </c>
      <c r="N961">
        <v>1.921480887</v>
      </c>
      <c r="O961">
        <v>3.0856645180000002</v>
      </c>
      <c r="P961">
        <v>0.44706724399999997</v>
      </c>
      <c r="Q961">
        <v>-0.354940863</v>
      </c>
      <c r="S961" s="13">
        <v>-1.2109075060000001</v>
      </c>
      <c r="T961">
        <v>0.63380400699999995</v>
      </c>
      <c r="U961">
        <v>-5.8140563999999999E-2</v>
      </c>
    </row>
    <row r="962" spans="1:21" x14ac:dyDescent="0.2">
      <c r="A962" t="s">
        <v>610</v>
      </c>
      <c r="B962">
        <v>719520</v>
      </c>
      <c r="C962" t="s">
        <v>6942</v>
      </c>
      <c r="D962" t="s">
        <v>611</v>
      </c>
      <c r="E962" t="s">
        <v>6974</v>
      </c>
      <c r="F962">
        <v>9</v>
      </c>
      <c r="G962">
        <v>15</v>
      </c>
      <c r="H962" t="s">
        <v>8858</v>
      </c>
      <c r="J962" t="s">
        <v>2561</v>
      </c>
      <c r="M962" t="s">
        <v>8859</v>
      </c>
      <c r="N962">
        <v>2.0902262079999998</v>
      </c>
      <c r="O962">
        <v>4.2704203920000001</v>
      </c>
      <c r="P962">
        <v>0.23425843900000001</v>
      </c>
      <c r="Q962">
        <v>1.6181978999999999E-2</v>
      </c>
      <c r="S962" s="13">
        <v>-1.2110397900000001</v>
      </c>
      <c r="T962">
        <v>0.633225959</v>
      </c>
      <c r="U962">
        <v>-0.122506015</v>
      </c>
    </row>
    <row r="963" spans="1:21" x14ac:dyDescent="0.2">
      <c r="A963" t="s">
        <v>1683</v>
      </c>
      <c r="B963">
        <v>655520</v>
      </c>
      <c r="C963" t="s">
        <v>6931</v>
      </c>
      <c r="D963" t="s">
        <v>1683</v>
      </c>
      <c r="E963" t="s">
        <v>6915</v>
      </c>
      <c r="F963">
        <v>16</v>
      </c>
      <c r="G963">
        <v>13</v>
      </c>
      <c r="H963" t="s">
        <v>8860</v>
      </c>
      <c r="N963">
        <v>1.9323965059999999</v>
      </c>
      <c r="O963">
        <v>3.0528020530000002</v>
      </c>
      <c r="P963">
        <v>2.6493138999999999E-2</v>
      </c>
      <c r="Q963">
        <v>-0.38692188</v>
      </c>
      <c r="S963" s="13">
        <v>-1.2111687799999999</v>
      </c>
      <c r="T963">
        <v>0.63266230000000001</v>
      </c>
      <c r="U963">
        <v>-6.3478630999999994E-2</v>
      </c>
    </row>
    <row r="964" spans="1:21" x14ac:dyDescent="0.2">
      <c r="A964" t="s">
        <v>1251</v>
      </c>
      <c r="B964">
        <v>819640</v>
      </c>
      <c r="C964" t="s">
        <v>6938</v>
      </c>
      <c r="D964" t="s">
        <v>1251</v>
      </c>
      <c r="E964" t="s">
        <v>6907</v>
      </c>
      <c r="F964">
        <v>17</v>
      </c>
      <c r="G964">
        <v>4</v>
      </c>
      <c r="H964" t="s">
        <v>8861</v>
      </c>
      <c r="J964" t="s">
        <v>2052</v>
      </c>
      <c r="M964" t="s">
        <v>8862</v>
      </c>
      <c r="N964">
        <v>2.092758737</v>
      </c>
      <c r="O964">
        <v>5.3323610669999999</v>
      </c>
      <c r="P964">
        <v>0.70420098600000003</v>
      </c>
      <c r="Q964">
        <v>0.41355372699999998</v>
      </c>
      <c r="S964" s="13">
        <v>-1.2111989009999999</v>
      </c>
      <c r="T964">
        <v>0.63253067900000004</v>
      </c>
      <c r="U964">
        <v>-9.9654331999999998E-2</v>
      </c>
    </row>
    <row r="965" spans="1:21" x14ac:dyDescent="0.2">
      <c r="A965" t="s">
        <v>709</v>
      </c>
      <c r="B965">
        <v>836120</v>
      </c>
      <c r="C965" t="s">
        <v>6914</v>
      </c>
      <c r="D965" t="s">
        <v>709</v>
      </c>
      <c r="E965" t="s">
        <v>6928</v>
      </c>
      <c r="F965">
        <v>20</v>
      </c>
      <c r="G965">
        <v>16</v>
      </c>
      <c r="H965" t="s">
        <v>8863</v>
      </c>
      <c r="J965" t="s">
        <v>2532</v>
      </c>
      <c r="M965" t="s">
        <v>8864</v>
      </c>
      <c r="N965">
        <v>1.8217074179999999</v>
      </c>
      <c r="O965">
        <v>4.1700741289999996</v>
      </c>
      <c r="P965">
        <v>0.189705977</v>
      </c>
      <c r="Q965">
        <v>-1.7194070999999998E-2</v>
      </c>
      <c r="S965" s="13">
        <v>-1.2113252029999999</v>
      </c>
      <c r="T965">
        <v>0.63197876900000005</v>
      </c>
      <c r="U965">
        <v>-0.117468214</v>
      </c>
    </row>
    <row r="966" spans="1:21" x14ac:dyDescent="0.2">
      <c r="A966" t="s">
        <v>1330</v>
      </c>
      <c r="B966">
        <v>655360</v>
      </c>
      <c r="C966" t="s">
        <v>6931</v>
      </c>
      <c r="D966" t="s">
        <v>1330</v>
      </c>
      <c r="E966" t="s">
        <v>6915</v>
      </c>
      <c r="F966">
        <v>23</v>
      </c>
      <c r="G966">
        <v>13</v>
      </c>
      <c r="H966" t="s">
        <v>8865</v>
      </c>
      <c r="N966">
        <v>1.9323965059999999</v>
      </c>
      <c r="O966">
        <v>3.0528020530000002</v>
      </c>
      <c r="P966">
        <v>2.6493138999999999E-2</v>
      </c>
      <c r="Q966">
        <v>-0.38692188</v>
      </c>
      <c r="S966" s="13">
        <v>-1.211379016</v>
      </c>
      <c r="T966">
        <v>0.63174361800000001</v>
      </c>
      <c r="U966">
        <v>-6.3565795999999994E-2</v>
      </c>
    </row>
    <row r="967" spans="1:21" x14ac:dyDescent="0.2">
      <c r="A967" t="s">
        <v>727</v>
      </c>
      <c r="B967">
        <v>776680</v>
      </c>
      <c r="C967" t="s">
        <v>6927</v>
      </c>
      <c r="D967" t="s">
        <v>727</v>
      </c>
      <c r="E967" t="s">
        <v>7115</v>
      </c>
      <c r="F967">
        <v>23</v>
      </c>
      <c r="G967">
        <v>10</v>
      </c>
      <c r="H967" t="s">
        <v>8866</v>
      </c>
      <c r="J967" t="s">
        <v>8867</v>
      </c>
      <c r="M967" t="s">
        <v>8868</v>
      </c>
      <c r="N967">
        <v>1.982575982</v>
      </c>
      <c r="O967">
        <v>3.4571926419999999</v>
      </c>
      <c r="P967">
        <v>-0.114791479</v>
      </c>
      <c r="Q967">
        <v>1.868949E-3</v>
      </c>
      <c r="S967" s="13">
        <v>-1.2118309920000001</v>
      </c>
      <c r="T967">
        <v>0.62976858599999996</v>
      </c>
      <c r="U967">
        <v>-0.104883845</v>
      </c>
    </row>
    <row r="968" spans="1:21" x14ac:dyDescent="0.2">
      <c r="A968" t="s">
        <v>448</v>
      </c>
      <c r="B968">
        <v>841360</v>
      </c>
      <c r="C968" t="s">
        <v>6953</v>
      </c>
      <c r="D968" t="s">
        <v>448</v>
      </c>
      <c r="E968" t="s">
        <v>6974</v>
      </c>
      <c r="F968">
        <v>22</v>
      </c>
      <c r="G968">
        <v>15</v>
      </c>
      <c r="H968" t="s">
        <v>8869</v>
      </c>
      <c r="J968" t="s">
        <v>791</v>
      </c>
      <c r="M968" t="s">
        <v>8870</v>
      </c>
      <c r="N968">
        <v>1.921480887</v>
      </c>
      <c r="O968">
        <v>3.0856645180000002</v>
      </c>
      <c r="P968">
        <v>0.44706724399999997</v>
      </c>
      <c r="Q968">
        <v>-0.354940863</v>
      </c>
      <c r="S968" s="13">
        <v>-1.2121941599999999</v>
      </c>
      <c r="T968">
        <v>0.62818162300000002</v>
      </c>
      <c r="U968">
        <v>-5.8808287000000001E-2</v>
      </c>
    </row>
    <row r="969" spans="1:21" x14ac:dyDescent="0.2">
      <c r="A969" t="s">
        <v>2252</v>
      </c>
      <c r="B969">
        <v>776280</v>
      </c>
      <c r="C969" t="s">
        <v>6927</v>
      </c>
      <c r="D969" t="s">
        <v>2253</v>
      </c>
      <c r="E969" t="s">
        <v>6924</v>
      </c>
      <c r="F969">
        <v>4</v>
      </c>
      <c r="G969">
        <v>6</v>
      </c>
      <c r="H969" t="s">
        <v>8871</v>
      </c>
      <c r="J969" t="s">
        <v>8872</v>
      </c>
      <c r="M969" t="s">
        <v>8873</v>
      </c>
      <c r="N969">
        <v>1.982575982</v>
      </c>
      <c r="O969">
        <v>3.4571926419999999</v>
      </c>
      <c r="P969">
        <v>-0.114791479</v>
      </c>
      <c r="Q969">
        <v>1.868949E-3</v>
      </c>
      <c r="S969" s="13">
        <v>-1.212246041</v>
      </c>
      <c r="T969">
        <v>0.62795491400000003</v>
      </c>
      <c r="U969">
        <v>-0.105123598</v>
      </c>
    </row>
    <row r="970" spans="1:21" x14ac:dyDescent="0.2">
      <c r="A970" t="s">
        <v>1260</v>
      </c>
      <c r="B970">
        <v>642080</v>
      </c>
      <c r="C970" t="s">
        <v>6945</v>
      </c>
      <c r="D970" t="s">
        <v>1260</v>
      </c>
      <c r="E970" t="s">
        <v>6915</v>
      </c>
      <c r="F970">
        <v>19</v>
      </c>
      <c r="G970">
        <v>13</v>
      </c>
      <c r="H970" t="s">
        <v>8874</v>
      </c>
      <c r="J970" t="s">
        <v>5499</v>
      </c>
      <c r="M970" t="s">
        <v>8875</v>
      </c>
      <c r="N970">
        <v>2.2220813349999999</v>
      </c>
      <c r="O970">
        <v>6.5440947090000003</v>
      </c>
      <c r="P970">
        <v>0.58228215500000002</v>
      </c>
      <c r="Q970">
        <v>0.35188233000000002</v>
      </c>
      <c r="S970" s="13">
        <v>-1.2126431360000001</v>
      </c>
      <c r="T970">
        <v>0.62621970100000002</v>
      </c>
      <c r="U970">
        <v>-0.126682076</v>
      </c>
    </row>
    <row r="971" spans="1:21" x14ac:dyDescent="0.2">
      <c r="A971" t="s">
        <v>448</v>
      </c>
      <c r="B971">
        <v>775720</v>
      </c>
      <c r="C971" t="s">
        <v>6927</v>
      </c>
      <c r="D971" t="s">
        <v>448</v>
      </c>
      <c r="E971" t="s">
        <v>6974</v>
      </c>
      <c r="F971">
        <v>22</v>
      </c>
      <c r="G971">
        <v>15</v>
      </c>
      <c r="H971" t="s">
        <v>8876</v>
      </c>
      <c r="J971" t="s">
        <v>8877</v>
      </c>
      <c r="M971" t="s">
        <v>8878</v>
      </c>
      <c r="N971">
        <v>1.982575982</v>
      </c>
      <c r="O971">
        <v>3.4571926419999999</v>
      </c>
      <c r="P971">
        <v>-0.114791479</v>
      </c>
      <c r="Q971">
        <v>1.868949E-3</v>
      </c>
      <c r="S971" s="13">
        <v>-1.212827111</v>
      </c>
      <c r="T971">
        <v>0.62541577199999998</v>
      </c>
      <c r="U971">
        <v>-0.105459475</v>
      </c>
    </row>
    <row r="972" spans="1:21" x14ac:dyDescent="0.2">
      <c r="A972" t="s">
        <v>788</v>
      </c>
      <c r="B972">
        <v>463280</v>
      </c>
      <c r="C972" t="s">
        <v>6961</v>
      </c>
      <c r="D972" t="s">
        <v>788</v>
      </c>
      <c r="E972" t="s">
        <v>6921</v>
      </c>
      <c r="F972">
        <v>13</v>
      </c>
      <c r="G972">
        <v>8</v>
      </c>
      <c r="H972" t="s">
        <v>8879</v>
      </c>
      <c r="J972" t="s">
        <v>4720</v>
      </c>
      <c r="M972" t="s">
        <v>8880</v>
      </c>
      <c r="N972">
        <v>2.7247480949999998</v>
      </c>
      <c r="O972">
        <v>7.0822175119999997</v>
      </c>
      <c r="P972">
        <v>0.61298291999999999</v>
      </c>
      <c r="Q972">
        <v>0.48262032500000002</v>
      </c>
      <c r="S972" s="13">
        <v>-1.2130553180000001</v>
      </c>
      <c r="T972">
        <v>0.62441855999999996</v>
      </c>
      <c r="U972">
        <v>-0.13805744</v>
      </c>
    </row>
    <row r="973" spans="1:21" x14ac:dyDescent="0.2">
      <c r="A973" t="s">
        <v>1126</v>
      </c>
      <c r="B973">
        <v>743200</v>
      </c>
      <c r="C973" t="s">
        <v>6910</v>
      </c>
      <c r="D973" t="s">
        <v>1126</v>
      </c>
      <c r="E973" t="s">
        <v>6970</v>
      </c>
      <c r="F973">
        <v>10</v>
      </c>
      <c r="G973">
        <v>14</v>
      </c>
      <c r="H973" t="s">
        <v>8881</v>
      </c>
      <c r="J973" t="s">
        <v>5999</v>
      </c>
      <c r="M973" t="s">
        <v>8882</v>
      </c>
      <c r="N973">
        <v>1.9874741039999999</v>
      </c>
      <c r="O973">
        <v>3.7453511220000002</v>
      </c>
      <c r="P973">
        <v>0.451009722</v>
      </c>
      <c r="Q973">
        <v>-0.102386592</v>
      </c>
      <c r="S973" s="13">
        <v>-1.2130807139999999</v>
      </c>
      <c r="T973">
        <v>0.62430758799999997</v>
      </c>
      <c r="U973">
        <v>-5.8323547000000003E-2</v>
      </c>
    </row>
    <row r="974" spans="1:21" x14ac:dyDescent="0.2">
      <c r="A974" t="s">
        <v>2073</v>
      </c>
      <c r="B974">
        <v>775320</v>
      </c>
      <c r="C974" t="s">
        <v>6927</v>
      </c>
      <c r="D974" t="s">
        <v>2074</v>
      </c>
      <c r="E974" t="s">
        <v>7085</v>
      </c>
      <c r="F974">
        <v>2</v>
      </c>
      <c r="G974">
        <v>9</v>
      </c>
      <c r="H974" t="s">
        <v>8883</v>
      </c>
      <c r="J974" t="s">
        <v>8884</v>
      </c>
      <c r="M974" t="s">
        <v>8885</v>
      </c>
      <c r="N974">
        <v>1.982575982</v>
      </c>
      <c r="O974">
        <v>3.4571926419999999</v>
      </c>
      <c r="P974">
        <v>-0.114791479</v>
      </c>
      <c r="Q974">
        <v>1.868949E-3</v>
      </c>
      <c r="S974" s="13">
        <v>-1.2132421609999999</v>
      </c>
      <c r="T974">
        <v>0.62360210000000005</v>
      </c>
      <c r="U974">
        <v>-0.10569954600000001</v>
      </c>
    </row>
    <row r="975" spans="1:21" x14ac:dyDescent="0.2">
      <c r="A975" t="s">
        <v>1160</v>
      </c>
      <c r="B975">
        <v>817200</v>
      </c>
      <c r="C975" t="s">
        <v>6938</v>
      </c>
      <c r="D975" t="s">
        <v>1160</v>
      </c>
      <c r="E975" t="s">
        <v>6907</v>
      </c>
      <c r="F975">
        <v>22</v>
      </c>
      <c r="G975">
        <v>4</v>
      </c>
      <c r="H975" t="s">
        <v>8886</v>
      </c>
      <c r="J975" t="s">
        <v>4633</v>
      </c>
      <c r="M975" t="s">
        <v>8887</v>
      </c>
      <c r="N975">
        <v>2.092758737</v>
      </c>
      <c r="O975">
        <v>5.3323610669999999</v>
      </c>
      <c r="P975">
        <v>0.70420098600000003</v>
      </c>
      <c r="Q975">
        <v>0.41355372699999998</v>
      </c>
      <c r="S975" s="13">
        <v>-1.213294401</v>
      </c>
      <c r="T975">
        <v>0.62337382399999997</v>
      </c>
      <c r="U975">
        <v>-0.10110133</v>
      </c>
    </row>
    <row r="976" spans="1:21" x14ac:dyDescent="0.2">
      <c r="A976" t="s">
        <v>207</v>
      </c>
      <c r="B976">
        <v>716560</v>
      </c>
      <c r="C976" t="s">
        <v>6942</v>
      </c>
      <c r="D976" t="s">
        <v>207</v>
      </c>
      <c r="E976" t="s">
        <v>6939</v>
      </c>
      <c r="F976">
        <v>21</v>
      </c>
      <c r="G976">
        <v>2</v>
      </c>
      <c r="H976" t="s">
        <v>8888</v>
      </c>
      <c r="J976" t="s">
        <v>209</v>
      </c>
      <c r="M976" t="s">
        <v>8889</v>
      </c>
      <c r="N976">
        <v>2.0902262079999998</v>
      </c>
      <c r="O976">
        <v>4.2704203920000001</v>
      </c>
      <c r="P976">
        <v>0.23425843900000001</v>
      </c>
      <c r="Q976">
        <v>1.6181978999999999E-2</v>
      </c>
      <c r="S976" s="13">
        <v>-1.213944997</v>
      </c>
      <c r="T976">
        <v>0.62053086499999999</v>
      </c>
      <c r="U976">
        <v>-0.12435708600000001</v>
      </c>
    </row>
    <row r="977" spans="1:21" x14ac:dyDescent="0.2">
      <c r="A977" t="s">
        <v>259</v>
      </c>
      <c r="B977">
        <v>816200</v>
      </c>
      <c r="C977" t="s">
        <v>6938</v>
      </c>
      <c r="D977" t="s">
        <v>260</v>
      </c>
      <c r="E977" t="s">
        <v>6956</v>
      </c>
      <c r="F977">
        <v>1</v>
      </c>
      <c r="G977">
        <v>7</v>
      </c>
      <c r="H977" t="s">
        <v>8890</v>
      </c>
      <c r="J977" t="s">
        <v>1770</v>
      </c>
      <c r="M977" t="s">
        <v>8891</v>
      </c>
      <c r="N977">
        <v>2.092758737</v>
      </c>
      <c r="O977">
        <v>5.3323610669999999</v>
      </c>
      <c r="P977">
        <v>0.70420098600000003</v>
      </c>
      <c r="Q977">
        <v>0.41355372699999998</v>
      </c>
      <c r="S977" s="13">
        <v>-1.214153212</v>
      </c>
      <c r="T977">
        <v>0.619621015</v>
      </c>
      <c r="U977">
        <v>-0.101695757</v>
      </c>
    </row>
    <row r="978" spans="1:21" x14ac:dyDescent="0.2">
      <c r="A978" t="s">
        <v>2224</v>
      </c>
      <c r="B978">
        <v>640320</v>
      </c>
      <c r="C978" t="s">
        <v>6945</v>
      </c>
      <c r="D978" t="s">
        <v>2224</v>
      </c>
      <c r="E978" t="s">
        <v>6974</v>
      </c>
      <c r="F978">
        <v>18</v>
      </c>
      <c r="G978">
        <v>15</v>
      </c>
      <c r="H978" t="s">
        <v>8892</v>
      </c>
      <c r="J978" t="s">
        <v>4511</v>
      </c>
      <c r="M978" t="s">
        <v>8893</v>
      </c>
      <c r="N978">
        <v>2.2220813349999999</v>
      </c>
      <c r="O978">
        <v>6.5440947090000003</v>
      </c>
      <c r="P978">
        <v>0.58228215500000002</v>
      </c>
      <c r="Q978">
        <v>0.35188233000000002</v>
      </c>
      <c r="S978" s="13">
        <v>-1.214303232</v>
      </c>
      <c r="T978">
        <v>0.61896546299999999</v>
      </c>
      <c r="U978">
        <v>-0.127792401</v>
      </c>
    </row>
    <row r="979" spans="1:21" x14ac:dyDescent="0.2">
      <c r="A979" t="s">
        <v>267</v>
      </c>
      <c r="B979">
        <v>699040</v>
      </c>
      <c r="C979" t="s">
        <v>6906</v>
      </c>
      <c r="D979" t="s">
        <v>268</v>
      </c>
      <c r="E979" t="s">
        <v>6911</v>
      </c>
      <c r="F979">
        <v>2</v>
      </c>
      <c r="G979">
        <v>12</v>
      </c>
      <c r="H979" t="s">
        <v>8894</v>
      </c>
      <c r="J979" t="s">
        <v>270</v>
      </c>
      <c r="M979" t="s">
        <v>8895</v>
      </c>
      <c r="N979">
        <v>1.813871112</v>
      </c>
      <c r="O979">
        <v>2.6633694910000001</v>
      </c>
      <c r="P979">
        <v>-0.29586356800000002</v>
      </c>
      <c r="Q979">
        <v>-0.59018158399999998</v>
      </c>
      <c r="S979" s="13">
        <v>-1.214565501</v>
      </c>
      <c r="T979">
        <v>0.61781940499999999</v>
      </c>
      <c r="U979">
        <v>-0.10618008700000001</v>
      </c>
    </row>
    <row r="980" spans="1:21" x14ac:dyDescent="0.2">
      <c r="A980" t="s">
        <v>380</v>
      </c>
      <c r="B980">
        <v>833240</v>
      </c>
      <c r="C980" t="s">
        <v>6914</v>
      </c>
      <c r="D980" t="s">
        <v>380</v>
      </c>
      <c r="E980" t="s">
        <v>6928</v>
      </c>
      <c r="F980">
        <v>16</v>
      </c>
      <c r="G980">
        <v>16</v>
      </c>
      <c r="H980" t="s">
        <v>8896</v>
      </c>
      <c r="J980" t="s">
        <v>382</v>
      </c>
      <c r="M980" t="s">
        <v>8897</v>
      </c>
      <c r="N980">
        <v>1.8217074179999999</v>
      </c>
      <c r="O980">
        <v>4.1700741289999996</v>
      </c>
      <c r="P980">
        <v>0.189705977</v>
      </c>
      <c r="Q980">
        <v>-1.7194070999999998E-2</v>
      </c>
      <c r="S980" s="13">
        <v>-1.2147891559999999</v>
      </c>
      <c r="T980">
        <v>0.61684208500000004</v>
      </c>
      <c r="U980">
        <v>-0.11924833999999999</v>
      </c>
    </row>
    <row r="981" spans="1:21" x14ac:dyDescent="0.2">
      <c r="A981" t="s">
        <v>253</v>
      </c>
      <c r="B981">
        <v>461080</v>
      </c>
      <c r="C981" t="s">
        <v>6961</v>
      </c>
      <c r="D981" t="s">
        <v>254</v>
      </c>
      <c r="E981" t="s">
        <v>6939</v>
      </c>
      <c r="F981">
        <v>4</v>
      </c>
      <c r="G981">
        <v>2</v>
      </c>
      <c r="H981" t="s">
        <v>8898</v>
      </c>
      <c r="J981" t="s">
        <v>6443</v>
      </c>
      <c r="M981" t="s">
        <v>8899</v>
      </c>
      <c r="N981">
        <v>2.7247480949999998</v>
      </c>
      <c r="O981">
        <v>7.0822175119999997</v>
      </c>
      <c r="P981">
        <v>0.61298291999999999</v>
      </c>
      <c r="Q981">
        <v>0.48262032500000002</v>
      </c>
      <c r="S981" s="13">
        <v>-1.214796872</v>
      </c>
      <c r="T981">
        <v>0.61680836900000002</v>
      </c>
      <c r="U981">
        <v>-0.13948269599999999</v>
      </c>
    </row>
    <row r="982" spans="1:21" x14ac:dyDescent="0.2">
      <c r="A982" t="s">
        <v>709</v>
      </c>
      <c r="B982">
        <v>639760</v>
      </c>
      <c r="C982" t="s">
        <v>6945</v>
      </c>
      <c r="D982" t="s">
        <v>709</v>
      </c>
      <c r="E982" t="s">
        <v>6928</v>
      </c>
      <c r="F982">
        <v>20</v>
      </c>
      <c r="G982">
        <v>16</v>
      </c>
      <c r="H982" t="s">
        <v>8900</v>
      </c>
      <c r="J982" t="s">
        <v>5997</v>
      </c>
      <c r="M982" t="s">
        <v>8901</v>
      </c>
      <c r="N982">
        <v>2.2220813349999999</v>
      </c>
      <c r="O982">
        <v>6.5440947090000003</v>
      </c>
      <c r="P982">
        <v>0.58228215500000002</v>
      </c>
      <c r="Q982">
        <v>0.35188233000000002</v>
      </c>
      <c r="S982" s="13">
        <v>-1.2148314440000001</v>
      </c>
      <c r="T982">
        <v>0.61665729700000005</v>
      </c>
      <c r="U982">
        <v>-0.128146282</v>
      </c>
    </row>
    <row r="983" spans="1:21" x14ac:dyDescent="0.2">
      <c r="A983" t="s">
        <v>2252</v>
      </c>
      <c r="B983">
        <v>715640</v>
      </c>
      <c r="C983" t="s">
        <v>6942</v>
      </c>
      <c r="D983" t="s">
        <v>2253</v>
      </c>
      <c r="E983" t="s">
        <v>6924</v>
      </c>
      <c r="F983">
        <v>4</v>
      </c>
      <c r="G983">
        <v>6</v>
      </c>
      <c r="H983" t="s">
        <v>8902</v>
      </c>
      <c r="J983" t="s">
        <v>3730</v>
      </c>
      <c r="M983" t="s">
        <v>8903</v>
      </c>
      <c r="N983">
        <v>2.0902262079999998</v>
      </c>
      <c r="O983">
        <v>4.2704203920000001</v>
      </c>
      <c r="P983">
        <v>0.23425843900000001</v>
      </c>
      <c r="Q983">
        <v>1.6181978999999999E-2</v>
      </c>
      <c r="S983" s="13">
        <v>-1.2148479670000001</v>
      </c>
      <c r="T983">
        <v>0.616585092</v>
      </c>
      <c r="U983">
        <v>-0.12493403</v>
      </c>
    </row>
    <row r="984" spans="1:21" x14ac:dyDescent="0.2">
      <c r="A984" t="s">
        <v>1163</v>
      </c>
      <c r="B984">
        <v>838760</v>
      </c>
      <c r="C984" t="s">
        <v>6953</v>
      </c>
      <c r="D984" t="s">
        <v>1164</v>
      </c>
      <c r="E984" t="s">
        <v>6918</v>
      </c>
      <c r="F984">
        <v>6</v>
      </c>
      <c r="G984">
        <v>1</v>
      </c>
      <c r="H984" t="s">
        <v>8904</v>
      </c>
      <c r="J984" t="s">
        <v>2279</v>
      </c>
      <c r="M984" t="s">
        <v>8905</v>
      </c>
      <c r="N984">
        <v>1.921480887</v>
      </c>
      <c r="O984">
        <v>3.0856645180000002</v>
      </c>
      <c r="P984">
        <v>0.44706724399999997</v>
      </c>
      <c r="Q984">
        <v>-0.354940863</v>
      </c>
      <c r="S984" s="13">
        <v>-1.214891983</v>
      </c>
      <c r="T984">
        <v>0.61639275299999996</v>
      </c>
      <c r="U984">
        <v>-6.0211692999999997E-2</v>
      </c>
    </row>
    <row r="985" spans="1:21" x14ac:dyDescent="0.2">
      <c r="A985" t="s">
        <v>1058</v>
      </c>
      <c r="B985">
        <v>815120</v>
      </c>
      <c r="C985" t="s">
        <v>6938</v>
      </c>
      <c r="D985" t="s">
        <v>1059</v>
      </c>
      <c r="E985" t="s">
        <v>6911</v>
      </c>
      <c r="F985">
        <v>6</v>
      </c>
      <c r="G985">
        <v>12</v>
      </c>
      <c r="H985" t="s">
        <v>8906</v>
      </c>
      <c r="J985" t="s">
        <v>3799</v>
      </c>
      <c r="M985" t="s">
        <v>8907</v>
      </c>
      <c r="N985">
        <v>2.092758737</v>
      </c>
      <c r="O985">
        <v>5.3323610669999999</v>
      </c>
      <c r="P985">
        <v>0.70420098600000003</v>
      </c>
      <c r="Q985">
        <v>0.41355372699999998</v>
      </c>
      <c r="S985" s="13">
        <v>-1.215080728</v>
      </c>
      <c r="T985">
        <v>0.61556798000000001</v>
      </c>
      <c r="U985">
        <v>-0.102338654</v>
      </c>
    </row>
    <row r="986" spans="1:21" x14ac:dyDescent="0.2">
      <c r="A986" t="s">
        <v>2911</v>
      </c>
      <c r="B986">
        <v>460400</v>
      </c>
      <c r="C986" t="s">
        <v>6961</v>
      </c>
      <c r="D986" t="s">
        <v>2912</v>
      </c>
      <c r="E986" t="s">
        <v>6946</v>
      </c>
      <c r="F986">
        <v>6</v>
      </c>
      <c r="G986">
        <v>11</v>
      </c>
      <c r="H986" t="s">
        <v>8908</v>
      </c>
      <c r="J986" t="s">
        <v>6035</v>
      </c>
      <c r="M986" t="s">
        <v>8909</v>
      </c>
      <c r="N986">
        <v>2.7247480949999998</v>
      </c>
      <c r="O986">
        <v>7.0822175119999997</v>
      </c>
      <c r="P986">
        <v>0.61298291999999999</v>
      </c>
      <c r="Q986">
        <v>0.48262032500000002</v>
      </c>
      <c r="S986" s="13">
        <v>-1.2153351699999999</v>
      </c>
      <c r="T986">
        <v>0.61445612900000002</v>
      </c>
      <c r="U986">
        <v>-0.13992417700000001</v>
      </c>
    </row>
    <row r="987" spans="1:21" x14ac:dyDescent="0.2">
      <c r="A987" t="s">
        <v>289</v>
      </c>
      <c r="B987">
        <v>740960</v>
      </c>
      <c r="C987" t="s">
        <v>6910</v>
      </c>
      <c r="D987" t="s">
        <v>290</v>
      </c>
      <c r="E987" t="s">
        <v>6977</v>
      </c>
      <c r="F987">
        <v>5</v>
      </c>
      <c r="G987">
        <v>5</v>
      </c>
      <c r="H987" t="s">
        <v>8910</v>
      </c>
      <c r="J987" t="s">
        <v>5775</v>
      </c>
      <c r="M987" t="s">
        <v>8911</v>
      </c>
      <c r="N987">
        <v>1.9874741039999999</v>
      </c>
      <c r="O987">
        <v>3.7453511220000002</v>
      </c>
      <c r="P987">
        <v>0.451009722</v>
      </c>
      <c r="Q987">
        <v>-0.102386592</v>
      </c>
      <c r="S987" s="13">
        <v>-1.2154907150000001</v>
      </c>
      <c r="T987">
        <v>0.61377643199999998</v>
      </c>
      <c r="U987">
        <v>-5.9531015E-2</v>
      </c>
    </row>
    <row r="988" spans="1:21" x14ac:dyDescent="0.2">
      <c r="A988" t="s">
        <v>1231</v>
      </c>
      <c r="B988">
        <v>652160</v>
      </c>
      <c r="C988" t="s">
        <v>6931</v>
      </c>
      <c r="D988" t="s">
        <v>1231</v>
      </c>
      <c r="E988" t="s">
        <v>7085</v>
      </c>
      <c r="F988">
        <v>21</v>
      </c>
      <c r="G988">
        <v>9</v>
      </c>
      <c r="H988" t="s">
        <v>8912</v>
      </c>
      <c r="N988">
        <v>1.9323965059999999</v>
      </c>
      <c r="O988">
        <v>3.0528020530000002</v>
      </c>
      <c r="P988">
        <v>2.6493138999999999E-2</v>
      </c>
      <c r="Q988">
        <v>-0.38692188</v>
      </c>
      <c r="S988" s="13">
        <v>-1.2155837330000001</v>
      </c>
      <c r="T988">
        <v>0.61336996499999996</v>
      </c>
      <c r="U988">
        <v>-6.5312782E-2</v>
      </c>
    </row>
    <row r="989" spans="1:21" x14ac:dyDescent="0.2">
      <c r="A989" t="s">
        <v>303</v>
      </c>
      <c r="B989">
        <v>714640</v>
      </c>
      <c r="C989" t="s">
        <v>6942</v>
      </c>
      <c r="D989" t="s">
        <v>304</v>
      </c>
      <c r="E989" t="s">
        <v>7006</v>
      </c>
      <c r="F989">
        <v>3</v>
      </c>
      <c r="G989">
        <v>3</v>
      </c>
      <c r="H989" t="s">
        <v>8913</v>
      </c>
      <c r="J989" t="s">
        <v>306</v>
      </c>
      <c r="M989" t="s">
        <v>8914</v>
      </c>
      <c r="N989">
        <v>2.0902262079999998</v>
      </c>
      <c r="O989">
        <v>4.2704203920000001</v>
      </c>
      <c r="P989">
        <v>0.23425843900000001</v>
      </c>
      <c r="Q989">
        <v>1.6181978999999999E-2</v>
      </c>
      <c r="S989" s="13">
        <v>-1.215829456</v>
      </c>
      <c r="T989">
        <v>0.61229620900000004</v>
      </c>
      <c r="U989">
        <v>-0.125562014</v>
      </c>
    </row>
    <row r="990" spans="1:21" x14ac:dyDescent="0.2">
      <c r="A990" t="s">
        <v>1089</v>
      </c>
      <c r="B990">
        <v>832320</v>
      </c>
      <c r="C990" t="s">
        <v>6914</v>
      </c>
      <c r="D990" t="s">
        <v>1089</v>
      </c>
      <c r="E990" t="s">
        <v>6946</v>
      </c>
      <c r="F990">
        <v>21</v>
      </c>
      <c r="G990">
        <v>11</v>
      </c>
      <c r="H990" t="s">
        <v>8915</v>
      </c>
      <c r="J990" t="s">
        <v>3294</v>
      </c>
      <c r="M990" t="s">
        <v>8916</v>
      </c>
      <c r="N990">
        <v>1.8217074179999999</v>
      </c>
      <c r="O990">
        <v>4.1700741289999996</v>
      </c>
      <c r="P990">
        <v>0.189705977</v>
      </c>
      <c r="Q990">
        <v>-1.7194070999999998E-2</v>
      </c>
      <c r="S990" s="13">
        <v>-1.2158956970000001</v>
      </c>
      <c r="T990">
        <v>0.61200675500000001</v>
      </c>
      <c r="U990">
        <v>-0.119818533</v>
      </c>
    </row>
    <row r="991" spans="1:21" x14ac:dyDescent="0.2">
      <c r="A991" t="s">
        <v>616</v>
      </c>
      <c r="B991">
        <v>459640</v>
      </c>
      <c r="C991" t="s">
        <v>6961</v>
      </c>
      <c r="D991" t="s">
        <v>616</v>
      </c>
      <c r="E991" t="s">
        <v>6974</v>
      </c>
      <c r="F991">
        <v>17</v>
      </c>
      <c r="G991">
        <v>15</v>
      </c>
      <c r="H991" t="s">
        <v>8917</v>
      </c>
      <c r="J991" t="s">
        <v>5975</v>
      </c>
      <c r="M991" t="s">
        <v>8918</v>
      </c>
      <c r="N991">
        <v>2.7247480949999998</v>
      </c>
      <c r="O991">
        <v>7.0822175119999997</v>
      </c>
      <c r="P991">
        <v>0.61298291999999999</v>
      </c>
      <c r="Q991">
        <v>0.48262032500000002</v>
      </c>
      <c r="S991" s="13">
        <v>-1.2159367969999999</v>
      </c>
      <c r="T991">
        <v>0.61182715399999998</v>
      </c>
      <c r="U991">
        <v>-0.14041813</v>
      </c>
    </row>
    <row r="992" spans="1:21" x14ac:dyDescent="0.2">
      <c r="A992" t="s">
        <v>175</v>
      </c>
      <c r="B992">
        <v>837280</v>
      </c>
      <c r="C992" t="s">
        <v>6953</v>
      </c>
      <c r="D992" t="s">
        <v>175</v>
      </c>
      <c r="E992" t="s">
        <v>7006</v>
      </c>
      <c r="F992">
        <v>15</v>
      </c>
      <c r="G992">
        <v>3</v>
      </c>
      <c r="H992" t="s">
        <v>8919</v>
      </c>
      <c r="J992" t="s">
        <v>3080</v>
      </c>
      <c r="M992" t="s">
        <v>8920</v>
      </c>
      <c r="N992">
        <v>1.921480887</v>
      </c>
      <c r="O992">
        <v>3.0856645180000002</v>
      </c>
      <c r="P992">
        <v>0.44706724399999997</v>
      </c>
      <c r="Q992">
        <v>-0.354940863</v>
      </c>
      <c r="S992" s="13">
        <v>-1.216427667</v>
      </c>
      <c r="T992">
        <v>0.60968216500000005</v>
      </c>
      <c r="U992">
        <v>-6.1012585000000001E-2</v>
      </c>
    </row>
    <row r="993" spans="1:21" x14ac:dyDescent="0.2">
      <c r="A993" t="s">
        <v>1133</v>
      </c>
      <c r="B993">
        <v>813440</v>
      </c>
      <c r="C993" t="s">
        <v>6938</v>
      </c>
      <c r="D993" t="s">
        <v>1134</v>
      </c>
      <c r="E993" t="s">
        <v>6907</v>
      </c>
      <c r="F993">
        <v>8</v>
      </c>
      <c r="G993">
        <v>4</v>
      </c>
      <c r="H993" t="s">
        <v>8921</v>
      </c>
      <c r="J993" t="s">
        <v>4129</v>
      </c>
      <c r="M993" t="s">
        <v>8922</v>
      </c>
      <c r="N993">
        <v>2.092758737</v>
      </c>
      <c r="O993">
        <v>5.3323610669999999</v>
      </c>
      <c r="P993">
        <v>0.70420098600000003</v>
      </c>
      <c r="Q993">
        <v>0.41355372699999998</v>
      </c>
      <c r="S993" s="13">
        <v>-1.216523531</v>
      </c>
      <c r="T993">
        <v>0.60926325999999997</v>
      </c>
      <c r="U993">
        <v>-0.103340611</v>
      </c>
    </row>
    <row r="994" spans="1:21" x14ac:dyDescent="0.2">
      <c r="A994" t="s">
        <v>988</v>
      </c>
      <c r="B994">
        <v>637560</v>
      </c>
      <c r="C994" t="s">
        <v>6945</v>
      </c>
      <c r="D994" t="s">
        <v>988</v>
      </c>
      <c r="E994" t="s">
        <v>6974</v>
      </c>
      <c r="F994">
        <v>16</v>
      </c>
      <c r="G994">
        <v>15</v>
      </c>
      <c r="H994" t="s">
        <v>8923</v>
      </c>
      <c r="J994" t="s">
        <v>1009</v>
      </c>
      <c r="M994" t="s">
        <v>8924</v>
      </c>
      <c r="N994">
        <v>2.2220813349999999</v>
      </c>
      <c r="O994">
        <v>6.5440947090000003</v>
      </c>
      <c r="P994">
        <v>0.58228215500000002</v>
      </c>
      <c r="Q994">
        <v>0.35188233000000002</v>
      </c>
      <c r="S994" s="13">
        <v>-1.216906563</v>
      </c>
      <c r="T994">
        <v>0.6075895</v>
      </c>
      <c r="U994">
        <v>-0.12953932800000001</v>
      </c>
    </row>
    <row r="995" spans="1:21" x14ac:dyDescent="0.2">
      <c r="A995" t="s">
        <v>42</v>
      </c>
      <c r="B995">
        <v>771560</v>
      </c>
      <c r="C995" t="s">
        <v>6927</v>
      </c>
      <c r="D995" t="s">
        <v>42</v>
      </c>
      <c r="E995" t="s">
        <v>6977</v>
      </c>
      <c r="F995">
        <v>13</v>
      </c>
      <c r="G995">
        <v>5</v>
      </c>
      <c r="H995" t="s">
        <v>8925</v>
      </c>
      <c r="J995" t="s">
        <v>8926</v>
      </c>
      <c r="M995" t="s">
        <v>8927</v>
      </c>
      <c r="N995">
        <v>1.982575982</v>
      </c>
      <c r="O995">
        <v>3.4571926419999999</v>
      </c>
      <c r="P995">
        <v>-0.114791479</v>
      </c>
      <c r="Q995">
        <v>1.868949E-3</v>
      </c>
      <c r="S995" s="13">
        <v>-1.2171436280000001</v>
      </c>
      <c r="T995">
        <v>0.60655358000000004</v>
      </c>
      <c r="U995">
        <v>-0.107962724</v>
      </c>
    </row>
    <row r="996" spans="1:21" x14ac:dyDescent="0.2">
      <c r="A996" t="s">
        <v>901</v>
      </c>
      <c r="B996">
        <v>836360</v>
      </c>
      <c r="C996" t="s">
        <v>6953</v>
      </c>
      <c r="D996" t="s">
        <v>902</v>
      </c>
      <c r="E996" t="s">
        <v>6977</v>
      </c>
      <c r="F996">
        <v>2</v>
      </c>
      <c r="G996">
        <v>5</v>
      </c>
      <c r="H996" t="s">
        <v>8928</v>
      </c>
      <c r="J996" t="s">
        <v>2126</v>
      </c>
      <c r="M996" t="s">
        <v>8929</v>
      </c>
      <c r="N996">
        <v>1.921480887</v>
      </c>
      <c r="O996">
        <v>3.0856645180000002</v>
      </c>
      <c r="P996">
        <v>0.44706724399999997</v>
      </c>
      <c r="Q996">
        <v>-0.354940863</v>
      </c>
      <c r="S996" s="13">
        <v>-1.217382282</v>
      </c>
      <c r="T996">
        <v>0.60551071899999998</v>
      </c>
      <c r="U996">
        <v>-6.1511182999999997E-2</v>
      </c>
    </row>
    <row r="997" spans="1:21" x14ac:dyDescent="0.2">
      <c r="A997" t="s">
        <v>1065</v>
      </c>
      <c r="B997">
        <v>457240</v>
      </c>
      <c r="C997" t="s">
        <v>6961</v>
      </c>
      <c r="D997" t="s">
        <v>1066</v>
      </c>
      <c r="E997" t="s">
        <v>6956</v>
      </c>
      <c r="F997">
        <v>7</v>
      </c>
      <c r="G997">
        <v>7</v>
      </c>
      <c r="H997" t="s">
        <v>8930</v>
      </c>
      <c r="J997" t="s">
        <v>5715</v>
      </c>
      <c r="M997" t="s">
        <v>8931</v>
      </c>
      <c r="N997">
        <v>2.7247480949999998</v>
      </c>
      <c r="O997">
        <v>7.0822175119999997</v>
      </c>
      <c r="P997">
        <v>0.61298291999999999</v>
      </c>
      <c r="Q997">
        <v>0.48262032500000002</v>
      </c>
      <c r="S997" s="13">
        <v>-1.217836674</v>
      </c>
      <c r="T997">
        <v>0.60352512800000002</v>
      </c>
      <c r="U997">
        <v>-0.141981677</v>
      </c>
    </row>
    <row r="998" spans="1:21" x14ac:dyDescent="0.2">
      <c r="A998" t="s">
        <v>134</v>
      </c>
      <c r="B998">
        <v>770520</v>
      </c>
      <c r="C998" t="s">
        <v>6927</v>
      </c>
      <c r="D998" t="s">
        <v>135</v>
      </c>
      <c r="E998" t="s">
        <v>6970</v>
      </c>
      <c r="F998">
        <v>1</v>
      </c>
      <c r="G998">
        <v>14</v>
      </c>
      <c r="H998" t="s">
        <v>8932</v>
      </c>
      <c r="J998" t="s">
        <v>8933</v>
      </c>
      <c r="M998" t="s">
        <v>8934</v>
      </c>
      <c r="N998">
        <v>1.982575982</v>
      </c>
      <c r="O998">
        <v>3.4571926419999999</v>
      </c>
      <c r="P998">
        <v>-0.114791479</v>
      </c>
      <c r="Q998">
        <v>1.868949E-3</v>
      </c>
      <c r="S998" s="13">
        <v>-1.2182227569999999</v>
      </c>
      <c r="T998">
        <v>0.60183803199999997</v>
      </c>
      <c r="U998">
        <v>-0.108590797</v>
      </c>
    </row>
    <row r="999" spans="1:21" x14ac:dyDescent="0.2">
      <c r="A999" t="s">
        <v>1174</v>
      </c>
      <c r="B999">
        <v>712200</v>
      </c>
      <c r="C999" t="s">
        <v>6942</v>
      </c>
      <c r="D999" t="s">
        <v>1174</v>
      </c>
      <c r="E999" t="s">
        <v>7085</v>
      </c>
      <c r="F999">
        <v>16</v>
      </c>
      <c r="G999">
        <v>9</v>
      </c>
      <c r="H999" t="s">
        <v>8935</v>
      </c>
      <c r="J999" t="s">
        <v>4621</v>
      </c>
      <c r="M999" t="s">
        <v>8936</v>
      </c>
      <c r="N999">
        <v>2.0902262079999998</v>
      </c>
      <c r="O999">
        <v>4.2704203920000001</v>
      </c>
      <c r="P999">
        <v>0.23425843900000001</v>
      </c>
      <c r="Q999">
        <v>1.6181978999999999E-2</v>
      </c>
      <c r="S999" s="13">
        <v>-1.21822429</v>
      </c>
      <c r="T999">
        <v>0.60183133499999997</v>
      </c>
      <c r="U999">
        <v>-0.12709811500000001</v>
      </c>
    </row>
    <row r="1000" spans="1:21" x14ac:dyDescent="0.2">
      <c r="A1000" t="s">
        <v>1778</v>
      </c>
      <c r="B1000">
        <v>810960</v>
      </c>
      <c r="C1000" t="s">
        <v>6938</v>
      </c>
      <c r="D1000" t="s">
        <v>1778</v>
      </c>
      <c r="E1000" t="s">
        <v>6974</v>
      </c>
      <c r="F1000">
        <v>21</v>
      </c>
      <c r="G1000">
        <v>15</v>
      </c>
      <c r="H1000" t="s">
        <v>8937</v>
      </c>
      <c r="J1000" t="s">
        <v>1780</v>
      </c>
      <c r="M1000" t="s">
        <v>8938</v>
      </c>
      <c r="N1000">
        <v>2.092758737</v>
      </c>
      <c r="O1000">
        <v>5.3323610669999999</v>
      </c>
      <c r="P1000">
        <v>0.70420098600000003</v>
      </c>
      <c r="Q1000">
        <v>0.41355372699999998</v>
      </c>
      <c r="S1000" s="13">
        <v>-1.218653384</v>
      </c>
      <c r="T1000">
        <v>0.59995629299999997</v>
      </c>
      <c r="U1000">
        <v>-0.104823928</v>
      </c>
    </row>
    <row r="1001" spans="1:21" x14ac:dyDescent="0.2">
      <c r="A1001" t="s">
        <v>185</v>
      </c>
      <c r="B1001">
        <v>810320</v>
      </c>
      <c r="C1001" t="s">
        <v>6938</v>
      </c>
      <c r="D1001" t="s">
        <v>185</v>
      </c>
      <c r="E1001" t="s">
        <v>6977</v>
      </c>
      <c r="F1001">
        <v>23</v>
      </c>
      <c r="G1001">
        <v>5</v>
      </c>
      <c r="H1001" t="s">
        <v>8939</v>
      </c>
      <c r="J1001" t="s">
        <v>1525</v>
      </c>
      <c r="M1001" t="s">
        <v>8940</v>
      </c>
      <c r="N1001">
        <v>2.092758737</v>
      </c>
      <c r="O1001">
        <v>5.3323610669999999</v>
      </c>
      <c r="P1001">
        <v>0.70420098600000003</v>
      </c>
      <c r="Q1001">
        <v>0.41355372699999998</v>
      </c>
      <c r="S1001" s="13">
        <v>-1.2192030229999999</v>
      </c>
      <c r="T1001">
        <v>0.59755449500000002</v>
      </c>
      <c r="U1001">
        <v>-0.105207543</v>
      </c>
    </row>
    <row r="1002" spans="1:21" x14ac:dyDescent="0.2">
      <c r="A1002" t="s">
        <v>603</v>
      </c>
      <c r="B1002">
        <v>634760</v>
      </c>
      <c r="C1002" t="s">
        <v>6945</v>
      </c>
      <c r="D1002" t="s">
        <v>604</v>
      </c>
      <c r="E1002" t="s">
        <v>6911</v>
      </c>
      <c r="F1002">
        <v>8</v>
      </c>
      <c r="G1002">
        <v>12</v>
      </c>
      <c r="H1002" t="s">
        <v>8941</v>
      </c>
      <c r="J1002" t="s">
        <v>3968</v>
      </c>
      <c r="M1002" t="s">
        <v>8942</v>
      </c>
      <c r="N1002">
        <v>2.2220813349999999</v>
      </c>
      <c r="O1002">
        <v>6.5440947090000003</v>
      </c>
      <c r="P1002">
        <v>0.58228215500000002</v>
      </c>
      <c r="Q1002">
        <v>0.35188233000000002</v>
      </c>
      <c r="S1002" s="13">
        <v>-1.2195476240000001</v>
      </c>
      <c r="T1002">
        <v>0.59604866700000003</v>
      </c>
      <c r="U1002">
        <v>-0.13131878299999999</v>
      </c>
    </row>
    <row r="1003" spans="1:21" x14ac:dyDescent="0.2">
      <c r="A1003" t="s">
        <v>1729</v>
      </c>
      <c r="B1003">
        <v>634720</v>
      </c>
      <c r="C1003" t="s">
        <v>6945</v>
      </c>
      <c r="D1003" t="s">
        <v>1729</v>
      </c>
      <c r="E1003" t="s">
        <v>6907</v>
      </c>
      <c r="F1003">
        <v>16</v>
      </c>
      <c r="G1003">
        <v>4</v>
      </c>
      <c r="H1003" t="s">
        <v>8943</v>
      </c>
      <c r="J1003" t="s">
        <v>3373</v>
      </c>
      <c r="M1003" t="s">
        <v>8944</v>
      </c>
      <c r="N1003">
        <v>2.2220813349999999</v>
      </c>
      <c r="O1003">
        <v>6.5440947090000003</v>
      </c>
      <c r="P1003">
        <v>0.58228215500000002</v>
      </c>
      <c r="Q1003">
        <v>0.35188233000000002</v>
      </c>
      <c r="S1003" s="13">
        <v>-1.219585353</v>
      </c>
      <c r="T1003">
        <v>0.59588379800000002</v>
      </c>
      <c r="U1003">
        <v>-0.13134425699999999</v>
      </c>
    </row>
    <row r="1004" spans="1:21" x14ac:dyDescent="0.2">
      <c r="A1004" t="s">
        <v>202</v>
      </c>
      <c r="B1004">
        <v>710720</v>
      </c>
      <c r="C1004" t="s">
        <v>6942</v>
      </c>
      <c r="D1004" t="s">
        <v>202</v>
      </c>
      <c r="E1004" t="s">
        <v>6907</v>
      </c>
      <c r="F1004">
        <v>14</v>
      </c>
      <c r="G1004">
        <v>4</v>
      </c>
      <c r="H1004" t="s">
        <v>8945</v>
      </c>
      <c r="J1004" t="s">
        <v>1527</v>
      </c>
      <c r="M1004" t="s">
        <v>8946</v>
      </c>
      <c r="N1004">
        <v>2.0902262079999998</v>
      </c>
      <c r="O1004">
        <v>4.2704203920000001</v>
      </c>
      <c r="P1004">
        <v>0.23425843900000001</v>
      </c>
      <c r="Q1004">
        <v>1.6181978999999999E-2</v>
      </c>
      <c r="S1004" s="13">
        <v>-1.219676894</v>
      </c>
      <c r="T1004">
        <v>0.59548378800000001</v>
      </c>
      <c r="U1004">
        <v>-0.12803250299999999</v>
      </c>
    </row>
    <row r="1005" spans="1:21" x14ac:dyDescent="0.2">
      <c r="A1005" t="s">
        <v>968</v>
      </c>
      <c r="B1005">
        <v>454800</v>
      </c>
      <c r="C1005" t="s">
        <v>6961</v>
      </c>
      <c r="D1005" t="s">
        <v>969</v>
      </c>
      <c r="E1005" t="s">
        <v>6970</v>
      </c>
      <c r="F1005">
        <v>7</v>
      </c>
      <c r="G1005">
        <v>14</v>
      </c>
      <c r="H1005" t="s">
        <v>8947</v>
      </c>
      <c r="J1005" t="s">
        <v>5851</v>
      </c>
      <c r="M1005" t="s">
        <v>8948</v>
      </c>
      <c r="N1005">
        <v>2.7247480949999998</v>
      </c>
      <c r="O1005">
        <v>7.0822175119999997</v>
      </c>
      <c r="P1005">
        <v>0.61298291999999999</v>
      </c>
      <c r="Q1005">
        <v>0.48262032500000002</v>
      </c>
      <c r="S1005" s="13">
        <v>-1.219768215</v>
      </c>
      <c r="T1005">
        <v>0.59508473500000003</v>
      </c>
      <c r="U1005">
        <v>-0.143577076</v>
      </c>
    </row>
    <row r="1006" spans="1:21" x14ac:dyDescent="0.2">
      <c r="A1006" t="s">
        <v>2031</v>
      </c>
      <c r="B1006">
        <v>710480</v>
      </c>
      <c r="C1006" t="s">
        <v>6942</v>
      </c>
      <c r="D1006" t="s">
        <v>2032</v>
      </c>
      <c r="E1006" t="s">
        <v>6924</v>
      </c>
      <c r="F1006">
        <v>3</v>
      </c>
      <c r="G1006">
        <v>6</v>
      </c>
      <c r="H1006" t="s">
        <v>8949</v>
      </c>
      <c r="J1006" t="s">
        <v>2354</v>
      </c>
      <c r="M1006" t="s">
        <v>8950</v>
      </c>
      <c r="N1006">
        <v>2.0902262079999998</v>
      </c>
      <c r="O1006">
        <v>4.2704203920000001</v>
      </c>
      <c r="P1006">
        <v>0.23425843900000001</v>
      </c>
      <c r="Q1006">
        <v>1.6181978999999999E-2</v>
      </c>
      <c r="S1006" s="13">
        <v>-1.2199124509999999</v>
      </c>
      <c r="T1006">
        <v>0.59445445600000002</v>
      </c>
      <c r="U1006">
        <v>-0.12818421499999999</v>
      </c>
    </row>
    <row r="1007" spans="1:21" x14ac:dyDescent="0.2">
      <c r="A1007" t="s">
        <v>956</v>
      </c>
      <c r="B1007">
        <v>736560</v>
      </c>
      <c r="C1007" t="s">
        <v>6910</v>
      </c>
      <c r="D1007" t="s">
        <v>956</v>
      </c>
      <c r="E1007" t="s">
        <v>6974</v>
      </c>
      <c r="F1007">
        <v>15</v>
      </c>
      <c r="G1007">
        <v>15</v>
      </c>
      <c r="H1007" t="s">
        <v>8951</v>
      </c>
      <c r="J1007" t="s">
        <v>5595</v>
      </c>
      <c r="M1007" t="s">
        <v>8952</v>
      </c>
      <c r="N1007">
        <v>1.9874741039999999</v>
      </c>
      <c r="O1007">
        <v>3.7453511220000002</v>
      </c>
      <c r="P1007">
        <v>0.451009722</v>
      </c>
      <c r="Q1007">
        <v>-0.102386592</v>
      </c>
      <c r="S1007" s="13">
        <v>-1.220224647</v>
      </c>
      <c r="T1007">
        <v>0.59309023299999997</v>
      </c>
      <c r="U1007">
        <v>-6.1912644000000003E-2</v>
      </c>
    </row>
    <row r="1008" spans="1:21" x14ac:dyDescent="0.2">
      <c r="A1008" t="s">
        <v>985</v>
      </c>
      <c r="B1008">
        <v>808840</v>
      </c>
      <c r="C1008" t="s">
        <v>6938</v>
      </c>
      <c r="D1008" t="s">
        <v>985</v>
      </c>
      <c r="E1008" t="s">
        <v>6907</v>
      </c>
      <c r="F1008">
        <v>12</v>
      </c>
      <c r="G1008">
        <v>4</v>
      </c>
      <c r="H1008" t="s">
        <v>8953</v>
      </c>
      <c r="J1008" t="s">
        <v>2088</v>
      </c>
      <c r="M1008" t="s">
        <v>8954</v>
      </c>
      <c r="N1008">
        <v>2.092758737</v>
      </c>
      <c r="O1008">
        <v>5.3323610669999999</v>
      </c>
      <c r="P1008">
        <v>0.70420098600000003</v>
      </c>
      <c r="Q1008">
        <v>0.41355372699999998</v>
      </c>
      <c r="S1008" s="13">
        <v>-1.220474064</v>
      </c>
      <c r="T1008">
        <v>0.59200033699999999</v>
      </c>
      <c r="U1008">
        <v>-0.10609595400000001</v>
      </c>
    </row>
    <row r="1009" spans="1:21" x14ac:dyDescent="0.2">
      <c r="A1009" t="s">
        <v>364</v>
      </c>
      <c r="B1009">
        <v>709880</v>
      </c>
      <c r="C1009" t="s">
        <v>6942</v>
      </c>
      <c r="D1009" t="s">
        <v>364</v>
      </c>
      <c r="E1009" t="s">
        <v>6970</v>
      </c>
      <c r="F1009">
        <v>23</v>
      </c>
      <c r="G1009">
        <v>14</v>
      </c>
      <c r="H1009" t="s">
        <v>8955</v>
      </c>
      <c r="J1009" t="s">
        <v>1639</v>
      </c>
      <c r="M1009" t="s">
        <v>8956</v>
      </c>
      <c r="N1009">
        <v>2.0902262079999998</v>
      </c>
      <c r="O1009">
        <v>4.2704203920000001</v>
      </c>
      <c r="P1009">
        <v>0.23425843900000001</v>
      </c>
      <c r="Q1009">
        <v>1.6181978999999999E-2</v>
      </c>
      <c r="S1009" s="13">
        <v>-1.220501345</v>
      </c>
      <c r="T1009">
        <v>0.59188112599999998</v>
      </c>
      <c r="U1009">
        <v>-0.12856372699999999</v>
      </c>
    </row>
    <row r="1010" spans="1:21" x14ac:dyDescent="0.2">
      <c r="A1010" t="s">
        <v>1049</v>
      </c>
      <c r="B1010">
        <v>808320</v>
      </c>
      <c r="C1010" t="s">
        <v>6938</v>
      </c>
      <c r="D1010" t="s">
        <v>1049</v>
      </c>
      <c r="E1010" t="s">
        <v>6928</v>
      </c>
      <c r="F1010">
        <v>23</v>
      </c>
      <c r="G1010">
        <v>16</v>
      </c>
      <c r="H1010" t="s">
        <v>8957</v>
      </c>
      <c r="J1010" t="s">
        <v>1051</v>
      </c>
      <c r="M1010" t="s">
        <v>8958</v>
      </c>
      <c r="N1010">
        <v>2.092758737</v>
      </c>
      <c r="O1010">
        <v>5.3323610669999999</v>
      </c>
      <c r="P1010">
        <v>0.70420098600000003</v>
      </c>
      <c r="Q1010">
        <v>0.41355372699999998</v>
      </c>
      <c r="S1010" s="13">
        <v>-1.2209206459999999</v>
      </c>
      <c r="T1010">
        <v>0.590048876</v>
      </c>
      <c r="U1010">
        <v>-0.10640853</v>
      </c>
    </row>
    <row r="1011" spans="1:21" x14ac:dyDescent="0.2">
      <c r="A1011" t="s">
        <v>1144</v>
      </c>
      <c r="B1011">
        <v>828120</v>
      </c>
      <c r="C1011" t="s">
        <v>6914</v>
      </c>
      <c r="D1011" t="s">
        <v>1145</v>
      </c>
      <c r="E1011" t="s">
        <v>6974</v>
      </c>
      <c r="F1011">
        <v>7</v>
      </c>
      <c r="G1011">
        <v>15</v>
      </c>
      <c r="H1011" t="s">
        <v>8959</v>
      </c>
      <c r="J1011" t="s">
        <v>3093</v>
      </c>
      <c r="M1011" t="s">
        <v>8960</v>
      </c>
      <c r="N1011">
        <v>1.8217074179999999</v>
      </c>
      <c r="O1011">
        <v>4.1700741289999996</v>
      </c>
      <c r="P1011">
        <v>0.189705977</v>
      </c>
      <c r="Q1011">
        <v>-1.7194070999999998E-2</v>
      </c>
      <c r="S1011" s="13">
        <v>-1.220947295</v>
      </c>
      <c r="T1011">
        <v>0.58993242499999998</v>
      </c>
      <c r="U1011">
        <v>-0.122431137</v>
      </c>
    </row>
    <row r="1012" spans="1:21" x14ac:dyDescent="0.2">
      <c r="A1012" t="s">
        <v>1101</v>
      </c>
      <c r="B1012">
        <v>632920</v>
      </c>
      <c r="C1012" t="s">
        <v>6945</v>
      </c>
      <c r="D1012" t="s">
        <v>1101</v>
      </c>
      <c r="E1012" t="s">
        <v>6911</v>
      </c>
      <c r="F1012">
        <v>14</v>
      </c>
      <c r="G1012">
        <v>12</v>
      </c>
      <c r="H1012" t="s">
        <v>8961</v>
      </c>
      <c r="J1012" t="s">
        <v>4477</v>
      </c>
      <c r="M1012" t="s">
        <v>8962</v>
      </c>
      <c r="N1012">
        <v>2.2220813349999999</v>
      </c>
      <c r="O1012">
        <v>6.5440947090000003</v>
      </c>
      <c r="P1012">
        <v>0.58228215500000002</v>
      </c>
      <c r="Q1012">
        <v>0.35188233000000002</v>
      </c>
      <c r="S1012" s="13">
        <v>-1.221283178</v>
      </c>
      <c r="T1012">
        <v>0.58846469099999998</v>
      </c>
      <c r="U1012">
        <v>-0.13249212199999999</v>
      </c>
    </row>
    <row r="1013" spans="1:21" x14ac:dyDescent="0.2">
      <c r="A1013" t="s">
        <v>1167</v>
      </c>
      <c r="B1013">
        <v>708960</v>
      </c>
      <c r="C1013" t="s">
        <v>6942</v>
      </c>
      <c r="D1013" t="s">
        <v>1168</v>
      </c>
      <c r="E1013" t="s">
        <v>7006</v>
      </c>
      <c r="F1013">
        <v>5</v>
      </c>
      <c r="G1013">
        <v>3</v>
      </c>
      <c r="H1013" t="s">
        <v>8963</v>
      </c>
      <c r="J1013" t="s">
        <v>1490</v>
      </c>
      <c r="M1013" t="s">
        <v>8964</v>
      </c>
      <c r="N1013">
        <v>2.0902262079999998</v>
      </c>
      <c r="O1013">
        <v>4.2704203920000001</v>
      </c>
      <c r="P1013">
        <v>0.23425843900000001</v>
      </c>
      <c r="Q1013">
        <v>1.6181978999999999E-2</v>
      </c>
      <c r="S1013" s="13">
        <v>-1.221404315</v>
      </c>
      <c r="T1013">
        <v>0.58793535399999997</v>
      </c>
      <c r="U1013">
        <v>-0.12914629</v>
      </c>
    </row>
    <row r="1014" spans="1:21" x14ac:dyDescent="0.2">
      <c r="A1014" t="s">
        <v>892</v>
      </c>
      <c r="B1014">
        <v>735440</v>
      </c>
      <c r="C1014" t="s">
        <v>6910</v>
      </c>
      <c r="D1014" t="s">
        <v>892</v>
      </c>
      <c r="E1014" t="s">
        <v>6977</v>
      </c>
      <c r="F1014">
        <v>21</v>
      </c>
      <c r="G1014">
        <v>5</v>
      </c>
      <c r="H1014" t="s">
        <v>8965</v>
      </c>
      <c r="J1014" t="s">
        <v>2345</v>
      </c>
      <c r="M1014" t="s">
        <v>8966</v>
      </c>
      <c r="N1014">
        <v>1.9874741039999999</v>
      </c>
      <c r="O1014">
        <v>3.7453511220000002</v>
      </c>
      <c r="P1014">
        <v>0.451009722</v>
      </c>
      <c r="Q1014">
        <v>-0.102386592</v>
      </c>
      <c r="S1014" s="13">
        <v>-1.2214296469999999</v>
      </c>
      <c r="T1014">
        <v>0.58782465500000003</v>
      </c>
      <c r="U1014">
        <v>-6.2520967999999996E-2</v>
      </c>
    </row>
    <row r="1015" spans="1:21" x14ac:dyDescent="0.2">
      <c r="A1015" t="s">
        <v>2443</v>
      </c>
      <c r="B1015">
        <v>632440</v>
      </c>
      <c r="C1015" t="s">
        <v>6945</v>
      </c>
      <c r="D1015" t="s">
        <v>2444</v>
      </c>
      <c r="E1015" t="s">
        <v>7006</v>
      </c>
      <c r="F1015">
        <v>1</v>
      </c>
      <c r="G1015">
        <v>3</v>
      </c>
      <c r="H1015" t="s">
        <v>8967</v>
      </c>
      <c r="J1015" t="s">
        <v>6383</v>
      </c>
      <c r="M1015" t="s">
        <v>8968</v>
      </c>
      <c r="N1015">
        <v>2.2220813349999999</v>
      </c>
      <c r="O1015">
        <v>6.5440947090000003</v>
      </c>
      <c r="P1015">
        <v>0.58228215500000002</v>
      </c>
      <c r="Q1015">
        <v>0.35188233000000002</v>
      </c>
      <c r="S1015" s="13">
        <v>-1.2217359320000001</v>
      </c>
      <c r="T1015">
        <v>0.58648626299999995</v>
      </c>
      <c r="U1015">
        <v>-0.132798733</v>
      </c>
    </row>
    <row r="1016" spans="1:21" x14ac:dyDescent="0.2">
      <c r="A1016" t="s">
        <v>195</v>
      </c>
      <c r="B1016">
        <v>735120</v>
      </c>
      <c r="C1016" t="s">
        <v>6910</v>
      </c>
      <c r="D1016" t="s">
        <v>195</v>
      </c>
      <c r="E1016" t="s">
        <v>6907</v>
      </c>
      <c r="F1016">
        <v>24</v>
      </c>
      <c r="G1016">
        <v>4</v>
      </c>
      <c r="H1016" t="s">
        <v>8969</v>
      </c>
      <c r="J1016" t="s">
        <v>5333</v>
      </c>
      <c r="M1016" t="s">
        <v>8970</v>
      </c>
      <c r="N1016">
        <v>1.9874741039999999</v>
      </c>
      <c r="O1016">
        <v>3.7453511220000002</v>
      </c>
      <c r="P1016">
        <v>0.451009722</v>
      </c>
      <c r="Q1016">
        <v>-0.102386592</v>
      </c>
      <c r="S1016" s="13">
        <v>-1.2217739329999999</v>
      </c>
      <c r="T1016">
        <v>0.58632020500000004</v>
      </c>
      <c r="U1016">
        <v>-6.2694931999999995E-2</v>
      </c>
    </row>
    <row r="1017" spans="1:21" x14ac:dyDescent="0.2">
      <c r="A1017" t="s">
        <v>99</v>
      </c>
      <c r="B1017">
        <v>766480</v>
      </c>
      <c r="C1017" t="s">
        <v>6927</v>
      </c>
      <c r="D1017" t="s">
        <v>101</v>
      </c>
      <c r="E1017" t="s">
        <v>6918</v>
      </c>
      <c r="F1017">
        <v>4</v>
      </c>
      <c r="G1017">
        <v>1</v>
      </c>
      <c r="H1017" t="s">
        <v>8971</v>
      </c>
      <c r="J1017" t="s">
        <v>8972</v>
      </c>
      <c r="M1017" t="s">
        <v>8973</v>
      </c>
      <c r="N1017">
        <v>1.982575982</v>
      </c>
      <c r="O1017">
        <v>3.4571926419999999</v>
      </c>
      <c r="P1017">
        <v>-0.114791479</v>
      </c>
      <c r="Q1017">
        <v>1.868949E-3</v>
      </c>
      <c r="S1017" s="13">
        <v>-1.2224147590000001</v>
      </c>
      <c r="T1017">
        <v>0.58351994200000001</v>
      </c>
      <c r="U1017">
        <v>-0.11103927500000001</v>
      </c>
    </row>
    <row r="1018" spans="1:21" x14ac:dyDescent="0.2">
      <c r="A1018" t="s">
        <v>779</v>
      </c>
      <c r="B1018">
        <v>451360</v>
      </c>
      <c r="C1018" t="s">
        <v>6961</v>
      </c>
      <c r="D1018" t="s">
        <v>780</v>
      </c>
      <c r="E1018" t="s">
        <v>7006</v>
      </c>
      <c r="F1018">
        <v>8</v>
      </c>
      <c r="G1018">
        <v>3</v>
      </c>
      <c r="H1018" t="s">
        <v>8974</v>
      </c>
      <c r="J1018" t="s">
        <v>6525</v>
      </c>
      <c r="M1018" t="s">
        <v>8975</v>
      </c>
      <c r="N1018">
        <v>2.7247480949999998</v>
      </c>
      <c r="O1018">
        <v>7.0822175119999997</v>
      </c>
      <c r="P1018">
        <v>0.61298291999999999</v>
      </c>
      <c r="Q1018">
        <v>0.48262032500000002</v>
      </c>
      <c r="S1018" s="13">
        <v>-1.222491371</v>
      </c>
      <c r="T1018">
        <v>0.58318516399999998</v>
      </c>
      <c r="U1018">
        <v>-0.14583632899999999</v>
      </c>
    </row>
    <row r="1019" spans="1:21" x14ac:dyDescent="0.2">
      <c r="A1019" t="s">
        <v>42</v>
      </c>
      <c r="B1019">
        <v>693360</v>
      </c>
      <c r="C1019" t="s">
        <v>6906</v>
      </c>
      <c r="D1019" t="s">
        <v>42</v>
      </c>
      <c r="E1019" t="s">
        <v>6977</v>
      </c>
      <c r="F1019">
        <v>13</v>
      </c>
      <c r="G1019">
        <v>5</v>
      </c>
      <c r="H1019" t="s">
        <v>8976</v>
      </c>
      <c r="J1019" t="s">
        <v>8977</v>
      </c>
      <c r="M1019" t="s">
        <v>8978</v>
      </c>
      <c r="N1019">
        <v>1.813871112</v>
      </c>
      <c r="O1019">
        <v>2.6633694910000001</v>
      </c>
      <c r="P1019">
        <v>-0.29586356800000002</v>
      </c>
      <c r="Q1019">
        <v>-0.59018158399999998</v>
      </c>
      <c r="S1019" s="13">
        <v>-1.2228057450000001</v>
      </c>
      <c r="T1019">
        <v>0.58181142299999999</v>
      </c>
      <c r="U1019">
        <v>-0.1096073</v>
      </c>
    </row>
    <row r="1020" spans="1:21" x14ac:dyDescent="0.2">
      <c r="A1020" t="s">
        <v>944</v>
      </c>
      <c r="B1020">
        <v>646560</v>
      </c>
      <c r="C1020" t="s">
        <v>6931</v>
      </c>
      <c r="D1020" t="s">
        <v>944</v>
      </c>
      <c r="E1020" t="s">
        <v>6924</v>
      </c>
      <c r="F1020">
        <v>12</v>
      </c>
      <c r="G1020">
        <v>6</v>
      </c>
      <c r="H1020" t="s">
        <v>8979</v>
      </c>
      <c r="N1020">
        <v>1.9323965059999999</v>
      </c>
      <c r="O1020">
        <v>3.0528020530000002</v>
      </c>
      <c r="P1020">
        <v>2.6493138999999999E-2</v>
      </c>
      <c r="Q1020">
        <v>-0.38692188</v>
      </c>
      <c r="S1020" s="13">
        <v>-1.2229419880000001</v>
      </c>
      <c r="T1020">
        <v>0.58121607200000003</v>
      </c>
      <c r="U1020">
        <v>-6.8387017999999994E-2</v>
      </c>
    </row>
    <row r="1021" spans="1:21" x14ac:dyDescent="0.2">
      <c r="A1021" t="s">
        <v>1595</v>
      </c>
      <c r="B1021">
        <v>706480</v>
      </c>
      <c r="C1021" t="s">
        <v>6942</v>
      </c>
      <c r="D1021" t="s">
        <v>1595</v>
      </c>
      <c r="E1021" t="s">
        <v>6974</v>
      </c>
      <c r="F1021">
        <v>23</v>
      </c>
      <c r="G1021">
        <v>15</v>
      </c>
      <c r="H1021" t="s">
        <v>8980</v>
      </c>
      <c r="J1021" t="s">
        <v>3565</v>
      </c>
      <c r="M1021" t="s">
        <v>8981</v>
      </c>
      <c r="N1021">
        <v>2.0902262079999998</v>
      </c>
      <c r="O1021">
        <v>4.2704203920000001</v>
      </c>
      <c r="P1021">
        <v>0.23425843900000001</v>
      </c>
      <c r="Q1021">
        <v>1.6181978999999999E-2</v>
      </c>
      <c r="S1021" s="13">
        <v>-1.223838408</v>
      </c>
      <c r="T1021">
        <v>0.57729892299999996</v>
      </c>
      <c r="U1021">
        <v>-0.130720582</v>
      </c>
    </row>
    <row r="1022" spans="1:21" x14ac:dyDescent="0.2">
      <c r="A1022" t="s">
        <v>470</v>
      </c>
      <c r="B1022">
        <v>804920</v>
      </c>
      <c r="C1022" t="s">
        <v>6938</v>
      </c>
      <c r="D1022" t="s">
        <v>470</v>
      </c>
      <c r="E1022" t="s">
        <v>6970</v>
      </c>
      <c r="F1022">
        <v>22</v>
      </c>
      <c r="G1022">
        <v>14</v>
      </c>
      <c r="H1022" t="s">
        <v>8982</v>
      </c>
      <c r="J1022" t="s">
        <v>1948</v>
      </c>
      <c r="M1022" t="s">
        <v>8983</v>
      </c>
      <c r="N1022">
        <v>2.092758737</v>
      </c>
      <c r="O1022">
        <v>5.3323610669999999</v>
      </c>
      <c r="P1022">
        <v>0.70420098600000003</v>
      </c>
      <c r="Q1022">
        <v>0.41355372699999998</v>
      </c>
      <c r="S1022" s="13">
        <v>-1.2238406049999999</v>
      </c>
      <c r="T1022">
        <v>0.57728932300000002</v>
      </c>
      <c r="U1022">
        <v>-0.10845786</v>
      </c>
    </row>
    <row r="1023" spans="1:21" x14ac:dyDescent="0.2">
      <c r="A1023" t="s">
        <v>963</v>
      </c>
      <c r="B1023">
        <v>829960</v>
      </c>
      <c r="C1023" t="s">
        <v>6953</v>
      </c>
      <c r="D1023" t="s">
        <v>963</v>
      </c>
      <c r="E1023" t="s">
        <v>6939</v>
      </c>
      <c r="F1023">
        <v>20</v>
      </c>
      <c r="G1023">
        <v>2</v>
      </c>
      <c r="H1023" t="s">
        <v>8984</v>
      </c>
      <c r="J1023" t="s">
        <v>5249</v>
      </c>
      <c r="M1023" t="s">
        <v>8985</v>
      </c>
      <c r="N1023">
        <v>1.921480887</v>
      </c>
      <c r="O1023">
        <v>3.0856645180000002</v>
      </c>
      <c r="P1023">
        <v>0.44706724399999997</v>
      </c>
      <c r="Q1023">
        <v>-0.354940863</v>
      </c>
      <c r="S1023" s="13">
        <v>-1.224023077</v>
      </c>
      <c r="T1023">
        <v>0.57649196199999997</v>
      </c>
      <c r="U1023">
        <v>-6.4995619000000004E-2</v>
      </c>
    </row>
    <row r="1024" spans="1:21" x14ac:dyDescent="0.2">
      <c r="A1024" t="s">
        <v>1394</v>
      </c>
      <c r="B1024">
        <v>764760</v>
      </c>
      <c r="C1024" t="s">
        <v>6927</v>
      </c>
      <c r="D1024" t="s">
        <v>1394</v>
      </c>
      <c r="E1024" t="s">
        <v>6939</v>
      </c>
      <c r="F1024">
        <v>16</v>
      </c>
      <c r="G1024">
        <v>2</v>
      </c>
      <c r="H1024" t="s">
        <v>8986</v>
      </c>
      <c r="J1024" t="s">
        <v>8987</v>
      </c>
      <c r="M1024" t="s">
        <v>8988</v>
      </c>
      <c r="N1024">
        <v>1.982575982</v>
      </c>
      <c r="O1024">
        <v>3.4571926419999999</v>
      </c>
      <c r="P1024">
        <v>-0.114791479</v>
      </c>
      <c r="Q1024">
        <v>1.868949E-3</v>
      </c>
      <c r="S1024" s="13">
        <v>-1.2241994730000001</v>
      </c>
      <c r="T1024">
        <v>0.57572115099999999</v>
      </c>
      <c r="U1024">
        <v>-0.1120859</v>
      </c>
    </row>
    <row r="1025" spans="1:21" x14ac:dyDescent="0.2">
      <c r="A1025" t="s">
        <v>1260</v>
      </c>
      <c r="B1025">
        <v>764760</v>
      </c>
      <c r="C1025" t="s">
        <v>6927</v>
      </c>
      <c r="D1025" t="s">
        <v>1260</v>
      </c>
      <c r="E1025" t="s">
        <v>6915</v>
      </c>
      <c r="F1025">
        <v>19</v>
      </c>
      <c r="G1025">
        <v>13</v>
      </c>
      <c r="H1025" t="s">
        <v>8989</v>
      </c>
      <c r="J1025" t="s">
        <v>8990</v>
      </c>
      <c r="M1025" t="s">
        <v>8991</v>
      </c>
      <c r="N1025">
        <v>1.982575982</v>
      </c>
      <c r="O1025">
        <v>3.4571926419999999</v>
      </c>
      <c r="P1025">
        <v>-0.114791479</v>
      </c>
      <c r="Q1025">
        <v>1.868949E-3</v>
      </c>
      <c r="S1025" s="13">
        <v>-1.2241994730000001</v>
      </c>
      <c r="T1025">
        <v>0.57572115099999999</v>
      </c>
      <c r="U1025">
        <v>-0.1120859</v>
      </c>
    </row>
    <row r="1026" spans="1:21" x14ac:dyDescent="0.2">
      <c r="A1026" t="s">
        <v>236</v>
      </c>
      <c r="B1026">
        <v>764600</v>
      </c>
      <c r="C1026" t="s">
        <v>6927</v>
      </c>
      <c r="D1026" t="s">
        <v>236</v>
      </c>
      <c r="E1026" t="s">
        <v>7006</v>
      </c>
      <c r="F1026">
        <v>17</v>
      </c>
      <c r="G1026">
        <v>3</v>
      </c>
      <c r="H1026" t="s">
        <v>8992</v>
      </c>
      <c r="J1026" t="s">
        <v>8993</v>
      </c>
      <c r="M1026" t="s">
        <v>8994</v>
      </c>
      <c r="N1026">
        <v>1.982575982</v>
      </c>
      <c r="O1026">
        <v>3.4571926419999999</v>
      </c>
      <c r="P1026">
        <v>-0.114791479</v>
      </c>
      <c r="Q1026">
        <v>1.868949E-3</v>
      </c>
      <c r="S1026" s="13">
        <v>-1.2243654930000001</v>
      </c>
      <c r="T1026">
        <v>0.57499568199999995</v>
      </c>
      <c r="U1026">
        <v>-0.11218338899999999</v>
      </c>
    </row>
    <row r="1027" spans="1:21" x14ac:dyDescent="0.2">
      <c r="A1027" t="s">
        <v>1461</v>
      </c>
      <c r="B1027">
        <v>732120</v>
      </c>
      <c r="C1027" t="s">
        <v>6910</v>
      </c>
      <c r="D1027" t="s">
        <v>1461</v>
      </c>
      <c r="E1027" t="s">
        <v>6918</v>
      </c>
      <c r="F1027">
        <v>21</v>
      </c>
      <c r="G1027">
        <v>1</v>
      </c>
      <c r="H1027" t="s">
        <v>8995</v>
      </c>
      <c r="J1027" t="s">
        <v>1820</v>
      </c>
      <c r="M1027" t="s">
        <v>8996</v>
      </c>
      <c r="N1027">
        <v>1.9874741039999999</v>
      </c>
      <c r="O1027">
        <v>3.7453511220000002</v>
      </c>
      <c r="P1027">
        <v>0.451009722</v>
      </c>
      <c r="Q1027">
        <v>-0.102386592</v>
      </c>
      <c r="S1027" s="13">
        <v>-1.225001614</v>
      </c>
      <c r="T1027">
        <v>0.57221597800000001</v>
      </c>
      <c r="U1027">
        <v>-6.4329237999999997E-2</v>
      </c>
    </row>
    <row r="1028" spans="1:21" x14ac:dyDescent="0.2">
      <c r="A1028" t="s">
        <v>307</v>
      </c>
      <c r="B1028">
        <v>731320</v>
      </c>
      <c r="C1028" t="s">
        <v>6910</v>
      </c>
      <c r="D1028" t="s">
        <v>308</v>
      </c>
      <c r="E1028" t="s">
        <v>6915</v>
      </c>
      <c r="F1028">
        <v>3</v>
      </c>
      <c r="G1028">
        <v>13</v>
      </c>
      <c r="H1028" t="s">
        <v>8997</v>
      </c>
      <c r="J1028" t="s">
        <v>2519</v>
      </c>
      <c r="M1028" t="s">
        <v>8998</v>
      </c>
      <c r="N1028">
        <v>1.9874741039999999</v>
      </c>
      <c r="O1028">
        <v>3.7453511220000002</v>
      </c>
      <c r="P1028">
        <v>0.451009722</v>
      </c>
      <c r="Q1028">
        <v>-0.102386592</v>
      </c>
      <c r="S1028" s="13">
        <v>-1.2258623289999999</v>
      </c>
      <c r="T1028">
        <v>0.56845485100000004</v>
      </c>
      <c r="U1028">
        <v>-6.4766092999999997E-2</v>
      </c>
    </row>
    <row r="1029" spans="1:21" x14ac:dyDescent="0.2">
      <c r="A1029" t="s">
        <v>1620</v>
      </c>
      <c r="B1029">
        <v>446920</v>
      </c>
      <c r="C1029" t="s">
        <v>6961</v>
      </c>
      <c r="D1029" t="s">
        <v>1620</v>
      </c>
      <c r="E1029" t="s">
        <v>6911</v>
      </c>
      <c r="F1029">
        <v>18</v>
      </c>
      <c r="G1029">
        <v>12</v>
      </c>
      <c r="H1029" t="s">
        <v>8999</v>
      </c>
      <c r="J1029" t="s">
        <v>5991</v>
      </c>
      <c r="M1029" t="s">
        <v>9000</v>
      </c>
      <c r="N1029">
        <v>2.7247480949999998</v>
      </c>
      <c r="O1029">
        <v>7.0822175119999997</v>
      </c>
      <c r="P1029">
        <v>0.61298291999999999</v>
      </c>
      <c r="Q1029">
        <v>0.48262032500000002</v>
      </c>
      <c r="S1029" s="13">
        <v>-1.226006143</v>
      </c>
      <c r="T1029">
        <v>0.56782641599999994</v>
      </c>
      <c r="U1029">
        <v>-0.14876982499999999</v>
      </c>
    </row>
    <row r="1030" spans="1:21" x14ac:dyDescent="0.2">
      <c r="A1030" t="s">
        <v>431</v>
      </c>
      <c r="B1030">
        <v>823800</v>
      </c>
      <c r="C1030" t="s">
        <v>6914</v>
      </c>
      <c r="D1030" t="s">
        <v>432</v>
      </c>
      <c r="E1030" t="s">
        <v>6939</v>
      </c>
      <c r="F1030">
        <v>3</v>
      </c>
      <c r="G1030">
        <v>2</v>
      </c>
      <c r="H1030" t="s">
        <v>9001</v>
      </c>
      <c r="J1030" t="s">
        <v>2758</v>
      </c>
      <c r="M1030" t="s">
        <v>9002</v>
      </c>
      <c r="N1030">
        <v>1.8217074179999999</v>
      </c>
      <c r="O1030">
        <v>4.1700741289999996</v>
      </c>
      <c r="P1030">
        <v>0.189705977</v>
      </c>
      <c r="Q1030">
        <v>-1.7194070999999998E-2</v>
      </c>
      <c r="S1030" s="13">
        <v>-1.2261432249999999</v>
      </c>
      <c r="T1030">
        <v>0.56722739899999997</v>
      </c>
      <c r="U1030">
        <v>-0.125134886</v>
      </c>
    </row>
    <row r="1031" spans="1:21" x14ac:dyDescent="0.2">
      <c r="A1031" t="s">
        <v>408</v>
      </c>
      <c r="B1031">
        <v>704080</v>
      </c>
      <c r="C1031" t="s">
        <v>6942</v>
      </c>
      <c r="D1031" t="s">
        <v>408</v>
      </c>
      <c r="E1031" t="s">
        <v>6918</v>
      </c>
      <c r="F1031">
        <v>10</v>
      </c>
      <c r="G1031">
        <v>1</v>
      </c>
      <c r="H1031" t="s">
        <v>9003</v>
      </c>
      <c r="J1031" t="s">
        <v>5038</v>
      </c>
      <c r="M1031" t="s">
        <v>9004</v>
      </c>
      <c r="N1031">
        <v>2.0902262079999998</v>
      </c>
      <c r="O1031">
        <v>4.2704203920000001</v>
      </c>
      <c r="P1031">
        <v>0.23425843900000001</v>
      </c>
      <c r="Q1031">
        <v>1.6181978999999999E-2</v>
      </c>
      <c r="S1031" s="13">
        <v>-1.2261939820000001</v>
      </c>
      <c r="T1031">
        <v>0.567005604</v>
      </c>
      <c r="U1031">
        <v>-0.132249542</v>
      </c>
    </row>
    <row r="1032" spans="1:21" x14ac:dyDescent="0.2">
      <c r="A1032" t="s">
        <v>2206</v>
      </c>
      <c r="B1032">
        <v>827840</v>
      </c>
      <c r="C1032" t="s">
        <v>6953</v>
      </c>
      <c r="D1032" t="s">
        <v>2207</v>
      </c>
      <c r="E1032" t="s">
        <v>6956</v>
      </c>
      <c r="F1032">
        <v>3</v>
      </c>
      <c r="G1032">
        <v>7</v>
      </c>
      <c r="H1032" t="s">
        <v>9005</v>
      </c>
      <c r="J1032" t="s">
        <v>2209</v>
      </c>
      <c r="M1032" t="s">
        <v>9006</v>
      </c>
      <c r="N1032">
        <v>1.921480887</v>
      </c>
      <c r="O1032">
        <v>3.0856645180000002</v>
      </c>
      <c r="P1032">
        <v>0.44706724399999997</v>
      </c>
      <c r="Q1032">
        <v>-0.354940863</v>
      </c>
      <c r="S1032" s="13">
        <v>-1.2262228399999999</v>
      </c>
      <c r="T1032">
        <v>0.56687949800000004</v>
      </c>
      <c r="U1032">
        <v>-6.6156030000000005E-2</v>
      </c>
    </row>
    <row r="1033" spans="1:21" x14ac:dyDescent="0.2">
      <c r="A1033" t="s">
        <v>47</v>
      </c>
      <c r="B1033">
        <v>730880</v>
      </c>
      <c r="C1033" t="s">
        <v>6910</v>
      </c>
      <c r="D1033" t="s">
        <v>48</v>
      </c>
      <c r="E1033" t="s">
        <v>6918</v>
      </c>
      <c r="F1033">
        <v>8</v>
      </c>
      <c r="G1033">
        <v>1</v>
      </c>
      <c r="H1033" t="s">
        <v>9007</v>
      </c>
      <c r="J1033" t="s">
        <v>276</v>
      </c>
      <c r="M1033" t="s">
        <v>9008</v>
      </c>
      <c r="N1033">
        <v>1.9874741039999999</v>
      </c>
      <c r="O1033">
        <v>3.7453511220000002</v>
      </c>
      <c r="P1033">
        <v>0.451009722</v>
      </c>
      <c r="Q1033">
        <v>-0.102386592</v>
      </c>
      <c r="S1033" s="13">
        <v>-1.226335722</v>
      </c>
      <c r="T1033">
        <v>0.56638623099999996</v>
      </c>
      <c r="U1033">
        <v>-6.5006550999999996E-2</v>
      </c>
    </row>
    <row r="1034" spans="1:21" x14ac:dyDescent="0.2">
      <c r="A1034" t="s">
        <v>656</v>
      </c>
      <c r="B1034">
        <v>643920</v>
      </c>
      <c r="C1034" t="s">
        <v>6931</v>
      </c>
      <c r="D1034" t="s">
        <v>656</v>
      </c>
      <c r="E1034" t="s">
        <v>6956</v>
      </c>
      <c r="F1034">
        <v>24</v>
      </c>
      <c r="G1034">
        <v>7</v>
      </c>
      <c r="H1034" t="s">
        <v>9009</v>
      </c>
      <c r="N1034">
        <v>1.9323965059999999</v>
      </c>
      <c r="O1034">
        <v>3.0528020530000002</v>
      </c>
      <c r="P1034">
        <v>2.6493138999999999E-2</v>
      </c>
      <c r="Q1034">
        <v>-0.38692188</v>
      </c>
      <c r="S1034" s="13">
        <v>-1.22641088</v>
      </c>
      <c r="T1034">
        <v>0.56605780900000002</v>
      </c>
      <c r="U1034">
        <v>-6.9843882999999995E-2</v>
      </c>
    </row>
    <row r="1035" spans="1:21" x14ac:dyDescent="0.2">
      <c r="A1035" t="s">
        <v>2230</v>
      </c>
      <c r="B1035">
        <v>643680</v>
      </c>
      <c r="C1035" t="s">
        <v>6931</v>
      </c>
      <c r="D1035" t="s">
        <v>2231</v>
      </c>
      <c r="E1035" t="s">
        <v>7115</v>
      </c>
      <c r="F1035">
        <v>2</v>
      </c>
      <c r="G1035">
        <v>10</v>
      </c>
      <c r="H1035" t="s">
        <v>9010</v>
      </c>
      <c r="J1035" t="s">
        <v>2233</v>
      </c>
      <c r="M1035" t="s">
        <v>9011</v>
      </c>
      <c r="N1035">
        <v>1.9323965059999999</v>
      </c>
      <c r="O1035">
        <v>3.0528020530000002</v>
      </c>
      <c r="P1035">
        <v>2.6493138999999999E-2</v>
      </c>
      <c r="Q1035">
        <v>-0.38692188</v>
      </c>
      <c r="S1035" s="13">
        <v>-1.2267262329999999</v>
      </c>
      <c r="T1035">
        <v>0.56467978500000005</v>
      </c>
      <c r="U1035">
        <v>-6.9976568000000003E-2</v>
      </c>
    </row>
    <row r="1036" spans="1:21" x14ac:dyDescent="0.2">
      <c r="A1036" t="s">
        <v>516</v>
      </c>
      <c r="B1036">
        <v>626720</v>
      </c>
      <c r="C1036" t="s">
        <v>6945</v>
      </c>
      <c r="D1036" t="s">
        <v>516</v>
      </c>
      <c r="E1036" t="s">
        <v>6939</v>
      </c>
      <c r="F1036">
        <v>13</v>
      </c>
      <c r="G1036">
        <v>2</v>
      </c>
      <c r="H1036" t="s">
        <v>9012</v>
      </c>
      <c r="J1036" t="s">
        <v>3691</v>
      </c>
      <c r="M1036" t="s">
        <v>9013</v>
      </c>
      <c r="N1036">
        <v>2.2220813349999999</v>
      </c>
      <c r="O1036">
        <v>6.5440947090000003</v>
      </c>
      <c r="P1036">
        <v>0.58228215500000002</v>
      </c>
      <c r="Q1036">
        <v>0.35188233000000002</v>
      </c>
      <c r="S1036" s="13">
        <v>-1.227131242</v>
      </c>
      <c r="T1036">
        <v>0.56290999100000005</v>
      </c>
      <c r="U1036">
        <v>-0.13646926400000001</v>
      </c>
    </row>
    <row r="1037" spans="1:21" x14ac:dyDescent="0.2">
      <c r="A1037" t="s">
        <v>804</v>
      </c>
      <c r="B1037">
        <v>703120</v>
      </c>
      <c r="C1037" t="s">
        <v>6942</v>
      </c>
      <c r="D1037" t="s">
        <v>804</v>
      </c>
      <c r="E1037" t="s">
        <v>6918</v>
      </c>
      <c r="F1037">
        <v>18</v>
      </c>
      <c r="G1037">
        <v>1</v>
      </c>
      <c r="H1037" t="s">
        <v>9014</v>
      </c>
      <c r="J1037" t="s">
        <v>863</v>
      </c>
      <c r="M1037" t="s">
        <v>9015</v>
      </c>
      <c r="N1037">
        <v>2.0902262079999998</v>
      </c>
      <c r="O1037">
        <v>4.2704203920000001</v>
      </c>
      <c r="P1037">
        <v>0.23425843900000001</v>
      </c>
      <c r="Q1037">
        <v>1.6181978999999999E-2</v>
      </c>
      <c r="S1037" s="13">
        <v>-1.2271362109999999</v>
      </c>
      <c r="T1037">
        <v>0.56288827600000002</v>
      </c>
      <c r="U1037">
        <v>-0.13286263700000001</v>
      </c>
    </row>
    <row r="1038" spans="1:21" x14ac:dyDescent="0.2">
      <c r="A1038" t="s">
        <v>1251</v>
      </c>
      <c r="B1038">
        <v>761760</v>
      </c>
      <c r="C1038" t="s">
        <v>6927</v>
      </c>
      <c r="D1038" t="s">
        <v>1251</v>
      </c>
      <c r="E1038" t="s">
        <v>6907</v>
      </c>
      <c r="F1038">
        <v>17</v>
      </c>
      <c r="G1038">
        <v>4</v>
      </c>
      <c r="H1038" t="s">
        <v>9016</v>
      </c>
      <c r="J1038" t="s">
        <v>9017</v>
      </c>
      <c r="M1038" t="s">
        <v>9018</v>
      </c>
      <c r="N1038">
        <v>1.982575982</v>
      </c>
      <c r="O1038">
        <v>3.4571926419999999</v>
      </c>
      <c r="P1038">
        <v>-0.114791479</v>
      </c>
      <c r="Q1038">
        <v>1.868949E-3</v>
      </c>
      <c r="S1038" s="13">
        <v>-1.2273123459999999</v>
      </c>
      <c r="T1038">
        <v>0.56211860800000002</v>
      </c>
      <c r="U1038">
        <v>-0.11391746699999999</v>
      </c>
    </row>
    <row r="1039" spans="1:21" x14ac:dyDescent="0.2">
      <c r="A1039" t="s">
        <v>1788</v>
      </c>
      <c r="B1039">
        <v>761200</v>
      </c>
      <c r="C1039" t="s">
        <v>6927</v>
      </c>
      <c r="D1039" t="s">
        <v>1788</v>
      </c>
      <c r="E1039" t="s">
        <v>6956</v>
      </c>
      <c r="F1039">
        <v>10</v>
      </c>
      <c r="G1039">
        <v>7</v>
      </c>
      <c r="H1039" t="s">
        <v>9019</v>
      </c>
      <c r="J1039" t="s">
        <v>9020</v>
      </c>
      <c r="M1039" t="s">
        <v>9021</v>
      </c>
      <c r="N1039">
        <v>1.982575982</v>
      </c>
      <c r="O1039">
        <v>3.4571926419999999</v>
      </c>
      <c r="P1039">
        <v>-0.114791479</v>
      </c>
      <c r="Q1039">
        <v>1.868949E-3</v>
      </c>
      <c r="S1039" s="13">
        <v>-1.227893415</v>
      </c>
      <c r="T1039">
        <v>0.55957946700000005</v>
      </c>
      <c r="U1039">
        <v>-0.114260217</v>
      </c>
    </row>
    <row r="1040" spans="1:21" x14ac:dyDescent="0.2">
      <c r="A1040" t="s">
        <v>116</v>
      </c>
      <c r="B1040">
        <v>625720</v>
      </c>
      <c r="C1040" t="s">
        <v>6945</v>
      </c>
      <c r="D1040" t="s">
        <v>117</v>
      </c>
      <c r="E1040" t="s">
        <v>6921</v>
      </c>
      <c r="F1040">
        <v>3</v>
      </c>
      <c r="G1040">
        <v>8</v>
      </c>
      <c r="H1040" t="s">
        <v>9022</v>
      </c>
      <c r="J1040" t="s">
        <v>4738</v>
      </c>
      <c r="M1040" t="s">
        <v>9023</v>
      </c>
      <c r="N1040">
        <v>2.2220813349999999</v>
      </c>
      <c r="O1040">
        <v>6.5440947090000003</v>
      </c>
      <c r="P1040">
        <v>0.58228215500000002</v>
      </c>
      <c r="Q1040">
        <v>0.35188233000000002</v>
      </c>
      <c r="S1040" s="13">
        <v>-1.2280744779999999</v>
      </c>
      <c r="T1040">
        <v>0.55878826500000001</v>
      </c>
      <c r="U1040">
        <v>-0.13711416400000001</v>
      </c>
    </row>
    <row r="1041" spans="1:21" x14ac:dyDescent="0.2">
      <c r="A1041" t="s">
        <v>985</v>
      </c>
      <c r="B1041">
        <v>625080</v>
      </c>
      <c r="C1041" t="s">
        <v>6945</v>
      </c>
      <c r="D1041" t="s">
        <v>985</v>
      </c>
      <c r="E1041" t="s">
        <v>6907</v>
      </c>
      <c r="F1041">
        <v>12</v>
      </c>
      <c r="G1041">
        <v>4</v>
      </c>
      <c r="H1041" t="s">
        <v>9024</v>
      </c>
      <c r="J1041" t="s">
        <v>1981</v>
      </c>
      <c r="M1041" t="s">
        <v>9025</v>
      </c>
      <c r="N1041">
        <v>2.2220813349999999</v>
      </c>
      <c r="O1041">
        <v>6.5440947090000003</v>
      </c>
      <c r="P1041">
        <v>0.58228215500000002</v>
      </c>
      <c r="Q1041">
        <v>0.35188233000000002</v>
      </c>
      <c r="S1041" s="13">
        <v>-1.2286781490000001</v>
      </c>
      <c r="T1041">
        <v>0.55615035999999995</v>
      </c>
      <c r="U1041">
        <v>-0.13752740199999999</v>
      </c>
    </row>
    <row r="1042" spans="1:21" x14ac:dyDescent="0.2">
      <c r="A1042" t="s">
        <v>656</v>
      </c>
      <c r="B1042">
        <v>821640</v>
      </c>
      <c r="C1042" t="s">
        <v>6914</v>
      </c>
      <c r="D1042" t="s">
        <v>656</v>
      </c>
      <c r="E1042" t="s">
        <v>6956</v>
      </c>
      <c r="F1042">
        <v>24</v>
      </c>
      <c r="G1042">
        <v>7</v>
      </c>
      <c r="H1042" t="s">
        <v>9026</v>
      </c>
      <c r="J1042" t="s">
        <v>6603</v>
      </c>
      <c r="M1042" t="s">
        <v>9027</v>
      </c>
      <c r="N1042">
        <v>1.8217074179999999</v>
      </c>
      <c r="O1042">
        <v>4.1700741289999996</v>
      </c>
      <c r="P1042">
        <v>0.189705977</v>
      </c>
      <c r="Q1042">
        <v>-1.7194070999999998E-2</v>
      </c>
      <c r="S1042" s="13">
        <v>-1.22874119</v>
      </c>
      <c r="T1042">
        <v>0.55587488600000001</v>
      </c>
      <c r="U1042">
        <v>-0.126493099</v>
      </c>
    </row>
    <row r="1043" spans="1:21" x14ac:dyDescent="0.2">
      <c r="A1043" t="s">
        <v>1783</v>
      </c>
      <c r="B1043">
        <v>701120</v>
      </c>
      <c r="C1043" t="s">
        <v>6942</v>
      </c>
      <c r="D1043" t="s">
        <v>1783</v>
      </c>
      <c r="E1043" t="s">
        <v>6915</v>
      </c>
      <c r="F1043">
        <v>11</v>
      </c>
      <c r="G1043">
        <v>13</v>
      </c>
      <c r="H1043" t="s">
        <v>9028</v>
      </c>
      <c r="J1043" t="s">
        <v>3600</v>
      </c>
      <c r="M1043" t="s">
        <v>9029</v>
      </c>
      <c r="N1043">
        <v>2.0902262079999998</v>
      </c>
      <c r="O1043">
        <v>4.2704203920000001</v>
      </c>
      <c r="P1043">
        <v>0.23425843900000001</v>
      </c>
      <c r="Q1043">
        <v>1.6181978999999999E-2</v>
      </c>
      <c r="S1043" s="13">
        <v>-1.229099189</v>
      </c>
      <c r="T1043">
        <v>0.55431050999999998</v>
      </c>
      <c r="U1043">
        <v>-0.134142704</v>
      </c>
    </row>
    <row r="1044" spans="1:21" x14ac:dyDescent="0.2">
      <c r="A1044" t="s">
        <v>1215</v>
      </c>
      <c r="B1044">
        <v>798640</v>
      </c>
      <c r="C1044" t="s">
        <v>6938</v>
      </c>
      <c r="D1044" t="s">
        <v>1215</v>
      </c>
      <c r="E1044" t="s">
        <v>6970</v>
      </c>
      <c r="F1044">
        <v>18</v>
      </c>
      <c r="G1044">
        <v>14</v>
      </c>
      <c r="H1044" t="s">
        <v>9030</v>
      </c>
      <c r="J1044" t="s">
        <v>1575</v>
      </c>
      <c r="M1044" t="s">
        <v>9031</v>
      </c>
      <c r="N1044">
        <v>2.092758737</v>
      </c>
      <c r="O1044">
        <v>5.3323610669999999</v>
      </c>
      <c r="P1044">
        <v>0.70420098600000003</v>
      </c>
      <c r="Q1044">
        <v>0.41355372699999998</v>
      </c>
      <c r="S1044" s="13">
        <v>-1.2292339400000001</v>
      </c>
      <c r="T1044">
        <v>0.55372167900000002</v>
      </c>
      <c r="U1044">
        <v>-0.11226870899999999</v>
      </c>
    </row>
    <row r="1045" spans="1:21" x14ac:dyDescent="0.2">
      <c r="A1045" t="s">
        <v>1747</v>
      </c>
      <c r="B1045">
        <v>442800</v>
      </c>
      <c r="C1045" t="s">
        <v>6961</v>
      </c>
      <c r="D1045" t="s">
        <v>1747</v>
      </c>
      <c r="E1045" t="s">
        <v>6911</v>
      </c>
      <c r="F1045">
        <v>13</v>
      </c>
      <c r="G1045">
        <v>12</v>
      </c>
      <c r="H1045" t="s">
        <v>9032</v>
      </c>
      <c r="J1045" t="s">
        <v>6499</v>
      </c>
      <c r="M1045" t="s">
        <v>9033</v>
      </c>
      <c r="N1045">
        <v>2.7247480949999998</v>
      </c>
      <c r="O1045">
        <v>7.0822175119999997</v>
      </c>
      <c r="P1045">
        <v>0.61298291999999999</v>
      </c>
      <c r="Q1045">
        <v>0.48262032500000002</v>
      </c>
      <c r="S1045" s="13">
        <v>-1.2292675980000001</v>
      </c>
      <c r="T1045">
        <v>0.55357460400000003</v>
      </c>
      <c r="U1045">
        <v>-0.15150973700000001</v>
      </c>
    </row>
    <row r="1046" spans="1:21" x14ac:dyDescent="0.2">
      <c r="A1046" t="s">
        <v>2073</v>
      </c>
      <c r="B1046">
        <v>820840</v>
      </c>
      <c r="C1046" t="s">
        <v>6914</v>
      </c>
      <c r="D1046" t="s">
        <v>2074</v>
      </c>
      <c r="E1046" t="s">
        <v>7085</v>
      </c>
      <c r="F1046">
        <v>2</v>
      </c>
      <c r="G1046">
        <v>9</v>
      </c>
      <c r="H1046" t="s">
        <v>9034</v>
      </c>
      <c r="J1046" t="s">
        <v>5235</v>
      </c>
      <c r="M1046" t="s">
        <v>9035</v>
      </c>
      <c r="N1046">
        <v>1.8217074179999999</v>
      </c>
      <c r="O1046">
        <v>4.1700741289999996</v>
      </c>
      <c r="P1046">
        <v>0.189705977</v>
      </c>
      <c r="Q1046">
        <v>-1.7194070999999998E-2</v>
      </c>
      <c r="S1046" s="13">
        <v>-1.2297033989999999</v>
      </c>
      <c r="T1046">
        <v>0.55167025199999997</v>
      </c>
      <c r="U1046">
        <v>-0.12699722099999999</v>
      </c>
    </row>
    <row r="1047" spans="1:21" x14ac:dyDescent="0.2">
      <c r="A1047" t="s">
        <v>592</v>
      </c>
      <c r="B1047">
        <v>623920</v>
      </c>
      <c r="C1047" t="s">
        <v>6945</v>
      </c>
      <c r="D1047" t="s">
        <v>593</v>
      </c>
      <c r="E1047" t="s">
        <v>6946</v>
      </c>
      <c r="F1047">
        <v>9</v>
      </c>
      <c r="G1047">
        <v>11</v>
      </c>
      <c r="H1047" t="s">
        <v>9036</v>
      </c>
      <c r="J1047" t="s">
        <v>3677</v>
      </c>
      <c r="M1047" t="s">
        <v>9037</v>
      </c>
      <c r="N1047">
        <v>2.2220813349999999</v>
      </c>
      <c r="O1047">
        <v>6.5440947090000003</v>
      </c>
      <c r="P1047">
        <v>0.58228215500000002</v>
      </c>
      <c r="Q1047">
        <v>0.35188233000000002</v>
      </c>
      <c r="S1047" s="13">
        <v>-1.2297723030000001</v>
      </c>
      <c r="T1047">
        <v>0.55136915799999997</v>
      </c>
      <c r="U1047">
        <v>-0.13827740099999999</v>
      </c>
    </row>
    <row r="1048" spans="1:21" x14ac:dyDescent="0.2">
      <c r="A1048" t="s">
        <v>372</v>
      </c>
      <c r="B1048">
        <v>820760</v>
      </c>
      <c r="C1048" t="s">
        <v>6914</v>
      </c>
      <c r="D1048" t="s">
        <v>372</v>
      </c>
      <c r="E1048" t="s">
        <v>7006</v>
      </c>
      <c r="F1048">
        <v>23</v>
      </c>
      <c r="G1048">
        <v>3</v>
      </c>
      <c r="H1048" t="s">
        <v>9038</v>
      </c>
      <c r="J1048" t="s">
        <v>858</v>
      </c>
      <c r="M1048" t="s">
        <v>9039</v>
      </c>
      <c r="N1048">
        <v>1.8217074179999999</v>
      </c>
      <c r="O1048">
        <v>4.1700741289999996</v>
      </c>
      <c r="P1048">
        <v>0.189705977</v>
      </c>
      <c r="Q1048">
        <v>-1.7194070999999998E-2</v>
      </c>
      <c r="S1048" s="13">
        <v>-1.2297996200000001</v>
      </c>
      <c r="T1048">
        <v>0.55124978800000002</v>
      </c>
      <c r="U1048">
        <v>-0.127047665</v>
      </c>
    </row>
    <row r="1049" spans="1:21" x14ac:dyDescent="0.2">
      <c r="A1049" t="s">
        <v>977</v>
      </c>
      <c r="B1049">
        <v>699960</v>
      </c>
      <c r="C1049" t="s">
        <v>6942</v>
      </c>
      <c r="D1049" t="s">
        <v>978</v>
      </c>
      <c r="E1049" t="s">
        <v>6915</v>
      </c>
      <c r="F1049">
        <v>5</v>
      </c>
      <c r="G1049">
        <v>13</v>
      </c>
      <c r="H1049" t="s">
        <v>9040</v>
      </c>
      <c r="J1049" t="s">
        <v>2314</v>
      </c>
      <c r="M1049" t="s">
        <v>9041</v>
      </c>
      <c r="N1049">
        <v>2.0902262079999998</v>
      </c>
      <c r="O1049">
        <v>4.2704203920000001</v>
      </c>
      <c r="P1049">
        <v>0.23425843900000001</v>
      </c>
      <c r="Q1049">
        <v>1.6181978999999999E-2</v>
      </c>
      <c r="S1049" s="13">
        <v>-1.2302377170000001</v>
      </c>
      <c r="T1049">
        <v>0.54933540599999997</v>
      </c>
      <c r="U1049">
        <v>-0.13488687599999999</v>
      </c>
    </row>
    <row r="1050" spans="1:21" x14ac:dyDescent="0.2">
      <c r="A1050" t="s">
        <v>191</v>
      </c>
      <c r="B1050">
        <v>797400</v>
      </c>
      <c r="C1050" t="s">
        <v>6938</v>
      </c>
      <c r="D1050" t="s">
        <v>192</v>
      </c>
      <c r="E1050" t="s">
        <v>6911</v>
      </c>
      <c r="F1050">
        <v>1</v>
      </c>
      <c r="G1050">
        <v>12</v>
      </c>
      <c r="H1050" t="s">
        <v>9042</v>
      </c>
      <c r="J1050" t="s">
        <v>5627</v>
      </c>
      <c r="M1050" t="s">
        <v>9043</v>
      </c>
      <c r="N1050">
        <v>2.092758737</v>
      </c>
      <c r="O1050">
        <v>5.3323610669999999</v>
      </c>
      <c r="P1050">
        <v>0.70420098600000003</v>
      </c>
      <c r="Q1050">
        <v>0.41355372699999998</v>
      </c>
      <c r="S1050" s="13">
        <v>-1.230298866</v>
      </c>
      <c r="T1050">
        <v>0.54906819600000001</v>
      </c>
      <c r="U1050">
        <v>-0.11302514</v>
      </c>
    </row>
    <row r="1051" spans="1:21" x14ac:dyDescent="0.2">
      <c r="A1051" t="s">
        <v>405</v>
      </c>
      <c r="B1051">
        <v>441120</v>
      </c>
      <c r="C1051" t="s">
        <v>6961</v>
      </c>
      <c r="D1051" t="s">
        <v>405</v>
      </c>
      <c r="E1051" t="s">
        <v>6946</v>
      </c>
      <c r="F1051">
        <v>23</v>
      </c>
      <c r="G1051">
        <v>11</v>
      </c>
      <c r="H1051" t="s">
        <v>9044</v>
      </c>
      <c r="J1051" t="s">
        <v>407</v>
      </c>
      <c r="M1051" t="s">
        <v>9045</v>
      </c>
      <c r="N1051">
        <v>2.7247480949999998</v>
      </c>
      <c r="O1051">
        <v>7.0822175119999997</v>
      </c>
      <c r="P1051">
        <v>0.61298291999999999</v>
      </c>
      <c r="Q1051">
        <v>0.48262032500000002</v>
      </c>
      <c r="S1051" s="13">
        <v>-1.230597511</v>
      </c>
      <c r="T1051">
        <v>0.54776318599999996</v>
      </c>
      <c r="U1051">
        <v>-0.15263196200000001</v>
      </c>
    </row>
    <row r="1052" spans="1:21" x14ac:dyDescent="0.2">
      <c r="A1052" t="s">
        <v>537</v>
      </c>
      <c r="B1052">
        <v>699240</v>
      </c>
      <c r="C1052" t="s">
        <v>6942</v>
      </c>
      <c r="D1052" t="s">
        <v>538</v>
      </c>
      <c r="E1052" t="s">
        <v>6928</v>
      </c>
      <c r="F1052">
        <v>8</v>
      </c>
      <c r="G1052">
        <v>16</v>
      </c>
      <c r="H1052" t="s">
        <v>9046</v>
      </c>
      <c r="J1052" t="s">
        <v>2714</v>
      </c>
      <c r="M1052" t="s">
        <v>9047</v>
      </c>
      <c r="N1052">
        <v>2.0902262079999998</v>
      </c>
      <c r="O1052">
        <v>4.2704203920000001</v>
      </c>
      <c r="P1052">
        <v>0.23425843900000001</v>
      </c>
      <c r="Q1052">
        <v>1.6181978999999999E-2</v>
      </c>
      <c r="S1052" s="13">
        <v>-1.230944389</v>
      </c>
      <c r="T1052">
        <v>0.54624740999999999</v>
      </c>
      <c r="U1052">
        <v>-0.135349417</v>
      </c>
    </row>
    <row r="1053" spans="1:21" x14ac:dyDescent="0.2">
      <c r="A1053" t="s">
        <v>560</v>
      </c>
      <c r="B1053">
        <v>698800</v>
      </c>
      <c r="C1053" t="s">
        <v>6942</v>
      </c>
      <c r="D1053" t="s">
        <v>560</v>
      </c>
      <c r="E1053" t="s">
        <v>6928</v>
      </c>
      <c r="F1053">
        <v>13</v>
      </c>
      <c r="G1053">
        <v>16</v>
      </c>
      <c r="H1053" t="s">
        <v>9048</v>
      </c>
      <c r="J1053" t="s">
        <v>1205</v>
      </c>
      <c r="M1053" t="s">
        <v>9049</v>
      </c>
      <c r="N1053">
        <v>2.0902262079999998</v>
      </c>
      <c r="O1053">
        <v>4.2704203920000001</v>
      </c>
      <c r="P1053">
        <v>0.23425843900000001</v>
      </c>
      <c r="Q1053">
        <v>1.6181978999999999E-2</v>
      </c>
      <c r="S1053" s="13">
        <v>-1.231376244</v>
      </c>
      <c r="T1053">
        <v>0.54436030199999996</v>
      </c>
      <c r="U1053">
        <v>-0.135632324</v>
      </c>
    </row>
    <row r="1054" spans="1:21" x14ac:dyDescent="0.2">
      <c r="A1054" t="s">
        <v>2077</v>
      </c>
      <c r="B1054">
        <v>757440</v>
      </c>
      <c r="C1054" t="s">
        <v>6927</v>
      </c>
      <c r="D1054" t="s">
        <v>2077</v>
      </c>
      <c r="E1054" t="s">
        <v>6915</v>
      </c>
      <c r="F1054">
        <v>20</v>
      </c>
      <c r="G1054">
        <v>13</v>
      </c>
      <c r="H1054" t="s">
        <v>9050</v>
      </c>
      <c r="J1054" t="s">
        <v>9051</v>
      </c>
      <c r="M1054" t="s">
        <v>9052</v>
      </c>
      <c r="N1054">
        <v>1.982575982</v>
      </c>
      <c r="O1054">
        <v>3.4571926419999999</v>
      </c>
      <c r="P1054">
        <v>-0.114791479</v>
      </c>
      <c r="Q1054">
        <v>1.868949E-3</v>
      </c>
      <c r="S1054" s="13">
        <v>-1.231794882</v>
      </c>
      <c r="T1054">
        <v>0.54253094700000004</v>
      </c>
      <c r="U1054">
        <v>-0.116568569</v>
      </c>
    </row>
    <row r="1055" spans="1:21" x14ac:dyDescent="0.2">
      <c r="A1055" t="s">
        <v>470</v>
      </c>
      <c r="B1055">
        <v>687160</v>
      </c>
      <c r="C1055" t="s">
        <v>6906</v>
      </c>
      <c r="D1055" t="s">
        <v>470</v>
      </c>
      <c r="E1055" t="s">
        <v>6970</v>
      </c>
      <c r="F1055">
        <v>22</v>
      </c>
      <c r="G1055">
        <v>14</v>
      </c>
      <c r="H1055" t="s">
        <v>9053</v>
      </c>
      <c r="J1055" t="s">
        <v>472</v>
      </c>
      <c r="M1055" t="s">
        <v>9054</v>
      </c>
      <c r="N1055">
        <v>1.813871112</v>
      </c>
      <c r="O1055">
        <v>2.6633694910000001</v>
      </c>
      <c r="P1055">
        <v>-0.29586356800000002</v>
      </c>
      <c r="Q1055">
        <v>-0.59018158399999998</v>
      </c>
      <c r="S1055" s="13">
        <v>-1.2318003769999999</v>
      </c>
      <c r="T1055">
        <v>0.54250693699999997</v>
      </c>
      <c r="U1055">
        <v>-0.113379406</v>
      </c>
    </row>
    <row r="1056" spans="1:21" x14ac:dyDescent="0.2">
      <c r="A1056" t="s">
        <v>775</v>
      </c>
      <c r="B1056">
        <v>621760</v>
      </c>
      <c r="C1056" t="s">
        <v>6945</v>
      </c>
      <c r="D1056" t="s">
        <v>776</v>
      </c>
      <c r="E1056" t="s">
        <v>6939</v>
      </c>
      <c r="F1056">
        <v>2</v>
      </c>
      <c r="G1056">
        <v>2</v>
      </c>
      <c r="H1056" t="s">
        <v>9055</v>
      </c>
      <c r="J1056" t="s">
        <v>6091</v>
      </c>
      <c r="M1056" t="s">
        <v>9056</v>
      </c>
      <c r="N1056">
        <v>2.2220813349999999</v>
      </c>
      <c r="O1056">
        <v>6.5440947090000003</v>
      </c>
      <c r="P1056">
        <v>0.58228215500000002</v>
      </c>
      <c r="Q1056">
        <v>0.35188233000000002</v>
      </c>
      <c r="S1056" s="13">
        <v>-1.231809693</v>
      </c>
      <c r="T1056">
        <v>0.54246623000000005</v>
      </c>
      <c r="U1056">
        <v>-0.139677412</v>
      </c>
    </row>
    <row r="1057" spans="1:21" x14ac:dyDescent="0.2">
      <c r="A1057" t="s">
        <v>1620</v>
      </c>
      <c r="B1057">
        <v>639720</v>
      </c>
      <c r="C1057" t="s">
        <v>6931</v>
      </c>
      <c r="D1057" t="s">
        <v>1620</v>
      </c>
      <c r="E1057" t="s">
        <v>6911</v>
      </c>
      <c r="F1057">
        <v>18</v>
      </c>
      <c r="G1057">
        <v>12</v>
      </c>
      <c r="H1057" t="s">
        <v>9057</v>
      </c>
      <c r="N1057">
        <v>1.9323965059999999</v>
      </c>
      <c r="O1057">
        <v>3.0528020530000002</v>
      </c>
      <c r="P1057">
        <v>2.6493138999999999E-2</v>
      </c>
      <c r="Q1057">
        <v>-0.38692188</v>
      </c>
      <c r="S1057" s="13">
        <v>-1.231929571</v>
      </c>
      <c r="T1057">
        <v>0.54194238900000002</v>
      </c>
      <c r="U1057">
        <v>-7.2171742999999997E-2</v>
      </c>
    </row>
    <row r="1058" spans="1:21" x14ac:dyDescent="0.2">
      <c r="A1058" t="s">
        <v>1108</v>
      </c>
      <c r="B1058">
        <v>795200</v>
      </c>
      <c r="C1058" t="s">
        <v>6938</v>
      </c>
      <c r="D1058" t="s">
        <v>1109</v>
      </c>
      <c r="E1058" t="s">
        <v>6977</v>
      </c>
      <c r="F1058">
        <v>3</v>
      </c>
      <c r="G1058">
        <v>5</v>
      </c>
      <c r="H1058" t="s">
        <v>9058</v>
      </c>
      <c r="J1058" t="s">
        <v>2366</v>
      </c>
      <c r="M1058" t="s">
        <v>9059</v>
      </c>
      <c r="N1058">
        <v>2.092758737</v>
      </c>
      <c r="O1058">
        <v>5.3323610669999999</v>
      </c>
      <c r="P1058">
        <v>0.70420098600000003</v>
      </c>
      <c r="Q1058">
        <v>0.41355372699999998</v>
      </c>
      <c r="S1058" s="13">
        <v>-1.232188251</v>
      </c>
      <c r="T1058">
        <v>0.54081201499999998</v>
      </c>
      <c r="U1058">
        <v>-0.114370444</v>
      </c>
    </row>
    <row r="1059" spans="1:21" x14ac:dyDescent="0.2">
      <c r="A1059" t="s">
        <v>2871</v>
      </c>
      <c r="B1059">
        <v>725360</v>
      </c>
      <c r="C1059" t="s">
        <v>6910</v>
      </c>
      <c r="D1059" t="s">
        <v>2871</v>
      </c>
      <c r="E1059" t="s">
        <v>6907</v>
      </c>
      <c r="F1059">
        <v>21</v>
      </c>
      <c r="G1059">
        <v>4</v>
      </c>
      <c r="H1059" t="s">
        <v>9060</v>
      </c>
      <c r="J1059" t="s">
        <v>5545</v>
      </c>
      <c r="M1059" t="s">
        <v>9061</v>
      </c>
      <c r="N1059">
        <v>1.9874741039999999</v>
      </c>
      <c r="O1059">
        <v>3.7453511220000002</v>
      </c>
      <c r="P1059">
        <v>0.451009722</v>
      </c>
      <c r="Q1059">
        <v>-0.102386592</v>
      </c>
      <c r="S1059" s="13">
        <v>-1.232274654</v>
      </c>
      <c r="T1059">
        <v>0.54043445499999998</v>
      </c>
      <c r="U1059">
        <v>-6.8034573000000001E-2</v>
      </c>
    </row>
    <row r="1060" spans="1:21" x14ac:dyDescent="0.2">
      <c r="A1060" t="s">
        <v>534</v>
      </c>
      <c r="B1060">
        <v>621200</v>
      </c>
      <c r="C1060" t="s">
        <v>6945</v>
      </c>
      <c r="D1060" t="s">
        <v>534</v>
      </c>
      <c r="E1060" t="s">
        <v>6928</v>
      </c>
      <c r="F1060">
        <v>22</v>
      </c>
      <c r="G1060">
        <v>16</v>
      </c>
      <c r="H1060" t="s">
        <v>9062</v>
      </c>
      <c r="J1060" t="s">
        <v>5901</v>
      </c>
      <c r="M1060" t="s">
        <v>9063</v>
      </c>
      <c r="N1060">
        <v>2.2220813349999999</v>
      </c>
      <c r="O1060">
        <v>6.5440947090000003</v>
      </c>
      <c r="P1060">
        <v>0.58228215500000002</v>
      </c>
      <c r="Q1060">
        <v>0.35188233000000002</v>
      </c>
      <c r="S1060" s="13">
        <v>-1.2323379050000001</v>
      </c>
      <c r="T1060">
        <v>0.54015806300000002</v>
      </c>
      <c r="U1060">
        <v>-0.14004111499999999</v>
      </c>
    </row>
    <row r="1061" spans="1:21" x14ac:dyDescent="0.2">
      <c r="A1061" t="s">
        <v>1383</v>
      </c>
      <c r="B1061">
        <v>621040</v>
      </c>
      <c r="C1061" t="s">
        <v>6945</v>
      </c>
      <c r="D1061" t="s">
        <v>1384</v>
      </c>
      <c r="E1061" t="s">
        <v>6956</v>
      </c>
      <c r="F1061">
        <v>6</v>
      </c>
      <c r="G1061">
        <v>7</v>
      </c>
      <c r="H1061" t="s">
        <v>9064</v>
      </c>
      <c r="J1061" t="s">
        <v>4982</v>
      </c>
      <c r="M1061" t="s">
        <v>9065</v>
      </c>
      <c r="N1061">
        <v>2.2220813349999999</v>
      </c>
      <c r="O1061">
        <v>6.5440947090000003</v>
      </c>
      <c r="P1061">
        <v>0.58228215500000002</v>
      </c>
      <c r="Q1061">
        <v>0.35188233000000002</v>
      </c>
      <c r="S1061" s="13">
        <v>-1.232488823</v>
      </c>
      <c r="T1061">
        <v>0.53949858699999997</v>
      </c>
      <c r="U1061">
        <v>-0.140145086</v>
      </c>
    </row>
    <row r="1062" spans="1:21" x14ac:dyDescent="0.2">
      <c r="A1062" t="s">
        <v>195</v>
      </c>
      <c r="B1062">
        <v>686680</v>
      </c>
      <c r="C1062" t="s">
        <v>6906</v>
      </c>
      <c r="D1062" t="s">
        <v>195</v>
      </c>
      <c r="E1062" t="s">
        <v>6907</v>
      </c>
      <c r="F1062">
        <v>24</v>
      </c>
      <c r="G1062">
        <v>4</v>
      </c>
      <c r="H1062" t="s">
        <v>9066</v>
      </c>
      <c r="J1062" t="s">
        <v>490</v>
      </c>
      <c r="M1062" t="s">
        <v>9067</v>
      </c>
      <c r="N1062">
        <v>1.813871112</v>
      </c>
      <c r="O1062">
        <v>2.6633694910000001</v>
      </c>
      <c r="P1062">
        <v>-0.29586356800000002</v>
      </c>
      <c r="Q1062">
        <v>-0.59018158399999998</v>
      </c>
      <c r="S1062" s="13">
        <v>-1.2324967360000001</v>
      </c>
      <c r="T1062">
        <v>0.53946400900000002</v>
      </c>
      <c r="U1062">
        <v>-0.113672811</v>
      </c>
    </row>
    <row r="1063" spans="1:21" x14ac:dyDescent="0.2">
      <c r="A1063" t="s">
        <v>352</v>
      </c>
      <c r="B1063">
        <v>686640</v>
      </c>
      <c r="C1063" t="s">
        <v>6906</v>
      </c>
      <c r="D1063" t="s">
        <v>352</v>
      </c>
      <c r="E1063" t="s">
        <v>6928</v>
      </c>
      <c r="F1063">
        <v>17</v>
      </c>
      <c r="G1063">
        <v>16</v>
      </c>
      <c r="H1063" t="s">
        <v>9068</v>
      </c>
      <c r="J1063" t="s">
        <v>1777</v>
      </c>
      <c r="M1063" t="s">
        <v>9069</v>
      </c>
      <c r="N1063">
        <v>1.813871112</v>
      </c>
      <c r="O1063">
        <v>2.6633694910000001</v>
      </c>
      <c r="P1063">
        <v>-0.29586356800000002</v>
      </c>
      <c r="Q1063">
        <v>-0.59018158399999998</v>
      </c>
      <c r="S1063" s="13">
        <v>-1.232554766</v>
      </c>
      <c r="T1063">
        <v>0.53921043099999999</v>
      </c>
      <c r="U1063">
        <v>-0.113697271</v>
      </c>
    </row>
    <row r="1064" spans="1:21" x14ac:dyDescent="0.2">
      <c r="A1064" t="s">
        <v>369</v>
      </c>
      <c r="B1064">
        <v>756640</v>
      </c>
      <c r="C1064" t="s">
        <v>6927</v>
      </c>
      <c r="D1064" t="s">
        <v>369</v>
      </c>
      <c r="E1064" t="s">
        <v>6939</v>
      </c>
      <c r="F1064">
        <v>23</v>
      </c>
      <c r="G1064">
        <v>2</v>
      </c>
      <c r="H1064" t="s">
        <v>9070</v>
      </c>
      <c r="J1064" t="s">
        <v>9071</v>
      </c>
      <c r="M1064" t="s">
        <v>9072</v>
      </c>
      <c r="N1064">
        <v>1.982575982</v>
      </c>
      <c r="O1064">
        <v>3.4571926419999999</v>
      </c>
      <c r="P1064">
        <v>-0.114791479</v>
      </c>
      <c r="Q1064">
        <v>1.868949E-3</v>
      </c>
      <c r="S1064" s="13">
        <v>-1.2326249819999999</v>
      </c>
      <c r="T1064">
        <v>0.53890360299999995</v>
      </c>
      <c r="U1064">
        <v>-0.117061294</v>
      </c>
    </row>
    <row r="1065" spans="1:21" x14ac:dyDescent="0.2">
      <c r="A1065" t="s">
        <v>1082</v>
      </c>
      <c r="B1065">
        <v>697040</v>
      </c>
      <c r="C1065" t="s">
        <v>6942</v>
      </c>
      <c r="D1065" t="s">
        <v>1082</v>
      </c>
      <c r="E1065" t="s">
        <v>7115</v>
      </c>
      <c r="F1065">
        <v>21</v>
      </c>
      <c r="G1065">
        <v>10</v>
      </c>
      <c r="H1065" t="s">
        <v>9073</v>
      </c>
      <c r="J1065" t="s">
        <v>2483</v>
      </c>
      <c r="M1065" t="s">
        <v>9074</v>
      </c>
      <c r="N1065">
        <v>2.0902262079999998</v>
      </c>
      <c r="O1065">
        <v>4.2704203920000001</v>
      </c>
      <c r="P1065">
        <v>0.23425843900000001</v>
      </c>
      <c r="Q1065">
        <v>1.6181978999999999E-2</v>
      </c>
      <c r="S1065" s="13">
        <v>-1.233103665</v>
      </c>
      <c r="T1065">
        <v>0.53681186700000005</v>
      </c>
      <c r="U1065">
        <v>-0.13676579899999999</v>
      </c>
    </row>
    <row r="1066" spans="1:21" x14ac:dyDescent="0.2">
      <c r="A1066" t="s">
        <v>689</v>
      </c>
      <c r="B1066">
        <v>620360</v>
      </c>
      <c r="C1066" t="s">
        <v>6945</v>
      </c>
      <c r="D1066" t="s">
        <v>690</v>
      </c>
      <c r="E1066" t="s">
        <v>6911</v>
      </c>
      <c r="F1066">
        <v>5</v>
      </c>
      <c r="G1066">
        <v>12</v>
      </c>
      <c r="H1066" t="s">
        <v>9075</v>
      </c>
      <c r="J1066" t="s">
        <v>3202</v>
      </c>
      <c r="M1066" t="s">
        <v>9076</v>
      </c>
      <c r="N1066">
        <v>2.2220813349999999</v>
      </c>
      <c r="O1066">
        <v>6.5440947090000003</v>
      </c>
      <c r="P1066">
        <v>0.58228215500000002</v>
      </c>
      <c r="Q1066">
        <v>0.35188233000000002</v>
      </c>
      <c r="S1066" s="13">
        <v>-1.2331302230000001</v>
      </c>
      <c r="T1066">
        <v>0.53669581399999999</v>
      </c>
      <c r="U1066">
        <v>-0.140587242</v>
      </c>
    </row>
    <row r="1067" spans="1:21" x14ac:dyDescent="0.2">
      <c r="A1067" t="s">
        <v>901</v>
      </c>
      <c r="B1067">
        <v>724400</v>
      </c>
      <c r="C1067" t="s">
        <v>6910</v>
      </c>
      <c r="D1067" t="s">
        <v>902</v>
      </c>
      <c r="E1067" t="s">
        <v>6977</v>
      </c>
      <c r="F1067">
        <v>2</v>
      </c>
      <c r="G1067">
        <v>5</v>
      </c>
      <c r="H1067" t="s">
        <v>9077</v>
      </c>
      <c r="J1067" t="s">
        <v>5919</v>
      </c>
      <c r="M1067" t="s">
        <v>9078</v>
      </c>
      <c r="N1067">
        <v>1.9874741039999999</v>
      </c>
      <c r="O1067">
        <v>3.7453511220000002</v>
      </c>
      <c r="P1067">
        <v>0.451009722</v>
      </c>
      <c r="Q1067">
        <v>-0.102386592</v>
      </c>
      <c r="S1067" s="13">
        <v>-1.2333075120000001</v>
      </c>
      <c r="T1067">
        <v>0.53592110199999998</v>
      </c>
      <c r="U1067">
        <v>-6.8563347999999996E-2</v>
      </c>
    </row>
    <row r="1068" spans="1:21" x14ac:dyDescent="0.2">
      <c r="A1068" t="s">
        <v>2871</v>
      </c>
      <c r="B1068">
        <v>437600</v>
      </c>
      <c r="C1068" t="s">
        <v>6961</v>
      </c>
      <c r="D1068" t="s">
        <v>2871</v>
      </c>
      <c r="E1068" t="s">
        <v>6907</v>
      </c>
      <c r="F1068">
        <v>21</v>
      </c>
      <c r="G1068">
        <v>4</v>
      </c>
      <c r="H1068" t="s">
        <v>9079</v>
      </c>
      <c r="J1068" t="s">
        <v>6277</v>
      </c>
      <c r="M1068" t="s">
        <v>9080</v>
      </c>
      <c r="N1068">
        <v>2.7247480949999998</v>
      </c>
      <c r="O1068">
        <v>7.0822175119999997</v>
      </c>
      <c r="P1068">
        <v>0.61298291999999999</v>
      </c>
      <c r="Q1068">
        <v>0.48262032500000002</v>
      </c>
      <c r="S1068" s="13">
        <v>-1.233383997</v>
      </c>
      <c r="T1068">
        <v>0.53558688099999996</v>
      </c>
      <c r="U1068">
        <v>-0.15499273799999999</v>
      </c>
    </row>
    <row r="1069" spans="1:21" x14ac:dyDescent="0.2">
      <c r="A1069" t="s">
        <v>392</v>
      </c>
      <c r="B1069">
        <v>685920</v>
      </c>
      <c r="C1069" t="s">
        <v>6906</v>
      </c>
      <c r="D1069" t="s">
        <v>392</v>
      </c>
      <c r="E1069" t="s">
        <v>7006</v>
      </c>
      <c r="F1069">
        <v>21</v>
      </c>
      <c r="G1069">
        <v>3</v>
      </c>
      <c r="H1069" t="s">
        <v>9081</v>
      </c>
      <c r="J1069" t="s">
        <v>394</v>
      </c>
      <c r="M1069" t="s">
        <v>9082</v>
      </c>
      <c r="N1069">
        <v>1.813871112</v>
      </c>
      <c r="O1069">
        <v>2.6633694910000001</v>
      </c>
      <c r="P1069">
        <v>-0.29586356800000002</v>
      </c>
      <c r="Q1069">
        <v>-0.59018158399999998</v>
      </c>
      <c r="S1069" s="13">
        <v>-1.233599304</v>
      </c>
      <c r="T1069">
        <v>0.53464603899999996</v>
      </c>
      <c r="U1069">
        <v>-0.114137775</v>
      </c>
    </row>
    <row r="1070" spans="1:21" x14ac:dyDescent="0.2">
      <c r="A1070" t="s">
        <v>1764</v>
      </c>
      <c r="B1070">
        <v>755680</v>
      </c>
      <c r="C1070" t="s">
        <v>6927</v>
      </c>
      <c r="D1070" t="s">
        <v>1764</v>
      </c>
      <c r="E1070" t="s">
        <v>7115</v>
      </c>
      <c r="F1070">
        <v>20</v>
      </c>
      <c r="G1070">
        <v>10</v>
      </c>
      <c r="H1070" t="s">
        <v>9083</v>
      </c>
      <c r="J1070" t="s">
        <v>9084</v>
      </c>
      <c r="M1070" t="s">
        <v>9085</v>
      </c>
      <c r="N1070">
        <v>1.982575982</v>
      </c>
      <c r="O1070">
        <v>3.4571926419999999</v>
      </c>
      <c r="P1070">
        <v>-0.114791479</v>
      </c>
      <c r="Q1070">
        <v>1.868949E-3</v>
      </c>
      <c r="S1070" s="13">
        <v>-1.233621101</v>
      </c>
      <c r="T1070">
        <v>0.53455078899999997</v>
      </c>
      <c r="U1070">
        <v>-0.117653304</v>
      </c>
    </row>
    <row r="1071" spans="1:21" x14ac:dyDescent="0.2">
      <c r="A1071" t="s">
        <v>932</v>
      </c>
      <c r="B1071">
        <v>638200</v>
      </c>
      <c r="C1071" t="s">
        <v>6931</v>
      </c>
      <c r="D1071" t="s">
        <v>932</v>
      </c>
      <c r="E1071" t="s">
        <v>7006</v>
      </c>
      <c r="F1071">
        <v>12</v>
      </c>
      <c r="G1071">
        <v>3</v>
      </c>
      <c r="H1071" t="s">
        <v>9086</v>
      </c>
      <c r="N1071">
        <v>1.9323965059999999</v>
      </c>
      <c r="O1071">
        <v>3.0528020530000002</v>
      </c>
      <c r="P1071">
        <v>2.6493138999999999E-2</v>
      </c>
      <c r="Q1071">
        <v>-0.38692188</v>
      </c>
      <c r="S1071" s="13">
        <v>-1.233926812</v>
      </c>
      <c r="T1071">
        <v>0.53321490400000005</v>
      </c>
      <c r="U1071">
        <v>-7.3017290999999998E-2</v>
      </c>
    </row>
    <row r="1072" spans="1:21" x14ac:dyDescent="0.2">
      <c r="A1072" t="s">
        <v>314</v>
      </c>
      <c r="B1072">
        <v>638200</v>
      </c>
      <c r="C1072" t="s">
        <v>6931</v>
      </c>
      <c r="D1072" t="s">
        <v>315</v>
      </c>
      <c r="E1072" t="s">
        <v>6915</v>
      </c>
      <c r="F1072">
        <v>6</v>
      </c>
      <c r="G1072">
        <v>13</v>
      </c>
      <c r="H1072" t="s">
        <v>9087</v>
      </c>
      <c r="N1072">
        <v>1.9323965059999999</v>
      </c>
      <c r="O1072">
        <v>3.0528020530000002</v>
      </c>
      <c r="P1072">
        <v>2.6493138999999999E-2</v>
      </c>
      <c r="Q1072">
        <v>-0.38692188</v>
      </c>
      <c r="S1072" s="13">
        <v>-1.233926812</v>
      </c>
      <c r="T1072">
        <v>0.53321490400000005</v>
      </c>
      <c r="U1072">
        <v>-7.3017290999999998E-2</v>
      </c>
    </row>
    <row r="1073" spans="1:21" x14ac:dyDescent="0.2">
      <c r="A1073" t="s">
        <v>583</v>
      </c>
      <c r="B1073">
        <v>820360</v>
      </c>
      <c r="C1073" t="s">
        <v>6953</v>
      </c>
      <c r="D1073" t="s">
        <v>583</v>
      </c>
      <c r="E1073" t="s">
        <v>6907</v>
      </c>
      <c r="F1073">
        <v>23</v>
      </c>
      <c r="G1073">
        <v>4</v>
      </c>
      <c r="H1073" t="s">
        <v>9088</v>
      </c>
      <c r="J1073" t="s">
        <v>5353</v>
      </c>
      <c r="M1073" t="s">
        <v>9089</v>
      </c>
      <c r="N1073">
        <v>1.921480887</v>
      </c>
      <c r="O1073">
        <v>3.0856645180000002</v>
      </c>
      <c r="P1073">
        <v>0.44706724399999997</v>
      </c>
      <c r="Q1073">
        <v>-0.354940863</v>
      </c>
      <c r="S1073" s="13">
        <v>-1.2339842700000001</v>
      </c>
      <c r="T1073">
        <v>0.53296382600000003</v>
      </c>
      <c r="U1073">
        <v>-7.0275257999999993E-2</v>
      </c>
    </row>
    <row r="1074" spans="1:21" x14ac:dyDescent="0.2">
      <c r="A1074" t="s">
        <v>426</v>
      </c>
      <c r="B1074">
        <v>723600</v>
      </c>
      <c r="C1074" t="s">
        <v>6910</v>
      </c>
      <c r="D1074" t="s">
        <v>426</v>
      </c>
      <c r="E1074" t="s">
        <v>6911</v>
      </c>
      <c r="F1074">
        <v>22</v>
      </c>
      <c r="G1074">
        <v>12</v>
      </c>
      <c r="H1074" t="s">
        <v>9090</v>
      </c>
      <c r="J1074" t="s">
        <v>1100</v>
      </c>
      <c r="M1074" t="s">
        <v>9091</v>
      </c>
      <c r="N1074">
        <v>1.9874741039999999</v>
      </c>
      <c r="O1074">
        <v>3.7453511220000002</v>
      </c>
      <c r="P1074">
        <v>0.451009722</v>
      </c>
      <c r="Q1074">
        <v>-0.102386592</v>
      </c>
      <c r="S1074" s="13">
        <v>-1.2341682270000001</v>
      </c>
      <c r="T1074">
        <v>0.53215997500000001</v>
      </c>
      <c r="U1074">
        <v>-6.9004485000000004E-2</v>
      </c>
    </row>
    <row r="1075" spans="1:21" x14ac:dyDescent="0.2">
      <c r="A1075" t="s">
        <v>554</v>
      </c>
      <c r="B1075">
        <v>695920</v>
      </c>
      <c r="C1075" t="s">
        <v>6942</v>
      </c>
      <c r="D1075" t="s">
        <v>555</v>
      </c>
      <c r="E1075" t="s">
        <v>6928</v>
      </c>
      <c r="F1075">
        <v>3</v>
      </c>
      <c r="G1075">
        <v>16</v>
      </c>
      <c r="H1075" t="s">
        <v>9092</v>
      </c>
      <c r="J1075" t="s">
        <v>557</v>
      </c>
      <c r="M1075" t="s">
        <v>9093</v>
      </c>
      <c r="N1075">
        <v>2.0902262079999998</v>
      </c>
      <c r="O1075">
        <v>4.2704203920000001</v>
      </c>
      <c r="P1075">
        <v>0.23425843900000001</v>
      </c>
      <c r="Q1075">
        <v>1.6181978999999999E-2</v>
      </c>
      <c r="S1075" s="13">
        <v>-1.2342029329999999</v>
      </c>
      <c r="T1075">
        <v>0.53200831800000004</v>
      </c>
      <c r="U1075">
        <v>-0.13748864499999999</v>
      </c>
    </row>
    <row r="1076" spans="1:21" x14ac:dyDescent="0.2">
      <c r="A1076" t="s">
        <v>951</v>
      </c>
      <c r="B1076">
        <v>436520</v>
      </c>
      <c r="C1076" t="s">
        <v>6961</v>
      </c>
      <c r="D1076" t="s">
        <v>951</v>
      </c>
      <c r="E1076" t="s">
        <v>6970</v>
      </c>
      <c r="F1076">
        <v>16</v>
      </c>
      <c r="G1076">
        <v>14</v>
      </c>
      <c r="H1076" t="s">
        <v>9094</v>
      </c>
      <c r="J1076" t="s">
        <v>3765</v>
      </c>
      <c r="M1076" t="s">
        <v>9095</v>
      </c>
      <c r="N1076">
        <v>2.7247480949999998</v>
      </c>
      <c r="O1076">
        <v>7.0822175119999997</v>
      </c>
      <c r="P1076">
        <v>0.61298291999999999</v>
      </c>
      <c r="Q1076">
        <v>0.48262032500000002</v>
      </c>
      <c r="S1076" s="13">
        <v>-1.2342389410000001</v>
      </c>
      <c r="T1076">
        <v>0.53185097000000003</v>
      </c>
      <c r="U1076">
        <v>-0.15571964699999999</v>
      </c>
    </row>
    <row r="1077" spans="1:21" x14ac:dyDescent="0.2">
      <c r="A1077" t="s">
        <v>1683</v>
      </c>
      <c r="B1077">
        <v>820000</v>
      </c>
      <c r="C1077" t="s">
        <v>6953</v>
      </c>
      <c r="D1077" t="s">
        <v>1683</v>
      </c>
      <c r="E1077" t="s">
        <v>6915</v>
      </c>
      <c r="F1077">
        <v>16</v>
      </c>
      <c r="G1077">
        <v>13</v>
      </c>
      <c r="H1077" t="s">
        <v>9096</v>
      </c>
      <c r="J1077" t="s">
        <v>2823</v>
      </c>
      <c r="M1077" t="s">
        <v>9097</v>
      </c>
      <c r="N1077">
        <v>1.921480887</v>
      </c>
      <c r="O1077">
        <v>3.0856645180000002</v>
      </c>
      <c r="P1077">
        <v>0.44706724399999997</v>
      </c>
      <c r="Q1077">
        <v>-0.354940863</v>
      </c>
      <c r="S1077" s="13">
        <v>-1.234357814</v>
      </c>
      <c r="T1077">
        <v>0.53133152100000003</v>
      </c>
      <c r="U1077">
        <v>-7.0474497999999997E-2</v>
      </c>
    </row>
    <row r="1078" spans="1:21" x14ac:dyDescent="0.2">
      <c r="A1078" t="s">
        <v>1208</v>
      </c>
      <c r="B1078">
        <v>754800</v>
      </c>
      <c r="C1078" t="s">
        <v>6927</v>
      </c>
      <c r="D1078" t="s">
        <v>1208</v>
      </c>
      <c r="E1078" t="s">
        <v>6921</v>
      </c>
      <c r="F1078">
        <v>15</v>
      </c>
      <c r="G1078">
        <v>8</v>
      </c>
      <c r="H1078" t="s">
        <v>9098</v>
      </c>
      <c r="J1078" t="s">
        <v>9099</v>
      </c>
      <c r="M1078" t="s">
        <v>9100</v>
      </c>
      <c r="N1078">
        <v>1.982575982</v>
      </c>
      <c r="O1078">
        <v>3.4571926419999999</v>
      </c>
      <c r="P1078">
        <v>-0.114791479</v>
      </c>
      <c r="Q1078">
        <v>1.868949E-3</v>
      </c>
      <c r="S1078" s="13">
        <v>-1.2345342100000001</v>
      </c>
      <c r="T1078">
        <v>0.53056071000000005</v>
      </c>
      <c r="U1078">
        <v>-0.11819668899999999</v>
      </c>
    </row>
    <row r="1079" spans="1:21" x14ac:dyDescent="0.2">
      <c r="A1079" t="s">
        <v>2139</v>
      </c>
      <c r="B1079">
        <v>792040</v>
      </c>
      <c r="C1079" t="s">
        <v>6938</v>
      </c>
      <c r="D1079" t="s">
        <v>2140</v>
      </c>
      <c r="E1079" t="s">
        <v>6924</v>
      </c>
      <c r="F1079">
        <v>1</v>
      </c>
      <c r="G1079">
        <v>6</v>
      </c>
      <c r="H1079" t="s">
        <v>9101</v>
      </c>
      <c r="J1079" t="s">
        <v>2142</v>
      </c>
      <c r="M1079" t="s">
        <v>9102</v>
      </c>
      <c r="N1079">
        <v>2.092758737</v>
      </c>
      <c r="O1079">
        <v>5.3323610669999999</v>
      </c>
      <c r="P1079">
        <v>0.70420098600000003</v>
      </c>
      <c r="Q1079">
        <v>0.41355372699999998</v>
      </c>
      <c r="S1079" s="13">
        <v>-1.234902095</v>
      </c>
      <c r="T1079">
        <v>0.52895313700000002</v>
      </c>
      <c r="U1079">
        <v>-0.11631011099999999</v>
      </c>
    </row>
    <row r="1080" spans="1:21" x14ac:dyDescent="0.2">
      <c r="A1080" t="s">
        <v>1104</v>
      </c>
      <c r="B1080">
        <v>618480</v>
      </c>
      <c r="C1080" t="s">
        <v>6945</v>
      </c>
      <c r="D1080" t="s">
        <v>1105</v>
      </c>
      <c r="E1080" t="s">
        <v>6956</v>
      </c>
      <c r="F1080">
        <v>2</v>
      </c>
      <c r="G1080">
        <v>7</v>
      </c>
      <c r="H1080" t="s">
        <v>9103</v>
      </c>
      <c r="J1080" t="s">
        <v>1830</v>
      </c>
      <c r="M1080" t="s">
        <v>9104</v>
      </c>
      <c r="N1080">
        <v>2.2220813349999999</v>
      </c>
      <c r="O1080">
        <v>6.5440947090000003</v>
      </c>
      <c r="P1080">
        <v>0.58228215500000002</v>
      </c>
      <c r="Q1080">
        <v>0.35188233000000002</v>
      </c>
      <c r="S1080" s="13">
        <v>-1.2349035070000001</v>
      </c>
      <c r="T1080">
        <v>0.52894696900000004</v>
      </c>
      <c r="U1080">
        <v>-0.14181202100000001</v>
      </c>
    </row>
    <row r="1081" spans="1:21" x14ac:dyDescent="0.2">
      <c r="A1081" t="s">
        <v>116</v>
      </c>
      <c r="B1081">
        <v>685000</v>
      </c>
      <c r="C1081" t="s">
        <v>6906</v>
      </c>
      <c r="D1081" t="s">
        <v>117</v>
      </c>
      <c r="E1081" t="s">
        <v>6921</v>
      </c>
      <c r="F1081">
        <v>3</v>
      </c>
      <c r="G1081">
        <v>8</v>
      </c>
      <c r="H1081" t="s">
        <v>9105</v>
      </c>
      <c r="J1081" t="s">
        <v>119</v>
      </c>
      <c r="M1081" t="s">
        <v>9106</v>
      </c>
      <c r="N1081">
        <v>1.813871112</v>
      </c>
      <c r="O1081">
        <v>2.6633694910000001</v>
      </c>
      <c r="P1081">
        <v>-0.29586356800000002</v>
      </c>
      <c r="Q1081">
        <v>-0.59018158399999998</v>
      </c>
      <c r="S1081" s="13">
        <v>-1.2349339909999999</v>
      </c>
      <c r="T1081">
        <v>0.52881376099999999</v>
      </c>
      <c r="U1081">
        <v>-0.114701293</v>
      </c>
    </row>
    <row r="1082" spans="1:21" x14ac:dyDescent="0.2">
      <c r="A1082" t="s">
        <v>355</v>
      </c>
      <c r="B1082">
        <v>754360</v>
      </c>
      <c r="C1082" t="s">
        <v>6927</v>
      </c>
      <c r="D1082" t="s">
        <v>356</v>
      </c>
      <c r="E1082" t="s">
        <v>6946</v>
      </c>
      <c r="F1082">
        <v>3</v>
      </c>
      <c r="G1082">
        <v>11</v>
      </c>
      <c r="H1082" t="s">
        <v>9107</v>
      </c>
      <c r="J1082" t="s">
        <v>9108</v>
      </c>
      <c r="M1082" t="s">
        <v>9109</v>
      </c>
      <c r="N1082">
        <v>1.982575982</v>
      </c>
      <c r="O1082">
        <v>3.4571926419999999</v>
      </c>
      <c r="P1082">
        <v>-0.114791479</v>
      </c>
      <c r="Q1082">
        <v>1.868949E-3</v>
      </c>
      <c r="S1082" s="13">
        <v>-1.234990765</v>
      </c>
      <c r="T1082">
        <v>0.52856567099999996</v>
      </c>
      <c r="U1082">
        <v>-0.118468637</v>
      </c>
    </row>
    <row r="1083" spans="1:21" x14ac:dyDescent="0.2">
      <c r="A1083" t="s">
        <v>650</v>
      </c>
      <c r="B1083">
        <v>819240</v>
      </c>
      <c r="C1083" t="s">
        <v>6953</v>
      </c>
      <c r="D1083" t="s">
        <v>651</v>
      </c>
      <c r="E1083" t="s">
        <v>7085</v>
      </c>
      <c r="F1083">
        <v>9</v>
      </c>
      <c r="G1083">
        <v>9</v>
      </c>
      <c r="H1083" t="s">
        <v>9110</v>
      </c>
      <c r="J1083" t="s">
        <v>5437</v>
      </c>
      <c r="M1083" t="s">
        <v>9111</v>
      </c>
      <c r="N1083">
        <v>1.921480887</v>
      </c>
      <c r="O1083">
        <v>3.0856645180000002</v>
      </c>
      <c r="P1083">
        <v>0.44706724399999997</v>
      </c>
      <c r="Q1083">
        <v>-0.354940863</v>
      </c>
      <c r="S1083" s="13">
        <v>-1.2351464089999999</v>
      </c>
      <c r="T1083">
        <v>0.52788554300000001</v>
      </c>
      <c r="U1083">
        <v>-7.0895418000000002E-2</v>
      </c>
    </row>
    <row r="1084" spans="1:21" x14ac:dyDescent="0.2">
      <c r="A1084" t="s">
        <v>2385</v>
      </c>
      <c r="B1084">
        <v>636960</v>
      </c>
      <c r="C1084" t="s">
        <v>6931</v>
      </c>
      <c r="D1084" t="s">
        <v>2385</v>
      </c>
      <c r="E1084" t="s">
        <v>6911</v>
      </c>
      <c r="F1084">
        <v>19</v>
      </c>
      <c r="G1084">
        <v>12</v>
      </c>
      <c r="H1084" t="s">
        <v>9112</v>
      </c>
      <c r="N1084">
        <v>1.9323965059999999</v>
      </c>
      <c r="O1084">
        <v>3.0528020530000002</v>
      </c>
      <c r="P1084">
        <v>2.6493138999999999E-2</v>
      </c>
      <c r="Q1084">
        <v>-0.38692188</v>
      </c>
      <c r="S1084" s="13">
        <v>-1.2355561399999999</v>
      </c>
      <c r="T1084">
        <v>0.52609511399999997</v>
      </c>
      <c r="U1084">
        <v>-7.3708302000000003E-2</v>
      </c>
    </row>
    <row r="1085" spans="1:21" x14ac:dyDescent="0.2">
      <c r="A1085" t="s">
        <v>951</v>
      </c>
      <c r="B1085">
        <v>617400</v>
      </c>
      <c r="C1085" t="s">
        <v>6945</v>
      </c>
      <c r="D1085" t="s">
        <v>951</v>
      </c>
      <c r="E1085" t="s">
        <v>6970</v>
      </c>
      <c r="F1085">
        <v>16</v>
      </c>
      <c r="G1085">
        <v>14</v>
      </c>
      <c r="H1085" t="s">
        <v>9113</v>
      </c>
      <c r="J1085" t="s">
        <v>9114</v>
      </c>
      <c r="M1085" t="s">
        <v>9115</v>
      </c>
      <c r="N1085">
        <v>2.2220813349999999</v>
      </c>
      <c r="O1085">
        <v>6.5440947090000003</v>
      </c>
      <c r="P1085">
        <v>0.58228215500000002</v>
      </c>
      <c r="Q1085">
        <v>0.35188233000000002</v>
      </c>
      <c r="S1085" s="13">
        <v>-1.235922202</v>
      </c>
      <c r="T1085">
        <v>0.52449550499999997</v>
      </c>
      <c r="U1085">
        <v>-0.14251718199999999</v>
      </c>
    </row>
    <row r="1086" spans="1:21" x14ac:dyDescent="0.2">
      <c r="A1086" t="s">
        <v>1309</v>
      </c>
      <c r="B1086">
        <v>617320</v>
      </c>
      <c r="C1086" t="s">
        <v>6945</v>
      </c>
      <c r="D1086" t="s">
        <v>1309</v>
      </c>
      <c r="E1086" t="s">
        <v>6921</v>
      </c>
      <c r="F1086">
        <v>20</v>
      </c>
      <c r="G1086">
        <v>8</v>
      </c>
      <c r="H1086" t="s">
        <v>9116</v>
      </c>
      <c r="J1086" t="s">
        <v>3194</v>
      </c>
      <c r="M1086" t="s">
        <v>9117</v>
      </c>
      <c r="N1086">
        <v>2.2220813349999999</v>
      </c>
      <c r="O1086">
        <v>6.5440947090000003</v>
      </c>
      <c r="P1086">
        <v>0.58228215500000002</v>
      </c>
      <c r="Q1086">
        <v>0.35188233000000002</v>
      </c>
      <c r="S1086" s="13">
        <v>-1.2359976610000001</v>
      </c>
      <c r="T1086">
        <v>0.52416576699999995</v>
      </c>
      <c r="U1086">
        <v>-0.14256946200000001</v>
      </c>
    </row>
    <row r="1087" spans="1:21" x14ac:dyDescent="0.2">
      <c r="A1087" t="s">
        <v>465</v>
      </c>
      <c r="B1087">
        <v>617200</v>
      </c>
      <c r="C1087" t="s">
        <v>6945</v>
      </c>
      <c r="D1087" t="s">
        <v>466</v>
      </c>
      <c r="E1087" t="s">
        <v>6939</v>
      </c>
      <c r="F1087">
        <v>8</v>
      </c>
      <c r="G1087">
        <v>2</v>
      </c>
      <c r="H1087" t="s">
        <v>9118</v>
      </c>
      <c r="J1087" t="s">
        <v>6187</v>
      </c>
      <c r="M1087" t="s">
        <v>9119</v>
      </c>
      <c r="N1087">
        <v>2.2220813349999999</v>
      </c>
      <c r="O1087">
        <v>6.5440947090000003</v>
      </c>
      <c r="P1087">
        <v>0.58228215500000002</v>
      </c>
      <c r="Q1087">
        <v>0.35188233000000002</v>
      </c>
      <c r="S1087" s="13">
        <v>-1.2361108489999999</v>
      </c>
      <c r="T1087">
        <v>0.52367116000000002</v>
      </c>
      <c r="U1087">
        <v>-0.142647893</v>
      </c>
    </row>
    <row r="1088" spans="1:21" x14ac:dyDescent="0.2">
      <c r="A1088" t="s">
        <v>1494</v>
      </c>
      <c r="B1088">
        <v>617200</v>
      </c>
      <c r="C1088" t="s">
        <v>6945</v>
      </c>
      <c r="D1088" t="s">
        <v>1494</v>
      </c>
      <c r="E1088" t="s">
        <v>7115</v>
      </c>
      <c r="F1088">
        <v>12</v>
      </c>
      <c r="G1088">
        <v>10</v>
      </c>
      <c r="H1088" t="s">
        <v>9120</v>
      </c>
      <c r="J1088" t="s">
        <v>5311</v>
      </c>
      <c r="M1088" t="s">
        <v>9121</v>
      </c>
      <c r="N1088">
        <v>2.2220813349999999</v>
      </c>
      <c r="O1088">
        <v>6.5440947090000003</v>
      </c>
      <c r="P1088">
        <v>0.58228215500000002</v>
      </c>
      <c r="Q1088">
        <v>0.35188233000000002</v>
      </c>
      <c r="S1088" s="13">
        <v>-1.2361108489999999</v>
      </c>
      <c r="T1088">
        <v>0.52367116000000002</v>
      </c>
      <c r="U1088">
        <v>-0.142647893</v>
      </c>
    </row>
    <row r="1089" spans="1:21" x14ac:dyDescent="0.2">
      <c r="A1089" t="s">
        <v>375</v>
      </c>
      <c r="B1089">
        <v>433920</v>
      </c>
      <c r="C1089" t="s">
        <v>6961</v>
      </c>
      <c r="D1089" t="s">
        <v>375</v>
      </c>
      <c r="E1089" t="s">
        <v>6977</v>
      </c>
      <c r="F1089">
        <v>12</v>
      </c>
      <c r="G1089">
        <v>5</v>
      </c>
      <c r="H1089" t="s">
        <v>9122</v>
      </c>
      <c r="J1089" t="s">
        <v>5977</v>
      </c>
      <c r="M1089" t="s">
        <v>9123</v>
      </c>
      <c r="N1089">
        <v>2.7247480949999998</v>
      </c>
      <c r="O1089">
        <v>7.0822175119999997</v>
      </c>
      <c r="P1089">
        <v>0.61298291999999999</v>
      </c>
      <c r="Q1089">
        <v>0.48262032500000002</v>
      </c>
      <c r="S1089" s="13">
        <v>-1.2362971410000001</v>
      </c>
      <c r="T1089">
        <v>0.52285710799999996</v>
      </c>
      <c r="U1089">
        <v>-0.15747462000000001</v>
      </c>
    </row>
    <row r="1090" spans="1:21" x14ac:dyDescent="0.2">
      <c r="A1090" t="s">
        <v>2911</v>
      </c>
      <c r="B1090">
        <v>752920</v>
      </c>
      <c r="C1090" t="s">
        <v>6927</v>
      </c>
      <c r="D1090" t="s">
        <v>2912</v>
      </c>
      <c r="E1090" t="s">
        <v>6946</v>
      </c>
      <c r="F1090">
        <v>6</v>
      </c>
      <c r="G1090">
        <v>11</v>
      </c>
      <c r="H1090" t="s">
        <v>9124</v>
      </c>
      <c r="J1090" t="s">
        <v>9125</v>
      </c>
      <c r="M1090" t="s">
        <v>9126</v>
      </c>
      <c r="N1090">
        <v>1.982575982</v>
      </c>
      <c r="O1090">
        <v>3.4571926419999999</v>
      </c>
      <c r="P1090">
        <v>-0.114791479</v>
      </c>
      <c r="Q1090">
        <v>1.868949E-3</v>
      </c>
      <c r="S1090" s="13">
        <v>-1.2364849440000001</v>
      </c>
      <c r="T1090">
        <v>0.52203644999999999</v>
      </c>
      <c r="U1090">
        <v>-0.11935984099999999</v>
      </c>
    </row>
    <row r="1091" spans="1:21" x14ac:dyDescent="0.2">
      <c r="A1091" t="s">
        <v>804</v>
      </c>
      <c r="B1091">
        <v>815160</v>
      </c>
      <c r="C1091" t="s">
        <v>6914</v>
      </c>
      <c r="D1091" t="s">
        <v>804</v>
      </c>
      <c r="E1091" t="s">
        <v>6918</v>
      </c>
      <c r="F1091">
        <v>18</v>
      </c>
      <c r="G1091">
        <v>1</v>
      </c>
      <c r="H1091" t="s">
        <v>9127</v>
      </c>
      <c r="J1091" t="s">
        <v>5161</v>
      </c>
      <c r="M1091" t="s">
        <v>9128</v>
      </c>
      <c r="N1091">
        <v>1.8217074179999999</v>
      </c>
      <c r="O1091">
        <v>4.1700741289999996</v>
      </c>
      <c r="P1091">
        <v>0.189705977</v>
      </c>
      <c r="Q1091">
        <v>-1.7194070999999998E-2</v>
      </c>
      <c r="S1091" s="13">
        <v>-1.2365350850000001</v>
      </c>
      <c r="T1091">
        <v>0.52181734800000001</v>
      </c>
      <c r="U1091">
        <v>-0.13059341099999999</v>
      </c>
    </row>
    <row r="1092" spans="1:21" x14ac:dyDescent="0.2">
      <c r="A1092" t="s">
        <v>1330</v>
      </c>
      <c r="B1092">
        <v>693240</v>
      </c>
      <c r="C1092" t="s">
        <v>6942</v>
      </c>
      <c r="D1092" t="s">
        <v>1330</v>
      </c>
      <c r="E1092" t="s">
        <v>6915</v>
      </c>
      <c r="F1092">
        <v>23</v>
      </c>
      <c r="G1092">
        <v>13</v>
      </c>
      <c r="H1092" t="s">
        <v>9129</v>
      </c>
      <c r="J1092" t="s">
        <v>1332</v>
      </c>
      <c r="M1092" t="s">
        <v>9130</v>
      </c>
      <c r="N1092">
        <v>2.0902262079999998</v>
      </c>
      <c r="O1092">
        <v>4.2704203920000001</v>
      </c>
      <c r="P1092">
        <v>0.23425843900000001</v>
      </c>
      <c r="Q1092">
        <v>1.6181978999999999E-2</v>
      </c>
      <c r="S1092" s="13">
        <v>-1.236833324</v>
      </c>
      <c r="T1092">
        <v>0.52051411199999997</v>
      </c>
      <c r="U1092">
        <v>-0.13922320999999999</v>
      </c>
    </row>
    <row r="1093" spans="1:21" x14ac:dyDescent="0.2">
      <c r="A1093" t="s">
        <v>2443</v>
      </c>
      <c r="B1093">
        <v>692920</v>
      </c>
      <c r="C1093" t="s">
        <v>6942</v>
      </c>
      <c r="D1093" t="s">
        <v>2444</v>
      </c>
      <c r="E1093" t="s">
        <v>7006</v>
      </c>
      <c r="F1093">
        <v>1</v>
      </c>
      <c r="G1093">
        <v>3</v>
      </c>
      <c r="H1093" t="s">
        <v>9131</v>
      </c>
      <c r="J1093" t="s">
        <v>4814</v>
      </c>
      <c r="M1093" t="s">
        <v>9132</v>
      </c>
      <c r="N1093">
        <v>2.0902262079999998</v>
      </c>
      <c r="O1093">
        <v>4.2704203920000001</v>
      </c>
      <c r="P1093">
        <v>0.23425843900000001</v>
      </c>
      <c r="Q1093">
        <v>1.6181978999999999E-2</v>
      </c>
      <c r="S1093" s="13">
        <v>-1.2371474</v>
      </c>
      <c r="T1093">
        <v>0.51914166900000003</v>
      </c>
      <c r="U1093">
        <v>-0.139430786</v>
      </c>
    </row>
    <row r="1094" spans="1:21" x14ac:dyDescent="0.2">
      <c r="A1094" t="s">
        <v>859</v>
      </c>
      <c r="B1094">
        <v>432640</v>
      </c>
      <c r="C1094" t="s">
        <v>6961</v>
      </c>
      <c r="D1094" t="s">
        <v>859</v>
      </c>
      <c r="E1094" t="s">
        <v>7115</v>
      </c>
      <c r="F1094">
        <v>19</v>
      </c>
      <c r="G1094">
        <v>10</v>
      </c>
      <c r="H1094" t="s">
        <v>9133</v>
      </c>
      <c r="J1094" t="s">
        <v>2275</v>
      </c>
      <c r="M1094" t="s">
        <v>9134</v>
      </c>
      <c r="N1094">
        <v>2.7247480949999998</v>
      </c>
      <c r="O1094">
        <v>7.0822175119999997</v>
      </c>
      <c r="P1094">
        <v>0.61298291999999999</v>
      </c>
      <c r="Q1094">
        <v>0.48262032500000002</v>
      </c>
      <c r="S1094" s="13">
        <v>-1.2373104079999999</v>
      </c>
      <c r="T1094">
        <v>0.51842936100000003</v>
      </c>
      <c r="U1094">
        <v>-0.15834121900000001</v>
      </c>
    </row>
    <row r="1095" spans="1:21" x14ac:dyDescent="0.2">
      <c r="A1095" t="s">
        <v>519</v>
      </c>
      <c r="B1095">
        <v>432400</v>
      </c>
      <c r="C1095" t="s">
        <v>6961</v>
      </c>
      <c r="D1095" t="s">
        <v>519</v>
      </c>
      <c r="E1095" t="s">
        <v>6956</v>
      </c>
      <c r="F1095">
        <v>18</v>
      </c>
      <c r="G1095">
        <v>7</v>
      </c>
      <c r="H1095" t="s">
        <v>9135</v>
      </c>
      <c r="J1095" t="s">
        <v>6529</v>
      </c>
      <c r="M1095" t="s">
        <v>9136</v>
      </c>
      <c r="N1095">
        <v>2.7247480949999998</v>
      </c>
      <c r="O1095">
        <v>7.0822175119999997</v>
      </c>
      <c r="P1095">
        <v>0.61298291999999999</v>
      </c>
      <c r="Q1095">
        <v>0.48262032500000002</v>
      </c>
      <c r="S1095" s="13">
        <v>-1.2375003959999999</v>
      </c>
      <c r="T1095">
        <v>0.517599158</v>
      </c>
      <c r="U1095">
        <v>-0.158503899</v>
      </c>
    </row>
    <row r="1096" spans="1:21" x14ac:dyDescent="0.2">
      <c r="A1096" t="s">
        <v>944</v>
      </c>
      <c r="B1096">
        <v>692320</v>
      </c>
      <c r="C1096" t="s">
        <v>6942</v>
      </c>
      <c r="D1096" t="s">
        <v>944</v>
      </c>
      <c r="E1096" t="s">
        <v>6924</v>
      </c>
      <c r="F1096">
        <v>12</v>
      </c>
      <c r="G1096">
        <v>6</v>
      </c>
      <c r="H1096" t="s">
        <v>9137</v>
      </c>
      <c r="J1096" t="s">
        <v>2340</v>
      </c>
      <c r="M1096" t="s">
        <v>9138</v>
      </c>
      <c r="N1096">
        <v>2.0902262079999998</v>
      </c>
      <c r="O1096">
        <v>4.2704203920000001</v>
      </c>
      <c r="P1096">
        <v>0.23425843900000001</v>
      </c>
      <c r="Q1096">
        <v>1.6181978999999999E-2</v>
      </c>
      <c r="S1096" s="13">
        <v>-1.2377362940000001</v>
      </c>
      <c r="T1096">
        <v>0.51656833899999999</v>
      </c>
      <c r="U1096">
        <v>-0.139820259</v>
      </c>
    </row>
    <row r="1097" spans="1:21" x14ac:dyDescent="0.2">
      <c r="A1097" t="s">
        <v>985</v>
      </c>
      <c r="B1097">
        <v>816680</v>
      </c>
      <c r="C1097" t="s">
        <v>6953</v>
      </c>
      <c r="D1097" t="s">
        <v>985</v>
      </c>
      <c r="E1097" t="s">
        <v>6907</v>
      </c>
      <c r="F1097">
        <v>12</v>
      </c>
      <c r="G1097">
        <v>4</v>
      </c>
      <c r="H1097" t="s">
        <v>9139</v>
      </c>
      <c r="J1097" t="s">
        <v>5309</v>
      </c>
      <c r="M1097" t="s">
        <v>9140</v>
      </c>
      <c r="N1097">
        <v>1.921480887</v>
      </c>
      <c r="O1097">
        <v>3.0856645180000002</v>
      </c>
      <c r="P1097">
        <v>0.44706724399999997</v>
      </c>
      <c r="Q1097">
        <v>-0.354940863</v>
      </c>
      <c r="S1097" s="13">
        <v>-1.237802727</v>
      </c>
      <c r="T1097">
        <v>0.51627804099999997</v>
      </c>
      <c r="U1097">
        <v>-7.2316259999999993E-2</v>
      </c>
    </row>
    <row r="1098" spans="1:21" x14ac:dyDescent="0.2">
      <c r="A1098" t="s">
        <v>1954</v>
      </c>
      <c r="B1098">
        <v>615280</v>
      </c>
      <c r="C1098" t="s">
        <v>6945</v>
      </c>
      <c r="D1098" t="s">
        <v>1955</v>
      </c>
      <c r="E1098" t="s">
        <v>6918</v>
      </c>
      <c r="F1098">
        <v>1</v>
      </c>
      <c r="G1098">
        <v>1</v>
      </c>
      <c r="H1098" t="s">
        <v>9141</v>
      </c>
      <c r="J1098" t="s">
        <v>6449</v>
      </c>
      <c r="M1098" t="s">
        <v>9142</v>
      </c>
      <c r="N1098">
        <v>2.2220813349999999</v>
      </c>
      <c r="O1098">
        <v>6.5440947090000003</v>
      </c>
      <c r="P1098">
        <v>0.58228215500000002</v>
      </c>
      <c r="Q1098">
        <v>0.35188233000000002</v>
      </c>
      <c r="S1098" s="13">
        <v>-1.2379218620000001</v>
      </c>
      <c r="T1098">
        <v>0.51575744599999995</v>
      </c>
      <c r="U1098">
        <v>-0.14390472700000001</v>
      </c>
    </row>
    <row r="1099" spans="1:21" x14ac:dyDescent="0.2">
      <c r="A1099" t="s">
        <v>1391</v>
      </c>
      <c r="B1099">
        <v>788400</v>
      </c>
      <c r="C1099" t="s">
        <v>6938</v>
      </c>
      <c r="D1099" t="s">
        <v>1391</v>
      </c>
      <c r="E1099" t="s">
        <v>7085</v>
      </c>
      <c r="F1099">
        <v>12</v>
      </c>
      <c r="G1099">
        <v>9</v>
      </c>
      <c r="H1099" t="s">
        <v>9143</v>
      </c>
      <c r="J1099" t="s">
        <v>1441</v>
      </c>
      <c r="M1099" t="s">
        <v>9144</v>
      </c>
      <c r="N1099">
        <v>2.092758737</v>
      </c>
      <c r="O1099">
        <v>5.3323610669999999</v>
      </c>
      <c r="P1099">
        <v>0.70420098600000003</v>
      </c>
      <c r="Q1099">
        <v>0.41355372699999998</v>
      </c>
      <c r="S1099" s="13">
        <v>-1.2380281689999999</v>
      </c>
      <c r="T1099">
        <v>0.51529290999999999</v>
      </c>
      <c r="U1099">
        <v>-0.118555202</v>
      </c>
    </row>
    <row r="1100" spans="1:21" x14ac:dyDescent="0.2">
      <c r="A1100" t="s">
        <v>397</v>
      </c>
      <c r="B1100">
        <v>691920</v>
      </c>
      <c r="C1100" t="s">
        <v>6942</v>
      </c>
      <c r="D1100" t="s">
        <v>397</v>
      </c>
      <c r="E1100" t="s">
        <v>7006</v>
      </c>
      <c r="F1100">
        <v>10</v>
      </c>
      <c r="G1100">
        <v>3</v>
      </c>
      <c r="H1100" t="s">
        <v>9145</v>
      </c>
      <c r="J1100" t="s">
        <v>4948</v>
      </c>
      <c r="M1100" t="s">
        <v>9146</v>
      </c>
      <c r="N1100">
        <v>2.0902262079999998</v>
      </c>
      <c r="O1100">
        <v>4.2704203920000001</v>
      </c>
      <c r="P1100">
        <v>0.23425843900000001</v>
      </c>
      <c r="Q1100">
        <v>1.6181978999999999E-2</v>
      </c>
      <c r="S1100" s="13">
        <v>-1.238128889</v>
      </c>
      <c r="T1100">
        <v>0.51485278599999995</v>
      </c>
      <c r="U1100">
        <v>-0.14008010100000001</v>
      </c>
    </row>
    <row r="1101" spans="1:21" x14ac:dyDescent="0.2">
      <c r="A1101" t="s">
        <v>804</v>
      </c>
      <c r="B1101">
        <v>751120</v>
      </c>
      <c r="C1101" t="s">
        <v>6927</v>
      </c>
      <c r="D1101" t="s">
        <v>804</v>
      </c>
      <c r="E1101" t="s">
        <v>6918</v>
      </c>
      <c r="F1101">
        <v>18</v>
      </c>
      <c r="G1101">
        <v>1</v>
      </c>
      <c r="H1101" t="s">
        <v>9147</v>
      </c>
      <c r="J1101" t="s">
        <v>9148</v>
      </c>
      <c r="M1101" t="s">
        <v>9149</v>
      </c>
      <c r="N1101">
        <v>1.982575982</v>
      </c>
      <c r="O1101">
        <v>3.4571926419999999</v>
      </c>
      <c r="P1101">
        <v>-0.114791479</v>
      </c>
      <c r="Q1101">
        <v>1.868949E-3</v>
      </c>
      <c r="S1101" s="13">
        <v>-1.2383526680000001</v>
      </c>
      <c r="T1101">
        <v>0.51387492499999998</v>
      </c>
      <c r="U1101">
        <v>-0.120476423</v>
      </c>
    </row>
    <row r="1102" spans="1:21" x14ac:dyDescent="0.2">
      <c r="A1102" t="s">
        <v>1092</v>
      </c>
      <c r="B1102">
        <v>691680</v>
      </c>
      <c r="C1102" t="s">
        <v>6942</v>
      </c>
      <c r="D1102" t="s">
        <v>1092</v>
      </c>
      <c r="E1102" t="s">
        <v>6970</v>
      </c>
      <c r="F1102">
        <v>20</v>
      </c>
      <c r="G1102">
        <v>14</v>
      </c>
      <c r="H1102" t="s">
        <v>9150</v>
      </c>
      <c r="J1102" t="s">
        <v>4335</v>
      </c>
      <c r="M1102" t="s">
        <v>9151</v>
      </c>
      <c r="N1102">
        <v>2.0902262079999998</v>
      </c>
      <c r="O1102">
        <v>4.2704203920000001</v>
      </c>
      <c r="P1102">
        <v>0.23425843900000001</v>
      </c>
      <c r="Q1102">
        <v>1.6181978999999999E-2</v>
      </c>
      <c r="S1102" s="13">
        <v>-1.2383644469999999</v>
      </c>
      <c r="T1102">
        <v>0.51382345399999996</v>
      </c>
      <c r="U1102">
        <v>-0.14023608200000001</v>
      </c>
    </row>
    <row r="1103" spans="1:21" x14ac:dyDescent="0.2">
      <c r="A1103" t="s">
        <v>458</v>
      </c>
      <c r="B1103">
        <v>691640</v>
      </c>
      <c r="C1103" t="s">
        <v>6942</v>
      </c>
      <c r="D1103" t="s">
        <v>459</v>
      </c>
      <c r="E1103" t="s">
        <v>6921</v>
      </c>
      <c r="F1103">
        <v>4</v>
      </c>
      <c r="G1103">
        <v>8</v>
      </c>
      <c r="H1103" t="s">
        <v>9152</v>
      </c>
      <c r="J1103" t="s">
        <v>1648</v>
      </c>
      <c r="M1103" t="s">
        <v>9153</v>
      </c>
      <c r="N1103">
        <v>2.0902262079999998</v>
      </c>
      <c r="O1103">
        <v>4.2704203920000001</v>
      </c>
      <c r="P1103">
        <v>0.23425843900000001</v>
      </c>
      <c r="Q1103">
        <v>1.6181978999999999E-2</v>
      </c>
      <c r="S1103" s="13">
        <v>-1.2384037059999999</v>
      </c>
      <c r="T1103">
        <v>0.51365189899999997</v>
      </c>
      <c r="U1103">
        <v>-0.14026208400000001</v>
      </c>
    </row>
    <row r="1104" spans="1:21" x14ac:dyDescent="0.2">
      <c r="A1104" t="s">
        <v>23</v>
      </c>
      <c r="B1104">
        <v>614400</v>
      </c>
      <c r="C1104" t="s">
        <v>6945</v>
      </c>
      <c r="D1104" t="s">
        <v>23</v>
      </c>
      <c r="E1104" t="s">
        <v>6907</v>
      </c>
      <c r="F1104">
        <v>18</v>
      </c>
      <c r="G1104">
        <v>4</v>
      </c>
      <c r="H1104" t="s">
        <v>9154</v>
      </c>
      <c r="J1104" t="s">
        <v>3050</v>
      </c>
      <c r="M1104" t="s">
        <v>9155</v>
      </c>
      <c r="N1104">
        <v>2.2220813349999999</v>
      </c>
      <c r="O1104">
        <v>6.5440947090000003</v>
      </c>
      <c r="P1104">
        <v>0.58228215500000002</v>
      </c>
      <c r="Q1104">
        <v>0.35188233000000002</v>
      </c>
      <c r="S1104" s="13">
        <v>-1.23875191</v>
      </c>
      <c r="T1104">
        <v>0.51213032700000005</v>
      </c>
      <c r="U1104">
        <v>-0.144481993</v>
      </c>
    </row>
    <row r="1105" spans="1:21" x14ac:dyDescent="0.2">
      <c r="A1105" t="s">
        <v>218</v>
      </c>
      <c r="B1105">
        <v>614240</v>
      </c>
      <c r="C1105" t="s">
        <v>6945</v>
      </c>
      <c r="D1105" t="s">
        <v>218</v>
      </c>
      <c r="E1105" t="s">
        <v>6918</v>
      </c>
      <c r="F1105">
        <v>22</v>
      </c>
      <c r="G1105">
        <v>1</v>
      </c>
      <c r="H1105" t="s">
        <v>9156</v>
      </c>
      <c r="J1105" t="s">
        <v>5111</v>
      </c>
      <c r="M1105" t="s">
        <v>9157</v>
      </c>
      <c r="N1105">
        <v>2.2220813349999999</v>
      </c>
      <c r="O1105">
        <v>6.5440947090000003</v>
      </c>
      <c r="P1105">
        <v>0.58228215500000002</v>
      </c>
      <c r="Q1105">
        <v>0.35188233000000002</v>
      </c>
      <c r="S1105" s="13">
        <v>-1.2389028280000001</v>
      </c>
      <c r="T1105">
        <v>0.511470851</v>
      </c>
      <c r="U1105">
        <v>-0.144587033</v>
      </c>
    </row>
    <row r="1106" spans="1:21" x14ac:dyDescent="0.2">
      <c r="A1106" t="s">
        <v>1521</v>
      </c>
      <c r="B1106">
        <v>614200</v>
      </c>
      <c r="C1106" t="s">
        <v>6945</v>
      </c>
      <c r="D1106" t="s">
        <v>1521</v>
      </c>
      <c r="E1106" t="s">
        <v>6921</v>
      </c>
      <c r="F1106">
        <v>10</v>
      </c>
      <c r="G1106">
        <v>8</v>
      </c>
      <c r="H1106" t="s">
        <v>9158</v>
      </c>
      <c r="J1106" t="s">
        <v>3616</v>
      </c>
      <c r="M1106" t="s">
        <v>9159</v>
      </c>
      <c r="N1106">
        <v>2.2220813349999999</v>
      </c>
      <c r="O1106">
        <v>6.5440947090000003</v>
      </c>
      <c r="P1106">
        <v>0.58228215500000002</v>
      </c>
      <c r="Q1106">
        <v>0.35188233000000002</v>
      </c>
      <c r="S1106" s="13">
        <v>-1.2389405570000001</v>
      </c>
      <c r="T1106">
        <v>0.51130598199999999</v>
      </c>
      <c r="U1106">
        <v>-0.144613297</v>
      </c>
    </row>
    <row r="1107" spans="1:21" x14ac:dyDescent="0.2">
      <c r="A1107" t="s">
        <v>1251</v>
      </c>
      <c r="B1107">
        <v>691080</v>
      </c>
      <c r="C1107" t="s">
        <v>6942</v>
      </c>
      <c r="D1107" t="s">
        <v>1251</v>
      </c>
      <c r="E1107" t="s">
        <v>6907</v>
      </c>
      <c r="F1107">
        <v>17</v>
      </c>
      <c r="G1107">
        <v>4</v>
      </c>
      <c r="H1107" t="s">
        <v>9160</v>
      </c>
      <c r="J1107" t="s">
        <v>1253</v>
      </c>
      <c r="M1107" t="s">
        <v>9161</v>
      </c>
      <c r="N1107">
        <v>2.0902262079999998</v>
      </c>
      <c r="O1107">
        <v>4.2704203920000001</v>
      </c>
      <c r="P1107">
        <v>0.23425843900000001</v>
      </c>
      <c r="Q1107">
        <v>1.6181978999999999E-2</v>
      </c>
      <c r="S1107" s="13">
        <v>-1.2389533399999999</v>
      </c>
      <c r="T1107">
        <v>0.51125012400000003</v>
      </c>
      <c r="U1107">
        <v>-0.14062627799999999</v>
      </c>
    </row>
    <row r="1108" spans="1:21" x14ac:dyDescent="0.2">
      <c r="A1108" t="s">
        <v>1897</v>
      </c>
      <c r="B1108">
        <v>750400</v>
      </c>
      <c r="C1108" t="s">
        <v>6927</v>
      </c>
      <c r="D1108" t="s">
        <v>1897</v>
      </c>
      <c r="E1108" t="s">
        <v>7085</v>
      </c>
      <c r="F1108">
        <v>14</v>
      </c>
      <c r="G1108">
        <v>9</v>
      </c>
      <c r="H1108" t="s">
        <v>9162</v>
      </c>
      <c r="J1108" t="s">
        <v>9163</v>
      </c>
      <c r="M1108" t="s">
        <v>9164</v>
      </c>
      <c r="N1108">
        <v>1.982575982</v>
      </c>
      <c r="O1108">
        <v>3.4571926419999999</v>
      </c>
      <c r="P1108">
        <v>-0.114791479</v>
      </c>
      <c r="Q1108">
        <v>1.868949E-3</v>
      </c>
      <c r="S1108" s="13">
        <v>-1.239099757</v>
      </c>
      <c r="T1108">
        <v>0.51061031499999998</v>
      </c>
      <c r="U1108">
        <v>-0.12092386099999999</v>
      </c>
    </row>
    <row r="1109" spans="1:21" x14ac:dyDescent="0.2">
      <c r="A1109" t="s">
        <v>1426</v>
      </c>
      <c r="B1109">
        <v>430240</v>
      </c>
      <c r="C1109" t="s">
        <v>6961</v>
      </c>
      <c r="D1109" t="s">
        <v>1426</v>
      </c>
      <c r="E1109" t="s">
        <v>6907</v>
      </c>
      <c r="F1109">
        <v>15</v>
      </c>
      <c r="G1109">
        <v>4</v>
      </c>
      <c r="H1109" t="s">
        <v>9165</v>
      </c>
      <c r="J1109" t="s">
        <v>5409</v>
      </c>
      <c r="M1109" t="s">
        <v>9166</v>
      </c>
      <c r="N1109">
        <v>2.7247480949999998</v>
      </c>
      <c r="O1109">
        <v>7.0822175119999997</v>
      </c>
      <c r="P1109">
        <v>0.61298291999999999</v>
      </c>
      <c r="Q1109">
        <v>0.48262032500000002</v>
      </c>
      <c r="S1109" s="13">
        <v>-1.239210285</v>
      </c>
      <c r="T1109">
        <v>0.51012733499999996</v>
      </c>
      <c r="U1109">
        <v>-0.15997076700000001</v>
      </c>
    </row>
    <row r="1110" spans="1:21" x14ac:dyDescent="0.2">
      <c r="A1110" t="s">
        <v>79</v>
      </c>
      <c r="B1110">
        <v>786800</v>
      </c>
      <c r="C1110" t="s">
        <v>6938</v>
      </c>
      <c r="D1110" t="s">
        <v>80</v>
      </c>
      <c r="E1110" t="s">
        <v>6946</v>
      </c>
      <c r="F1110">
        <v>1</v>
      </c>
      <c r="G1110">
        <v>11</v>
      </c>
      <c r="H1110" t="s">
        <v>9167</v>
      </c>
      <c r="J1110" t="s">
        <v>2517</v>
      </c>
      <c r="M1110" t="s">
        <v>9168</v>
      </c>
      <c r="N1110">
        <v>2.092758737</v>
      </c>
      <c r="O1110">
        <v>5.3323610669999999</v>
      </c>
      <c r="P1110">
        <v>0.70420098600000003</v>
      </c>
      <c r="Q1110">
        <v>0.41355372699999998</v>
      </c>
      <c r="S1110" s="13">
        <v>-1.239402267</v>
      </c>
      <c r="T1110">
        <v>0.50928841499999999</v>
      </c>
      <c r="U1110">
        <v>-0.119545738</v>
      </c>
    </row>
    <row r="1111" spans="1:21" x14ac:dyDescent="0.2">
      <c r="A1111" t="s">
        <v>1426</v>
      </c>
      <c r="B1111">
        <v>613440</v>
      </c>
      <c r="C1111" t="s">
        <v>6945</v>
      </c>
      <c r="D1111" t="s">
        <v>1426</v>
      </c>
      <c r="E1111" t="s">
        <v>6907</v>
      </c>
      <c r="F1111">
        <v>15</v>
      </c>
      <c r="G1111">
        <v>4</v>
      </c>
      <c r="H1111" t="s">
        <v>9169</v>
      </c>
      <c r="J1111" t="s">
        <v>1519</v>
      </c>
      <c r="M1111" t="s">
        <v>9170</v>
      </c>
      <c r="N1111">
        <v>2.2220813349999999</v>
      </c>
      <c r="O1111">
        <v>6.5440947090000003</v>
      </c>
      <c r="P1111">
        <v>0.58228215500000002</v>
      </c>
      <c r="Q1111">
        <v>0.35188233000000002</v>
      </c>
      <c r="S1111" s="13">
        <v>-1.2396574170000001</v>
      </c>
      <c r="T1111">
        <v>0.50817347000000002</v>
      </c>
      <c r="U1111">
        <v>-0.145112615</v>
      </c>
    </row>
    <row r="1112" spans="1:21" x14ac:dyDescent="0.2">
      <c r="A1112" t="s">
        <v>1617</v>
      </c>
      <c r="B1112">
        <v>718400</v>
      </c>
      <c r="C1112" t="s">
        <v>6910</v>
      </c>
      <c r="D1112" t="s">
        <v>1617</v>
      </c>
      <c r="E1112" t="s">
        <v>7115</v>
      </c>
      <c r="F1112">
        <v>16</v>
      </c>
      <c r="G1112">
        <v>10</v>
      </c>
      <c r="H1112" t="s">
        <v>9171</v>
      </c>
      <c r="J1112" t="s">
        <v>3900</v>
      </c>
      <c r="M1112" t="s">
        <v>9172</v>
      </c>
      <c r="N1112">
        <v>1.9874741039999999</v>
      </c>
      <c r="O1112">
        <v>3.7453511220000002</v>
      </c>
      <c r="P1112">
        <v>0.451009722</v>
      </c>
      <c r="Q1112">
        <v>-0.102386592</v>
      </c>
      <c r="S1112" s="13">
        <v>-1.2397628730000001</v>
      </c>
      <c r="T1112">
        <v>0.50771264999999999</v>
      </c>
      <c r="U1112">
        <v>-7.1882853999999996E-2</v>
      </c>
    </row>
    <row r="1113" spans="1:21" x14ac:dyDescent="0.2">
      <c r="A1113" t="s">
        <v>89</v>
      </c>
      <c r="B1113">
        <v>749720</v>
      </c>
      <c r="C1113" t="s">
        <v>6927</v>
      </c>
      <c r="D1113" t="s">
        <v>90</v>
      </c>
      <c r="E1113" t="s">
        <v>6921</v>
      </c>
      <c r="F1113">
        <v>1</v>
      </c>
      <c r="G1113">
        <v>8</v>
      </c>
      <c r="H1113" t="s">
        <v>9173</v>
      </c>
      <c r="J1113" t="s">
        <v>9174</v>
      </c>
      <c r="M1113" t="s">
        <v>9175</v>
      </c>
      <c r="N1113">
        <v>1.982575982</v>
      </c>
      <c r="O1113">
        <v>3.4571926419999999</v>
      </c>
      <c r="P1113">
        <v>-0.114791479</v>
      </c>
      <c r="Q1113">
        <v>1.868949E-3</v>
      </c>
      <c r="S1113" s="13">
        <v>-1.2398053419999999</v>
      </c>
      <c r="T1113">
        <v>0.50752707200000002</v>
      </c>
      <c r="U1113">
        <v>-0.121346865</v>
      </c>
    </row>
    <row r="1114" spans="1:21" x14ac:dyDescent="0.2">
      <c r="A1114" t="s">
        <v>329</v>
      </c>
      <c r="B1114">
        <v>690080</v>
      </c>
      <c r="C1114" t="s">
        <v>6942</v>
      </c>
      <c r="D1114" t="s">
        <v>329</v>
      </c>
      <c r="E1114" t="s">
        <v>6924</v>
      </c>
      <c r="F1114">
        <v>22</v>
      </c>
      <c r="G1114">
        <v>6</v>
      </c>
      <c r="H1114" t="s">
        <v>9176</v>
      </c>
      <c r="J1114" t="s">
        <v>331</v>
      </c>
      <c r="M1114" t="s">
        <v>9177</v>
      </c>
      <c r="N1114">
        <v>2.0902262079999998</v>
      </c>
      <c r="O1114">
        <v>4.2704203920000001</v>
      </c>
      <c r="P1114">
        <v>0.23425843900000001</v>
      </c>
      <c r="Q1114">
        <v>1.6181978999999999E-2</v>
      </c>
      <c r="S1114" s="13">
        <v>-1.2399348290000001</v>
      </c>
      <c r="T1114">
        <v>0.50696124099999995</v>
      </c>
      <c r="U1114">
        <v>-0.14127738400000001</v>
      </c>
    </row>
    <row r="1115" spans="1:21" x14ac:dyDescent="0.2">
      <c r="A1115" t="s">
        <v>759</v>
      </c>
      <c r="B1115">
        <v>689920</v>
      </c>
      <c r="C1115" t="s">
        <v>6942</v>
      </c>
      <c r="D1115" t="s">
        <v>760</v>
      </c>
      <c r="E1115" t="s">
        <v>6907</v>
      </c>
      <c r="F1115">
        <v>4</v>
      </c>
      <c r="G1115">
        <v>4</v>
      </c>
      <c r="H1115" t="s">
        <v>9178</v>
      </c>
      <c r="J1115" t="s">
        <v>4758</v>
      </c>
      <c r="M1115" t="s">
        <v>9179</v>
      </c>
      <c r="N1115">
        <v>2.0902262079999998</v>
      </c>
      <c r="O1115">
        <v>4.2704203920000001</v>
      </c>
      <c r="P1115">
        <v>0.23425843900000001</v>
      </c>
      <c r="Q1115">
        <v>1.6181978999999999E-2</v>
      </c>
      <c r="S1115" s="13">
        <v>-1.2400918670000001</v>
      </c>
      <c r="T1115">
        <v>0.50627502000000002</v>
      </c>
      <c r="U1115">
        <v>-0.141381652</v>
      </c>
    </row>
    <row r="1116" spans="1:21" x14ac:dyDescent="0.2">
      <c r="A1116" t="s">
        <v>637</v>
      </c>
      <c r="B1116">
        <v>612760</v>
      </c>
      <c r="C1116" t="s">
        <v>6945</v>
      </c>
      <c r="D1116" t="s">
        <v>637</v>
      </c>
      <c r="E1116" t="s">
        <v>6977</v>
      </c>
      <c r="F1116">
        <v>19</v>
      </c>
      <c r="G1116">
        <v>5</v>
      </c>
      <c r="H1116" t="s">
        <v>9180</v>
      </c>
      <c r="J1116" t="s">
        <v>3022</v>
      </c>
      <c r="M1116" t="s">
        <v>9181</v>
      </c>
      <c r="N1116">
        <v>2.2220813349999999</v>
      </c>
      <c r="O1116">
        <v>6.5440947090000003</v>
      </c>
      <c r="P1116">
        <v>0.58228215500000002</v>
      </c>
      <c r="Q1116">
        <v>0.35188233000000002</v>
      </c>
      <c r="S1116" s="13">
        <v>-1.240298817</v>
      </c>
      <c r="T1116">
        <v>0.50537069700000004</v>
      </c>
      <c r="U1116">
        <v>-0.14555985900000001</v>
      </c>
    </row>
    <row r="1117" spans="1:21" x14ac:dyDescent="0.2">
      <c r="A1117" t="s">
        <v>2871</v>
      </c>
      <c r="B1117">
        <v>785720</v>
      </c>
      <c r="C1117" t="s">
        <v>6938</v>
      </c>
      <c r="D1117" t="s">
        <v>2871</v>
      </c>
      <c r="E1117" t="s">
        <v>6907</v>
      </c>
      <c r="F1117">
        <v>21</v>
      </c>
      <c r="G1117">
        <v>4</v>
      </c>
      <c r="H1117" t="s">
        <v>9182</v>
      </c>
      <c r="J1117" t="s">
        <v>3859</v>
      </c>
      <c r="M1117" t="s">
        <v>9183</v>
      </c>
      <c r="N1117">
        <v>2.092758737</v>
      </c>
      <c r="O1117">
        <v>5.3323610669999999</v>
      </c>
      <c r="P1117">
        <v>0.70420098600000003</v>
      </c>
      <c r="Q1117">
        <v>0.41355372699999998</v>
      </c>
      <c r="S1117" s="13">
        <v>-1.240329784</v>
      </c>
      <c r="T1117">
        <v>0.50523538000000001</v>
      </c>
      <c r="U1117">
        <v>-0.12021563</v>
      </c>
    </row>
    <row r="1118" spans="1:21" x14ac:dyDescent="0.2">
      <c r="A1118" t="s">
        <v>714</v>
      </c>
      <c r="B1118">
        <v>612600</v>
      </c>
      <c r="C1118" t="s">
        <v>6945</v>
      </c>
      <c r="D1118" t="s">
        <v>715</v>
      </c>
      <c r="E1118" t="s">
        <v>6956</v>
      </c>
      <c r="F1118">
        <v>5</v>
      </c>
      <c r="G1118">
        <v>7</v>
      </c>
      <c r="H1118" t="s">
        <v>9184</v>
      </c>
      <c r="J1118" t="s">
        <v>4083</v>
      </c>
      <c r="M1118" t="s">
        <v>9185</v>
      </c>
      <c r="N1118">
        <v>2.2220813349999999</v>
      </c>
      <c r="O1118">
        <v>6.5440947090000003</v>
      </c>
      <c r="P1118">
        <v>0.58228215500000002</v>
      </c>
      <c r="Q1118">
        <v>0.35188233000000002</v>
      </c>
      <c r="S1118" s="13">
        <v>-1.2404497350000001</v>
      </c>
      <c r="T1118">
        <v>0.50471122000000002</v>
      </c>
      <c r="U1118">
        <v>-0.14566515999999999</v>
      </c>
    </row>
    <row r="1119" spans="1:21" x14ac:dyDescent="0.2">
      <c r="A1119" t="s">
        <v>1052</v>
      </c>
      <c r="B1119">
        <v>633120</v>
      </c>
      <c r="C1119" t="s">
        <v>6931</v>
      </c>
      <c r="D1119" t="s">
        <v>1052</v>
      </c>
      <c r="E1119" t="s">
        <v>7085</v>
      </c>
      <c r="F1119">
        <v>19</v>
      </c>
      <c r="G1119">
        <v>9</v>
      </c>
      <c r="H1119" t="s">
        <v>9186</v>
      </c>
      <c r="N1119">
        <v>1.9323965059999999</v>
      </c>
      <c r="O1119">
        <v>3.0528020530000002</v>
      </c>
      <c r="P1119">
        <v>2.6493138999999999E-2</v>
      </c>
      <c r="Q1119">
        <v>-0.38692188</v>
      </c>
      <c r="S1119" s="13">
        <v>-1.2406018000000001</v>
      </c>
      <c r="T1119">
        <v>0.50404673</v>
      </c>
      <c r="U1119">
        <v>-7.5855206999999994E-2</v>
      </c>
    </row>
    <row r="1120" spans="1:21" x14ac:dyDescent="0.2">
      <c r="A1120" t="s">
        <v>1318</v>
      </c>
      <c r="B1120">
        <v>632480</v>
      </c>
      <c r="C1120" t="s">
        <v>6931</v>
      </c>
      <c r="D1120" t="s">
        <v>1318</v>
      </c>
      <c r="E1120" t="s">
        <v>6946</v>
      </c>
      <c r="F1120">
        <v>20</v>
      </c>
      <c r="G1120">
        <v>11</v>
      </c>
      <c r="H1120" t="s">
        <v>9187</v>
      </c>
      <c r="N1120">
        <v>1.9323965059999999</v>
      </c>
      <c r="O1120">
        <v>3.0528020530000002</v>
      </c>
      <c r="P1120">
        <v>2.6493138999999999E-2</v>
      </c>
      <c r="Q1120">
        <v>-0.38692188</v>
      </c>
      <c r="S1120" s="13">
        <v>-1.241442744</v>
      </c>
      <c r="T1120">
        <v>0.50037200000000004</v>
      </c>
      <c r="U1120">
        <v>-7.6214058000000001E-2</v>
      </c>
    </row>
    <row r="1121" spans="1:21" x14ac:dyDescent="0.2">
      <c r="A1121" t="s">
        <v>1163</v>
      </c>
      <c r="B1121">
        <v>810880</v>
      </c>
      <c r="C1121" t="s">
        <v>6914</v>
      </c>
      <c r="D1121" t="s">
        <v>1164</v>
      </c>
      <c r="E1121" t="s">
        <v>6918</v>
      </c>
      <c r="F1121">
        <v>6</v>
      </c>
      <c r="G1121">
        <v>1</v>
      </c>
      <c r="H1121" t="s">
        <v>9188</v>
      </c>
      <c r="J1121" t="s">
        <v>1166</v>
      </c>
      <c r="M1121" t="s">
        <v>9189</v>
      </c>
      <c r="N1121">
        <v>1.8217074179999999</v>
      </c>
      <c r="O1121">
        <v>4.1700741289999996</v>
      </c>
      <c r="P1121">
        <v>0.189705977</v>
      </c>
      <c r="Q1121">
        <v>-1.7194070999999998E-2</v>
      </c>
      <c r="S1121" s="13">
        <v>-1.2416829039999999</v>
      </c>
      <c r="T1121">
        <v>0.49932255399999997</v>
      </c>
      <c r="U1121">
        <v>-0.13332302700000001</v>
      </c>
    </row>
    <row r="1122" spans="1:21" x14ac:dyDescent="0.2">
      <c r="A1122" t="s">
        <v>801</v>
      </c>
      <c r="B1122">
        <v>783880</v>
      </c>
      <c r="C1122" t="s">
        <v>6938</v>
      </c>
      <c r="D1122" t="s">
        <v>801</v>
      </c>
      <c r="E1122" t="s">
        <v>6911</v>
      </c>
      <c r="F1122">
        <v>23</v>
      </c>
      <c r="G1122">
        <v>12</v>
      </c>
      <c r="H1122" t="s">
        <v>9190</v>
      </c>
      <c r="J1122" t="s">
        <v>5605</v>
      </c>
      <c r="M1122" t="s">
        <v>9191</v>
      </c>
      <c r="N1122">
        <v>2.092758737</v>
      </c>
      <c r="O1122">
        <v>5.3323610669999999</v>
      </c>
      <c r="P1122">
        <v>0.70420098600000003</v>
      </c>
      <c r="Q1122">
        <v>0.41355372699999998</v>
      </c>
      <c r="S1122" s="13">
        <v>-1.241909997</v>
      </c>
      <c r="T1122">
        <v>0.49833021100000002</v>
      </c>
      <c r="U1122">
        <v>-0.121359313</v>
      </c>
    </row>
    <row r="1123" spans="1:21" x14ac:dyDescent="0.2">
      <c r="A1123" t="s">
        <v>977</v>
      </c>
      <c r="B1123">
        <v>632080</v>
      </c>
      <c r="C1123" t="s">
        <v>6931</v>
      </c>
      <c r="D1123" t="s">
        <v>978</v>
      </c>
      <c r="E1123" t="s">
        <v>6915</v>
      </c>
      <c r="F1123">
        <v>5</v>
      </c>
      <c r="G1123">
        <v>13</v>
      </c>
      <c r="H1123" t="s">
        <v>9192</v>
      </c>
      <c r="N1123">
        <v>1.9323965059999999</v>
      </c>
      <c r="O1123">
        <v>3.0528020530000002</v>
      </c>
      <c r="P1123">
        <v>2.6493138999999999E-2</v>
      </c>
      <c r="Q1123">
        <v>-0.38692188</v>
      </c>
      <c r="S1123" s="13">
        <v>-1.241968333</v>
      </c>
      <c r="T1123">
        <v>0.49807529299999997</v>
      </c>
      <c r="U1123">
        <v>-7.6438490999999997E-2</v>
      </c>
    </row>
    <row r="1124" spans="1:21" x14ac:dyDescent="0.2">
      <c r="A1124" t="s">
        <v>753</v>
      </c>
      <c r="B1124">
        <v>783720</v>
      </c>
      <c r="C1124" t="s">
        <v>6938</v>
      </c>
      <c r="D1124" t="s">
        <v>753</v>
      </c>
      <c r="E1124" t="s">
        <v>6911</v>
      </c>
      <c r="F1124">
        <v>10</v>
      </c>
      <c r="G1124">
        <v>12</v>
      </c>
      <c r="H1124" t="s">
        <v>9193</v>
      </c>
      <c r="J1124" t="s">
        <v>5611</v>
      </c>
      <c r="M1124" t="s">
        <v>9194</v>
      </c>
      <c r="N1124">
        <v>2.092758737</v>
      </c>
      <c r="O1124">
        <v>5.3323610669999999</v>
      </c>
      <c r="P1124">
        <v>0.70420098600000003</v>
      </c>
      <c r="Q1124">
        <v>0.41355372699999998</v>
      </c>
      <c r="S1124" s="13">
        <v>-1.242047406</v>
      </c>
      <c r="T1124">
        <v>0.49772976099999999</v>
      </c>
      <c r="U1124">
        <v>-0.12145890600000001</v>
      </c>
    </row>
    <row r="1125" spans="1:21" x14ac:dyDescent="0.2">
      <c r="A1125" t="s">
        <v>1108</v>
      </c>
      <c r="B1125">
        <v>747360</v>
      </c>
      <c r="C1125" t="s">
        <v>6927</v>
      </c>
      <c r="D1125" t="s">
        <v>1109</v>
      </c>
      <c r="E1125" t="s">
        <v>6977</v>
      </c>
      <c r="F1125">
        <v>3</v>
      </c>
      <c r="G1125">
        <v>5</v>
      </c>
      <c r="H1125" t="s">
        <v>9195</v>
      </c>
      <c r="J1125" t="s">
        <v>9196</v>
      </c>
      <c r="M1125" t="s">
        <v>9197</v>
      </c>
      <c r="N1125">
        <v>1.982575982</v>
      </c>
      <c r="O1125">
        <v>3.4571926419999999</v>
      </c>
      <c r="P1125">
        <v>-0.114791479</v>
      </c>
      <c r="Q1125">
        <v>1.868949E-3</v>
      </c>
      <c r="S1125" s="13">
        <v>-1.242254135</v>
      </c>
      <c r="T1125">
        <v>0.49682640500000003</v>
      </c>
      <c r="U1125">
        <v>-0.12281814200000001</v>
      </c>
    </row>
    <row r="1126" spans="1:21" x14ac:dyDescent="0.2">
      <c r="A1126" t="s">
        <v>1963</v>
      </c>
      <c r="B1126">
        <v>631800</v>
      </c>
      <c r="C1126" t="s">
        <v>6931</v>
      </c>
      <c r="D1126" t="s">
        <v>1963</v>
      </c>
      <c r="E1126" t="s">
        <v>6939</v>
      </c>
      <c r="F1126">
        <v>12</v>
      </c>
      <c r="G1126">
        <v>2</v>
      </c>
      <c r="H1126" t="s">
        <v>9198</v>
      </c>
      <c r="N1126">
        <v>1.9323965059999999</v>
      </c>
      <c r="O1126">
        <v>3.0528020530000002</v>
      </c>
      <c r="P1126">
        <v>2.6493138999999999E-2</v>
      </c>
      <c r="Q1126">
        <v>-0.38692188</v>
      </c>
      <c r="S1126" s="13">
        <v>-1.242336246</v>
      </c>
      <c r="T1126">
        <v>0.49646759800000001</v>
      </c>
      <c r="U1126">
        <v>-7.6595662999999994E-2</v>
      </c>
    </row>
    <row r="1127" spans="1:21" x14ac:dyDescent="0.2">
      <c r="A1127" t="s">
        <v>3164</v>
      </c>
      <c r="B1127">
        <v>631600</v>
      </c>
      <c r="C1127" t="s">
        <v>6931</v>
      </c>
      <c r="D1127" t="s">
        <v>3165</v>
      </c>
      <c r="E1127" t="s">
        <v>6918</v>
      </c>
      <c r="F1127">
        <v>9</v>
      </c>
      <c r="G1127">
        <v>1</v>
      </c>
      <c r="H1127" t="s">
        <v>9199</v>
      </c>
      <c r="N1127">
        <v>1.9323965059999999</v>
      </c>
      <c r="O1127">
        <v>3.0528020530000002</v>
      </c>
      <c r="P1127">
        <v>2.6493138999999999E-2</v>
      </c>
      <c r="Q1127">
        <v>-0.38692188</v>
      </c>
      <c r="S1127" s="13">
        <v>-1.2425990410000001</v>
      </c>
      <c r="T1127">
        <v>0.49531924500000002</v>
      </c>
      <c r="U1127">
        <v>-7.6707964000000003E-2</v>
      </c>
    </row>
    <row r="1128" spans="1:21" x14ac:dyDescent="0.2">
      <c r="A1128" t="s">
        <v>2348</v>
      </c>
      <c r="B1128">
        <v>746760</v>
      </c>
      <c r="C1128" t="s">
        <v>6927</v>
      </c>
      <c r="D1128" t="s">
        <v>2348</v>
      </c>
      <c r="E1128" t="s">
        <v>6911</v>
      </c>
      <c r="F1128">
        <v>11</v>
      </c>
      <c r="G1128">
        <v>12</v>
      </c>
      <c r="H1128" t="s">
        <v>9200</v>
      </c>
      <c r="J1128" t="s">
        <v>9201</v>
      </c>
      <c r="M1128" t="s">
        <v>9202</v>
      </c>
      <c r="N1128">
        <v>1.982575982</v>
      </c>
      <c r="O1128">
        <v>3.4571926419999999</v>
      </c>
      <c r="P1128">
        <v>-0.114791479</v>
      </c>
      <c r="Q1128">
        <v>1.868949E-3</v>
      </c>
      <c r="S1128" s="13">
        <v>-1.2428767089999999</v>
      </c>
      <c r="T1128">
        <v>0.49410589599999999</v>
      </c>
      <c r="U1128">
        <v>-0.123192992</v>
      </c>
    </row>
    <row r="1129" spans="1:21" x14ac:dyDescent="0.2">
      <c r="A1129" t="s">
        <v>1349</v>
      </c>
      <c r="B1129">
        <v>630760</v>
      </c>
      <c r="C1129" t="s">
        <v>6931</v>
      </c>
      <c r="D1129" t="s">
        <v>1350</v>
      </c>
      <c r="E1129" t="s">
        <v>6939</v>
      </c>
      <c r="F1129">
        <v>6</v>
      </c>
      <c r="G1129">
        <v>2</v>
      </c>
      <c r="H1129" t="s">
        <v>9203</v>
      </c>
      <c r="N1129">
        <v>1.9323965059999999</v>
      </c>
      <c r="O1129">
        <v>3.0528020530000002</v>
      </c>
      <c r="P1129">
        <v>2.6493138999999999E-2</v>
      </c>
      <c r="Q1129">
        <v>-0.38692188</v>
      </c>
      <c r="S1129" s="13">
        <v>-1.2437027789999999</v>
      </c>
      <c r="T1129">
        <v>0.49049616099999999</v>
      </c>
      <c r="U1129">
        <v>-7.7179944E-2</v>
      </c>
    </row>
    <row r="1130" spans="1:21" x14ac:dyDescent="0.2">
      <c r="A1130" t="s">
        <v>1747</v>
      </c>
      <c r="B1130">
        <v>745680</v>
      </c>
      <c r="C1130" t="s">
        <v>6927</v>
      </c>
      <c r="D1130" t="s">
        <v>1747</v>
      </c>
      <c r="E1130" t="s">
        <v>6911</v>
      </c>
      <c r="F1130">
        <v>13</v>
      </c>
      <c r="G1130">
        <v>12</v>
      </c>
      <c r="H1130" t="s">
        <v>9204</v>
      </c>
      <c r="J1130" t="s">
        <v>9205</v>
      </c>
      <c r="M1130" t="s">
        <v>9206</v>
      </c>
      <c r="N1130">
        <v>1.982575982</v>
      </c>
      <c r="O1130">
        <v>3.4571926419999999</v>
      </c>
      <c r="P1130">
        <v>-0.114791479</v>
      </c>
      <c r="Q1130">
        <v>1.868949E-3</v>
      </c>
      <c r="S1130" s="13">
        <v>-1.2439973440000001</v>
      </c>
      <c r="T1130">
        <v>0.48920898099999999</v>
      </c>
      <c r="U1130">
        <v>-0.123868538</v>
      </c>
    </row>
    <row r="1131" spans="1:21" x14ac:dyDescent="0.2">
      <c r="A1131" t="s">
        <v>221</v>
      </c>
      <c r="B1131">
        <v>810480</v>
      </c>
      <c r="C1131" t="s">
        <v>6953</v>
      </c>
      <c r="D1131" t="s">
        <v>221</v>
      </c>
      <c r="E1131" t="s">
        <v>6928</v>
      </c>
      <c r="F1131">
        <v>12</v>
      </c>
      <c r="G1131">
        <v>16</v>
      </c>
      <c r="H1131" t="s">
        <v>9207</v>
      </c>
      <c r="J1131" t="s">
        <v>3405</v>
      </c>
      <c r="M1131" t="s">
        <v>9208</v>
      </c>
      <c r="N1131">
        <v>1.921480887</v>
      </c>
      <c r="O1131">
        <v>3.0856645180000002</v>
      </c>
      <c r="P1131">
        <v>0.44706724399999997</v>
      </c>
      <c r="Q1131">
        <v>-0.354940863</v>
      </c>
      <c r="S1131" s="13">
        <v>-1.2442359970000001</v>
      </c>
      <c r="T1131">
        <v>0.48816611999999998</v>
      </c>
      <c r="U1131">
        <v>-7.5776748000000005E-2</v>
      </c>
    </row>
    <row r="1132" spans="1:21" x14ac:dyDescent="0.2">
      <c r="A1132" t="s">
        <v>203</v>
      </c>
      <c r="B1132">
        <v>678560</v>
      </c>
      <c r="C1132" t="s">
        <v>6906</v>
      </c>
      <c r="D1132" t="s">
        <v>204</v>
      </c>
      <c r="E1132" t="s">
        <v>6915</v>
      </c>
      <c r="F1132">
        <v>1</v>
      </c>
      <c r="G1132">
        <v>13</v>
      </c>
      <c r="H1132" t="s">
        <v>9209</v>
      </c>
      <c r="J1132" t="s">
        <v>206</v>
      </c>
      <c r="M1132" t="s">
        <v>9210</v>
      </c>
      <c r="N1132">
        <v>1.813871112</v>
      </c>
      <c r="O1132">
        <v>2.6633694910000001</v>
      </c>
      <c r="P1132">
        <v>-0.29586356800000002</v>
      </c>
      <c r="Q1132">
        <v>-0.59018158399999998</v>
      </c>
      <c r="S1132" s="13">
        <v>-1.244276803</v>
      </c>
      <c r="T1132">
        <v>0.48798781000000002</v>
      </c>
      <c r="U1132">
        <v>-0.118666524</v>
      </c>
    </row>
    <row r="1133" spans="1:21" x14ac:dyDescent="0.2">
      <c r="A1133" t="s">
        <v>583</v>
      </c>
      <c r="B1133">
        <v>685240</v>
      </c>
      <c r="C1133" t="s">
        <v>6942</v>
      </c>
      <c r="D1133" t="s">
        <v>583</v>
      </c>
      <c r="E1133" t="s">
        <v>6907</v>
      </c>
      <c r="F1133">
        <v>23</v>
      </c>
      <c r="G1133">
        <v>4</v>
      </c>
      <c r="H1133" t="s">
        <v>9211</v>
      </c>
      <c r="J1133" t="s">
        <v>4627</v>
      </c>
      <c r="M1133" t="s">
        <v>9212</v>
      </c>
      <c r="N1133">
        <v>2.0902262079999998</v>
      </c>
      <c r="O1133">
        <v>4.2704203920000001</v>
      </c>
      <c r="P1133">
        <v>0.23425843900000001</v>
      </c>
      <c r="Q1133">
        <v>1.6181978999999999E-2</v>
      </c>
      <c r="S1133" s="13">
        <v>-1.244685236</v>
      </c>
      <c r="T1133">
        <v>0.486203047</v>
      </c>
      <c r="U1133">
        <v>-0.14444261</v>
      </c>
    </row>
    <row r="1134" spans="1:21" x14ac:dyDescent="0.2">
      <c r="A1134" t="s">
        <v>616</v>
      </c>
      <c r="B1134">
        <v>780600</v>
      </c>
      <c r="C1134" t="s">
        <v>6938</v>
      </c>
      <c r="D1134" t="s">
        <v>616</v>
      </c>
      <c r="E1134" t="s">
        <v>6974</v>
      </c>
      <c r="F1134">
        <v>17</v>
      </c>
      <c r="G1134">
        <v>15</v>
      </c>
      <c r="H1134" t="s">
        <v>9213</v>
      </c>
      <c r="J1134" t="s">
        <v>2627</v>
      </c>
      <c r="M1134" t="s">
        <v>9214</v>
      </c>
      <c r="N1134">
        <v>2.092758737</v>
      </c>
      <c r="O1134">
        <v>5.3323610669999999</v>
      </c>
      <c r="P1134">
        <v>0.70420098600000003</v>
      </c>
      <c r="Q1134">
        <v>0.41355372699999998</v>
      </c>
      <c r="S1134" s="13">
        <v>-1.2447268979999999</v>
      </c>
      <c r="T1134">
        <v>0.48602099599999998</v>
      </c>
      <c r="U1134">
        <v>-0.12340555</v>
      </c>
    </row>
    <row r="1135" spans="1:21" x14ac:dyDescent="0.2">
      <c r="A1135" t="s">
        <v>185</v>
      </c>
      <c r="B1135">
        <v>713480</v>
      </c>
      <c r="C1135" t="s">
        <v>6910</v>
      </c>
      <c r="D1135" t="s">
        <v>185</v>
      </c>
      <c r="E1135" t="s">
        <v>6977</v>
      </c>
      <c r="F1135">
        <v>23</v>
      </c>
      <c r="G1135">
        <v>5</v>
      </c>
      <c r="H1135" t="s">
        <v>9215</v>
      </c>
      <c r="J1135" t="s">
        <v>722</v>
      </c>
      <c r="M1135" t="s">
        <v>9216</v>
      </c>
      <c r="N1135">
        <v>1.9874741039999999</v>
      </c>
      <c r="O1135">
        <v>3.7453511220000002</v>
      </c>
      <c r="P1135">
        <v>0.451009722</v>
      </c>
      <c r="Q1135">
        <v>-0.102386592</v>
      </c>
      <c r="S1135" s="13">
        <v>-1.245056269</v>
      </c>
      <c r="T1135">
        <v>0.48458171900000002</v>
      </c>
      <c r="U1135">
        <v>-7.4623911000000001E-2</v>
      </c>
    </row>
    <row r="1136" spans="1:21" x14ac:dyDescent="0.2">
      <c r="A1136" t="s">
        <v>727</v>
      </c>
      <c r="B1136">
        <v>809600</v>
      </c>
      <c r="C1136" t="s">
        <v>6953</v>
      </c>
      <c r="D1136" t="s">
        <v>727</v>
      </c>
      <c r="E1136" t="s">
        <v>7115</v>
      </c>
      <c r="F1136">
        <v>23</v>
      </c>
      <c r="G1136">
        <v>10</v>
      </c>
      <c r="H1136" t="s">
        <v>9217</v>
      </c>
      <c r="J1136" t="s">
        <v>735</v>
      </c>
      <c r="M1136" t="s">
        <v>9218</v>
      </c>
      <c r="N1136">
        <v>1.921480887</v>
      </c>
      <c r="O1136">
        <v>3.0856645180000002</v>
      </c>
      <c r="P1136">
        <v>0.44706724399999997</v>
      </c>
      <c r="Q1136">
        <v>-0.354940863</v>
      </c>
      <c r="S1136" s="13">
        <v>-1.245149107</v>
      </c>
      <c r="T1136">
        <v>0.48417603999999997</v>
      </c>
      <c r="U1136">
        <v>-7.6270156000000006E-2</v>
      </c>
    </row>
    <row r="1137" spans="1:21" x14ac:dyDescent="0.2">
      <c r="A1137" t="s">
        <v>214</v>
      </c>
      <c r="B1137">
        <v>779960</v>
      </c>
      <c r="C1137" t="s">
        <v>6938</v>
      </c>
      <c r="D1137" t="s">
        <v>215</v>
      </c>
      <c r="E1137" t="s">
        <v>6939</v>
      </c>
      <c r="F1137">
        <v>9</v>
      </c>
      <c r="G1137">
        <v>2</v>
      </c>
      <c r="H1137" t="s">
        <v>9219</v>
      </c>
      <c r="J1137" t="s">
        <v>5521</v>
      </c>
      <c r="M1137" t="s">
        <v>9220</v>
      </c>
      <c r="N1137">
        <v>2.092758737</v>
      </c>
      <c r="O1137">
        <v>5.3323610669999999</v>
      </c>
      <c r="P1137">
        <v>0.70420098600000003</v>
      </c>
      <c r="Q1137">
        <v>0.41355372699999998</v>
      </c>
      <c r="S1137" s="13">
        <v>-1.2452765370000001</v>
      </c>
      <c r="T1137">
        <v>0.48361919799999997</v>
      </c>
      <c r="U1137">
        <v>-0.123805943</v>
      </c>
    </row>
    <row r="1138" spans="1:21" x14ac:dyDescent="0.2">
      <c r="A1138" t="s">
        <v>772</v>
      </c>
      <c r="B1138">
        <v>684160</v>
      </c>
      <c r="C1138" t="s">
        <v>6942</v>
      </c>
      <c r="D1138" t="s">
        <v>772</v>
      </c>
      <c r="E1138" t="s">
        <v>6928</v>
      </c>
      <c r="F1138">
        <v>18</v>
      </c>
      <c r="G1138">
        <v>16</v>
      </c>
      <c r="H1138" t="s">
        <v>9221</v>
      </c>
      <c r="J1138" t="s">
        <v>774</v>
      </c>
      <c r="M1138" t="s">
        <v>9222</v>
      </c>
      <c r="N1138">
        <v>2.0902262079999998</v>
      </c>
      <c r="O1138">
        <v>4.2704203920000001</v>
      </c>
      <c r="P1138">
        <v>0.23425843900000001</v>
      </c>
      <c r="Q1138">
        <v>1.6181978999999999E-2</v>
      </c>
      <c r="S1138" s="13">
        <v>-1.2457452449999999</v>
      </c>
      <c r="T1138">
        <v>0.48157105300000003</v>
      </c>
      <c r="U1138">
        <v>-0.145152059</v>
      </c>
    </row>
    <row r="1139" spans="1:21" x14ac:dyDescent="0.2">
      <c r="A1139" t="s">
        <v>912</v>
      </c>
      <c r="B1139">
        <v>809000</v>
      </c>
      <c r="C1139" t="s">
        <v>6953</v>
      </c>
      <c r="D1139" t="s">
        <v>912</v>
      </c>
      <c r="E1139" t="s">
        <v>6921</v>
      </c>
      <c r="F1139">
        <v>23</v>
      </c>
      <c r="G1139">
        <v>8</v>
      </c>
      <c r="H1139" t="s">
        <v>9223</v>
      </c>
      <c r="J1139" t="s">
        <v>1327</v>
      </c>
      <c r="M1139" t="s">
        <v>9224</v>
      </c>
      <c r="N1139">
        <v>1.921480887</v>
      </c>
      <c r="O1139">
        <v>3.0856645180000002</v>
      </c>
      <c r="P1139">
        <v>0.44706724399999997</v>
      </c>
      <c r="Q1139">
        <v>-0.354940863</v>
      </c>
      <c r="S1139" s="13">
        <v>-1.2457716809999999</v>
      </c>
      <c r="T1139">
        <v>0.48145553200000002</v>
      </c>
      <c r="U1139">
        <v>-7.6606891999999996E-2</v>
      </c>
    </row>
    <row r="1140" spans="1:21" x14ac:dyDescent="0.2">
      <c r="A1140" t="s">
        <v>1939</v>
      </c>
      <c r="B1140">
        <v>743800</v>
      </c>
      <c r="C1140" t="s">
        <v>6927</v>
      </c>
      <c r="D1140" t="s">
        <v>1939</v>
      </c>
      <c r="E1140" t="s">
        <v>6928</v>
      </c>
      <c r="F1140">
        <v>19</v>
      </c>
      <c r="G1140">
        <v>16</v>
      </c>
      <c r="H1140" t="s">
        <v>9225</v>
      </c>
      <c r="J1140" t="s">
        <v>9226</v>
      </c>
      <c r="M1140" t="s">
        <v>9227</v>
      </c>
      <c r="N1140">
        <v>1.982575982</v>
      </c>
      <c r="O1140">
        <v>3.4571926419999999</v>
      </c>
      <c r="P1140">
        <v>-0.114791479</v>
      </c>
      <c r="Q1140">
        <v>1.868949E-3</v>
      </c>
      <c r="S1140" s="13">
        <v>-1.245948077</v>
      </c>
      <c r="T1140">
        <v>0.48068472099999998</v>
      </c>
      <c r="U1140">
        <v>-0.12504699999999999</v>
      </c>
    </row>
    <row r="1141" spans="1:21" x14ac:dyDescent="0.2">
      <c r="A1141" t="s">
        <v>1498</v>
      </c>
      <c r="B1141">
        <v>606520</v>
      </c>
      <c r="C1141" t="s">
        <v>6945</v>
      </c>
      <c r="D1141" t="s">
        <v>1498</v>
      </c>
      <c r="E1141" t="s">
        <v>6911</v>
      </c>
      <c r="F1141">
        <v>17</v>
      </c>
      <c r="G1141">
        <v>12</v>
      </c>
      <c r="H1141" t="s">
        <v>9228</v>
      </c>
      <c r="J1141" t="s">
        <v>3554</v>
      </c>
      <c r="M1141" t="s">
        <v>9229</v>
      </c>
      <c r="N1141">
        <v>2.2220813349999999</v>
      </c>
      <c r="O1141">
        <v>6.5440947090000003</v>
      </c>
      <c r="P1141">
        <v>0.58228215500000002</v>
      </c>
      <c r="Q1141">
        <v>0.35188233000000002</v>
      </c>
      <c r="S1141" s="13">
        <v>-1.24618461</v>
      </c>
      <c r="T1141">
        <v>0.47965112700000001</v>
      </c>
      <c r="U1141">
        <v>-0.14968563800000001</v>
      </c>
    </row>
    <row r="1142" spans="1:21" x14ac:dyDescent="0.2">
      <c r="A1142" t="s">
        <v>352</v>
      </c>
      <c r="B1142">
        <v>421400</v>
      </c>
      <c r="C1142" t="s">
        <v>6961</v>
      </c>
      <c r="D1142" t="s">
        <v>352</v>
      </c>
      <c r="E1142" t="s">
        <v>6928</v>
      </c>
      <c r="F1142">
        <v>17</v>
      </c>
      <c r="G1142">
        <v>16</v>
      </c>
      <c r="H1142" t="s">
        <v>9230</v>
      </c>
      <c r="J1142" t="s">
        <v>1304</v>
      </c>
      <c r="M1142" t="s">
        <v>9231</v>
      </c>
      <c r="N1142">
        <v>2.7247480949999998</v>
      </c>
      <c r="O1142">
        <v>7.0822175119999997</v>
      </c>
      <c r="P1142">
        <v>0.61298291999999999</v>
      </c>
      <c r="Q1142">
        <v>0.48262032500000002</v>
      </c>
      <c r="S1142" s="13">
        <v>-1.2462081629999999</v>
      </c>
      <c r="T1142">
        <v>0.47954820599999998</v>
      </c>
      <c r="U1142">
        <v>-0.166026233</v>
      </c>
    </row>
    <row r="1143" spans="1:21" x14ac:dyDescent="0.2">
      <c r="A1143" t="s">
        <v>57</v>
      </c>
      <c r="B1143">
        <v>683520</v>
      </c>
      <c r="C1143" t="s">
        <v>6942</v>
      </c>
      <c r="D1143" t="s">
        <v>59</v>
      </c>
      <c r="E1143" t="s">
        <v>6928</v>
      </c>
      <c r="F1143">
        <v>4</v>
      </c>
      <c r="G1143">
        <v>16</v>
      </c>
      <c r="H1143" t="s">
        <v>9232</v>
      </c>
      <c r="J1143" t="s">
        <v>3351</v>
      </c>
      <c r="M1143" t="s">
        <v>9233</v>
      </c>
      <c r="N1143">
        <v>2.0902262079999998</v>
      </c>
      <c r="O1143">
        <v>4.2704203920000001</v>
      </c>
      <c r="P1143">
        <v>0.23425843900000001</v>
      </c>
      <c r="Q1143">
        <v>1.6181978999999999E-2</v>
      </c>
      <c r="S1143" s="13">
        <v>-1.246373398</v>
      </c>
      <c r="T1143">
        <v>0.478826168</v>
      </c>
      <c r="U1143">
        <v>-0.145573021</v>
      </c>
    </row>
    <row r="1144" spans="1:21" x14ac:dyDescent="0.2">
      <c r="A1144" t="s">
        <v>919</v>
      </c>
      <c r="B1144">
        <v>628600</v>
      </c>
      <c r="C1144" t="s">
        <v>6931</v>
      </c>
      <c r="D1144" t="s">
        <v>919</v>
      </c>
      <c r="E1144" t="s">
        <v>6946</v>
      </c>
      <c r="F1144">
        <v>22</v>
      </c>
      <c r="G1144">
        <v>11</v>
      </c>
      <c r="H1144" t="s">
        <v>9234</v>
      </c>
      <c r="N1144">
        <v>1.9323965059999999</v>
      </c>
      <c r="O1144">
        <v>3.0528020530000002</v>
      </c>
      <c r="P1144">
        <v>2.6493138999999999E-2</v>
      </c>
      <c r="Q1144">
        <v>-0.38692188</v>
      </c>
      <c r="S1144" s="13">
        <v>-1.2465409629999999</v>
      </c>
      <c r="T1144">
        <v>0.47809394599999999</v>
      </c>
      <c r="U1144">
        <v>-7.8395966999999997E-2</v>
      </c>
    </row>
    <row r="1145" spans="1:21" x14ac:dyDescent="0.2">
      <c r="A1145" t="s">
        <v>1963</v>
      </c>
      <c r="B1145">
        <v>606120</v>
      </c>
      <c r="C1145" t="s">
        <v>6945</v>
      </c>
      <c r="D1145" t="s">
        <v>1963</v>
      </c>
      <c r="E1145" t="s">
        <v>6939</v>
      </c>
      <c r="F1145">
        <v>12</v>
      </c>
      <c r="G1145">
        <v>2</v>
      </c>
      <c r="H1145" t="s">
        <v>9235</v>
      </c>
      <c r="J1145" t="s">
        <v>2347</v>
      </c>
      <c r="M1145" t="s">
        <v>9236</v>
      </c>
      <c r="N1145">
        <v>2.2220813349999999</v>
      </c>
      <c r="O1145">
        <v>6.5440947090000003</v>
      </c>
      <c r="P1145">
        <v>0.58228215500000002</v>
      </c>
      <c r="Q1145">
        <v>0.35188233000000002</v>
      </c>
      <c r="S1145" s="13">
        <v>-1.2465619050000001</v>
      </c>
      <c r="T1145">
        <v>0.47800243599999998</v>
      </c>
      <c r="U1145">
        <v>-0.14995145300000001</v>
      </c>
    </row>
    <row r="1146" spans="1:21" x14ac:dyDescent="0.2">
      <c r="A1146" t="s">
        <v>2315</v>
      </c>
      <c r="B1146">
        <v>743200</v>
      </c>
      <c r="C1146" t="s">
        <v>6927</v>
      </c>
      <c r="D1146" t="s">
        <v>2316</v>
      </c>
      <c r="E1146" t="s">
        <v>6911</v>
      </c>
      <c r="F1146">
        <v>4</v>
      </c>
      <c r="G1146">
        <v>12</v>
      </c>
      <c r="H1146" t="s">
        <v>9237</v>
      </c>
      <c r="J1146" t="s">
        <v>9238</v>
      </c>
      <c r="M1146" t="s">
        <v>9239</v>
      </c>
      <c r="N1146">
        <v>1.982575982</v>
      </c>
      <c r="O1146">
        <v>3.4571926419999999</v>
      </c>
      <c r="P1146">
        <v>-0.114791479</v>
      </c>
      <c r="Q1146">
        <v>1.868949E-3</v>
      </c>
      <c r="S1146" s="13">
        <v>-1.2465706519999999</v>
      </c>
      <c r="T1146">
        <v>0.47796421300000003</v>
      </c>
      <c r="U1146">
        <v>-0.12542377900000001</v>
      </c>
    </row>
    <row r="1147" spans="1:21" x14ac:dyDescent="0.2">
      <c r="A1147" t="s">
        <v>2080</v>
      </c>
      <c r="B1147">
        <v>628520</v>
      </c>
      <c r="C1147" t="s">
        <v>6931</v>
      </c>
      <c r="D1147" t="s">
        <v>2080</v>
      </c>
      <c r="E1147" t="s">
        <v>6970</v>
      </c>
      <c r="F1147">
        <v>12</v>
      </c>
      <c r="G1147">
        <v>14</v>
      </c>
      <c r="H1147" t="s">
        <v>9240</v>
      </c>
      <c r="N1147">
        <v>1.9323965059999999</v>
      </c>
      <c r="O1147">
        <v>3.0528020530000002</v>
      </c>
      <c r="P1147">
        <v>2.6493138999999999E-2</v>
      </c>
      <c r="Q1147">
        <v>-0.38692188</v>
      </c>
      <c r="S1147" s="13">
        <v>-1.246646081</v>
      </c>
      <c r="T1147">
        <v>0.47763460400000002</v>
      </c>
      <c r="U1147">
        <v>-7.8441070000000002E-2</v>
      </c>
    </row>
    <row r="1148" spans="1:21" x14ac:dyDescent="0.2">
      <c r="A1148" t="s">
        <v>1163</v>
      </c>
      <c r="B1148">
        <v>743080</v>
      </c>
      <c r="C1148" t="s">
        <v>6927</v>
      </c>
      <c r="D1148" t="s">
        <v>1164</v>
      </c>
      <c r="E1148" t="s">
        <v>6918</v>
      </c>
      <c r="F1148">
        <v>6</v>
      </c>
      <c r="G1148">
        <v>1</v>
      </c>
      <c r="H1148" t="s">
        <v>9241</v>
      </c>
      <c r="J1148" t="s">
        <v>9242</v>
      </c>
      <c r="M1148" t="s">
        <v>9243</v>
      </c>
      <c r="N1148">
        <v>1.982575982</v>
      </c>
      <c r="O1148">
        <v>3.4571926419999999</v>
      </c>
      <c r="P1148">
        <v>-0.114791479</v>
      </c>
      <c r="Q1148">
        <v>1.868949E-3</v>
      </c>
      <c r="S1148" s="13">
        <v>-1.2466951669999999</v>
      </c>
      <c r="T1148">
        <v>0.47742011099999998</v>
      </c>
      <c r="U1148">
        <v>-0.12549917399999999</v>
      </c>
    </row>
    <row r="1149" spans="1:21" x14ac:dyDescent="0.2">
      <c r="A1149" t="s">
        <v>1181</v>
      </c>
      <c r="B1149">
        <v>808080</v>
      </c>
      <c r="C1149" t="s">
        <v>6953</v>
      </c>
      <c r="D1149" t="s">
        <v>1181</v>
      </c>
      <c r="E1149" t="s">
        <v>6956</v>
      </c>
      <c r="F1149">
        <v>23</v>
      </c>
      <c r="G1149">
        <v>7</v>
      </c>
      <c r="H1149" t="s">
        <v>9244</v>
      </c>
      <c r="J1149" t="s">
        <v>1183</v>
      </c>
      <c r="M1149" t="s">
        <v>9245</v>
      </c>
      <c r="N1149">
        <v>1.921480887</v>
      </c>
      <c r="O1149">
        <v>3.0856645180000002</v>
      </c>
      <c r="P1149">
        <v>0.44706724399999997</v>
      </c>
      <c r="Q1149">
        <v>-0.354940863</v>
      </c>
      <c r="S1149" s="13">
        <v>-1.246726295</v>
      </c>
      <c r="T1149">
        <v>0.477284086</v>
      </c>
      <c r="U1149">
        <v>-7.7123729000000002E-2</v>
      </c>
    </row>
    <row r="1150" spans="1:21" x14ac:dyDescent="0.2">
      <c r="A1150" t="s">
        <v>1356</v>
      </c>
      <c r="B1150">
        <v>683000</v>
      </c>
      <c r="C1150" t="s">
        <v>6942</v>
      </c>
      <c r="D1150" t="s">
        <v>1356</v>
      </c>
      <c r="E1150" t="s">
        <v>6921</v>
      </c>
      <c r="F1150">
        <v>19</v>
      </c>
      <c r="G1150">
        <v>8</v>
      </c>
      <c r="H1150" t="s">
        <v>9246</v>
      </c>
      <c r="J1150" t="s">
        <v>3631</v>
      </c>
      <c r="M1150" t="s">
        <v>9247</v>
      </c>
      <c r="N1150">
        <v>2.0902262079999998</v>
      </c>
      <c r="O1150">
        <v>4.2704203920000001</v>
      </c>
      <c r="P1150">
        <v>0.23425843900000001</v>
      </c>
      <c r="Q1150">
        <v>1.6181978999999999E-2</v>
      </c>
      <c r="S1150" s="13">
        <v>-1.2468837719999999</v>
      </c>
      <c r="T1150">
        <v>0.47659594900000002</v>
      </c>
      <c r="U1150">
        <v>-0.145915353</v>
      </c>
    </row>
    <row r="1151" spans="1:21" x14ac:dyDescent="0.2">
      <c r="A1151" t="s">
        <v>129</v>
      </c>
      <c r="B1151">
        <v>676760</v>
      </c>
      <c r="C1151" t="s">
        <v>6906</v>
      </c>
      <c r="D1151" t="s">
        <v>129</v>
      </c>
      <c r="E1151" t="s">
        <v>7006</v>
      </c>
      <c r="F1151">
        <v>24</v>
      </c>
      <c r="G1151">
        <v>3</v>
      </c>
      <c r="H1151" t="s">
        <v>9248</v>
      </c>
      <c r="J1151" t="s">
        <v>649</v>
      </c>
      <c r="M1151" t="s">
        <v>9249</v>
      </c>
      <c r="N1151">
        <v>1.813871112</v>
      </c>
      <c r="O1151">
        <v>2.6633694910000001</v>
      </c>
      <c r="P1151">
        <v>-0.29586356800000002</v>
      </c>
      <c r="Q1151">
        <v>-0.59018158399999998</v>
      </c>
      <c r="S1151" s="13">
        <v>-1.2468881469999999</v>
      </c>
      <c r="T1151">
        <v>0.47657683000000001</v>
      </c>
      <c r="U1151">
        <v>-0.119781323</v>
      </c>
    </row>
    <row r="1152" spans="1:21" x14ac:dyDescent="0.2">
      <c r="A1152" t="s">
        <v>1082</v>
      </c>
      <c r="B1152">
        <v>777680</v>
      </c>
      <c r="C1152" t="s">
        <v>6938</v>
      </c>
      <c r="D1152" t="s">
        <v>1082</v>
      </c>
      <c r="E1152" t="s">
        <v>7115</v>
      </c>
      <c r="F1152">
        <v>21</v>
      </c>
      <c r="G1152">
        <v>10</v>
      </c>
      <c r="H1152" t="s">
        <v>9250</v>
      </c>
      <c r="J1152" t="s">
        <v>1588</v>
      </c>
      <c r="M1152" t="s">
        <v>9251</v>
      </c>
      <c r="N1152">
        <v>2.092758737</v>
      </c>
      <c r="O1152">
        <v>5.3323610669999999</v>
      </c>
      <c r="P1152">
        <v>0.70420098600000003</v>
      </c>
      <c r="Q1152">
        <v>0.41355372699999998</v>
      </c>
      <c r="S1152" s="13">
        <v>-1.2472346270000001</v>
      </c>
      <c r="T1152">
        <v>0.47506279200000001</v>
      </c>
      <c r="U1152">
        <v>-0.125235349</v>
      </c>
    </row>
    <row r="1153" spans="1:21" x14ac:dyDescent="0.2">
      <c r="A1153" t="s">
        <v>1049</v>
      </c>
      <c r="B1153">
        <v>627960</v>
      </c>
      <c r="C1153" t="s">
        <v>6931</v>
      </c>
      <c r="D1153" t="s">
        <v>1049</v>
      </c>
      <c r="E1153" t="s">
        <v>6928</v>
      </c>
      <c r="F1153">
        <v>23</v>
      </c>
      <c r="G1153">
        <v>16</v>
      </c>
      <c r="H1153" t="s">
        <v>9252</v>
      </c>
      <c r="N1153">
        <v>1.9323965059999999</v>
      </c>
      <c r="O1153">
        <v>3.0528020530000002</v>
      </c>
      <c r="P1153">
        <v>2.6493138999999999E-2</v>
      </c>
      <c r="Q1153">
        <v>-0.38692188</v>
      </c>
      <c r="S1153" s="13">
        <v>-1.2473819070000001</v>
      </c>
      <c r="T1153">
        <v>0.47441921500000001</v>
      </c>
      <c r="U1153">
        <v>-7.8756925000000005E-2</v>
      </c>
    </row>
    <row r="1154" spans="1:21" x14ac:dyDescent="0.2">
      <c r="A1154" t="s">
        <v>2335</v>
      </c>
      <c r="B1154">
        <v>682480</v>
      </c>
      <c r="C1154" t="s">
        <v>6942</v>
      </c>
      <c r="D1154" t="s">
        <v>2335</v>
      </c>
      <c r="E1154" t="s">
        <v>6915</v>
      </c>
      <c r="F1154">
        <v>13</v>
      </c>
      <c r="G1154">
        <v>13</v>
      </c>
      <c r="H1154" t="s">
        <v>9253</v>
      </c>
      <c r="J1154" t="s">
        <v>4856</v>
      </c>
      <c r="M1154" t="s">
        <v>9254</v>
      </c>
      <c r="N1154">
        <v>2.0902262079999998</v>
      </c>
      <c r="O1154">
        <v>4.2704203920000001</v>
      </c>
      <c r="P1154">
        <v>0.23425843900000001</v>
      </c>
      <c r="Q1154">
        <v>1.6181978999999999E-2</v>
      </c>
      <c r="S1154" s="13">
        <v>-1.247394146</v>
      </c>
      <c r="T1154">
        <v>0.47436572999999999</v>
      </c>
      <c r="U1154">
        <v>-0.146257955</v>
      </c>
    </row>
    <row r="1155" spans="1:21" x14ac:dyDescent="0.2">
      <c r="A1155" t="s">
        <v>355</v>
      </c>
      <c r="B1155">
        <v>711200</v>
      </c>
      <c r="C1155" t="s">
        <v>6910</v>
      </c>
      <c r="D1155" t="s">
        <v>356</v>
      </c>
      <c r="E1155" t="s">
        <v>6946</v>
      </c>
      <c r="F1155">
        <v>3</v>
      </c>
      <c r="G1155">
        <v>11</v>
      </c>
      <c r="H1155" t="s">
        <v>9255</v>
      </c>
      <c r="J1155" t="s">
        <v>358</v>
      </c>
      <c r="M1155" t="s">
        <v>9256</v>
      </c>
      <c r="N1155">
        <v>1.9874741039999999</v>
      </c>
      <c r="O1155">
        <v>3.7453511220000002</v>
      </c>
      <c r="P1155">
        <v>0.451009722</v>
      </c>
      <c r="Q1155">
        <v>-0.102386592</v>
      </c>
      <c r="S1155" s="13">
        <v>-1.247509306</v>
      </c>
      <c r="T1155">
        <v>0.47386250699999999</v>
      </c>
      <c r="U1155">
        <v>-7.5900046999999998E-2</v>
      </c>
    </row>
    <row r="1156" spans="1:21" x14ac:dyDescent="0.2">
      <c r="A1156" t="s">
        <v>1108</v>
      </c>
      <c r="B1156">
        <v>676200</v>
      </c>
      <c r="C1156" t="s">
        <v>6906</v>
      </c>
      <c r="D1156" t="s">
        <v>1109</v>
      </c>
      <c r="E1156" t="s">
        <v>6977</v>
      </c>
      <c r="F1156">
        <v>3</v>
      </c>
      <c r="G1156">
        <v>5</v>
      </c>
      <c r="H1156" t="s">
        <v>9257</v>
      </c>
      <c r="J1156" t="s">
        <v>1111</v>
      </c>
      <c r="M1156" t="s">
        <v>9258</v>
      </c>
      <c r="N1156">
        <v>1.813871112</v>
      </c>
      <c r="O1156">
        <v>2.6633694910000001</v>
      </c>
      <c r="P1156">
        <v>-0.29586356800000002</v>
      </c>
      <c r="Q1156">
        <v>-0.59018158399999998</v>
      </c>
      <c r="S1156" s="13">
        <v>-1.247700566</v>
      </c>
      <c r="T1156">
        <v>0.47302674700000003</v>
      </c>
      <c r="U1156">
        <v>-0.120128734</v>
      </c>
    </row>
    <row r="1157" spans="1:21" x14ac:dyDescent="0.2">
      <c r="A1157" t="s">
        <v>718</v>
      </c>
      <c r="B1157">
        <v>419000</v>
      </c>
      <c r="C1157" t="s">
        <v>6961</v>
      </c>
      <c r="D1157" t="s">
        <v>718</v>
      </c>
      <c r="E1157" t="s">
        <v>6924</v>
      </c>
      <c r="F1157">
        <v>14</v>
      </c>
      <c r="G1157">
        <v>6</v>
      </c>
      <c r="H1157" t="s">
        <v>9259</v>
      </c>
      <c r="J1157" t="s">
        <v>4022</v>
      </c>
      <c r="M1157" t="s">
        <v>9260</v>
      </c>
      <c r="N1157">
        <v>2.7247480949999998</v>
      </c>
      <c r="O1157">
        <v>7.0822175119999997</v>
      </c>
      <c r="P1157">
        <v>0.61298291999999999</v>
      </c>
      <c r="Q1157">
        <v>0.48262032500000002</v>
      </c>
      <c r="S1157" s="13">
        <v>-1.24810804</v>
      </c>
      <c r="T1157">
        <v>0.47124618000000001</v>
      </c>
      <c r="U1157">
        <v>-0.16768492900000001</v>
      </c>
    </row>
    <row r="1158" spans="1:21" x14ac:dyDescent="0.2">
      <c r="A1158" t="s">
        <v>839</v>
      </c>
      <c r="B1158">
        <v>710440</v>
      </c>
      <c r="C1158" t="s">
        <v>6910</v>
      </c>
      <c r="D1158" t="s">
        <v>840</v>
      </c>
      <c r="E1158" t="s">
        <v>6928</v>
      </c>
      <c r="F1158">
        <v>5</v>
      </c>
      <c r="G1158">
        <v>16</v>
      </c>
      <c r="H1158" t="s">
        <v>9261</v>
      </c>
      <c r="J1158" t="s">
        <v>6145</v>
      </c>
      <c r="M1158" t="s">
        <v>9262</v>
      </c>
      <c r="N1158">
        <v>1.9874741039999999</v>
      </c>
      <c r="O1158">
        <v>3.7453511220000002</v>
      </c>
      <c r="P1158">
        <v>0.451009722</v>
      </c>
      <c r="Q1158">
        <v>-0.102386592</v>
      </c>
      <c r="S1158" s="13">
        <v>-1.2483269859999999</v>
      </c>
      <c r="T1158">
        <v>0.47028943600000001</v>
      </c>
      <c r="U1158">
        <v>-7.6326260000000007E-2</v>
      </c>
    </row>
    <row r="1159" spans="1:21" x14ac:dyDescent="0.2">
      <c r="A1159" t="s">
        <v>1971</v>
      </c>
      <c r="B1159">
        <v>681480</v>
      </c>
      <c r="C1159" t="s">
        <v>6942</v>
      </c>
      <c r="D1159" t="s">
        <v>1971</v>
      </c>
      <c r="E1159" t="s">
        <v>7115</v>
      </c>
      <c r="F1159">
        <v>10</v>
      </c>
      <c r="G1159">
        <v>10</v>
      </c>
      <c r="H1159" t="s">
        <v>9263</v>
      </c>
      <c r="J1159" t="s">
        <v>2265</v>
      </c>
      <c r="M1159" t="s">
        <v>9264</v>
      </c>
      <c r="N1159">
        <v>2.0902262079999998</v>
      </c>
      <c r="O1159">
        <v>4.2704203920000001</v>
      </c>
      <c r="P1159">
        <v>0.23425843900000001</v>
      </c>
      <c r="Q1159">
        <v>1.6181978999999999E-2</v>
      </c>
      <c r="S1159" s="13">
        <v>-1.248375636</v>
      </c>
      <c r="T1159">
        <v>0.47007684700000002</v>
      </c>
      <c r="U1159">
        <v>-0.146917566</v>
      </c>
    </row>
    <row r="1160" spans="1:21" x14ac:dyDescent="0.2">
      <c r="A1160" t="s">
        <v>1140</v>
      </c>
      <c r="B1160">
        <v>604040</v>
      </c>
      <c r="C1160" t="s">
        <v>6945</v>
      </c>
      <c r="D1160" t="s">
        <v>1141</v>
      </c>
      <c r="E1160" t="s">
        <v>7085</v>
      </c>
      <c r="F1160">
        <v>4</v>
      </c>
      <c r="G1160">
        <v>9</v>
      </c>
      <c r="H1160" t="s">
        <v>9265</v>
      </c>
      <c r="J1160" t="s">
        <v>6153</v>
      </c>
      <c r="M1160" t="s">
        <v>9266</v>
      </c>
      <c r="N1160">
        <v>2.2220813349999999</v>
      </c>
      <c r="O1160">
        <v>6.5440947090000003</v>
      </c>
      <c r="P1160">
        <v>0.58228215500000002</v>
      </c>
      <c r="Q1160">
        <v>0.35188233000000002</v>
      </c>
      <c r="S1160" s="13">
        <v>-1.2485238359999999</v>
      </c>
      <c r="T1160">
        <v>0.46942924600000002</v>
      </c>
      <c r="U1160">
        <v>-0.151336318</v>
      </c>
    </row>
    <row r="1161" spans="1:21" x14ac:dyDescent="0.2">
      <c r="A1161" t="s">
        <v>27</v>
      </c>
      <c r="B1161">
        <v>710120</v>
      </c>
      <c r="C1161" t="s">
        <v>6910</v>
      </c>
      <c r="D1161" t="s">
        <v>29</v>
      </c>
      <c r="E1161" t="s">
        <v>6915</v>
      </c>
      <c r="F1161">
        <v>4</v>
      </c>
      <c r="G1161">
        <v>13</v>
      </c>
      <c r="H1161" t="s">
        <v>9267</v>
      </c>
      <c r="J1161" t="s">
        <v>1007</v>
      </c>
      <c r="M1161" t="s">
        <v>9268</v>
      </c>
      <c r="N1161">
        <v>1.9874741039999999</v>
      </c>
      <c r="O1161">
        <v>3.7453511220000002</v>
      </c>
      <c r="P1161">
        <v>0.451009722</v>
      </c>
      <c r="Q1161">
        <v>-0.102386592</v>
      </c>
      <c r="S1161" s="13">
        <v>-1.2486712710000001</v>
      </c>
      <c r="T1161">
        <v>0.46878498499999999</v>
      </c>
      <c r="U1161">
        <v>-7.6505844000000003E-2</v>
      </c>
    </row>
    <row r="1162" spans="1:21" x14ac:dyDescent="0.2">
      <c r="A1162" t="s">
        <v>320</v>
      </c>
      <c r="B1162">
        <v>806160</v>
      </c>
      <c r="C1162" t="s">
        <v>6953</v>
      </c>
      <c r="D1162" t="s">
        <v>320</v>
      </c>
      <c r="E1162" t="s">
        <v>6907</v>
      </c>
      <c r="F1162">
        <v>13</v>
      </c>
      <c r="G1162">
        <v>4</v>
      </c>
      <c r="H1162" t="s">
        <v>9269</v>
      </c>
      <c r="J1162" t="s">
        <v>322</v>
      </c>
      <c r="M1162" t="s">
        <v>9270</v>
      </c>
      <c r="N1162">
        <v>1.921480887</v>
      </c>
      <c r="O1162">
        <v>3.0856645180000002</v>
      </c>
      <c r="P1162">
        <v>0.44706724399999997</v>
      </c>
      <c r="Q1162">
        <v>-0.354940863</v>
      </c>
      <c r="S1162" s="13">
        <v>-1.248718534</v>
      </c>
      <c r="T1162">
        <v>0.468578459</v>
      </c>
      <c r="U1162">
        <v>-7.8204330000000002E-2</v>
      </c>
    </row>
    <row r="1163" spans="1:21" x14ac:dyDescent="0.2">
      <c r="A1163" t="s">
        <v>551</v>
      </c>
      <c r="B1163">
        <v>805640</v>
      </c>
      <c r="C1163" t="s">
        <v>6953</v>
      </c>
      <c r="D1163" t="s">
        <v>551</v>
      </c>
      <c r="E1163" t="s">
        <v>6928</v>
      </c>
      <c r="F1163">
        <v>11</v>
      </c>
      <c r="G1163">
        <v>16</v>
      </c>
      <c r="H1163" t="s">
        <v>9271</v>
      </c>
      <c r="J1163" t="s">
        <v>2155</v>
      </c>
      <c r="M1163" t="s">
        <v>9272</v>
      </c>
      <c r="N1163">
        <v>1.921480887</v>
      </c>
      <c r="O1163">
        <v>3.0856645180000002</v>
      </c>
      <c r="P1163">
        <v>0.44706724399999997</v>
      </c>
      <c r="Q1163">
        <v>-0.354940863</v>
      </c>
      <c r="S1163" s="13">
        <v>-1.249258099</v>
      </c>
      <c r="T1163">
        <v>0.46622068500000002</v>
      </c>
      <c r="U1163">
        <v>-7.8497455999999993E-2</v>
      </c>
    </row>
    <row r="1164" spans="1:21" x14ac:dyDescent="0.2">
      <c r="A1164" t="s">
        <v>2885</v>
      </c>
      <c r="B1164">
        <v>680560</v>
      </c>
      <c r="C1164" t="s">
        <v>6942</v>
      </c>
      <c r="D1164" t="s">
        <v>2885</v>
      </c>
      <c r="E1164" t="s">
        <v>7085</v>
      </c>
      <c r="F1164">
        <v>11</v>
      </c>
      <c r="G1164">
        <v>9</v>
      </c>
      <c r="H1164" t="s">
        <v>9273</v>
      </c>
      <c r="J1164" t="s">
        <v>3127</v>
      </c>
      <c r="M1164" t="s">
        <v>9274</v>
      </c>
      <c r="N1164">
        <v>2.0902262079999998</v>
      </c>
      <c r="O1164">
        <v>4.2704203920000001</v>
      </c>
      <c r="P1164">
        <v>0.23425843900000001</v>
      </c>
      <c r="Q1164">
        <v>1.6181978999999999E-2</v>
      </c>
      <c r="S1164" s="13">
        <v>-1.2492786060000001</v>
      </c>
      <c r="T1164">
        <v>0.46613107399999998</v>
      </c>
      <c r="U1164">
        <v>-0.147525295</v>
      </c>
    </row>
    <row r="1165" spans="1:21" x14ac:dyDescent="0.2">
      <c r="A1165" t="s">
        <v>944</v>
      </c>
      <c r="B1165">
        <v>740400</v>
      </c>
      <c r="C1165" t="s">
        <v>6927</v>
      </c>
      <c r="D1165" t="s">
        <v>944</v>
      </c>
      <c r="E1165" t="s">
        <v>6924</v>
      </c>
      <c r="F1165">
        <v>12</v>
      </c>
      <c r="G1165">
        <v>6</v>
      </c>
      <c r="H1165" t="s">
        <v>9275</v>
      </c>
      <c r="J1165" t="s">
        <v>9276</v>
      </c>
      <c r="M1165" t="s">
        <v>9277</v>
      </c>
      <c r="N1165">
        <v>1.982575982</v>
      </c>
      <c r="O1165">
        <v>3.4571926419999999</v>
      </c>
      <c r="P1165">
        <v>-0.114791479</v>
      </c>
      <c r="Q1165">
        <v>1.868949E-3</v>
      </c>
      <c r="S1165" s="13">
        <v>-1.249476</v>
      </c>
      <c r="T1165">
        <v>0.465268507</v>
      </c>
      <c r="U1165">
        <v>-0.127186417</v>
      </c>
    </row>
    <row r="1166" spans="1:21" x14ac:dyDescent="0.2">
      <c r="A1166" t="s">
        <v>1764</v>
      </c>
      <c r="B1166">
        <v>680280</v>
      </c>
      <c r="C1166" t="s">
        <v>6942</v>
      </c>
      <c r="D1166" t="s">
        <v>1764</v>
      </c>
      <c r="E1166" t="s">
        <v>7115</v>
      </c>
      <c r="F1166">
        <v>20</v>
      </c>
      <c r="G1166">
        <v>10</v>
      </c>
      <c r="H1166" t="s">
        <v>9278</v>
      </c>
      <c r="J1166" t="s">
        <v>2068</v>
      </c>
      <c r="M1166" t="s">
        <v>9279</v>
      </c>
      <c r="N1166">
        <v>2.0902262079999998</v>
      </c>
      <c r="O1166">
        <v>4.2704203920000001</v>
      </c>
      <c r="P1166">
        <v>0.23425843900000001</v>
      </c>
      <c r="Q1166">
        <v>1.6181978999999999E-2</v>
      </c>
      <c r="S1166" s="13">
        <v>-1.249553422</v>
      </c>
      <c r="T1166">
        <v>0.46493018699999999</v>
      </c>
      <c r="U1166">
        <v>-0.14771042400000001</v>
      </c>
    </row>
    <row r="1167" spans="1:21" x14ac:dyDescent="0.2">
      <c r="A1167" t="s">
        <v>1092</v>
      </c>
      <c r="B1167">
        <v>709200</v>
      </c>
      <c r="C1167" t="s">
        <v>6910</v>
      </c>
      <c r="D1167" t="s">
        <v>1092</v>
      </c>
      <c r="E1167" t="s">
        <v>6970</v>
      </c>
      <c r="F1167">
        <v>20</v>
      </c>
      <c r="G1167">
        <v>14</v>
      </c>
      <c r="H1167" t="s">
        <v>9280</v>
      </c>
      <c r="J1167" t="s">
        <v>4992</v>
      </c>
      <c r="M1167" t="s">
        <v>9281</v>
      </c>
      <c r="N1167">
        <v>1.9874741039999999</v>
      </c>
      <c r="O1167">
        <v>3.7453511220000002</v>
      </c>
      <c r="P1167">
        <v>0.451009722</v>
      </c>
      <c r="Q1167">
        <v>-0.102386592</v>
      </c>
      <c r="S1167" s="13">
        <v>-1.2496610939999999</v>
      </c>
      <c r="T1167">
        <v>0.46445968900000001</v>
      </c>
      <c r="U1167">
        <v>-7.7022560000000004E-2</v>
      </c>
    </row>
    <row r="1168" spans="1:21" x14ac:dyDescent="0.2">
      <c r="A1168" t="s">
        <v>405</v>
      </c>
      <c r="B1168">
        <v>774560</v>
      </c>
      <c r="C1168" t="s">
        <v>6938</v>
      </c>
      <c r="D1168" t="s">
        <v>405</v>
      </c>
      <c r="E1168" t="s">
        <v>6946</v>
      </c>
      <c r="F1168">
        <v>23</v>
      </c>
      <c r="G1168">
        <v>11</v>
      </c>
      <c r="H1168" t="s">
        <v>9282</v>
      </c>
      <c r="J1168" t="s">
        <v>1993</v>
      </c>
      <c r="M1168" t="s">
        <v>9283</v>
      </c>
      <c r="N1168">
        <v>2.092758737</v>
      </c>
      <c r="O1168">
        <v>5.3323610669999999</v>
      </c>
      <c r="P1168">
        <v>0.70420098600000003</v>
      </c>
      <c r="Q1168">
        <v>0.41355372699999998</v>
      </c>
      <c r="S1168" s="13">
        <v>-1.249914119</v>
      </c>
      <c r="T1168">
        <v>0.46335402599999997</v>
      </c>
      <c r="U1168">
        <v>-0.12719903299999999</v>
      </c>
    </row>
    <row r="1169" spans="1:21" x14ac:dyDescent="0.2">
      <c r="A1169" t="s">
        <v>283</v>
      </c>
      <c r="B1169">
        <v>674480</v>
      </c>
      <c r="C1169" t="s">
        <v>6906</v>
      </c>
      <c r="D1169" t="s">
        <v>284</v>
      </c>
      <c r="E1169" t="s">
        <v>6928</v>
      </c>
      <c r="F1169">
        <v>6</v>
      </c>
      <c r="G1169">
        <v>16</v>
      </c>
      <c r="H1169" t="s">
        <v>9284</v>
      </c>
      <c r="J1169" t="s">
        <v>724</v>
      </c>
      <c r="M1169" t="s">
        <v>9285</v>
      </c>
      <c r="N1169">
        <v>1.813871112</v>
      </c>
      <c r="O1169">
        <v>2.6633694910000001</v>
      </c>
      <c r="P1169">
        <v>-0.29586356800000002</v>
      </c>
      <c r="Q1169">
        <v>-0.59018158399999998</v>
      </c>
      <c r="S1169" s="13">
        <v>-1.250195851</v>
      </c>
      <c r="T1169">
        <v>0.46212292199999999</v>
      </c>
      <c r="U1169">
        <v>-0.121197522</v>
      </c>
    </row>
    <row r="1170" spans="1:21" x14ac:dyDescent="0.2">
      <c r="A1170" t="s">
        <v>1688</v>
      </c>
      <c r="B1170">
        <v>602080</v>
      </c>
      <c r="C1170" t="s">
        <v>6945</v>
      </c>
      <c r="D1170" t="s">
        <v>1688</v>
      </c>
      <c r="E1170" t="s">
        <v>6915</v>
      </c>
      <c r="F1170">
        <v>22</v>
      </c>
      <c r="G1170">
        <v>13</v>
      </c>
      <c r="H1170" t="s">
        <v>9286</v>
      </c>
      <c r="J1170" t="s">
        <v>5006</v>
      </c>
      <c r="M1170" t="s">
        <v>9287</v>
      </c>
      <c r="N1170">
        <v>2.2220813349999999</v>
      </c>
      <c r="O1170">
        <v>6.5440947090000003</v>
      </c>
      <c r="P1170">
        <v>0.58228215500000002</v>
      </c>
      <c r="Q1170">
        <v>0.35188233000000002</v>
      </c>
      <c r="S1170" s="13">
        <v>-1.2503725779999999</v>
      </c>
      <c r="T1170">
        <v>0.46135066400000002</v>
      </c>
      <c r="U1170">
        <v>-0.15264533999999999</v>
      </c>
    </row>
    <row r="1171" spans="1:21" x14ac:dyDescent="0.2">
      <c r="A1171" t="s">
        <v>465</v>
      </c>
      <c r="B1171">
        <v>739520</v>
      </c>
      <c r="C1171" t="s">
        <v>6927</v>
      </c>
      <c r="D1171" t="s">
        <v>466</v>
      </c>
      <c r="E1171" t="s">
        <v>6939</v>
      </c>
      <c r="F1171">
        <v>8</v>
      </c>
      <c r="G1171">
        <v>2</v>
      </c>
      <c r="H1171" t="s">
        <v>9288</v>
      </c>
      <c r="J1171" t="s">
        <v>9289</v>
      </c>
      <c r="M1171" t="s">
        <v>9290</v>
      </c>
      <c r="N1171">
        <v>1.982575982</v>
      </c>
      <c r="O1171">
        <v>3.4571926419999999</v>
      </c>
      <c r="P1171">
        <v>-0.114791479</v>
      </c>
      <c r="Q1171">
        <v>1.868949E-3</v>
      </c>
      <c r="S1171" s="13">
        <v>-1.2503891090000001</v>
      </c>
      <c r="T1171">
        <v>0.46127842699999999</v>
      </c>
      <c r="U1171">
        <v>-0.12774187000000001</v>
      </c>
    </row>
    <row r="1172" spans="1:21" x14ac:dyDescent="0.2">
      <c r="A1172" t="s">
        <v>1222</v>
      </c>
      <c r="B1172">
        <v>803640</v>
      </c>
      <c r="C1172" t="s">
        <v>6914</v>
      </c>
      <c r="D1172" t="s">
        <v>1223</v>
      </c>
      <c r="E1172" t="s">
        <v>6907</v>
      </c>
      <c r="F1172">
        <v>3</v>
      </c>
      <c r="G1172">
        <v>4</v>
      </c>
      <c r="H1172" t="s">
        <v>9291</v>
      </c>
      <c r="J1172" t="s">
        <v>3407</v>
      </c>
      <c r="M1172" t="s">
        <v>9292</v>
      </c>
      <c r="N1172">
        <v>1.8217074179999999</v>
      </c>
      <c r="O1172">
        <v>4.1700741289999996</v>
      </c>
      <c r="P1172">
        <v>0.189705977</v>
      </c>
      <c r="Q1172">
        <v>-1.7194070999999998E-2</v>
      </c>
      <c r="S1172" s="13">
        <v>-1.250390898</v>
      </c>
      <c r="T1172">
        <v>0.461270613</v>
      </c>
      <c r="U1172">
        <v>-0.137979833</v>
      </c>
    </row>
    <row r="1173" spans="1:21" x14ac:dyDescent="0.2">
      <c r="A1173" t="s">
        <v>477</v>
      </c>
      <c r="B1173">
        <v>679000</v>
      </c>
      <c r="C1173" t="s">
        <v>6942</v>
      </c>
      <c r="D1173" t="s">
        <v>477</v>
      </c>
      <c r="E1173" t="s">
        <v>6918</v>
      </c>
      <c r="F1173">
        <v>12</v>
      </c>
      <c r="G1173">
        <v>1</v>
      </c>
      <c r="H1173" t="s">
        <v>9293</v>
      </c>
      <c r="J1173" t="s">
        <v>1239</v>
      </c>
      <c r="M1173" t="s">
        <v>9294</v>
      </c>
      <c r="N1173">
        <v>2.0902262079999998</v>
      </c>
      <c r="O1173">
        <v>4.2704203920000001</v>
      </c>
      <c r="P1173">
        <v>0.23425843900000001</v>
      </c>
      <c r="Q1173">
        <v>1.6181978999999999E-2</v>
      </c>
      <c r="S1173" s="13">
        <v>-1.250809729</v>
      </c>
      <c r="T1173">
        <v>0.45944041699999999</v>
      </c>
      <c r="U1173">
        <v>-0.14855773799999999</v>
      </c>
    </row>
    <row r="1174" spans="1:21" x14ac:dyDescent="0.2">
      <c r="A1174" t="s">
        <v>303</v>
      </c>
      <c r="B1174">
        <v>601560</v>
      </c>
      <c r="C1174" t="s">
        <v>6945</v>
      </c>
      <c r="D1174" t="s">
        <v>304</v>
      </c>
      <c r="E1174" t="s">
        <v>7006</v>
      </c>
      <c r="F1174">
        <v>3</v>
      </c>
      <c r="G1174">
        <v>3</v>
      </c>
      <c r="H1174" t="s">
        <v>9295</v>
      </c>
      <c r="J1174" t="s">
        <v>3353</v>
      </c>
      <c r="M1174" t="s">
        <v>9296</v>
      </c>
      <c r="N1174">
        <v>2.2220813349999999</v>
      </c>
      <c r="O1174">
        <v>6.5440947090000003</v>
      </c>
      <c r="P1174">
        <v>0.58228215500000002</v>
      </c>
      <c r="Q1174">
        <v>0.35188233000000002</v>
      </c>
      <c r="S1174" s="13">
        <v>-1.250863061</v>
      </c>
      <c r="T1174">
        <v>0.45920736600000001</v>
      </c>
      <c r="U1174">
        <v>-0.152993295</v>
      </c>
    </row>
    <row r="1175" spans="1:21" x14ac:dyDescent="0.2">
      <c r="A1175" t="s">
        <v>632</v>
      </c>
      <c r="B1175">
        <v>601560</v>
      </c>
      <c r="C1175" t="s">
        <v>6945</v>
      </c>
      <c r="D1175" t="s">
        <v>632</v>
      </c>
      <c r="E1175" t="s">
        <v>6924</v>
      </c>
      <c r="F1175">
        <v>18</v>
      </c>
      <c r="G1175">
        <v>6</v>
      </c>
      <c r="H1175" t="s">
        <v>9297</v>
      </c>
      <c r="J1175" t="s">
        <v>4712</v>
      </c>
      <c r="M1175" t="s">
        <v>9298</v>
      </c>
      <c r="N1175">
        <v>2.2220813349999999</v>
      </c>
      <c r="O1175">
        <v>6.5440947090000003</v>
      </c>
      <c r="P1175">
        <v>0.58228215500000002</v>
      </c>
      <c r="Q1175">
        <v>0.35188233000000002</v>
      </c>
      <c r="S1175" s="13">
        <v>-1.250863061</v>
      </c>
      <c r="T1175">
        <v>0.45920736600000001</v>
      </c>
      <c r="U1175">
        <v>-0.152993295</v>
      </c>
    </row>
    <row r="1176" spans="1:21" x14ac:dyDescent="0.2">
      <c r="A1176" t="s">
        <v>267</v>
      </c>
      <c r="B1176">
        <v>803960</v>
      </c>
      <c r="C1176" t="s">
        <v>6953</v>
      </c>
      <c r="D1176" t="s">
        <v>268</v>
      </c>
      <c r="E1176" t="s">
        <v>6911</v>
      </c>
      <c r="F1176">
        <v>2</v>
      </c>
      <c r="G1176">
        <v>12</v>
      </c>
      <c r="H1176" t="s">
        <v>9299</v>
      </c>
      <c r="J1176" t="s">
        <v>2379</v>
      </c>
      <c r="M1176" t="s">
        <v>9300</v>
      </c>
      <c r="N1176">
        <v>1.921480887</v>
      </c>
      <c r="O1176">
        <v>3.0856645180000002</v>
      </c>
      <c r="P1176">
        <v>0.44706724399999997</v>
      </c>
      <c r="Q1176">
        <v>-0.354940863</v>
      </c>
      <c r="S1176" s="13">
        <v>-1.2510013069999999</v>
      </c>
      <c r="T1176">
        <v>0.45860326099999998</v>
      </c>
      <c r="U1176">
        <v>-7.9445832999999993E-2</v>
      </c>
    </row>
    <row r="1177" spans="1:21" x14ac:dyDescent="0.2">
      <c r="A1177" t="s">
        <v>221</v>
      </c>
      <c r="B1177">
        <v>673920</v>
      </c>
      <c r="C1177" t="s">
        <v>6906</v>
      </c>
      <c r="D1177" t="s">
        <v>221</v>
      </c>
      <c r="E1177" t="s">
        <v>6928</v>
      </c>
      <c r="F1177">
        <v>12</v>
      </c>
      <c r="G1177">
        <v>16</v>
      </c>
      <c r="H1177" t="s">
        <v>9301</v>
      </c>
      <c r="J1177" t="s">
        <v>9302</v>
      </c>
      <c r="M1177" t="s">
        <v>9303</v>
      </c>
      <c r="N1177">
        <v>1.813871112</v>
      </c>
      <c r="O1177">
        <v>2.6633694910000001</v>
      </c>
      <c r="P1177">
        <v>-0.29586356800000002</v>
      </c>
      <c r="Q1177">
        <v>-0.59018158399999998</v>
      </c>
      <c r="S1177" s="13">
        <v>-1.251008269</v>
      </c>
      <c r="T1177">
        <v>0.45857283900000001</v>
      </c>
      <c r="U1177">
        <v>-0.12154606799999999</v>
      </c>
    </row>
    <row r="1178" spans="1:21" x14ac:dyDescent="0.2">
      <c r="A1178" t="s">
        <v>67</v>
      </c>
      <c r="B1178">
        <v>773000</v>
      </c>
      <c r="C1178" t="s">
        <v>6938</v>
      </c>
      <c r="D1178" t="s">
        <v>69</v>
      </c>
      <c r="E1178" t="s">
        <v>6974</v>
      </c>
      <c r="F1178">
        <v>2</v>
      </c>
      <c r="G1178">
        <v>15</v>
      </c>
      <c r="H1178" t="s">
        <v>9304</v>
      </c>
      <c r="J1178" t="s">
        <v>1483</v>
      </c>
      <c r="M1178" t="s">
        <v>9305</v>
      </c>
      <c r="N1178">
        <v>2.092758737</v>
      </c>
      <c r="O1178">
        <v>5.3323610669999999</v>
      </c>
      <c r="P1178">
        <v>0.70420098600000003</v>
      </c>
      <c r="Q1178">
        <v>0.41355372699999998</v>
      </c>
      <c r="S1178" s="13">
        <v>-1.251253865</v>
      </c>
      <c r="T1178">
        <v>0.45749964300000001</v>
      </c>
      <c r="U1178">
        <v>-0.12818421499999999</v>
      </c>
    </row>
    <row r="1179" spans="1:21" x14ac:dyDescent="0.2">
      <c r="A1179" t="s">
        <v>985</v>
      </c>
      <c r="B1179">
        <v>738680</v>
      </c>
      <c r="C1179" t="s">
        <v>6927</v>
      </c>
      <c r="D1179" t="s">
        <v>985</v>
      </c>
      <c r="E1179" t="s">
        <v>6907</v>
      </c>
      <c r="F1179">
        <v>12</v>
      </c>
      <c r="G1179">
        <v>4</v>
      </c>
      <c r="H1179" t="s">
        <v>9306</v>
      </c>
      <c r="J1179" t="s">
        <v>9307</v>
      </c>
      <c r="M1179" t="s">
        <v>9308</v>
      </c>
      <c r="N1179">
        <v>1.982575982</v>
      </c>
      <c r="O1179">
        <v>3.4571926419999999</v>
      </c>
      <c r="P1179">
        <v>-0.114791479</v>
      </c>
      <c r="Q1179">
        <v>1.868949E-3</v>
      </c>
      <c r="S1179" s="13">
        <v>-1.251260713</v>
      </c>
      <c r="T1179">
        <v>0.45746971600000003</v>
      </c>
      <c r="U1179">
        <v>-0.128272738</v>
      </c>
    </row>
    <row r="1180" spans="1:21" x14ac:dyDescent="0.2">
      <c r="A1180" t="s">
        <v>57</v>
      </c>
      <c r="B1180">
        <v>600920</v>
      </c>
      <c r="C1180" t="s">
        <v>6945</v>
      </c>
      <c r="D1180" t="s">
        <v>59</v>
      </c>
      <c r="E1180" t="s">
        <v>6928</v>
      </c>
      <c r="F1180">
        <v>4</v>
      </c>
      <c r="G1180">
        <v>16</v>
      </c>
      <c r="H1180" t="s">
        <v>9309</v>
      </c>
      <c r="J1180" t="s">
        <v>61</v>
      </c>
      <c r="M1180" t="s">
        <v>9310</v>
      </c>
      <c r="N1180">
        <v>2.2220813349999999</v>
      </c>
      <c r="O1180">
        <v>6.5440947090000003</v>
      </c>
      <c r="P1180">
        <v>0.58228215500000002</v>
      </c>
      <c r="Q1180">
        <v>0.35188233000000002</v>
      </c>
      <c r="S1180" s="13">
        <v>-1.2514667319999999</v>
      </c>
      <c r="T1180">
        <v>0.45656946100000001</v>
      </c>
      <c r="U1180">
        <v>-0.15342193000000001</v>
      </c>
    </row>
    <row r="1181" spans="1:21" x14ac:dyDescent="0.2">
      <c r="A1181" t="s">
        <v>687</v>
      </c>
      <c r="B1181">
        <v>737680</v>
      </c>
      <c r="C1181" t="s">
        <v>6927</v>
      </c>
      <c r="D1181" t="s">
        <v>688</v>
      </c>
      <c r="E1181" t="s">
        <v>6970</v>
      </c>
      <c r="F1181">
        <v>9</v>
      </c>
      <c r="G1181">
        <v>14</v>
      </c>
      <c r="H1181" t="s">
        <v>9311</v>
      </c>
      <c r="J1181" t="s">
        <v>9312</v>
      </c>
      <c r="M1181" t="s">
        <v>9313</v>
      </c>
      <c r="N1181">
        <v>1.982575982</v>
      </c>
      <c r="O1181">
        <v>3.4571926419999999</v>
      </c>
      <c r="P1181">
        <v>-0.114791479</v>
      </c>
      <c r="Q1181">
        <v>1.868949E-3</v>
      </c>
      <c r="S1181" s="13">
        <v>-1.2522983379999999</v>
      </c>
      <c r="T1181">
        <v>0.452935535</v>
      </c>
      <c r="U1181">
        <v>-0.128905572</v>
      </c>
    </row>
    <row r="1182" spans="1:21" x14ac:dyDescent="0.2">
      <c r="A1182" t="s">
        <v>1595</v>
      </c>
      <c r="B1182">
        <v>802600</v>
      </c>
      <c r="C1182" t="s">
        <v>6953</v>
      </c>
      <c r="D1182" t="s">
        <v>1595</v>
      </c>
      <c r="E1182" t="s">
        <v>6974</v>
      </c>
      <c r="F1182">
        <v>23</v>
      </c>
      <c r="G1182">
        <v>15</v>
      </c>
      <c r="H1182" t="s">
        <v>9314</v>
      </c>
      <c r="J1182" t="s">
        <v>2631</v>
      </c>
      <c r="M1182" t="s">
        <v>9315</v>
      </c>
      <c r="N1182">
        <v>1.921480887</v>
      </c>
      <c r="O1182">
        <v>3.0856645180000002</v>
      </c>
      <c r="P1182">
        <v>0.44706724399999997</v>
      </c>
      <c r="Q1182">
        <v>-0.354940863</v>
      </c>
      <c r="S1182" s="13">
        <v>-1.2524124759999999</v>
      </c>
      <c r="T1182">
        <v>0.45243677500000001</v>
      </c>
      <c r="U1182">
        <v>-8.0215087000000004E-2</v>
      </c>
    </row>
    <row r="1183" spans="1:21" x14ac:dyDescent="0.2">
      <c r="A1183" t="s">
        <v>756</v>
      </c>
      <c r="B1183">
        <v>771520</v>
      </c>
      <c r="C1183" t="s">
        <v>6938</v>
      </c>
      <c r="D1183" t="s">
        <v>756</v>
      </c>
      <c r="E1183" t="s">
        <v>7085</v>
      </c>
      <c r="F1183">
        <v>23</v>
      </c>
      <c r="G1183">
        <v>9</v>
      </c>
      <c r="H1183" t="s">
        <v>9316</v>
      </c>
      <c r="J1183" t="s">
        <v>4616</v>
      </c>
      <c r="M1183" t="s">
        <v>9317</v>
      </c>
      <c r="N1183">
        <v>2.092758737</v>
      </c>
      <c r="O1183">
        <v>5.3323610669999999</v>
      </c>
      <c r="P1183">
        <v>0.70420098600000003</v>
      </c>
      <c r="Q1183">
        <v>0.41355372699999998</v>
      </c>
      <c r="S1183" s="13">
        <v>-1.2525249060000001</v>
      </c>
      <c r="T1183">
        <v>0.45194548499999998</v>
      </c>
      <c r="U1183">
        <v>-0.12912094499999999</v>
      </c>
    </row>
    <row r="1184" spans="1:21" x14ac:dyDescent="0.2">
      <c r="A1184" t="s">
        <v>1181</v>
      </c>
      <c r="B1184">
        <v>771200</v>
      </c>
      <c r="C1184" t="s">
        <v>6938</v>
      </c>
      <c r="D1184" t="s">
        <v>1181</v>
      </c>
      <c r="E1184" t="s">
        <v>6956</v>
      </c>
      <c r="F1184">
        <v>23</v>
      </c>
      <c r="G1184">
        <v>7</v>
      </c>
      <c r="H1184" t="s">
        <v>9318</v>
      </c>
      <c r="J1184" t="s">
        <v>2772</v>
      </c>
      <c r="M1184" t="s">
        <v>9319</v>
      </c>
      <c r="N1184">
        <v>2.092758737</v>
      </c>
      <c r="O1184">
        <v>5.3323610669999999</v>
      </c>
      <c r="P1184">
        <v>0.70420098600000003</v>
      </c>
      <c r="Q1184">
        <v>0.41355372699999998</v>
      </c>
      <c r="S1184" s="13">
        <v>-1.252799725</v>
      </c>
      <c r="T1184">
        <v>0.450744586</v>
      </c>
      <c r="U1184">
        <v>-0.12932374699999999</v>
      </c>
    </row>
    <row r="1185" spans="1:21" x14ac:dyDescent="0.2">
      <c r="A1185" t="s">
        <v>18</v>
      </c>
      <c r="B1185">
        <v>770560</v>
      </c>
      <c r="C1185" t="s">
        <v>6938</v>
      </c>
      <c r="D1185" t="s">
        <v>19</v>
      </c>
      <c r="E1185" t="s">
        <v>6928</v>
      </c>
      <c r="F1185">
        <v>1</v>
      </c>
      <c r="G1185">
        <v>16</v>
      </c>
      <c r="H1185" t="s">
        <v>9320</v>
      </c>
      <c r="J1185" t="s">
        <v>2485</v>
      </c>
      <c r="M1185" t="s">
        <v>9321</v>
      </c>
      <c r="N1185">
        <v>2.092758737</v>
      </c>
      <c r="O1185">
        <v>5.3323610669999999</v>
      </c>
      <c r="P1185">
        <v>0.70420098600000003</v>
      </c>
      <c r="Q1185">
        <v>0.41355372699999998</v>
      </c>
      <c r="S1185" s="13">
        <v>-1.253349364</v>
      </c>
      <c r="T1185">
        <v>0.44834278799999999</v>
      </c>
      <c r="U1185">
        <v>-0.12972963600000001</v>
      </c>
    </row>
    <row r="1186" spans="1:21" x14ac:dyDescent="0.2">
      <c r="A1186" t="s">
        <v>3164</v>
      </c>
      <c r="B1186">
        <v>598640</v>
      </c>
      <c r="C1186" t="s">
        <v>6945</v>
      </c>
      <c r="D1186" t="s">
        <v>3165</v>
      </c>
      <c r="E1186" t="s">
        <v>6918</v>
      </c>
      <c r="F1186">
        <v>9</v>
      </c>
      <c r="G1186">
        <v>1</v>
      </c>
      <c r="H1186" t="s">
        <v>9322</v>
      </c>
      <c r="J1186" t="s">
        <v>6475</v>
      </c>
      <c r="M1186" t="s">
        <v>9323</v>
      </c>
      <c r="N1186">
        <v>2.2220813349999999</v>
      </c>
      <c r="O1186">
        <v>6.5440947090000003</v>
      </c>
      <c r="P1186">
        <v>0.58228215500000002</v>
      </c>
      <c r="Q1186">
        <v>0.35188233000000002</v>
      </c>
      <c r="S1186" s="13">
        <v>-1.2536173100000001</v>
      </c>
      <c r="T1186">
        <v>0.447171926</v>
      </c>
      <c r="U1186">
        <v>-0.15495239</v>
      </c>
    </row>
    <row r="1187" spans="1:21" x14ac:dyDescent="0.2">
      <c r="A1187" t="s">
        <v>693</v>
      </c>
      <c r="B1187">
        <v>676120</v>
      </c>
      <c r="C1187" t="s">
        <v>6942</v>
      </c>
      <c r="D1187" t="s">
        <v>693</v>
      </c>
      <c r="E1187" t="s">
        <v>6977</v>
      </c>
      <c r="F1187">
        <v>22</v>
      </c>
      <c r="G1187">
        <v>5</v>
      </c>
      <c r="H1187" t="s">
        <v>9324</v>
      </c>
      <c r="J1187" t="s">
        <v>695</v>
      </c>
      <c r="M1187" t="s">
        <v>9325</v>
      </c>
      <c r="N1187">
        <v>2.0902262079999998</v>
      </c>
      <c r="O1187">
        <v>4.2704203920000001</v>
      </c>
      <c r="P1187">
        <v>0.23425843900000001</v>
      </c>
      <c r="Q1187">
        <v>1.6181978999999999E-2</v>
      </c>
      <c r="S1187" s="13">
        <v>-1.2536364170000001</v>
      </c>
      <c r="T1187">
        <v>0.44708843300000001</v>
      </c>
      <c r="U1187">
        <v>-0.15047025999999999</v>
      </c>
    </row>
    <row r="1188" spans="1:21" x14ac:dyDescent="0.2">
      <c r="A1188" t="s">
        <v>355</v>
      </c>
      <c r="B1188">
        <v>598440</v>
      </c>
      <c r="C1188" t="s">
        <v>6945</v>
      </c>
      <c r="D1188" t="s">
        <v>356</v>
      </c>
      <c r="E1188" t="s">
        <v>6946</v>
      </c>
      <c r="F1188">
        <v>3</v>
      </c>
      <c r="G1188">
        <v>11</v>
      </c>
      <c r="H1188" t="s">
        <v>9326</v>
      </c>
      <c r="J1188" t="s">
        <v>3436</v>
      </c>
      <c r="M1188" t="s">
        <v>9327</v>
      </c>
      <c r="N1188">
        <v>2.2220813349999999</v>
      </c>
      <c r="O1188">
        <v>6.5440947090000003</v>
      </c>
      <c r="P1188">
        <v>0.58228215500000002</v>
      </c>
      <c r="Q1188">
        <v>0.35188233000000002</v>
      </c>
      <c r="S1188" s="13">
        <v>-1.253805957</v>
      </c>
      <c r="T1188">
        <v>0.44634758099999999</v>
      </c>
      <c r="U1188">
        <v>-0.155086899</v>
      </c>
    </row>
    <row r="1189" spans="1:21" x14ac:dyDescent="0.2">
      <c r="A1189" t="s">
        <v>693</v>
      </c>
      <c r="B1189">
        <v>705280</v>
      </c>
      <c r="C1189" t="s">
        <v>6910</v>
      </c>
      <c r="D1189" t="s">
        <v>693</v>
      </c>
      <c r="E1189" t="s">
        <v>6977</v>
      </c>
      <c r="F1189">
        <v>22</v>
      </c>
      <c r="G1189">
        <v>5</v>
      </c>
      <c r="H1189" t="s">
        <v>9328</v>
      </c>
      <c r="J1189" t="s">
        <v>3343</v>
      </c>
      <c r="M1189" t="s">
        <v>9329</v>
      </c>
      <c r="N1189">
        <v>1.9874741039999999</v>
      </c>
      <c r="O1189">
        <v>3.7453511220000002</v>
      </c>
      <c r="P1189">
        <v>0.451009722</v>
      </c>
      <c r="Q1189">
        <v>-0.102386592</v>
      </c>
      <c r="S1189" s="13">
        <v>-1.2538785960000001</v>
      </c>
      <c r="T1189">
        <v>0.44603016699999998</v>
      </c>
      <c r="U1189">
        <v>-7.9231138000000007E-2</v>
      </c>
    </row>
    <row r="1190" spans="1:21" x14ac:dyDescent="0.2">
      <c r="A1190" t="s">
        <v>1155</v>
      </c>
      <c r="B1190">
        <v>800840</v>
      </c>
      <c r="C1190" t="s">
        <v>6953</v>
      </c>
      <c r="D1190" t="s">
        <v>1156</v>
      </c>
      <c r="E1190" t="s">
        <v>6970</v>
      </c>
      <c r="F1190">
        <v>8</v>
      </c>
      <c r="G1190">
        <v>14</v>
      </c>
      <c r="H1190" t="s">
        <v>9330</v>
      </c>
      <c r="J1190" t="s">
        <v>1390</v>
      </c>
      <c r="M1190" t="s">
        <v>9331</v>
      </c>
      <c r="N1190">
        <v>1.921480887</v>
      </c>
      <c r="O1190">
        <v>3.0856645180000002</v>
      </c>
      <c r="P1190">
        <v>0.44706724399999997</v>
      </c>
      <c r="Q1190">
        <v>-0.354940863</v>
      </c>
      <c r="S1190" s="13">
        <v>-1.254238695</v>
      </c>
      <c r="T1190">
        <v>0.444456617</v>
      </c>
      <c r="U1190">
        <v>-8.1212619E-2</v>
      </c>
    </row>
    <row r="1191" spans="1:21" x14ac:dyDescent="0.2">
      <c r="A1191" t="s">
        <v>1825</v>
      </c>
      <c r="B1191">
        <v>735720</v>
      </c>
      <c r="C1191" t="s">
        <v>6927</v>
      </c>
      <c r="D1191" t="s">
        <v>1826</v>
      </c>
      <c r="E1191" t="s">
        <v>6956</v>
      </c>
      <c r="F1191">
        <v>9</v>
      </c>
      <c r="G1191">
        <v>7</v>
      </c>
      <c r="H1191" t="s">
        <v>9332</v>
      </c>
      <c r="J1191" t="s">
        <v>9333</v>
      </c>
      <c r="M1191" t="s">
        <v>9334</v>
      </c>
      <c r="N1191">
        <v>1.982575982</v>
      </c>
      <c r="O1191">
        <v>3.4571926419999999</v>
      </c>
      <c r="P1191">
        <v>-0.114791479</v>
      </c>
      <c r="Q1191">
        <v>1.868949E-3</v>
      </c>
      <c r="S1191" s="13">
        <v>-1.254332081</v>
      </c>
      <c r="T1191">
        <v>0.44404853999999999</v>
      </c>
      <c r="U1191">
        <v>-0.130148606</v>
      </c>
    </row>
    <row r="1192" spans="1:21" x14ac:dyDescent="0.2">
      <c r="A1192" t="s">
        <v>1089</v>
      </c>
      <c r="B1192">
        <v>769400</v>
      </c>
      <c r="C1192" t="s">
        <v>6938</v>
      </c>
      <c r="D1192" t="s">
        <v>1089</v>
      </c>
      <c r="E1192" t="s">
        <v>6946</v>
      </c>
      <c r="F1192">
        <v>21</v>
      </c>
      <c r="G1192">
        <v>11</v>
      </c>
      <c r="H1192" t="s">
        <v>9335</v>
      </c>
      <c r="J1192" t="s">
        <v>4250</v>
      </c>
      <c r="M1192" t="s">
        <v>9336</v>
      </c>
      <c r="N1192">
        <v>2.092758737</v>
      </c>
      <c r="O1192">
        <v>5.3323610669999999</v>
      </c>
      <c r="P1192">
        <v>0.70420098600000003</v>
      </c>
      <c r="Q1192">
        <v>0.41355372699999998</v>
      </c>
      <c r="S1192" s="13">
        <v>-1.2543455859999999</v>
      </c>
      <c r="T1192">
        <v>0.44398952899999999</v>
      </c>
      <c r="U1192">
        <v>-0.13046627699999999</v>
      </c>
    </row>
    <row r="1193" spans="1:21" x14ac:dyDescent="0.2">
      <c r="A1193" t="s">
        <v>529</v>
      </c>
      <c r="B1193">
        <v>622360</v>
      </c>
      <c r="C1193" t="s">
        <v>6931</v>
      </c>
      <c r="D1193" t="s">
        <v>529</v>
      </c>
      <c r="E1193" t="s">
        <v>6956</v>
      </c>
      <c r="F1193">
        <v>22</v>
      </c>
      <c r="G1193">
        <v>7</v>
      </c>
      <c r="H1193" t="s">
        <v>9337</v>
      </c>
      <c r="N1193">
        <v>1.9323965059999999</v>
      </c>
      <c r="O1193">
        <v>3.0528020530000002</v>
      </c>
      <c r="P1193">
        <v>2.6493138999999999E-2</v>
      </c>
      <c r="Q1193">
        <v>-0.38692188</v>
      </c>
      <c r="S1193" s="13">
        <v>-1.254740162</v>
      </c>
      <c r="T1193">
        <v>0.44226532299999999</v>
      </c>
      <c r="U1193">
        <v>-8.1928169999999995E-2</v>
      </c>
    </row>
    <row r="1194" spans="1:21" x14ac:dyDescent="0.2">
      <c r="A1194" t="s">
        <v>956</v>
      </c>
      <c r="B1194">
        <v>597280</v>
      </c>
      <c r="C1194" t="s">
        <v>6945</v>
      </c>
      <c r="D1194" t="s">
        <v>956</v>
      </c>
      <c r="E1194" t="s">
        <v>6974</v>
      </c>
      <c r="F1194">
        <v>15</v>
      </c>
      <c r="G1194">
        <v>15</v>
      </c>
      <c r="H1194" t="s">
        <v>9338</v>
      </c>
      <c r="J1194" t="s">
        <v>1807</v>
      </c>
      <c r="M1194" t="s">
        <v>9339</v>
      </c>
      <c r="N1194">
        <v>2.2220813349999999</v>
      </c>
      <c r="O1194">
        <v>6.5440947090000003</v>
      </c>
      <c r="P1194">
        <v>0.58228215500000002</v>
      </c>
      <c r="Q1194">
        <v>0.35188233000000002</v>
      </c>
      <c r="S1194" s="13">
        <v>-1.254900111</v>
      </c>
      <c r="T1194">
        <v>0.44156637900000001</v>
      </c>
      <c r="U1194">
        <v>-0.15586787099999999</v>
      </c>
    </row>
    <row r="1195" spans="1:21" x14ac:dyDescent="0.2">
      <c r="A1195" t="s">
        <v>929</v>
      </c>
      <c r="B1195">
        <v>674360</v>
      </c>
      <c r="C1195" t="s">
        <v>6942</v>
      </c>
      <c r="D1195" t="s">
        <v>929</v>
      </c>
      <c r="E1195" t="s">
        <v>6956</v>
      </c>
      <c r="F1195">
        <v>19</v>
      </c>
      <c r="G1195">
        <v>7</v>
      </c>
      <c r="H1195" t="s">
        <v>9340</v>
      </c>
      <c r="J1195" t="s">
        <v>1563</v>
      </c>
      <c r="M1195" t="s">
        <v>9341</v>
      </c>
      <c r="N1195">
        <v>2.0902262079999998</v>
      </c>
      <c r="O1195">
        <v>4.2704203920000001</v>
      </c>
      <c r="P1195">
        <v>0.23425843900000001</v>
      </c>
      <c r="Q1195">
        <v>1.6181978999999999E-2</v>
      </c>
      <c r="S1195" s="13">
        <v>-1.2553638380000001</v>
      </c>
      <c r="T1195">
        <v>0.43953999900000001</v>
      </c>
      <c r="U1195">
        <v>-0.15164318299999999</v>
      </c>
    </row>
    <row r="1196" spans="1:21" x14ac:dyDescent="0.2">
      <c r="A1196" t="s">
        <v>280</v>
      </c>
      <c r="B1196">
        <v>799720</v>
      </c>
      <c r="C1196" t="s">
        <v>6953</v>
      </c>
      <c r="D1196" t="s">
        <v>280</v>
      </c>
      <c r="E1196" t="s">
        <v>6921</v>
      </c>
      <c r="F1196">
        <v>24</v>
      </c>
      <c r="G1196">
        <v>8</v>
      </c>
      <c r="H1196" t="s">
        <v>9342</v>
      </c>
      <c r="J1196" t="s">
        <v>2439</v>
      </c>
      <c r="M1196" t="s">
        <v>9343</v>
      </c>
      <c r="N1196">
        <v>1.921480887</v>
      </c>
      <c r="O1196">
        <v>3.0856645180000002</v>
      </c>
      <c r="P1196">
        <v>0.44706724399999997</v>
      </c>
      <c r="Q1196">
        <v>-0.354940863</v>
      </c>
      <c r="S1196" s="13">
        <v>-1.255400834</v>
      </c>
      <c r="T1196">
        <v>0.43937833399999998</v>
      </c>
      <c r="U1196">
        <v>-8.1848606000000004E-2</v>
      </c>
    </row>
    <row r="1197" spans="1:21" x14ac:dyDescent="0.2">
      <c r="A1197" t="s">
        <v>222</v>
      </c>
      <c r="B1197">
        <v>409600</v>
      </c>
      <c r="C1197" t="s">
        <v>6961</v>
      </c>
      <c r="D1197" t="s">
        <v>222</v>
      </c>
      <c r="E1197" t="s">
        <v>6924</v>
      </c>
      <c r="F1197">
        <v>20</v>
      </c>
      <c r="G1197">
        <v>6</v>
      </c>
      <c r="H1197" t="s">
        <v>9344</v>
      </c>
      <c r="J1197" t="s">
        <v>1506</v>
      </c>
      <c r="M1197" t="s">
        <v>9345</v>
      </c>
      <c r="N1197">
        <v>2.7247480949999998</v>
      </c>
      <c r="O1197">
        <v>7.0822175119999997</v>
      </c>
      <c r="P1197">
        <v>0.61298291999999999</v>
      </c>
      <c r="Q1197">
        <v>0.48262032500000002</v>
      </c>
      <c r="S1197" s="13">
        <v>-1.255549223</v>
      </c>
      <c r="T1197">
        <v>0.43872991099999997</v>
      </c>
      <c r="U1197">
        <v>-0.17424318</v>
      </c>
    </row>
    <row r="1198" spans="1:21" x14ac:dyDescent="0.2">
      <c r="A1198" t="s">
        <v>1593</v>
      </c>
      <c r="B1198">
        <v>734360</v>
      </c>
      <c r="C1198" t="s">
        <v>6927</v>
      </c>
      <c r="D1198" t="s">
        <v>1593</v>
      </c>
      <c r="E1198" t="s">
        <v>6939</v>
      </c>
      <c r="F1198">
        <v>14</v>
      </c>
      <c r="G1198">
        <v>2</v>
      </c>
      <c r="H1198" t="s">
        <v>9346</v>
      </c>
      <c r="J1198" t="s">
        <v>9347</v>
      </c>
      <c r="M1198" t="s">
        <v>9348</v>
      </c>
      <c r="N1198">
        <v>1.982575982</v>
      </c>
      <c r="O1198">
        <v>3.4571926419999999</v>
      </c>
      <c r="P1198">
        <v>-0.114791479</v>
      </c>
      <c r="Q1198">
        <v>1.868949E-3</v>
      </c>
      <c r="S1198" s="13">
        <v>-1.2557432500000001</v>
      </c>
      <c r="T1198">
        <v>0.43788205499999999</v>
      </c>
      <c r="U1198">
        <v>-0.13101321599999999</v>
      </c>
    </row>
    <row r="1199" spans="1:21" x14ac:dyDescent="0.2">
      <c r="A1199" t="s">
        <v>792</v>
      </c>
      <c r="B1199">
        <v>596280</v>
      </c>
      <c r="C1199" t="s">
        <v>6945</v>
      </c>
      <c r="D1199" t="s">
        <v>793</v>
      </c>
      <c r="E1199" t="s">
        <v>6924</v>
      </c>
      <c r="F1199">
        <v>5</v>
      </c>
      <c r="G1199">
        <v>6</v>
      </c>
      <c r="H1199" t="s">
        <v>9349</v>
      </c>
      <c r="J1199" t="s">
        <v>3248</v>
      </c>
      <c r="M1199" t="s">
        <v>9350</v>
      </c>
      <c r="N1199">
        <v>2.2220813349999999</v>
      </c>
      <c r="O1199">
        <v>6.5440947090000003</v>
      </c>
      <c r="P1199">
        <v>0.58228215500000002</v>
      </c>
      <c r="Q1199">
        <v>0.35188233000000002</v>
      </c>
      <c r="S1199" s="13">
        <v>-1.2558433470000001</v>
      </c>
      <c r="T1199">
        <v>0.43744465300000002</v>
      </c>
      <c r="U1199">
        <v>-0.15654225199999999</v>
      </c>
    </row>
    <row r="1200" spans="1:21" x14ac:dyDescent="0.2">
      <c r="A1200" t="s">
        <v>534</v>
      </c>
      <c r="B1200">
        <v>799200</v>
      </c>
      <c r="C1200" t="s">
        <v>6953</v>
      </c>
      <c r="D1200" t="s">
        <v>534</v>
      </c>
      <c r="E1200" t="s">
        <v>6928</v>
      </c>
      <c r="F1200">
        <v>22</v>
      </c>
      <c r="G1200">
        <v>16</v>
      </c>
      <c r="H1200" t="s">
        <v>9351</v>
      </c>
      <c r="J1200" t="s">
        <v>536</v>
      </c>
      <c r="M1200" t="s">
        <v>9352</v>
      </c>
      <c r="N1200">
        <v>1.921480887</v>
      </c>
      <c r="O1200">
        <v>3.0856645180000002</v>
      </c>
      <c r="P1200">
        <v>0.44706724399999997</v>
      </c>
      <c r="Q1200">
        <v>-0.354940863</v>
      </c>
      <c r="S1200" s="13">
        <v>-1.255940399</v>
      </c>
      <c r="T1200">
        <v>0.43702056</v>
      </c>
      <c r="U1200">
        <v>-8.2144202999999999E-2</v>
      </c>
    </row>
    <row r="1201" spans="1:21" x14ac:dyDescent="0.2">
      <c r="A1201" t="s">
        <v>444</v>
      </c>
      <c r="B1201">
        <v>673720</v>
      </c>
      <c r="C1201" t="s">
        <v>6942</v>
      </c>
      <c r="D1201" t="s">
        <v>445</v>
      </c>
      <c r="E1201" t="s">
        <v>7006</v>
      </c>
      <c r="F1201">
        <v>2</v>
      </c>
      <c r="G1201">
        <v>3</v>
      </c>
      <c r="H1201" t="s">
        <v>9353</v>
      </c>
      <c r="J1201" t="s">
        <v>447</v>
      </c>
      <c r="M1201" t="s">
        <v>9354</v>
      </c>
      <c r="N1201">
        <v>2.0902262079999998</v>
      </c>
      <c r="O1201">
        <v>4.2704203920000001</v>
      </c>
      <c r="P1201">
        <v>0.23425843900000001</v>
      </c>
      <c r="Q1201">
        <v>1.6181978999999999E-2</v>
      </c>
      <c r="S1201" s="13">
        <v>-1.2559919909999999</v>
      </c>
      <c r="T1201">
        <v>0.43679511399999998</v>
      </c>
      <c r="U1201">
        <v>-0.152070487</v>
      </c>
    </row>
    <row r="1202" spans="1:21" x14ac:dyDescent="0.2">
      <c r="A1202" t="s">
        <v>1426</v>
      </c>
      <c r="B1202">
        <v>733840</v>
      </c>
      <c r="C1202" t="s">
        <v>6927</v>
      </c>
      <c r="D1202" t="s">
        <v>1426</v>
      </c>
      <c r="E1202" t="s">
        <v>6907</v>
      </c>
      <c r="F1202">
        <v>15</v>
      </c>
      <c r="G1202">
        <v>4</v>
      </c>
      <c r="H1202" t="s">
        <v>9355</v>
      </c>
      <c r="J1202" t="s">
        <v>9356</v>
      </c>
      <c r="M1202" t="s">
        <v>9357</v>
      </c>
      <c r="N1202">
        <v>1.982575982</v>
      </c>
      <c r="O1202">
        <v>3.4571926419999999</v>
      </c>
      <c r="P1202">
        <v>-0.114791479</v>
      </c>
      <c r="Q1202">
        <v>1.868949E-3</v>
      </c>
      <c r="S1202" s="13">
        <v>-1.2562828150000001</v>
      </c>
      <c r="T1202">
        <v>0.43552427999999999</v>
      </c>
      <c r="U1202">
        <v>-0.13134425699999999</v>
      </c>
    </row>
    <row r="1203" spans="1:21" x14ac:dyDescent="0.2">
      <c r="A1203" t="s">
        <v>169</v>
      </c>
      <c r="B1203">
        <v>733680</v>
      </c>
      <c r="C1203" t="s">
        <v>6927</v>
      </c>
      <c r="D1203" t="s">
        <v>169</v>
      </c>
      <c r="E1203" t="s">
        <v>6918</v>
      </c>
      <c r="F1203">
        <v>16</v>
      </c>
      <c r="G1203">
        <v>1</v>
      </c>
      <c r="H1203" t="s">
        <v>9358</v>
      </c>
      <c r="J1203" t="s">
        <v>9359</v>
      </c>
      <c r="M1203" t="s">
        <v>9360</v>
      </c>
      <c r="N1203">
        <v>1.982575982</v>
      </c>
      <c r="O1203">
        <v>3.4571926419999999</v>
      </c>
      <c r="P1203">
        <v>-0.114791479</v>
      </c>
      <c r="Q1203">
        <v>1.868949E-3</v>
      </c>
      <c r="S1203" s="13">
        <v>-1.256448835</v>
      </c>
      <c r="T1203">
        <v>0.43479881199999998</v>
      </c>
      <c r="U1203">
        <v>-0.131446167</v>
      </c>
    </row>
    <row r="1204" spans="1:21" x14ac:dyDescent="0.2">
      <c r="A1204" t="s">
        <v>622</v>
      </c>
      <c r="B1204">
        <v>670160</v>
      </c>
      <c r="C1204" t="s">
        <v>6906</v>
      </c>
      <c r="D1204" t="s">
        <v>622</v>
      </c>
      <c r="E1204" t="s">
        <v>6928</v>
      </c>
      <c r="F1204">
        <v>10</v>
      </c>
      <c r="G1204">
        <v>16</v>
      </c>
      <c r="H1204" t="s">
        <v>9361</v>
      </c>
      <c r="J1204" t="s">
        <v>9362</v>
      </c>
      <c r="M1204" t="s">
        <v>9363</v>
      </c>
      <c r="N1204">
        <v>1.813871112</v>
      </c>
      <c r="O1204">
        <v>2.6633694910000001</v>
      </c>
      <c r="P1204">
        <v>-0.29586356800000002</v>
      </c>
      <c r="Q1204">
        <v>-0.59018158399999998</v>
      </c>
      <c r="S1204" s="13">
        <v>-1.2564630779999999</v>
      </c>
      <c r="T1204">
        <v>0.43473656999999999</v>
      </c>
      <c r="U1204">
        <v>-0.123893578</v>
      </c>
    </row>
    <row r="1205" spans="1:21" x14ac:dyDescent="0.2">
      <c r="A1205" t="s">
        <v>225</v>
      </c>
      <c r="B1205">
        <v>766840</v>
      </c>
      <c r="C1205" t="s">
        <v>6938</v>
      </c>
      <c r="D1205" t="s">
        <v>225</v>
      </c>
      <c r="E1205" t="s">
        <v>6918</v>
      </c>
      <c r="F1205">
        <v>20</v>
      </c>
      <c r="G1205">
        <v>1</v>
      </c>
      <c r="H1205" t="s">
        <v>9364</v>
      </c>
      <c r="J1205" t="s">
        <v>1268</v>
      </c>
      <c r="M1205" t="s">
        <v>9365</v>
      </c>
      <c r="N1205">
        <v>2.092758737</v>
      </c>
      <c r="O1205">
        <v>5.3323610669999999</v>
      </c>
      <c r="P1205">
        <v>0.70420098600000003</v>
      </c>
      <c r="Q1205">
        <v>0.41355372699999998</v>
      </c>
      <c r="S1205" s="13">
        <v>-1.2565441429999999</v>
      </c>
      <c r="T1205">
        <v>0.43438233700000001</v>
      </c>
      <c r="U1205">
        <v>-0.132096404</v>
      </c>
    </row>
    <row r="1206" spans="1:21" x14ac:dyDescent="0.2">
      <c r="A1206" t="s">
        <v>1163</v>
      </c>
      <c r="B1206">
        <v>702720</v>
      </c>
      <c r="C1206" t="s">
        <v>6910</v>
      </c>
      <c r="D1206" t="s">
        <v>1164</v>
      </c>
      <c r="E1206" t="s">
        <v>6918</v>
      </c>
      <c r="F1206">
        <v>6</v>
      </c>
      <c r="G1206">
        <v>1</v>
      </c>
      <c r="H1206" t="s">
        <v>9366</v>
      </c>
      <c r="J1206" t="s">
        <v>5847</v>
      </c>
      <c r="M1206" t="s">
        <v>9367</v>
      </c>
      <c r="N1206">
        <v>1.9874741039999999</v>
      </c>
      <c r="O1206">
        <v>3.7453511220000002</v>
      </c>
      <c r="P1206">
        <v>0.451009722</v>
      </c>
      <c r="Q1206">
        <v>-0.102386592</v>
      </c>
      <c r="S1206" s="13">
        <v>-1.2566328840000001</v>
      </c>
      <c r="T1206">
        <v>0.43399455999999997</v>
      </c>
      <c r="U1206">
        <v>-8.0679560999999997E-2</v>
      </c>
    </row>
    <row r="1207" spans="1:21" x14ac:dyDescent="0.2">
      <c r="A1207" t="s">
        <v>1409</v>
      </c>
      <c r="B1207">
        <v>672600</v>
      </c>
      <c r="C1207" t="s">
        <v>6942</v>
      </c>
      <c r="D1207" t="s">
        <v>1410</v>
      </c>
      <c r="E1207" t="s">
        <v>7115</v>
      </c>
      <c r="F1207">
        <v>6</v>
      </c>
      <c r="G1207">
        <v>10</v>
      </c>
      <c r="H1207" t="s">
        <v>9368</v>
      </c>
      <c r="J1207" t="s">
        <v>3906</v>
      </c>
      <c r="M1207" t="s">
        <v>9369</v>
      </c>
      <c r="N1207">
        <v>2.0902262079999998</v>
      </c>
      <c r="O1207">
        <v>4.2704203920000001</v>
      </c>
      <c r="P1207">
        <v>0.23425843900000001</v>
      </c>
      <c r="Q1207">
        <v>1.6181978999999999E-2</v>
      </c>
      <c r="S1207" s="13">
        <v>-1.2570912590000001</v>
      </c>
      <c r="T1207">
        <v>0.43199156500000002</v>
      </c>
      <c r="U1207">
        <v>-0.152819282</v>
      </c>
    </row>
    <row r="1208" spans="1:21" x14ac:dyDescent="0.2">
      <c r="A1208" t="s">
        <v>1144</v>
      </c>
      <c r="B1208">
        <v>669640</v>
      </c>
      <c r="C1208" t="s">
        <v>6906</v>
      </c>
      <c r="D1208" t="s">
        <v>1145</v>
      </c>
      <c r="E1208" t="s">
        <v>6974</v>
      </c>
      <c r="F1208">
        <v>7</v>
      </c>
      <c r="G1208">
        <v>15</v>
      </c>
      <c r="H1208" t="s">
        <v>9370</v>
      </c>
      <c r="J1208" t="s">
        <v>1180</v>
      </c>
      <c r="M1208" t="s">
        <v>9371</v>
      </c>
      <c r="N1208">
        <v>1.813871112</v>
      </c>
      <c r="O1208">
        <v>2.6633694910000001</v>
      </c>
      <c r="P1208">
        <v>-0.29586356800000002</v>
      </c>
      <c r="Q1208">
        <v>-0.59018158399999998</v>
      </c>
      <c r="S1208" s="13">
        <v>-1.257217467</v>
      </c>
      <c r="T1208">
        <v>0.43144006400000001</v>
      </c>
      <c r="U1208">
        <v>-0.124219235</v>
      </c>
    </row>
    <row r="1209" spans="1:21" x14ac:dyDescent="0.2">
      <c r="A1209" t="s">
        <v>33</v>
      </c>
      <c r="B1209">
        <v>669120</v>
      </c>
      <c r="C1209" t="s">
        <v>6906</v>
      </c>
      <c r="D1209" t="s">
        <v>33</v>
      </c>
      <c r="E1209" t="s">
        <v>6918</v>
      </c>
      <c r="F1209">
        <v>17</v>
      </c>
      <c r="G1209">
        <v>1</v>
      </c>
      <c r="H1209" t="s">
        <v>9372</v>
      </c>
      <c r="J1209" t="s">
        <v>36</v>
      </c>
      <c r="M1209" t="s">
        <v>9373</v>
      </c>
      <c r="N1209">
        <v>1.813871112</v>
      </c>
      <c r="O1209">
        <v>2.6633694910000001</v>
      </c>
      <c r="P1209">
        <v>-0.29586356800000002</v>
      </c>
      <c r="Q1209">
        <v>-0.59018158399999998</v>
      </c>
      <c r="S1209" s="13">
        <v>-1.2579718559999999</v>
      </c>
      <c r="T1209">
        <v>0.42814355900000001</v>
      </c>
      <c r="U1209">
        <v>-0.124545136</v>
      </c>
    </row>
    <row r="1210" spans="1:21" x14ac:dyDescent="0.2">
      <c r="A1210" t="s">
        <v>191</v>
      </c>
      <c r="B1210">
        <v>593920</v>
      </c>
      <c r="C1210" t="s">
        <v>6945</v>
      </c>
      <c r="D1210" t="s">
        <v>192</v>
      </c>
      <c r="E1210" t="s">
        <v>6911</v>
      </c>
      <c r="F1210">
        <v>1</v>
      </c>
      <c r="G1210">
        <v>12</v>
      </c>
      <c r="H1210" t="s">
        <v>9374</v>
      </c>
      <c r="J1210" t="s">
        <v>1635</v>
      </c>
      <c r="M1210" t="s">
        <v>9375</v>
      </c>
      <c r="N1210">
        <v>2.2220813349999999</v>
      </c>
      <c r="O1210">
        <v>6.5440947090000003</v>
      </c>
      <c r="P1210">
        <v>0.58228215500000002</v>
      </c>
      <c r="Q1210">
        <v>0.35188233000000002</v>
      </c>
      <c r="S1210" s="13">
        <v>-1.2580693839999999</v>
      </c>
      <c r="T1210">
        <v>0.42771737999999998</v>
      </c>
      <c r="U1210">
        <v>-0.158137955</v>
      </c>
    </row>
    <row r="1211" spans="1:21" x14ac:dyDescent="0.2">
      <c r="A1211" t="s">
        <v>1140</v>
      </c>
      <c r="B1211">
        <v>764360</v>
      </c>
      <c r="C1211" t="s">
        <v>6938</v>
      </c>
      <c r="D1211" t="s">
        <v>1141</v>
      </c>
      <c r="E1211" t="s">
        <v>7085</v>
      </c>
      <c r="F1211">
        <v>4</v>
      </c>
      <c r="G1211">
        <v>9</v>
      </c>
      <c r="H1211" t="s">
        <v>9376</v>
      </c>
      <c r="J1211" t="s">
        <v>3310</v>
      </c>
      <c r="M1211" t="s">
        <v>9377</v>
      </c>
      <c r="N1211">
        <v>2.092758737</v>
      </c>
      <c r="O1211">
        <v>5.3323610669999999</v>
      </c>
      <c r="P1211">
        <v>0.70420098600000003</v>
      </c>
      <c r="Q1211">
        <v>0.41355372699999998</v>
      </c>
      <c r="S1211" s="13">
        <v>-1.2586739950000001</v>
      </c>
      <c r="T1211">
        <v>0.42507536899999998</v>
      </c>
      <c r="U1211">
        <v>-0.13368144500000001</v>
      </c>
    </row>
    <row r="1212" spans="1:21" x14ac:dyDescent="0.2">
      <c r="A1212" t="s">
        <v>567</v>
      </c>
      <c r="B1212">
        <v>796520</v>
      </c>
      <c r="C1212" t="s">
        <v>6953</v>
      </c>
      <c r="D1212" t="s">
        <v>567</v>
      </c>
      <c r="E1212" t="s">
        <v>6924</v>
      </c>
      <c r="F1212">
        <v>24</v>
      </c>
      <c r="G1212">
        <v>6</v>
      </c>
      <c r="H1212" t="s">
        <v>9378</v>
      </c>
      <c r="J1212" t="s">
        <v>569</v>
      </c>
      <c r="M1212" t="s">
        <v>9379</v>
      </c>
      <c r="N1212">
        <v>1.921480887</v>
      </c>
      <c r="O1212">
        <v>3.0856645180000002</v>
      </c>
      <c r="P1212">
        <v>0.44706724399999997</v>
      </c>
      <c r="Q1212">
        <v>-0.354940863</v>
      </c>
      <c r="S1212" s="13">
        <v>-1.2587212320000001</v>
      </c>
      <c r="T1212">
        <v>0.42486895600000002</v>
      </c>
      <c r="U1212">
        <v>-8.3670863999999998E-2</v>
      </c>
    </row>
    <row r="1213" spans="1:21" x14ac:dyDescent="0.2">
      <c r="A1213" t="s">
        <v>935</v>
      </c>
      <c r="B1213">
        <v>405480</v>
      </c>
      <c r="C1213" t="s">
        <v>6961</v>
      </c>
      <c r="D1213" t="s">
        <v>935</v>
      </c>
      <c r="E1213" t="s">
        <v>6921</v>
      </c>
      <c r="F1213">
        <v>18</v>
      </c>
      <c r="G1213">
        <v>8</v>
      </c>
      <c r="H1213" t="s">
        <v>9380</v>
      </c>
      <c r="J1213" t="s">
        <v>1907</v>
      </c>
      <c r="M1213" t="s">
        <v>9381</v>
      </c>
      <c r="N1213">
        <v>2.7247480949999998</v>
      </c>
      <c r="O1213">
        <v>7.0822175119999997</v>
      </c>
      <c r="P1213">
        <v>0.61298291999999999</v>
      </c>
      <c r="Q1213">
        <v>0.48262032500000002</v>
      </c>
      <c r="S1213" s="13">
        <v>-1.258810677</v>
      </c>
      <c r="T1213">
        <v>0.424478099</v>
      </c>
      <c r="U1213">
        <v>-0.177149161</v>
      </c>
    </row>
    <row r="1214" spans="1:21" x14ac:dyDescent="0.2">
      <c r="A1214" t="s">
        <v>106</v>
      </c>
      <c r="B1214">
        <v>668520</v>
      </c>
      <c r="C1214" t="s">
        <v>6906</v>
      </c>
      <c r="D1214" t="s">
        <v>107</v>
      </c>
      <c r="E1214" t="s">
        <v>6907</v>
      </c>
      <c r="F1214">
        <v>2</v>
      </c>
      <c r="G1214">
        <v>4</v>
      </c>
      <c r="H1214" t="s">
        <v>9382</v>
      </c>
      <c r="J1214" t="s">
        <v>752</v>
      </c>
      <c r="M1214" t="s">
        <v>9383</v>
      </c>
      <c r="N1214">
        <v>1.813871112</v>
      </c>
      <c r="O1214">
        <v>2.6633694910000001</v>
      </c>
      <c r="P1214">
        <v>-0.29586356800000002</v>
      </c>
      <c r="Q1214">
        <v>-0.59018158399999998</v>
      </c>
      <c r="S1214" s="13">
        <v>-1.2588423040000001</v>
      </c>
      <c r="T1214">
        <v>0.42433989900000002</v>
      </c>
      <c r="U1214">
        <v>-0.12492148</v>
      </c>
    </row>
    <row r="1215" spans="1:21" x14ac:dyDescent="0.2">
      <c r="A1215" t="s">
        <v>283</v>
      </c>
      <c r="B1215">
        <v>592880</v>
      </c>
      <c r="C1215" t="s">
        <v>6945</v>
      </c>
      <c r="D1215" t="s">
        <v>284</v>
      </c>
      <c r="E1215" t="s">
        <v>6928</v>
      </c>
      <c r="F1215">
        <v>6</v>
      </c>
      <c r="G1215">
        <v>16</v>
      </c>
      <c r="H1215" t="s">
        <v>9384</v>
      </c>
      <c r="J1215" t="s">
        <v>5863</v>
      </c>
      <c r="M1215" t="s">
        <v>9385</v>
      </c>
      <c r="N1215">
        <v>2.2220813349999999</v>
      </c>
      <c r="O1215">
        <v>6.5440947090000003</v>
      </c>
      <c r="P1215">
        <v>0.58228215500000002</v>
      </c>
      <c r="Q1215">
        <v>0.35188233000000002</v>
      </c>
      <c r="S1215" s="13">
        <v>-1.2590503500000001</v>
      </c>
      <c r="T1215">
        <v>0.42343078499999998</v>
      </c>
      <c r="U1215">
        <v>-0.15884301200000001</v>
      </c>
    </row>
    <row r="1216" spans="1:21" x14ac:dyDescent="0.2">
      <c r="A1216" t="s">
        <v>1137</v>
      </c>
      <c r="B1216">
        <v>592840</v>
      </c>
      <c r="C1216" t="s">
        <v>6945</v>
      </c>
      <c r="D1216" t="s">
        <v>1137</v>
      </c>
      <c r="E1216" t="s">
        <v>7085</v>
      </c>
      <c r="F1216">
        <v>18</v>
      </c>
      <c r="G1216">
        <v>9</v>
      </c>
      <c r="H1216" t="s">
        <v>9386</v>
      </c>
      <c r="J1216" t="s">
        <v>2610</v>
      </c>
      <c r="M1216" t="s">
        <v>9387</v>
      </c>
      <c r="N1216">
        <v>2.2220813349999999</v>
      </c>
      <c r="O1216">
        <v>6.5440947090000003</v>
      </c>
      <c r="P1216">
        <v>0.58228215500000002</v>
      </c>
      <c r="Q1216">
        <v>0.35188233000000002</v>
      </c>
      <c r="S1216" s="13">
        <v>-1.2590880790000001</v>
      </c>
      <c r="T1216">
        <v>0.42326591600000002</v>
      </c>
      <c r="U1216">
        <v>-0.15887015199999999</v>
      </c>
    </row>
    <row r="1217" spans="1:21" x14ac:dyDescent="0.2">
      <c r="A1217" t="s">
        <v>143</v>
      </c>
      <c r="B1217">
        <v>592840</v>
      </c>
      <c r="C1217" t="s">
        <v>6945</v>
      </c>
      <c r="D1217" t="s">
        <v>144</v>
      </c>
      <c r="E1217" t="s">
        <v>7115</v>
      </c>
      <c r="F1217">
        <v>8</v>
      </c>
      <c r="G1217">
        <v>10</v>
      </c>
      <c r="H1217" t="s">
        <v>9388</v>
      </c>
      <c r="J1217" t="s">
        <v>3750</v>
      </c>
      <c r="M1217" t="s">
        <v>9389</v>
      </c>
      <c r="N1217">
        <v>2.2220813349999999</v>
      </c>
      <c r="O1217">
        <v>6.5440947090000003</v>
      </c>
      <c r="P1217">
        <v>0.58228215500000002</v>
      </c>
      <c r="Q1217">
        <v>0.35188233000000002</v>
      </c>
      <c r="S1217" s="13">
        <v>-1.2590880790000001</v>
      </c>
      <c r="T1217">
        <v>0.42326591600000002</v>
      </c>
      <c r="U1217">
        <v>-0.15887015199999999</v>
      </c>
    </row>
    <row r="1218" spans="1:21" x14ac:dyDescent="0.2">
      <c r="A1218" t="s">
        <v>1076</v>
      </c>
      <c r="B1218">
        <v>592720</v>
      </c>
      <c r="C1218" t="s">
        <v>6945</v>
      </c>
      <c r="D1218" t="s">
        <v>1077</v>
      </c>
      <c r="E1218" t="s">
        <v>6977</v>
      </c>
      <c r="F1218">
        <v>7</v>
      </c>
      <c r="G1218">
        <v>5</v>
      </c>
      <c r="H1218" t="s">
        <v>9390</v>
      </c>
      <c r="J1218" t="s">
        <v>3281</v>
      </c>
      <c r="M1218" t="s">
        <v>9391</v>
      </c>
      <c r="N1218">
        <v>2.2220813349999999</v>
      </c>
      <c r="O1218">
        <v>6.5440947090000003</v>
      </c>
      <c r="P1218">
        <v>0.58228215500000002</v>
      </c>
      <c r="Q1218">
        <v>0.35188233000000002</v>
      </c>
      <c r="S1218" s="13">
        <v>-1.259201268</v>
      </c>
      <c r="T1218">
        <v>0.42277130899999998</v>
      </c>
      <c r="U1218">
        <v>-0.15895158300000001</v>
      </c>
    </row>
    <row r="1219" spans="1:21" x14ac:dyDescent="0.2">
      <c r="A1219" t="s">
        <v>1683</v>
      </c>
      <c r="B1219">
        <v>796280</v>
      </c>
      <c r="C1219" t="s">
        <v>6914</v>
      </c>
      <c r="D1219" t="s">
        <v>1683</v>
      </c>
      <c r="E1219" t="s">
        <v>6915</v>
      </c>
      <c r="F1219">
        <v>16</v>
      </c>
      <c r="G1219">
        <v>13</v>
      </c>
      <c r="H1219" t="s">
        <v>9392</v>
      </c>
      <c r="J1219" t="s">
        <v>4154</v>
      </c>
      <c r="M1219" t="s">
        <v>9393</v>
      </c>
      <c r="N1219">
        <v>1.8217074179999999</v>
      </c>
      <c r="O1219">
        <v>4.1700741289999996</v>
      </c>
      <c r="P1219">
        <v>0.189705977</v>
      </c>
      <c r="Q1219">
        <v>-1.7194070999999998E-2</v>
      </c>
      <c r="S1219" s="13">
        <v>-1.2592432220000001</v>
      </c>
      <c r="T1219">
        <v>0.42258797599999998</v>
      </c>
      <c r="U1219">
        <v>-0.14276556700000001</v>
      </c>
    </row>
    <row r="1220" spans="1:21" x14ac:dyDescent="0.2">
      <c r="A1220" t="s">
        <v>2885</v>
      </c>
      <c r="B1220">
        <v>795800</v>
      </c>
      <c r="C1220" t="s">
        <v>6953</v>
      </c>
      <c r="D1220" t="s">
        <v>2885</v>
      </c>
      <c r="E1220" t="s">
        <v>7085</v>
      </c>
      <c r="F1220">
        <v>11</v>
      </c>
      <c r="G1220">
        <v>9</v>
      </c>
      <c r="H1220" t="s">
        <v>9394</v>
      </c>
      <c r="J1220" t="s">
        <v>5425</v>
      </c>
      <c r="M1220" t="s">
        <v>9395</v>
      </c>
      <c r="N1220">
        <v>1.921480887</v>
      </c>
      <c r="O1220">
        <v>3.0856645180000002</v>
      </c>
      <c r="P1220">
        <v>0.44706724399999997</v>
      </c>
      <c r="Q1220">
        <v>-0.354940863</v>
      </c>
      <c r="S1220" s="13">
        <v>-1.2594683209999999</v>
      </c>
      <c r="T1220">
        <v>0.42160434499999999</v>
      </c>
      <c r="U1220">
        <v>-8.4081927000000001E-2</v>
      </c>
    </row>
    <row r="1221" spans="1:21" x14ac:dyDescent="0.2">
      <c r="A1221" t="s">
        <v>106</v>
      </c>
      <c r="B1221">
        <v>796040</v>
      </c>
      <c r="C1221" t="s">
        <v>6914</v>
      </c>
      <c r="D1221" t="s">
        <v>107</v>
      </c>
      <c r="E1221" t="s">
        <v>6907</v>
      </c>
      <c r="F1221">
        <v>2</v>
      </c>
      <c r="G1221">
        <v>4</v>
      </c>
      <c r="H1221" t="s">
        <v>9396</v>
      </c>
      <c r="J1221" t="s">
        <v>164</v>
      </c>
      <c r="M1221" t="s">
        <v>9397</v>
      </c>
      <c r="N1221">
        <v>1.8217074179999999</v>
      </c>
      <c r="O1221">
        <v>4.1700741289999996</v>
      </c>
      <c r="P1221">
        <v>0.189705977</v>
      </c>
      <c r="Q1221">
        <v>-1.7194070999999998E-2</v>
      </c>
      <c r="S1221" s="13">
        <v>-1.2595318849999999</v>
      </c>
      <c r="T1221">
        <v>0.421326586</v>
      </c>
      <c r="U1221">
        <v>-0.142922515</v>
      </c>
    </row>
    <row r="1222" spans="1:21" x14ac:dyDescent="0.2">
      <c r="A1222" t="s">
        <v>1456</v>
      </c>
      <c r="B1222">
        <v>668000</v>
      </c>
      <c r="C1222" t="s">
        <v>6906</v>
      </c>
      <c r="D1222" t="s">
        <v>1457</v>
      </c>
      <c r="E1222" t="s">
        <v>7006</v>
      </c>
      <c r="F1222">
        <v>7</v>
      </c>
      <c r="G1222">
        <v>3</v>
      </c>
      <c r="H1222" t="s">
        <v>9398</v>
      </c>
      <c r="J1222" t="s">
        <v>2389</v>
      </c>
      <c r="M1222" t="s">
        <v>9399</v>
      </c>
      <c r="N1222">
        <v>1.813871112</v>
      </c>
      <c r="O1222">
        <v>2.6633694910000001</v>
      </c>
      <c r="P1222">
        <v>-0.29586356800000002</v>
      </c>
      <c r="Q1222">
        <v>-0.59018158399999998</v>
      </c>
      <c r="S1222" s="13">
        <v>-1.2595966919999999</v>
      </c>
      <c r="T1222">
        <v>0.42104339400000002</v>
      </c>
      <c r="U1222">
        <v>-0.12524790799999999</v>
      </c>
    </row>
    <row r="1223" spans="1:21" x14ac:dyDescent="0.2">
      <c r="A1223" t="s">
        <v>293</v>
      </c>
      <c r="B1223">
        <v>618600</v>
      </c>
      <c r="C1223" t="s">
        <v>6931</v>
      </c>
      <c r="D1223" t="s">
        <v>293</v>
      </c>
      <c r="E1223" t="s">
        <v>6977</v>
      </c>
      <c r="F1223">
        <v>24</v>
      </c>
      <c r="G1223">
        <v>5</v>
      </c>
      <c r="H1223" t="s">
        <v>9400</v>
      </c>
      <c r="N1223">
        <v>1.9323965059999999</v>
      </c>
      <c r="O1223">
        <v>3.0528020530000002</v>
      </c>
      <c r="P1223">
        <v>2.6493138999999999E-2</v>
      </c>
      <c r="Q1223">
        <v>-0.38692188</v>
      </c>
      <c r="S1223" s="13">
        <v>-1.259680704</v>
      </c>
      <c r="T1223">
        <v>0.42067628000000001</v>
      </c>
      <c r="U1223">
        <v>-8.4070504000000004E-2</v>
      </c>
    </row>
    <row r="1224" spans="1:21" x14ac:dyDescent="0.2">
      <c r="A1224" t="s">
        <v>1309</v>
      </c>
      <c r="B1224">
        <v>763080</v>
      </c>
      <c r="C1224" t="s">
        <v>6938</v>
      </c>
      <c r="D1224" t="s">
        <v>1309</v>
      </c>
      <c r="E1224" t="s">
        <v>6921</v>
      </c>
      <c r="F1224">
        <v>20</v>
      </c>
      <c r="G1224">
        <v>8</v>
      </c>
      <c r="H1224" t="s">
        <v>9401</v>
      </c>
      <c r="J1224" t="s">
        <v>3446</v>
      </c>
      <c r="M1224" t="s">
        <v>9402</v>
      </c>
      <c r="N1224">
        <v>2.092758737</v>
      </c>
      <c r="O1224">
        <v>5.3323610669999999</v>
      </c>
      <c r="P1224">
        <v>0.70420098600000003</v>
      </c>
      <c r="Q1224">
        <v>0.41355372699999998</v>
      </c>
      <c r="S1224" s="13">
        <v>-1.2597732740000001</v>
      </c>
      <c r="T1224">
        <v>0.42027177300000002</v>
      </c>
      <c r="U1224">
        <v>-0.1345018</v>
      </c>
    </row>
    <row r="1225" spans="1:21" x14ac:dyDescent="0.2">
      <c r="A1225" t="s">
        <v>1263</v>
      </c>
      <c r="B1225">
        <v>618520</v>
      </c>
      <c r="C1225" t="s">
        <v>6931</v>
      </c>
      <c r="D1225" t="s">
        <v>1264</v>
      </c>
      <c r="E1225" t="s">
        <v>6911</v>
      </c>
      <c r="F1225">
        <v>7</v>
      </c>
      <c r="G1225">
        <v>12</v>
      </c>
      <c r="H1225" t="s">
        <v>9403</v>
      </c>
      <c r="N1225">
        <v>1.9323965059999999</v>
      </c>
      <c r="O1225">
        <v>3.0528020530000002</v>
      </c>
      <c r="P1225">
        <v>2.6493138999999999E-2</v>
      </c>
      <c r="Q1225">
        <v>-0.38692188</v>
      </c>
      <c r="S1225" s="13">
        <v>-1.259785822</v>
      </c>
      <c r="T1225">
        <v>0.42021693900000001</v>
      </c>
      <c r="U1225">
        <v>-8.4116200000000002E-2</v>
      </c>
    </row>
    <row r="1226" spans="1:21" x14ac:dyDescent="0.2">
      <c r="A1226" t="s">
        <v>2252</v>
      </c>
      <c r="B1226">
        <v>404120</v>
      </c>
      <c r="C1226" t="s">
        <v>6961</v>
      </c>
      <c r="D1226" t="s">
        <v>2253</v>
      </c>
      <c r="E1226" t="s">
        <v>6924</v>
      </c>
      <c r="F1226">
        <v>4</v>
      </c>
      <c r="G1226">
        <v>6</v>
      </c>
      <c r="H1226" t="s">
        <v>9404</v>
      </c>
      <c r="J1226" t="s">
        <v>6427</v>
      </c>
      <c r="M1226" t="s">
        <v>9405</v>
      </c>
      <c r="N1226">
        <v>2.7247480949999998</v>
      </c>
      <c r="O1226">
        <v>7.0822175119999997</v>
      </c>
      <c r="P1226">
        <v>0.61298291999999999</v>
      </c>
      <c r="Q1226">
        <v>0.48262032500000002</v>
      </c>
      <c r="S1226" s="13">
        <v>-1.259887274</v>
      </c>
      <c r="T1226">
        <v>0.41977361800000002</v>
      </c>
      <c r="U1226">
        <v>-0.17811270200000001</v>
      </c>
    </row>
    <row r="1227" spans="1:21" x14ac:dyDescent="0.2">
      <c r="A1227" t="s">
        <v>1160</v>
      </c>
      <c r="B1227">
        <v>699520</v>
      </c>
      <c r="C1227" t="s">
        <v>6910</v>
      </c>
      <c r="D1227" t="s">
        <v>1160</v>
      </c>
      <c r="E1227" t="s">
        <v>6907</v>
      </c>
      <c r="F1227">
        <v>22</v>
      </c>
      <c r="G1227">
        <v>4</v>
      </c>
      <c r="H1227" t="s">
        <v>9406</v>
      </c>
      <c r="J1227" t="s">
        <v>5857</v>
      </c>
      <c r="M1227" t="s">
        <v>9407</v>
      </c>
      <c r="N1227">
        <v>1.9874741039999999</v>
      </c>
      <c r="O1227">
        <v>3.7453511220000002</v>
      </c>
      <c r="P1227">
        <v>0.451009722</v>
      </c>
      <c r="Q1227">
        <v>-0.102386592</v>
      </c>
      <c r="S1227" s="13">
        <v>-1.260075743</v>
      </c>
      <c r="T1227">
        <v>0.41895005200000002</v>
      </c>
      <c r="U1227">
        <v>-8.2496908999999993E-2</v>
      </c>
    </row>
    <row r="1228" spans="1:21" x14ac:dyDescent="0.2">
      <c r="A1228" t="s">
        <v>329</v>
      </c>
      <c r="B1228">
        <v>699200</v>
      </c>
      <c r="C1228" t="s">
        <v>6910</v>
      </c>
      <c r="D1228" t="s">
        <v>329</v>
      </c>
      <c r="E1228" t="s">
        <v>6924</v>
      </c>
      <c r="F1228">
        <v>22</v>
      </c>
      <c r="G1228">
        <v>6</v>
      </c>
      <c r="H1228" t="s">
        <v>9408</v>
      </c>
      <c r="J1228" t="s">
        <v>5077</v>
      </c>
      <c r="M1228" t="s">
        <v>9409</v>
      </c>
      <c r="N1228">
        <v>1.9874741039999999</v>
      </c>
      <c r="O1228">
        <v>3.7453511220000002</v>
      </c>
      <c r="P1228">
        <v>0.451009722</v>
      </c>
      <c r="Q1228">
        <v>-0.102386592</v>
      </c>
      <c r="S1228" s="13">
        <v>-1.2604200290000001</v>
      </c>
      <c r="T1228">
        <v>0.417445601</v>
      </c>
      <c r="U1228">
        <v>-8.2679062999999997E-2</v>
      </c>
    </row>
    <row r="1229" spans="1:21" x14ac:dyDescent="0.2">
      <c r="A1229" t="s">
        <v>1069</v>
      </c>
      <c r="B1229">
        <v>402920</v>
      </c>
      <c r="C1229" t="s">
        <v>6961</v>
      </c>
      <c r="D1229" t="s">
        <v>1070</v>
      </c>
      <c r="E1229" t="s">
        <v>7085</v>
      </c>
      <c r="F1229">
        <v>6</v>
      </c>
      <c r="G1229">
        <v>9</v>
      </c>
      <c r="H1229" t="s">
        <v>9410</v>
      </c>
      <c r="J1229" t="s">
        <v>6089</v>
      </c>
      <c r="M1229" t="s">
        <v>9411</v>
      </c>
      <c r="N1229">
        <v>2.7247480949999998</v>
      </c>
      <c r="O1229">
        <v>7.0822175119999997</v>
      </c>
      <c r="P1229">
        <v>0.61298291999999999</v>
      </c>
      <c r="Q1229">
        <v>0.48262032500000002</v>
      </c>
      <c r="S1229" s="13">
        <v>-1.260837212</v>
      </c>
      <c r="T1229">
        <v>0.41562260499999998</v>
      </c>
      <c r="U1229">
        <v>-0.178964663</v>
      </c>
    </row>
    <row r="1230" spans="1:21" x14ac:dyDescent="0.2">
      <c r="A1230" t="s">
        <v>1269</v>
      </c>
      <c r="B1230">
        <v>668720</v>
      </c>
      <c r="C1230" t="s">
        <v>6942</v>
      </c>
      <c r="D1230" t="s">
        <v>1269</v>
      </c>
      <c r="E1230" t="s">
        <v>6924</v>
      </c>
      <c r="F1230">
        <v>11</v>
      </c>
      <c r="G1230">
        <v>6</v>
      </c>
      <c r="H1230" t="s">
        <v>9412</v>
      </c>
      <c r="J1230" t="s">
        <v>4860</v>
      </c>
      <c r="M1230" t="s">
        <v>9413</v>
      </c>
      <c r="N1230">
        <v>2.0902262079999998</v>
      </c>
      <c r="O1230">
        <v>4.2704203920000001</v>
      </c>
      <c r="P1230">
        <v>0.23425843900000001</v>
      </c>
      <c r="Q1230">
        <v>1.6181978999999999E-2</v>
      </c>
      <c r="S1230" s="13">
        <v>-1.260899437</v>
      </c>
      <c r="T1230">
        <v>0.41535069899999999</v>
      </c>
      <c r="U1230">
        <v>-0.15542335199999999</v>
      </c>
    </row>
    <row r="1231" spans="1:21" x14ac:dyDescent="0.2">
      <c r="A1231" t="s">
        <v>619</v>
      </c>
      <c r="B1231">
        <v>760960</v>
      </c>
      <c r="C1231" t="s">
        <v>6938</v>
      </c>
      <c r="D1231" t="s">
        <v>619</v>
      </c>
      <c r="E1231" t="s">
        <v>6939</v>
      </c>
      <c r="F1231">
        <v>22</v>
      </c>
      <c r="G1231">
        <v>2</v>
      </c>
      <c r="H1231" t="s">
        <v>9414</v>
      </c>
      <c r="J1231" t="s">
        <v>3442</v>
      </c>
      <c r="M1231" t="s">
        <v>9415</v>
      </c>
      <c r="N1231">
        <v>2.092758737</v>
      </c>
      <c r="O1231">
        <v>5.3323610669999999</v>
      </c>
      <c r="P1231">
        <v>0.70420098600000003</v>
      </c>
      <c r="Q1231">
        <v>0.41355372699999998</v>
      </c>
      <c r="S1231" s="13">
        <v>-1.2615939540000001</v>
      </c>
      <c r="T1231">
        <v>0.41231581699999997</v>
      </c>
      <c r="U1231">
        <v>-0.13586393099999999</v>
      </c>
    </row>
    <row r="1232" spans="1:21" x14ac:dyDescent="0.2">
      <c r="A1232" t="s">
        <v>1598</v>
      </c>
      <c r="B1232">
        <v>728480</v>
      </c>
      <c r="C1232" t="s">
        <v>6927</v>
      </c>
      <c r="D1232" t="s">
        <v>1598</v>
      </c>
      <c r="E1232" t="s">
        <v>6970</v>
      </c>
      <c r="F1232">
        <v>17</v>
      </c>
      <c r="G1232">
        <v>14</v>
      </c>
      <c r="H1232" t="s">
        <v>9416</v>
      </c>
      <c r="J1232" t="s">
        <v>9417</v>
      </c>
      <c r="M1232" t="s">
        <v>9418</v>
      </c>
      <c r="N1232">
        <v>1.982575982</v>
      </c>
      <c r="O1232">
        <v>3.4571926419999999</v>
      </c>
      <c r="P1232">
        <v>-0.114791479</v>
      </c>
      <c r="Q1232">
        <v>1.868949E-3</v>
      </c>
      <c r="S1232" s="13">
        <v>-1.261844481</v>
      </c>
      <c r="T1232">
        <v>0.41122107099999999</v>
      </c>
      <c r="U1232">
        <v>-0.134771317</v>
      </c>
    </row>
    <row r="1233" spans="1:21" x14ac:dyDescent="0.2">
      <c r="A1233" t="s">
        <v>289</v>
      </c>
      <c r="B1233">
        <v>589680</v>
      </c>
      <c r="C1233" t="s">
        <v>6945</v>
      </c>
      <c r="D1233" t="s">
        <v>290</v>
      </c>
      <c r="E1233" t="s">
        <v>6977</v>
      </c>
      <c r="F1233">
        <v>5</v>
      </c>
      <c r="G1233">
        <v>5</v>
      </c>
      <c r="H1233" t="s">
        <v>9419</v>
      </c>
      <c r="J1233" t="s">
        <v>4105</v>
      </c>
      <c r="M1233" t="s">
        <v>9420</v>
      </c>
      <c r="N1233">
        <v>2.2220813349999999</v>
      </c>
      <c r="O1233">
        <v>6.5440947090000003</v>
      </c>
      <c r="P1233">
        <v>0.58228215500000002</v>
      </c>
      <c r="Q1233">
        <v>0.35188233000000002</v>
      </c>
      <c r="S1233" s="13">
        <v>-1.2620687049999999</v>
      </c>
      <c r="T1233">
        <v>0.410241262</v>
      </c>
      <c r="U1233">
        <v>-0.161019624</v>
      </c>
    </row>
    <row r="1234" spans="1:21" x14ac:dyDescent="0.2">
      <c r="A1234" t="s">
        <v>859</v>
      </c>
      <c r="B1234">
        <v>667480</v>
      </c>
      <c r="C1234" t="s">
        <v>6942</v>
      </c>
      <c r="D1234" t="s">
        <v>859</v>
      </c>
      <c r="E1234" t="s">
        <v>7115</v>
      </c>
      <c r="F1234">
        <v>19</v>
      </c>
      <c r="G1234">
        <v>10</v>
      </c>
      <c r="H1234" t="s">
        <v>9421</v>
      </c>
      <c r="J1234" t="s">
        <v>1504</v>
      </c>
      <c r="M1234" t="s">
        <v>9422</v>
      </c>
      <c r="N1234">
        <v>2.0902262079999998</v>
      </c>
      <c r="O1234">
        <v>4.2704203920000001</v>
      </c>
      <c r="P1234">
        <v>0.23425843900000001</v>
      </c>
      <c r="Q1234">
        <v>1.6181978999999999E-2</v>
      </c>
      <c r="S1234" s="13">
        <v>-1.262116483</v>
      </c>
      <c r="T1234">
        <v>0.41003248399999997</v>
      </c>
      <c r="U1234">
        <v>-0.15625888399999999</v>
      </c>
    </row>
    <row r="1235" spans="1:21" x14ac:dyDescent="0.2">
      <c r="A1235" t="s">
        <v>283</v>
      </c>
      <c r="B1235">
        <v>793840</v>
      </c>
      <c r="C1235" t="s">
        <v>6914</v>
      </c>
      <c r="D1235" t="s">
        <v>284</v>
      </c>
      <c r="E1235" t="s">
        <v>6928</v>
      </c>
      <c r="F1235">
        <v>6</v>
      </c>
      <c r="G1235">
        <v>16</v>
      </c>
      <c r="H1235" t="s">
        <v>9423</v>
      </c>
      <c r="J1235" t="s">
        <v>764</v>
      </c>
      <c r="M1235" t="s">
        <v>9424</v>
      </c>
      <c r="N1235">
        <v>1.8217074179999999</v>
      </c>
      <c r="O1235">
        <v>4.1700741289999996</v>
      </c>
      <c r="P1235">
        <v>0.189705977</v>
      </c>
      <c r="Q1235">
        <v>-1.7194070999999998E-2</v>
      </c>
      <c r="S1235" s="13">
        <v>-1.2621779609999999</v>
      </c>
      <c r="T1235">
        <v>0.40976384100000002</v>
      </c>
      <c r="U1235">
        <v>-0.14436385299999999</v>
      </c>
    </row>
    <row r="1236" spans="1:21" x14ac:dyDescent="0.2">
      <c r="A1236" t="s">
        <v>415</v>
      </c>
      <c r="B1236">
        <v>667120</v>
      </c>
      <c r="C1236" t="s">
        <v>6942</v>
      </c>
      <c r="D1236" t="s">
        <v>415</v>
      </c>
      <c r="E1236" t="s">
        <v>6924</v>
      </c>
      <c r="F1236">
        <v>19</v>
      </c>
      <c r="G1236">
        <v>6</v>
      </c>
      <c r="H1236" t="s">
        <v>9425</v>
      </c>
      <c r="J1236" t="s">
        <v>1026</v>
      </c>
      <c r="M1236" t="s">
        <v>9426</v>
      </c>
      <c r="N1236">
        <v>2.0902262079999998</v>
      </c>
      <c r="O1236">
        <v>4.2704203920000001</v>
      </c>
      <c r="P1236">
        <v>0.23425843900000001</v>
      </c>
      <c r="Q1236">
        <v>1.6181978999999999E-2</v>
      </c>
      <c r="S1236" s="13">
        <v>-1.2624698190000001</v>
      </c>
      <c r="T1236">
        <v>0.40848848599999998</v>
      </c>
      <c r="U1236">
        <v>-0.15650175899999999</v>
      </c>
    </row>
    <row r="1237" spans="1:21" x14ac:dyDescent="0.2">
      <c r="A1237" t="s">
        <v>919</v>
      </c>
      <c r="B1237">
        <v>697080</v>
      </c>
      <c r="C1237" t="s">
        <v>6910</v>
      </c>
      <c r="D1237" t="s">
        <v>919</v>
      </c>
      <c r="E1237" t="s">
        <v>6946</v>
      </c>
      <c r="F1237">
        <v>22</v>
      </c>
      <c r="G1237">
        <v>11</v>
      </c>
      <c r="H1237" t="s">
        <v>9427</v>
      </c>
      <c r="J1237" t="s">
        <v>2577</v>
      </c>
      <c r="M1237" t="s">
        <v>9428</v>
      </c>
      <c r="N1237">
        <v>1.9874741039999999</v>
      </c>
      <c r="O1237">
        <v>3.7453511220000002</v>
      </c>
      <c r="P1237">
        <v>0.451009722</v>
      </c>
      <c r="Q1237">
        <v>-0.102386592</v>
      </c>
      <c r="S1237" s="13">
        <v>-1.2627009229999999</v>
      </c>
      <c r="T1237">
        <v>0.40747861499999999</v>
      </c>
      <c r="U1237">
        <v>-8.3887765000000003E-2</v>
      </c>
    </row>
    <row r="1238" spans="1:21" x14ac:dyDescent="0.2">
      <c r="A1238" t="s">
        <v>1336</v>
      </c>
      <c r="B1238">
        <v>727600</v>
      </c>
      <c r="C1238" t="s">
        <v>6927</v>
      </c>
      <c r="D1238" t="s">
        <v>1336</v>
      </c>
      <c r="E1238" t="s">
        <v>6915</v>
      </c>
      <c r="F1238">
        <v>15</v>
      </c>
      <c r="G1238">
        <v>13</v>
      </c>
      <c r="H1238" t="s">
        <v>9429</v>
      </c>
      <c r="J1238" t="s">
        <v>9430</v>
      </c>
      <c r="M1238" t="s">
        <v>9431</v>
      </c>
      <c r="N1238">
        <v>1.982575982</v>
      </c>
      <c r="O1238">
        <v>3.4571926419999999</v>
      </c>
      <c r="P1238">
        <v>-0.114791479</v>
      </c>
      <c r="Q1238">
        <v>1.868949E-3</v>
      </c>
      <c r="S1238" s="13">
        <v>-1.2627575900000001</v>
      </c>
      <c r="T1238">
        <v>0.40723099200000001</v>
      </c>
      <c r="U1238">
        <v>-0.13533656199999999</v>
      </c>
    </row>
    <row r="1239" spans="1:21" x14ac:dyDescent="0.2">
      <c r="A1239" t="s">
        <v>534</v>
      </c>
      <c r="B1239">
        <v>793160</v>
      </c>
      <c r="C1239" t="s">
        <v>6914</v>
      </c>
      <c r="D1239" t="s">
        <v>534</v>
      </c>
      <c r="E1239" t="s">
        <v>6928</v>
      </c>
      <c r="F1239">
        <v>22</v>
      </c>
      <c r="G1239">
        <v>16</v>
      </c>
      <c r="H1239" t="s">
        <v>9432</v>
      </c>
      <c r="J1239" t="s">
        <v>1533</v>
      </c>
      <c r="M1239" t="s">
        <v>9433</v>
      </c>
      <c r="N1239">
        <v>1.8217074179999999</v>
      </c>
      <c r="O1239">
        <v>4.1700741289999996</v>
      </c>
      <c r="P1239">
        <v>0.189705977</v>
      </c>
      <c r="Q1239">
        <v>-1.7194070999999998E-2</v>
      </c>
      <c r="S1239" s="13">
        <v>-1.2629958379999999</v>
      </c>
      <c r="T1239">
        <v>0.40618990199999999</v>
      </c>
      <c r="U1239">
        <v>-0.14481032699999999</v>
      </c>
    </row>
    <row r="1240" spans="1:21" x14ac:dyDescent="0.2">
      <c r="A1240" t="s">
        <v>47</v>
      </c>
      <c r="B1240">
        <v>758600</v>
      </c>
      <c r="C1240" t="s">
        <v>6938</v>
      </c>
      <c r="D1240" t="s">
        <v>48</v>
      </c>
      <c r="E1240" t="s">
        <v>6918</v>
      </c>
      <c r="F1240">
        <v>8</v>
      </c>
      <c r="G1240">
        <v>1</v>
      </c>
      <c r="H1240" t="s">
        <v>9434</v>
      </c>
      <c r="J1240" t="s">
        <v>1945</v>
      </c>
      <c r="M1240" t="s">
        <v>9435</v>
      </c>
      <c r="N1240">
        <v>2.092758737</v>
      </c>
      <c r="O1240">
        <v>5.3323610669999999</v>
      </c>
      <c r="P1240">
        <v>0.70420098600000003</v>
      </c>
      <c r="Q1240">
        <v>0.41355372699999998</v>
      </c>
      <c r="S1240" s="13">
        <v>-1.263620749</v>
      </c>
      <c r="T1240">
        <v>0.40345918600000003</v>
      </c>
      <c r="U1240">
        <v>-0.13738530700000001</v>
      </c>
    </row>
    <row r="1241" spans="1:21" x14ac:dyDescent="0.2">
      <c r="A1241" t="s">
        <v>169</v>
      </c>
      <c r="B1241">
        <v>664800</v>
      </c>
      <c r="C1241" t="s">
        <v>6906</v>
      </c>
      <c r="D1241" t="s">
        <v>169</v>
      </c>
      <c r="E1241" t="s">
        <v>6918</v>
      </c>
      <c r="F1241">
        <v>16</v>
      </c>
      <c r="G1241">
        <v>1</v>
      </c>
      <c r="H1241" t="s">
        <v>9436</v>
      </c>
      <c r="J1241" t="s">
        <v>528</v>
      </c>
      <c r="M1241" t="s">
        <v>9437</v>
      </c>
      <c r="N1241">
        <v>1.813871112</v>
      </c>
      <c r="O1241">
        <v>2.6633694910000001</v>
      </c>
      <c r="P1241">
        <v>-0.29586356800000002</v>
      </c>
      <c r="Q1241">
        <v>-0.59018158399999998</v>
      </c>
      <c r="S1241" s="13">
        <v>-1.2642390830000001</v>
      </c>
      <c r="T1241">
        <v>0.400757207</v>
      </c>
      <c r="U1241">
        <v>-0.12726211900000001</v>
      </c>
    </row>
    <row r="1242" spans="1:21" x14ac:dyDescent="0.2">
      <c r="A1242" t="s">
        <v>2118</v>
      </c>
      <c r="B1242">
        <v>587320</v>
      </c>
      <c r="C1242" t="s">
        <v>6945</v>
      </c>
      <c r="D1242" t="s">
        <v>2119</v>
      </c>
      <c r="E1242" t="s">
        <v>6974</v>
      </c>
      <c r="F1242">
        <v>4</v>
      </c>
      <c r="G1242">
        <v>15</v>
      </c>
      <c r="H1242" t="s">
        <v>9438</v>
      </c>
      <c r="J1242" t="s">
        <v>2121</v>
      </c>
      <c r="M1242" t="s">
        <v>9439</v>
      </c>
      <c r="N1242">
        <v>2.2220813349999999</v>
      </c>
      <c r="O1242">
        <v>6.5440947090000003</v>
      </c>
      <c r="P1242">
        <v>0.58228215500000002</v>
      </c>
      <c r="Q1242">
        <v>0.35188233000000002</v>
      </c>
      <c r="S1242" s="13">
        <v>-1.2642947419999999</v>
      </c>
      <c r="T1242">
        <v>0.40051398900000001</v>
      </c>
      <c r="U1242">
        <v>-0.162631894</v>
      </c>
    </row>
    <row r="1243" spans="1:21" x14ac:dyDescent="0.2">
      <c r="A1243" t="s">
        <v>598</v>
      </c>
      <c r="B1243">
        <v>695560</v>
      </c>
      <c r="C1243" t="s">
        <v>6910</v>
      </c>
      <c r="D1243" t="s">
        <v>598</v>
      </c>
      <c r="E1243" t="s">
        <v>7006</v>
      </c>
      <c r="F1243">
        <v>22</v>
      </c>
      <c r="G1243">
        <v>3</v>
      </c>
      <c r="H1243" t="s">
        <v>9440</v>
      </c>
      <c r="J1243" t="s">
        <v>2198</v>
      </c>
      <c r="M1243" t="s">
        <v>9441</v>
      </c>
      <c r="N1243">
        <v>1.9874741039999999</v>
      </c>
      <c r="O1243">
        <v>3.7453511220000002</v>
      </c>
      <c r="P1243">
        <v>0.451009722</v>
      </c>
      <c r="Q1243">
        <v>-0.102386592</v>
      </c>
      <c r="S1243" s="13">
        <v>-1.2643362810000001</v>
      </c>
      <c r="T1243">
        <v>0.40033247300000002</v>
      </c>
      <c r="U1243">
        <v>-8.4756458000000007E-2</v>
      </c>
    </row>
    <row r="1244" spans="1:21" x14ac:dyDescent="0.2">
      <c r="A1244" t="s">
        <v>253</v>
      </c>
      <c r="B1244">
        <v>614920</v>
      </c>
      <c r="C1244" t="s">
        <v>6931</v>
      </c>
      <c r="D1244" t="s">
        <v>254</v>
      </c>
      <c r="E1244" t="s">
        <v>6939</v>
      </c>
      <c r="F1244">
        <v>4</v>
      </c>
      <c r="G1244">
        <v>2</v>
      </c>
      <c r="H1244" t="s">
        <v>9442</v>
      </c>
      <c r="N1244">
        <v>1.9323965059999999</v>
      </c>
      <c r="O1244">
        <v>3.0528020530000002</v>
      </c>
      <c r="P1244">
        <v>2.6493138999999999E-2</v>
      </c>
      <c r="Q1244">
        <v>-0.38692188</v>
      </c>
      <c r="S1244" s="13">
        <v>-1.264516129</v>
      </c>
      <c r="T1244">
        <v>0.39954657999999998</v>
      </c>
      <c r="U1244">
        <v>-8.6177537999999998E-2</v>
      </c>
    </row>
    <row r="1245" spans="1:21" x14ac:dyDescent="0.2">
      <c r="A1245" t="s">
        <v>259</v>
      </c>
      <c r="B1245">
        <v>587040</v>
      </c>
      <c r="C1245" t="s">
        <v>6945</v>
      </c>
      <c r="D1245" t="s">
        <v>260</v>
      </c>
      <c r="E1245" t="s">
        <v>6956</v>
      </c>
      <c r="F1245">
        <v>1</v>
      </c>
      <c r="G1245">
        <v>7</v>
      </c>
      <c r="H1245" t="s">
        <v>9443</v>
      </c>
      <c r="J1245" t="s">
        <v>2981</v>
      </c>
      <c r="M1245" t="s">
        <v>9444</v>
      </c>
      <c r="N1245">
        <v>2.2220813349999999</v>
      </c>
      <c r="O1245">
        <v>6.5440947090000003</v>
      </c>
      <c r="P1245">
        <v>0.58228215500000002</v>
      </c>
      <c r="Q1245">
        <v>0.35188233000000002</v>
      </c>
      <c r="S1245" s="13">
        <v>-1.2645588480000001</v>
      </c>
      <c r="T1245">
        <v>0.39935990500000002</v>
      </c>
      <c r="U1245">
        <v>-0.162823578</v>
      </c>
    </row>
    <row r="1246" spans="1:21" x14ac:dyDescent="0.2">
      <c r="A1246" t="s">
        <v>1939</v>
      </c>
      <c r="B1246">
        <v>695320</v>
      </c>
      <c r="C1246" t="s">
        <v>6910</v>
      </c>
      <c r="D1246" t="s">
        <v>1939</v>
      </c>
      <c r="E1246" t="s">
        <v>6928</v>
      </c>
      <c r="F1246">
        <v>19</v>
      </c>
      <c r="G1246">
        <v>16</v>
      </c>
      <c r="H1246" t="s">
        <v>9445</v>
      </c>
      <c r="J1246" t="s">
        <v>1941</v>
      </c>
      <c r="M1246" t="s">
        <v>9446</v>
      </c>
      <c r="N1246">
        <v>1.9874741039999999</v>
      </c>
      <c r="O1246">
        <v>3.7453511220000002</v>
      </c>
      <c r="P1246">
        <v>0.451009722</v>
      </c>
      <c r="Q1246">
        <v>-0.102386592</v>
      </c>
      <c r="S1246" s="13">
        <v>-1.264594496</v>
      </c>
      <c r="T1246">
        <v>0.39920413500000002</v>
      </c>
      <c r="U1246">
        <v>-8.4893778000000003E-2</v>
      </c>
    </row>
    <row r="1247" spans="1:21" x14ac:dyDescent="0.2">
      <c r="A1247" t="s">
        <v>772</v>
      </c>
      <c r="B1247">
        <v>586920</v>
      </c>
      <c r="C1247" t="s">
        <v>6945</v>
      </c>
      <c r="D1247" t="s">
        <v>772</v>
      </c>
      <c r="E1247" t="s">
        <v>6928</v>
      </c>
      <c r="F1247">
        <v>18</v>
      </c>
      <c r="G1247">
        <v>16</v>
      </c>
      <c r="H1247" t="s">
        <v>9447</v>
      </c>
      <c r="J1247" t="s">
        <v>4826</v>
      </c>
      <c r="M1247" t="s">
        <v>9448</v>
      </c>
      <c r="N1247">
        <v>2.2220813349999999</v>
      </c>
      <c r="O1247">
        <v>6.5440947090000003</v>
      </c>
      <c r="P1247">
        <v>0.58228215500000002</v>
      </c>
      <c r="Q1247">
        <v>0.35188233000000002</v>
      </c>
      <c r="S1247" s="13">
        <v>-1.264672037</v>
      </c>
      <c r="T1247">
        <v>0.39886529799999998</v>
      </c>
      <c r="U1247">
        <v>-0.16290575400000001</v>
      </c>
    </row>
    <row r="1248" spans="1:21" x14ac:dyDescent="0.2">
      <c r="A1248" t="s">
        <v>788</v>
      </c>
      <c r="B1248">
        <v>757280</v>
      </c>
      <c r="C1248" t="s">
        <v>6938</v>
      </c>
      <c r="D1248" t="s">
        <v>788</v>
      </c>
      <c r="E1248" t="s">
        <v>6921</v>
      </c>
      <c r="F1248">
        <v>13</v>
      </c>
      <c r="G1248">
        <v>8</v>
      </c>
      <c r="H1248" t="s">
        <v>9449</v>
      </c>
      <c r="J1248" t="s">
        <v>3380</v>
      </c>
      <c r="M1248" t="s">
        <v>9450</v>
      </c>
      <c r="N1248">
        <v>2.092758737</v>
      </c>
      <c r="O1248">
        <v>5.3323610669999999</v>
      </c>
      <c r="P1248">
        <v>0.70420098600000003</v>
      </c>
      <c r="Q1248">
        <v>0.41355372699999998</v>
      </c>
      <c r="S1248" s="13">
        <v>-1.2647543800000001</v>
      </c>
      <c r="T1248">
        <v>0.39850547800000002</v>
      </c>
      <c r="U1248">
        <v>-0.138238577</v>
      </c>
    </row>
    <row r="1249" spans="1:21" x14ac:dyDescent="0.2">
      <c r="A1249" t="s">
        <v>225</v>
      </c>
      <c r="B1249">
        <v>614720</v>
      </c>
      <c r="C1249" t="s">
        <v>6931</v>
      </c>
      <c r="D1249" t="s">
        <v>225</v>
      </c>
      <c r="E1249" t="s">
        <v>6918</v>
      </c>
      <c r="F1249">
        <v>20</v>
      </c>
      <c r="G1249">
        <v>1</v>
      </c>
      <c r="H1249" t="s">
        <v>9451</v>
      </c>
      <c r="N1249">
        <v>1.9323965059999999</v>
      </c>
      <c r="O1249">
        <v>3.0528020530000002</v>
      </c>
      <c r="P1249">
        <v>2.6493138999999999E-2</v>
      </c>
      <c r="Q1249">
        <v>-0.38692188</v>
      </c>
      <c r="S1249" s="13">
        <v>-1.264778924</v>
      </c>
      <c r="T1249">
        <v>0.39839822600000002</v>
      </c>
      <c r="U1249">
        <v>-8.6292344000000007E-2</v>
      </c>
    </row>
    <row r="1250" spans="1:21" x14ac:dyDescent="0.2">
      <c r="A1250" t="s">
        <v>190</v>
      </c>
      <c r="B1250">
        <v>397920</v>
      </c>
      <c r="C1250" t="s">
        <v>6961</v>
      </c>
      <c r="D1250" t="s">
        <v>190</v>
      </c>
      <c r="E1250" t="s">
        <v>6946</v>
      </c>
      <c r="F1250">
        <v>10</v>
      </c>
      <c r="G1250">
        <v>11</v>
      </c>
      <c r="H1250" t="s">
        <v>9452</v>
      </c>
      <c r="J1250" t="s">
        <v>6437</v>
      </c>
      <c r="M1250" t="s">
        <v>9453</v>
      </c>
      <c r="N1250">
        <v>2.7247480949999998</v>
      </c>
      <c r="O1250">
        <v>7.0822175119999997</v>
      </c>
      <c r="P1250">
        <v>0.61298291999999999</v>
      </c>
      <c r="Q1250">
        <v>0.48262032500000002</v>
      </c>
      <c r="S1250" s="13">
        <v>-1.264795288</v>
      </c>
      <c r="T1250">
        <v>0.398326717</v>
      </c>
      <c r="U1250">
        <v>-0.18253260499999999</v>
      </c>
    </row>
    <row r="1251" spans="1:21" x14ac:dyDescent="0.2">
      <c r="A1251" t="s">
        <v>889</v>
      </c>
      <c r="B1251">
        <v>586720</v>
      </c>
      <c r="C1251" t="s">
        <v>6945</v>
      </c>
      <c r="D1251" t="s">
        <v>889</v>
      </c>
      <c r="E1251" t="s">
        <v>6921</v>
      </c>
      <c r="F1251">
        <v>16</v>
      </c>
      <c r="G1251">
        <v>8</v>
      </c>
      <c r="H1251" t="s">
        <v>9454</v>
      </c>
      <c r="J1251" t="s">
        <v>4392</v>
      </c>
      <c r="M1251" t="s">
        <v>9455</v>
      </c>
      <c r="N1251">
        <v>2.2220813349999999</v>
      </c>
      <c r="O1251">
        <v>6.5440947090000003</v>
      </c>
      <c r="P1251">
        <v>0.58228215500000002</v>
      </c>
      <c r="Q1251">
        <v>0.35188233000000002</v>
      </c>
      <c r="S1251" s="13">
        <v>-1.2648606840000001</v>
      </c>
      <c r="T1251">
        <v>0.39804095299999998</v>
      </c>
      <c r="U1251">
        <v>-0.16304274899999999</v>
      </c>
    </row>
    <row r="1252" spans="1:21" x14ac:dyDescent="0.2">
      <c r="A1252" t="s">
        <v>1550</v>
      </c>
      <c r="B1252">
        <v>664360</v>
      </c>
      <c r="C1252" t="s">
        <v>6906</v>
      </c>
      <c r="D1252" t="s">
        <v>1550</v>
      </c>
      <c r="E1252" t="s">
        <v>6974</v>
      </c>
      <c r="F1252">
        <v>14</v>
      </c>
      <c r="G1252">
        <v>15</v>
      </c>
      <c r="H1252" t="s">
        <v>9456</v>
      </c>
      <c r="J1252" t="s">
        <v>3929</v>
      </c>
      <c r="M1252" t="s">
        <v>9457</v>
      </c>
      <c r="N1252">
        <v>1.813871112</v>
      </c>
      <c r="O1252">
        <v>2.6633694910000001</v>
      </c>
      <c r="P1252">
        <v>-0.29586356800000002</v>
      </c>
      <c r="Q1252">
        <v>-0.59018158399999998</v>
      </c>
      <c r="S1252" s="13">
        <v>-1.2648774119999999</v>
      </c>
      <c r="T1252">
        <v>0.39796785600000001</v>
      </c>
      <c r="U1252">
        <v>-0.12753980500000001</v>
      </c>
    </row>
    <row r="1253" spans="1:21" x14ac:dyDescent="0.2">
      <c r="A1253" t="s">
        <v>465</v>
      </c>
      <c r="B1253">
        <v>756880</v>
      </c>
      <c r="C1253" t="s">
        <v>6938</v>
      </c>
      <c r="D1253" t="s">
        <v>466</v>
      </c>
      <c r="E1253" t="s">
        <v>6939</v>
      </c>
      <c r="F1253">
        <v>8</v>
      </c>
      <c r="G1253">
        <v>2</v>
      </c>
      <c r="H1253" t="s">
        <v>9458</v>
      </c>
      <c r="J1253" t="s">
        <v>3572</v>
      </c>
      <c r="M1253" t="s">
        <v>9459</v>
      </c>
      <c r="N1253">
        <v>2.092758737</v>
      </c>
      <c r="O1253">
        <v>5.3323610669999999</v>
      </c>
      <c r="P1253">
        <v>0.70420098600000003</v>
      </c>
      <c r="Q1253">
        <v>0.41355372699999998</v>
      </c>
      <c r="S1253" s="13">
        <v>-1.265097905</v>
      </c>
      <c r="T1253">
        <v>0.397004354</v>
      </c>
      <c r="U1253">
        <v>-0.13849747400000001</v>
      </c>
    </row>
    <row r="1254" spans="1:21" x14ac:dyDescent="0.2">
      <c r="A1254" t="s">
        <v>2960</v>
      </c>
      <c r="B1254">
        <v>664240</v>
      </c>
      <c r="C1254" t="s">
        <v>6942</v>
      </c>
      <c r="D1254" t="s">
        <v>2961</v>
      </c>
      <c r="E1254" t="s">
        <v>6939</v>
      </c>
      <c r="F1254">
        <v>7</v>
      </c>
      <c r="G1254">
        <v>2</v>
      </c>
      <c r="H1254" t="s">
        <v>9460</v>
      </c>
      <c r="J1254" t="s">
        <v>4846</v>
      </c>
      <c r="M1254" t="s">
        <v>9461</v>
      </c>
      <c r="N1254">
        <v>2.0902262079999998</v>
      </c>
      <c r="O1254">
        <v>4.2704203920000001</v>
      </c>
      <c r="P1254">
        <v>0.23425843900000001</v>
      </c>
      <c r="Q1254">
        <v>1.6181978999999999E-2</v>
      </c>
      <c r="S1254" s="13">
        <v>-1.265296508</v>
      </c>
      <c r="T1254">
        <v>0.39613650299999997</v>
      </c>
      <c r="U1254">
        <v>-0.15844966599999999</v>
      </c>
    </row>
    <row r="1255" spans="1:21" x14ac:dyDescent="0.2">
      <c r="A1255" t="s">
        <v>1436</v>
      </c>
      <c r="B1255">
        <v>586240</v>
      </c>
      <c r="C1255" t="s">
        <v>6945</v>
      </c>
      <c r="D1255" t="s">
        <v>1437</v>
      </c>
      <c r="E1255" t="s">
        <v>6907</v>
      </c>
      <c r="F1255">
        <v>6</v>
      </c>
      <c r="G1255">
        <v>4</v>
      </c>
      <c r="H1255" t="s">
        <v>9462</v>
      </c>
      <c r="J1255" t="s">
        <v>4778</v>
      </c>
      <c r="M1255" t="s">
        <v>9463</v>
      </c>
      <c r="N1255">
        <v>2.2220813349999999</v>
      </c>
      <c r="O1255">
        <v>6.5440947090000003</v>
      </c>
      <c r="P1255">
        <v>0.58228215500000002</v>
      </c>
      <c r="Q1255">
        <v>0.35188233000000002</v>
      </c>
      <c r="S1255" s="13">
        <v>-1.2653134370000001</v>
      </c>
      <c r="T1255">
        <v>0.396062525</v>
      </c>
      <c r="U1255">
        <v>-0.163371713</v>
      </c>
    </row>
    <row r="1256" spans="1:21" x14ac:dyDescent="0.2">
      <c r="A1256" t="s">
        <v>1362</v>
      </c>
      <c r="B1256">
        <v>664200</v>
      </c>
      <c r="C1256" t="s">
        <v>6942</v>
      </c>
      <c r="D1256" t="s">
        <v>1362</v>
      </c>
      <c r="E1256" t="s">
        <v>7115</v>
      </c>
      <c r="F1256">
        <v>22</v>
      </c>
      <c r="G1256">
        <v>10</v>
      </c>
      <c r="H1256" t="s">
        <v>9464</v>
      </c>
      <c r="J1256" t="s">
        <v>1364</v>
      </c>
      <c r="M1256" t="s">
        <v>9465</v>
      </c>
      <c r="N1256">
        <v>2.0902262079999998</v>
      </c>
      <c r="O1256">
        <v>4.2704203920000001</v>
      </c>
      <c r="P1256">
        <v>0.23425843900000001</v>
      </c>
      <c r="Q1256">
        <v>1.6181978999999999E-2</v>
      </c>
      <c r="S1256" s="13">
        <v>-1.2653357670000001</v>
      </c>
      <c r="T1256">
        <v>0.39596494700000001</v>
      </c>
      <c r="U1256">
        <v>-0.15847678200000001</v>
      </c>
    </row>
    <row r="1257" spans="1:21" x14ac:dyDescent="0.2">
      <c r="A1257" t="s">
        <v>583</v>
      </c>
      <c r="B1257">
        <v>756320</v>
      </c>
      <c r="C1257" t="s">
        <v>6938</v>
      </c>
      <c r="D1257" t="s">
        <v>583</v>
      </c>
      <c r="E1257" t="s">
        <v>6907</v>
      </c>
      <c r="F1257">
        <v>23</v>
      </c>
      <c r="G1257">
        <v>4</v>
      </c>
      <c r="H1257" t="s">
        <v>9466</v>
      </c>
      <c r="J1257" t="s">
        <v>3939</v>
      </c>
      <c r="M1257" t="s">
        <v>9467</v>
      </c>
      <c r="N1257">
        <v>2.092758737</v>
      </c>
      <c r="O1257">
        <v>5.3323610669999999</v>
      </c>
      <c r="P1257">
        <v>0.70420098600000003</v>
      </c>
      <c r="Q1257">
        <v>0.41355372699999998</v>
      </c>
      <c r="S1257" s="13">
        <v>-1.265578839</v>
      </c>
      <c r="T1257">
        <v>0.39490278099999998</v>
      </c>
      <c r="U1257">
        <v>-0.13886019099999999</v>
      </c>
    </row>
    <row r="1258" spans="1:21" x14ac:dyDescent="0.2">
      <c r="A1258" t="s">
        <v>1108</v>
      </c>
      <c r="B1258">
        <v>585640</v>
      </c>
      <c r="C1258" t="s">
        <v>6945</v>
      </c>
      <c r="D1258" t="s">
        <v>1109</v>
      </c>
      <c r="E1258" t="s">
        <v>6977</v>
      </c>
      <c r="F1258">
        <v>3</v>
      </c>
      <c r="G1258">
        <v>5</v>
      </c>
      <c r="H1258" t="s">
        <v>9468</v>
      </c>
      <c r="J1258" t="s">
        <v>6191</v>
      </c>
      <c r="M1258" t="s">
        <v>9469</v>
      </c>
      <c r="N1258">
        <v>2.2220813349999999</v>
      </c>
      <c r="O1258">
        <v>6.5440947090000003</v>
      </c>
      <c r="P1258">
        <v>0.58228215500000002</v>
      </c>
      <c r="Q1258">
        <v>0.35188233000000002</v>
      </c>
      <c r="S1258" s="13">
        <v>-1.265879379</v>
      </c>
      <c r="T1258">
        <v>0.39358948900000001</v>
      </c>
      <c r="U1258">
        <v>-0.16378326900000001</v>
      </c>
    </row>
    <row r="1259" spans="1:21" x14ac:dyDescent="0.2">
      <c r="A1259" t="s">
        <v>426</v>
      </c>
      <c r="B1259">
        <v>755840</v>
      </c>
      <c r="C1259" t="s">
        <v>6938</v>
      </c>
      <c r="D1259" t="s">
        <v>426</v>
      </c>
      <c r="E1259" t="s">
        <v>6911</v>
      </c>
      <c r="F1259">
        <v>22</v>
      </c>
      <c r="G1259">
        <v>12</v>
      </c>
      <c r="H1259" t="s">
        <v>9470</v>
      </c>
      <c r="J1259" t="s">
        <v>1719</v>
      </c>
      <c r="M1259" t="s">
        <v>9471</v>
      </c>
      <c r="N1259">
        <v>2.092758737</v>
      </c>
      <c r="O1259">
        <v>5.3323610669999999</v>
      </c>
      <c r="P1259">
        <v>0.70420098600000003</v>
      </c>
      <c r="Q1259">
        <v>0.41355372699999998</v>
      </c>
      <c r="S1259" s="13">
        <v>-1.2659910679999999</v>
      </c>
      <c r="T1259">
        <v>0.39310143199999997</v>
      </c>
      <c r="U1259">
        <v>-0.13917133200000001</v>
      </c>
    </row>
    <row r="1260" spans="1:21" x14ac:dyDescent="0.2">
      <c r="A1260" t="s">
        <v>563</v>
      </c>
      <c r="B1260">
        <v>613440</v>
      </c>
      <c r="C1260" t="s">
        <v>6931</v>
      </c>
      <c r="D1260" t="s">
        <v>564</v>
      </c>
      <c r="E1260" t="s">
        <v>6928</v>
      </c>
      <c r="F1260">
        <v>9</v>
      </c>
      <c r="G1260">
        <v>16</v>
      </c>
      <c r="H1260" t="s">
        <v>9472</v>
      </c>
      <c r="N1260">
        <v>1.9323965059999999</v>
      </c>
      <c r="O1260">
        <v>3.0528020530000002</v>
      </c>
      <c r="P1260">
        <v>2.6493138999999999E-2</v>
      </c>
      <c r="Q1260">
        <v>-0.38692188</v>
      </c>
      <c r="S1260" s="13">
        <v>-1.266460811</v>
      </c>
      <c r="T1260">
        <v>0.39104876500000002</v>
      </c>
      <c r="U1260">
        <v>-8.7027823000000004E-2</v>
      </c>
    </row>
    <row r="1261" spans="1:21" x14ac:dyDescent="0.2">
      <c r="A1261" t="s">
        <v>448</v>
      </c>
      <c r="B1261">
        <v>584800</v>
      </c>
      <c r="C1261" t="s">
        <v>6945</v>
      </c>
      <c r="D1261" t="s">
        <v>448</v>
      </c>
      <c r="E1261" t="s">
        <v>6974</v>
      </c>
      <c r="F1261">
        <v>22</v>
      </c>
      <c r="G1261">
        <v>15</v>
      </c>
      <c r="H1261" t="s">
        <v>9473</v>
      </c>
      <c r="J1261" t="s">
        <v>877</v>
      </c>
      <c r="M1261" t="s">
        <v>9474</v>
      </c>
      <c r="N1261">
        <v>2.2220813349999999</v>
      </c>
      <c r="O1261">
        <v>6.5440947090000003</v>
      </c>
      <c r="P1261">
        <v>0.58228215500000002</v>
      </c>
      <c r="Q1261">
        <v>0.35188233000000002</v>
      </c>
      <c r="S1261" s="13">
        <v>-1.266671697</v>
      </c>
      <c r="T1261">
        <v>0.39012723900000001</v>
      </c>
      <c r="U1261">
        <v>-0.16436010400000001</v>
      </c>
    </row>
    <row r="1262" spans="1:21" x14ac:dyDescent="0.2">
      <c r="A1262" t="s">
        <v>1052</v>
      </c>
      <c r="B1262">
        <v>722760</v>
      </c>
      <c r="C1262" t="s">
        <v>6927</v>
      </c>
      <c r="D1262" t="s">
        <v>1052</v>
      </c>
      <c r="E1262" t="s">
        <v>7085</v>
      </c>
      <c r="F1262">
        <v>19</v>
      </c>
      <c r="G1262">
        <v>9</v>
      </c>
      <c r="H1262" t="s">
        <v>9475</v>
      </c>
      <c r="J1262" t="s">
        <v>9476</v>
      </c>
      <c r="M1262" t="s">
        <v>9477</v>
      </c>
      <c r="N1262">
        <v>1.982575982</v>
      </c>
      <c r="O1262">
        <v>3.4571926419999999</v>
      </c>
      <c r="P1262">
        <v>-0.114791479</v>
      </c>
      <c r="Q1262">
        <v>1.868949E-3</v>
      </c>
      <c r="S1262" s="13">
        <v>-1.267779692</v>
      </c>
      <c r="T1262">
        <v>0.385285557</v>
      </c>
      <c r="U1262">
        <v>-0.13845863</v>
      </c>
    </row>
    <row r="1263" spans="1:21" x14ac:dyDescent="0.2">
      <c r="A1263" t="s">
        <v>645</v>
      </c>
      <c r="B1263">
        <v>661600</v>
      </c>
      <c r="C1263" t="s">
        <v>6942</v>
      </c>
      <c r="D1263" t="s">
        <v>645</v>
      </c>
      <c r="E1263" t="s">
        <v>6974</v>
      </c>
      <c r="F1263">
        <v>12</v>
      </c>
      <c r="G1263">
        <v>15</v>
      </c>
      <c r="H1263" t="s">
        <v>9478</v>
      </c>
      <c r="J1263" t="s">
        <v>1408</v>
      </c>
      <c r="M1263" t="s">
        <v>9479</v>
      </c>
      <c r="N1263">
        <v>2.0902262079999998</v>
      </c>
      <c r="O1263">
        <v>4.2704203920000001</v>
      </c>
      <c r="P1263">
        <v>0.23425843900000001</v>
      </c>
      <c r="Q1263">
        <v>1.6181978999999999E-2</v>
      </c>
      <c r="S1263" s="13">
        <v>-1.267887639</v>
      </c>
      <c r="T1263">
        <v>0.38481385099999998</v>
      </c>
      <c r="U1263">
        <v>-0.16024295399999999</v>
      </c>
    </row>
    <row r="1264" spans="1:21" x14ac:dyDescent="0.2">
      <c r="A1264" t="s">
        <v>1511</v>
      </c>
      <c r="B1264">
        <v>582920</v>
      </c>
      <c r="C1264" t="s">
        <v>6945</v>
      </c>
      <c r="D1264" t="s">
        <v>1512</v>
      </c>
      <c r="E1264" t="s">
        <v>6970</v>
      </c>
      <c r="F1264">
        <v>4</v>
      </c>
      <c r="G1264">
        <v>14</v>
      </c>
      <c r="H1264" t="s">
        <v>9480</v>
      </c>
      <c r="J1264" t="s">
        <v>2372</v>
      </c>
      <c r="M1264" t="s">
        <v>9481</v>
      </c>
      <c r="N1264">
        <v>2.2220813349999999</v>
      </c>
      <c r="O1264">
        <v>6.5440947090000003</v>
      </c>
      <c r="P1264">
        <v>0.58228215500000002</v>
      </c>
      <c r="Q1264">
        <v>0.35188233000000002</v>
      </c>
      <c r="S1264" s="13">
        <v>-1.268444981</v>
      </c>
      <c r="T1264">
        <v>0.38237839499999998</v>
      </c>
      <c r="U1264">
        <v>-0.16565389699999999</v>
      </c>
    </row>
    <row r="1265" spans="1:21" x14ac:dyDescent="0.2">
      <c r="A1265" t="s">
        <v>807</v>
      </c>
      <c r="B1265">
        <v>393280</v>
      </c>
      <c r="C1265" t="s">
        <v>6961</v>
      </c>
      <c r="D1265" t="s">
        <v>807</v>
      </c>
      <c r="E1265" t="s">
        <v>6977</v>
      </c>
      <c r="F1265">
        <v>14</v>
      </c>
      <c r="G1265">
        <v>5</v>
      </c>
      <c r="H1265" t="s">
        <v>9482</v>
      </c>
      <c r="J1265" t="s">
        <v>6393</v>
      </c>
      <c r="M1265" t="s">
        <v>9483</v>
      </c>
      <c r="N1265">
        <v>2.7247480949999998</v>
      </c>
      <c r="O1265">
        <v>7.0822175119999997</v>
      </c>
      <c r="P1265">
        <v>0.61298291999999999</v>
      </c>
      <c r="Q1265">
        <v>0.48262032500000002</v>
      </c>
      <c r="S1265" s="13">
        <v>-1.2684683830000001</v>
      </c>
      <c r="T1265">
        <v>0.38227613399999999</v>
      </c>
      <c r="U1265">
        <v>-0.18587008299999999</v>
      </c>
    </row>
    <row r="1266" spans="1:21" x14ac:dyDescent="0.2">
      <c r="A1266" t="s">
        <v>1092</v>
      </c>
      <c r="B1266">
        <v>752840</v>
      </c>
      <c r="C1266" t="s">
        <v>6938</v>
      </c>
      <c r="D1266" t="s">
        <v>1092</v>
      </c>
      <c r="E1266" t="s">
        <v>6970</v>
      </c>
      <c r="F1266">
        <v>20</v>
      </c>
      <c r="G1266">
        <v>14</v>
      </c>
      <c r="H1266" t="s">
        <v>9484</v>
      </c>
      <c r="J1266" t="s">
        <v>4347</v>
      </c>
      <c r="M1266" t="s">
        <v>9485</v>
      </c>
      <c r="N1266">
        <v>2.092758737</v>
      </c>
      <c r="O1266">
        <v>5.3323610669999999</v>
      </c>
      <c r="P1266">
        <v>0.70420098600000003</v>
      </c>
      <c r="Q1266">
        <v>0.41355372699999998</v>
      </c>
      <c r="S1266" s="13">
        <v>-1.2685675030000001</v>
      </c>
      <c r="T1266">
        <v>0.38184300300000001</v>
      </c>
      <c r="U1266">
        <v>-0.14112103000000001</v>
      </c>
    </row>
    <row r="1267" spans="1:21" x14ac:dyDescent="0.2">
      <c r="A1267" t="s">
        <v>859</v>
      </c>
      <c r="B1267">
        <v>582360</v>
      </c>
      <c r="C1267" t="s">
        <v>6945</v>
      </c>
      <c r="D1267" t="s">
        <v>859</v>
      </c>
      <c r="E1267" t="s">
        <v>7115</v>
      </c>
      <c r="F1267">
        <v>19</v>
      </c>
      <c r="G1267">
        <v>10</v>
      </c>
      <c r="H1267" t="s">
        <v>9486</v>
      </c>
      <c r="J1267" t="s">
        <v>4094</v>
      </c>
      <c r="M1267" t="s">
        <v>9487</v>
      </c>
      <c r="N1267">
        <v>2.2220813349999999</v>
      </c>
      <c r="O1267">
        <v>6.5440947090000003</v>
      </c>
      <c r="P1267">
        <v>0.58228215500000002</v>
      </c>
      <c r="Q1267">
        <v>0.35188233000000002</v>
      </c>
      <c r="S1267" s="13">
        <v>-1.2689731930000001</v>
      </c>
      <c r="T1267">
        <v>0.38007022800000001</v>
      </c>
      <c r="U1267">
        <v>-0.16604002900000001</v>
      </c>
    </row>
    <row r="1268" spans="1:21" x14ac:dyDescent="0.2">
      <c r="A1268" t="s">
        <v>769</v>
      </c>
      <c r="B1268">
        <v>660240</v>
      </c>
      <c r="C1268" t="s">
        <v>6942</v>
      </c>
      <c r="D1268" t="s">
        <v>769</v>
      </c>
      <c r="E1268" t="s">
        <v>6911</v>
      </c>
      <c r="F1268">
        <v>12</v>
      </c>
      <c r="G1268">
        <v>12</v>
      </c>
      <c r="H1268" t="s">
        <v>9488</v>
      </c>
      <c r="J1268" t="s">
        <v>771</v>
      </c>
      <c r="M1268" t="s">
        <v>9489</v>
      </c>
      <c r="N1268">
        <v>2.0902262079999998</v>
      </c>
      <c r="O1268">
        <v>4.2704203920000001</v>
      </c>
      <c r="P1268">
        <v>0.23425843900000001</v>
      </c>
      <c r="Q1268">
        <v>1.6181978999999999E-2</v>
      </c>
      <c r="S1268" s="13">
        <v>-1.2692224640000001</v>
      </c>
      <c r="T1268">
        <v>0.37898096999999997</v>
      </c>
      <c r="U1268">
        <v>-0.16116966799999999</v>
      </c>
    </row>
    <row r="1269" spans="1:21" x14ac:dyDescent="0.2">
      <c r="A1269" t="s">
        <v>2488</v>
      </c>
      <c r="B1269">
        <v>581720</v>
      </c>
      <c r="C1269" t="s">
        <v>6945</v>
      </c>
      <c r="D1269" t="s">
        <v>2488</v>
      </c>
      <c r="E1269" t="s">
        <v>6907</v>
      </c>
      <c r="F1269">
        <v>10</v>
      </c>
      <c r="G1269">
        <v>4</v>
      </c>
      <c r="H1269" t="s">
        <v>9490</v>
      </c>
      <c r="J1269" t="s">
        <v>3426</v>
      </c>
      <c r="M1269" t="s">
        <v>9491</v>
      </c>
      <c r="N1269">
        <v>2.2220813349999999</v>
      </c>
      <c r="O1269">
        <v>6.5440947090000003</v>
      </c>
      <c r="P1269">
        <v>0.58228215500000002</v>
      </c>
      <c r="Q1269">
        <v>0.35188233000000002</v>
      </c>
      <c r="S1269" s="13">
        <v>-1.269576864</v>
      </c>
      <c r="T1269">
        <v>0.37743232300000001</v>
      </c>
      <c r="U1269">
        <v>-0.16648174299999999</v>
      </c>
    </row>
    <row r="1270" spans="1:21" x14ac:dyDescent="0.2">
      <c r="A1270" t="s">
        <v>2230</v>
      </c>
      <c r="B1270">
        <v>721000</v>
      </c>
      <c r="C1270" t="s">
        <v>6927</v>
      </c>
      <c r="D1270" t="s">
        <v>2231</v>
      </c>
      <c r="E1270" t="s">
        <v>7115</v>
      </c>
      <c r="F1270">
        <v>2</v>
      </c>
      <c r="G1270">
        <v>10</v>
      </c>
      <c r="H1270" t="s">
        <v>9492</v>
      </c>
      <c r="J1270" t="s">
        <v>9493</v>
      </c>
      <c r="M1270" t="s">
        <v>9494</v>
      </c>
      <c r="N1270">
        <v>1.982575982</v>
      </c>
      <c r="O1270">
        <v>3.4571926419999999</v>
      </c>
      <c r="P1270">
        <v>-0.114791479</v>
      </c>
      <c r="Q1270">
        <v>1.868949E-3</v>
      </c>
      <c r="S1270" s="13">
        <v>-1.2696059099999999</v>
      </c>
      <c r="T1270">
        <v>0.37730539899999999</v>
      </c>
      <c r="U1270">
        <v>-0.13959951500000001</v>
      </c>
    </row>
    <row r="1271" spans="1:21" x14ac:dyDescent="0.2">
      <c r="A1271" t="s">
        <v>1675</v>
      </c>
      <c r="B1271">
        <v>690320</v>
      </c>
      <c r="C1271" t="s">
        <v>6910</v>
      </c>
      <c r="D1271" t="s">
        <v>1675</v>
      </c>
      <c r="E1271" t="s">
        <v>6915</v>
      </c>
      <c r="F1271">
        <v>21</v>
      </c>
      <c r="G1271">
        <v>13</v>
      </c>
      <c r="H1271" t="s">
        <v>9495</v>
      </c>
      <c r="J1271" t="s">
        <v>5905</v>
      </c>
      <c r="M1271" t="s">
        <v>9496</v>
      </c>
      <c r="N1271">
        <v>1.9874741039999999</v>
      </c>
      <c r="O1271">
        <v>3.7453511220000002</v>
      </c>
      <c r="P1271">
        <v>0.451009722</v>
      </c>
      <c r="Q1271">
        <v>-0.102386592</v>
      </c>
      <c r="S1271" s="13">
        <v>-1.269973963</v>
      </c>
      <c r="T1271">
        <v>0.37569709099999998</v>
      </c>
      <c r="U1271">
        <v>-8.7764549999999997E-2</v>
      </c>
    </row>
    <row r="1272" spans="1:21" x14ac:dyDescent="0.2">
      <c r="A1272" t="s">
        <v>572</v>
      </c>
      <c r="B1272">
        <v>750840</v>
      </c>
      <c r="C1272" t="s">
        <v>6938</v>
      </c>
      <c r="D1272" t="s">
        <v>572</v>
      </c>
      <c r="E1272" t="s">
        <v>7006</v>
      </c>
      <c r="F1272">
        <v>13</v>
      </c>
      <c r="G1272">
        <v>3</v>
      </c>
      <c r="H1272" t="s">
        <v>9497</v>
      </c>
      <c r="J1272" t="s">
        <v>5771</v>
      </c>
      <c r="M1272" t="s">
        <v>9498</v>
      </c>
      <c r="N1272">
        <v>2.092758737</v>
      </c>
      <c r="O1272">
        <v>5.3323610669999999</v>
      </c>
      <c r="P1272">
        <v>0.70420098600000003</v>
      </c>
      <c r="Q1272">
        <v>0.41355372699999998</v>
      </c>
      <c r="S1272" s="13">
        <v>-1.270285125</v>
      </c>
      <c r="T1272">
        <v>0.374337384</v>
      </c>
      <c r="U1272">
        <v>-0.14242570800000001</v>
      </c>
    </row>
    <row r="1273" spans="1:21" x14ac:dyDescent="0.2">
      <c r="A1273" t="s">
        <v>772</v>
      </c>
      <c r="B1273">
        <v>750640</v>
      </c>
      <c r="C1273" t="s">
        <v>6938</v>
      </c>
      <c r="D1273" t="s">
        <v>772</v>
      </c>
      <c r="E1273" t="s">
        <v>6928</v>
      </c>
      <c r="F1273">
        <v>18</v>
      </c>
      <c r="G1273">
        <v>16</v>
      </c>
      <c r="H1273" t="s">
        <v>9499</v>
      </c>
      <c r="J1273" t="s">
        <v>2614</v>
      </c>
      <c r="M1273" t="s">
        <v>9500</v>
      </c>
      <c r="N1273">
        <v>2.092758737</v>
      </c>
      <c r="O1273">
        <v>5.3323610669999999</v>
      </c>
      <c r="P1273">
        <v>0.70420098600000003</v>
      </c>
      <c r="Q1273">
        <v>0.41355372699999998</v>
      </c>
      <c r="S1273" s="13">
        <v>-1.270456888</v>
      </c>
      <c r="T1273">
        <v>0.37358682199999999</v>
      </c>
      <c r="U1273">
        <v>-0.142556392</v>
      </c>
    </row>
    <row r="1274" spans="1:21" x14ac:dyDescent="0.2">
      <c r="A1274" t="s">
        <v>1550</v>
      </c>
      <c r="B1274">
        <v>750440</v>
      </c>
      <c r="C1274" t="s">
        <v>6938</v>
      </c>
      <c r="D1274" t="s">
        <v>1550</v>
      </c>
      <c r="E1274" t="s">
        <v>6974</v>
      </c>
      <c r="F1274">
        <v>14</v>
      </c>
      <c r="G1274">
        <v>15</v>
      </c>
      <c r="H1274" t="s">
        <v>9501</v>
      </c>
      <c r="J1274" t="s">
        <v>2896</v>
      </c>
      <c r="M1274" t="s">
        <v>9502</v>
      </c>
      <c r="N1274">
        <v>2.092758737</v>
      </c>
      <c r="O1274">
        <v>5.3323610669999999</v>
      </c>
      <c r="P1274">
        <v>0.70420098600000003</v>
      </c>
      <c r="Q1274">
        <v>0.41355372699999998</v>
      </c>
      <c r="S1274" s="13">
        <v>-1.2706286499999999</v>
      </c>
      <c r="T1274">
        <v>0.372836261</v>
      </c>
      <c r="U1274">
        <v>-0.142687115</v>
      </c>
    </row>
    <row r="1275" spans="1:21" x14ac:dyDescent="0.2">
      <c r="A1275" t="s">
        <v>1290</v>
      </c>
      <c r="B1275">
        <v>390480</v>
      </c>
      <c r="C1275" t="s">
        <v>6961</v>
      </c>
      <c r="D1275" t="s">
        <v>1291</v>
      </c>
      <c r="E1275" t="s">
        <v>6924</v>
      </c>
      <c r="F1275">
        <v>7</v>
      </c>
      <c r="G1275">
        <v>6</v>
      </c>
      <c r="H1275" t="s">
        <v>9503</v>
      </c>
      <c r="J1275" t="s">
        <v>5965</v>
      </c>
      <c r="M1275" t="s">
        <v>9504</v>
      </c>
      <c r="N1275">
        <v>2.7247480949999998</v>
      </c>
      <c r="O1275">
        <v>7.0822175119999997</v>
      </c>
      <c r="P1275">
        <v>0.61298291999999999</v>
      </c>
      <c r="Q1275">
        <v>0.48262032500000002</v>
      </c>
      <c r="S1275" s="13">
        <v>-1.270684905</v>
      </c>
      <c r="T1275">
        <v>0.372590437</v>
      </c>
      <c r="U1275">
        <v>-0.18789655799999999</v>
      </c>
    </row>
    <row r="1276" spans="1:21" x14ac:dyDescent="0.2">
      <c r="A1276" t="s">
        <v>465</v>
      </c>
      <c r="B1276">
        <v>658680</v>
      </c>
      <c r="C1276" t="s">
        <v>6942</v>
      </c>
      <c r="D1276" t="s">
        <v>466</v>
      </c>
      <c r="E1276" t="s">
        <v>6939</v>
      </c>
      <c r="F1276">
        <v>8</v>
      </c>
      <c r="G1276">
        <v>2</v>
      </c>
      <c r="H1276" t="s">
        <v>9505</v>
      </c>
      <c r="J1276" t="s">
        <v>468</v>
      </c>
      <c r="M1276" t="s">
        <v>9506</v>
      </c>
      <c r="N1276">
        <v>2.0902262079999998</v>
      </c>
      <c r="O1276">
        <v>4.2704203920000001</v>
      </c>
      <c r="P1276">
        <v>0.23425843900000001</v>
      </c>
      <c r="Q1276">
        <v>1.6181978999999999E-2</v>
      </c>
      <c r="S1276" s="13">
        <v>-1.270753587</v>
      </c>
      <c r="T1276">
        <v>0.37229031299999998</v>
      </c>
      <c r="U1276">
        <v>-0.16223510299999999</v>
      </c>
    </row>
    <row r="1277" spans="1:21" x14ac:dyDescent="0.2">
      <c r="A1277" t="s">
        <v>547</v>
      </c>
      <c r="B1277">
        <v>719760</v>
      </c>
      <c r="C1277" t="s">
        <v>6927</v>
      </c>
      <c r="D1277" t="s">
        <v>548</v>
      </c>
      <c r="E1277" t="s">
        <v>6970</v>
      </c>
      <c r="F1277">
        <v>5</v>
      </c>
      <c r="G1277">
        <v>14</v>
      </c>
      <c r="H1277" t="s">
        <v>9507</v>
      </c>
      <c r="J1277" t="s">
        <v>9508</v>
      </c>
      <c r="M1277" t="s">
        <v>9509</v>
      </c>
      <c r="N1277">
        <v>1.982575982</v>
      </c>
      <c r="O1277">
        <v>3.4571926419999999</v>
      </c>
      <c r="P1277">
        <v>-0.114791479</v>
      </c>
      <c r="Q1277">
        <v>1.868949E-3</v>
      </c>
      <c r="S1277" s="13">
        <v>-1.2708925639999999</v>
      </c>
      <c r="T1277">
        <v>0.37168301500000001</v>
      </c>
      <c r="U1277">
        <v>-0.14040512399999999</v>
      </c>
    </row>
    <row r="1278" spans="1:21" x14ac:dyDescent="0.2">
      <c r="A1278" t="s">
        <v>392</v>
      </c>
      <c r="B1278">
        <v>750120</v>
      </c>
      <c r="C1278" t="s">
        <v>6938</v>
      </c>
      <c r="D1278" t="s">
        <v>392</v>
      </c>
      <c r="E1278" t="s">
        <v>7006</v>
      </c>
      <c r="F1278">
        <v>21</v>
      </c>
      <c r="G1278">
        <v>3</v>
      </c>
      <c r="H1278" t="s">
        <v>9510</v>
      </c>
      <c r="J1278" t="s">
        <v>5289</v>
      </c>
      <c r="M1278" t="s">
        <v>9511</v>
      </c>
      <c r="N1278">
        <v>2.092758737</v>
      </c>
      <c r="O1278">
        <v>5.3323610669999999</v>
      </c>
      <c r="P1278">
        <v>0.70420098600000003</v>
      </c>
      <c r="Q1278">
        <v>0.41355372699999998</v>
      </c>
      <c r="S1278" s="13">
        <v>-1.2709034699999999</v>
      </c>
      <c r="T1278">
        <v>0.37163536200000002</v>
      </c>
      <c r="U1278">
        <v>-0.142896353</v>
      </c>
    </row>
    <row r="1279" spans="1:21" x14ac:dyDescent="0.2">
      <c r="A1279" t="s">
        <v>1181</v>
      </c>
      <c r="B1279">
        <v>660200</v>
      </c>
      <c r="C1279" t="s">
        <v>6906</v>
      </c>
      <c r="D1279" t="s">
        <v>1181</v>
      </c>
      <c r="E1279" t="s">
        <v>6956</v>
      </c>
      <c r="F1279">
        <v>23</v>
      </c>
      <c r="G1279">
        <v>7</v>
      </c>
      <c r="H1279" t="s">
        <v>9512</v>
      </c>
      <c r="J1279" t="s">
        <v>4081</v>
      </c>
      <c r="M1279" t="s">
        <v>9513</v>
      </c>
      <c r="N1279">
        <v>1.813871112</v>
      </c>
      <c r="O1279">
        <v>2.6633694910000001</v>
      </c>
      <c r="P1279">
        <v>-0.29586356800000002</v>
      </c>
      <c r="Q1279">
        <v>-0.59018158399999998</v>
      </c>
      <c r="S1279" s="13">
        <v>-1.27091252</v>
      </c>
      <c r="T1279">
        <v>0.37159581400000002</v>
      </c>
      <c r="U1279">
        <v>-0.13017401100000001</v>
      </c>
    </row>
    <row r="1280" spans="1:21" x14ac:dyDescent="0.2">
      <c r="A1280" t="s">
        <v>2911</v>
      </c>
      <c r="B1280">
        <v>750000</v>
      </c>
      <c r="C1280" t="s">
        <v>6938</v>
      </c>
      <c r="D1280" t="s">
        <v>2912</v>
      </c>
      <c r="E1280" t="s">
        <v>6946</v>
      </c>
      <c r="F1280">
        <v>6</v>
      </c>
      <c r="G1280">
        <v>11</v>
      </c>
      <c r="H1280" t="s">
        <v>9514</v>
      </c>
      <c r="J1280" t="s">
        <v>3851</v>
      </c>
      <c r="M1280" t="s">
        <v>9515</v>
      </c>
      <c r="N1280">
        <v>2.092758737</v>
      </c>
      <c r="O1280">
        <v>5.3323610669999999</v>
      </c>
      <c r="P1280">
        <v>0.70420098600000003</v>
      </c>
      <c r="Q1280">
        <v>0.41355372699999998</v>
      </c>
      <c r="S1280" s="13">
        <v>-1.2710065269999999</v>
      </c>
      <c r="T1280">
        <v>0.37118502399999997</v>
      </c>
      <c r="U1280">
        <v>-0.14297484399999999</v>
      </c>
    </row>
    <row r="1281" spans="1:21" x14ac:dyDescent="0.2">
      <c r="A1281" t="s">
        <v>1582</v>
      </c>
      <c r="B1281">
        <v>658280</v>
      </c>
      <c r="C1281" t="s">
        <v>6942</v>
      </c>
      <c r="D1281" t="s">
        <v>1583</v>
      </c>
      <c r="E1281" t="s">
        <v>7006</v>
      </c>
      <c r="F1281">
        <v>9</v>
      </c>
      <c r="G1281">
        <v>3</v>
      </c>
      <c r="H1281" t="s">
        <v>9516</v>
      </c>
      <c r="J1281" t="s">
        <v>1985</v>
      </c>
      <c r="M1281" t="s">
        <v>9517</v>
      </c>
      <c r="N1281">
        <v>2.0902262079999998</v>
      </c>
      <c r="O1281">
        <v>4.2704203920000001</v>
      </c>
      <c r="P1281">
        <v>0.23425843900000001</v>
      </c>
      <c r="Q1281">
        <v>1.6181978999999999E-2</v>
      </c>
      <c r="S1281" s="13">
        <v>-1.2711461829999999</v>
      </c>
      <c r="T1281">
        <v>0.37057475899999998</v>
      </c>
      <c r="U1281">
        <v>-0.162508713</v>
      </c>
    </row>
    <row r="1282" spans="1:21" x14ac:dyDescent="0.2">
      <c r="A1282" t="s">
        <v>139</v>
      </c>
      <c r="B1282">
        <v>389720</v>
      </c>
      <c r="C1282" t="s">
        <v>6961</v>
      </c>
      <c r="D1282" t="s">
        <v>139</v>
      </c>
      <c r="E1282" t="s">
        <v>6939</v>
      </c>
      <c r="F1282">
        <v>17</v>
      </c>
      <c r="G1282">
        <v>2</v>
      </c>
      <c r="H1282" t="s">
        <v>9518</v>
      </c>
      <c r="J1282" t="s">
        <v>1571</v>
      </c>
      <c r="M1282" t="s">
        <v>9519</v>
      </c>
      <c r="N1282">
        <v>2.7247480949999998</v>
      </c>
      <c r="O1282">
        <v>7.0822175119999997</v>
      </c>
      <c r="P1282">
        <v>0.61298291999999999</v>
      </c>
      <c r="Q1282">
        <v>0.48262032500000002</v>
      </c>
      <c r="S1282" s="13">
        <v>-1.2712865330000001</v>
      </c>
      <c r="T1282">
        <v>0.36996146200000002</v>
      </c>
      <c r="U1282">
        <v>-0.18844823699999999</v>
      </c>
    </row>
    <row r="1283" spans="1:21" x14ac:dyDescent="0.2">
      <c r="A1283" t="s">
        <v>289</v>
      </c>
      <c r="B1283">
        <v>786240</v>
      </c>
      <c r="C1283" t="s">
        <v>6914</v>
      </c>
      <c r="D1283" t="s">
        <v>290</v>
      </c>
      <c r="E1283" t="s">
        <v>6977</v>
      </c>
      <c r="F1283">
        <v>5</v>
      </c>
      <c r="G1283">
        <v>5</v>
      </c>
      <c r="H1283" t="s">
        <v>9520</v>
      </c>
      <c r="J1283" t="s">
        <v>292</v>
      </c>
      <c r="M1283" t="s">
        <v>9521</v>
      </c>
      <c r="N1283">
        <v>1.8217074179999999</v>
      </c>
      <c r="O1283">
        <v>4.1700741289999996</v>
      </c>
      <c r="P1283">
        <v>0.189705977</v>
      </c>
      <c r="Q1283">
        <v>-1.7194070999999998E-2</v>
      </c>
      <c r="S1283" s="13">
        <v>-1.271318948</v>
      </c>
      <c r="T1283">
        <v>0.369819815</v>
      </c>
      <c r="U1283">
        <v>-0.14938015299999999</v>
      </c>
    </row>
    <row r="1284" spans="1:21" x14ac:dyDescent="0.2">
      <c r="A1284" t="s">
        <v>477</v>
      </c>
      <c r="B1284">
        <v>609720</v>
      </c>
      <c r="C1284" t="s">
        <v>6931</v>
      </c>
      <c r="D1284" t="s">
        <v>477</v>
      </c>
      <c r="E1284" t="s">
        <v>6918</v>
      </c>
      <c r="F1284">
        <v>12</v>
      </c>
      <c r="G1284">
        <v>1</v>
      </c>
      <c r="H1284" t="s">
        <v>9522</v>
      </c>
      <c r="N1284">
        <v>1.9323965059999999</v>
      </c>
      <c r="O1284">
        <v>3.0528020530000002</v>
      </c>
      <c r="P1284">
        <v>2.6493138999999999E-2</v>
      </c>
      <c r="Q1284">
        <v>-0.38692188</v>
      </c>
      <c r="S1284" s="13">
        <v>-1.2713487939999999</v>
      </c>
      <c r="T1284">
        <v>0.369689394</v>
      </c>
      <c r="U1284">
        <v>-8.9172405999999996E-2</v>
      </c>
    </row>
    <row r="1285" spans="1:21" x14ac:dyDescent="0.2">
      <c r="A1285" t="s">
        <v>2871</v>
      </c>
      <c r="B1285">
        <v>579800</v>
      </c>
      <c r="C1285" t="s">
        <v>6945</v>
      </c>
      <c r="D1285" t="s">
        <v>2871</v>
      </c>
      <c r="E1285" t="s">
        <v>6907</v>
      </c>
      <c r="F1285">
        <v>21</v>
      </c>
      <c r="G1285">
        <v>4</v>
      </c>
      <c r="H1285" t="s">
        <v>9523</v>
      </c>
      <c r="J1285" t="s">
        <v>2932</v>
      </c>
      <c r="M1285" t="s">
        <v>9524</v>
      </c>
      <c r="N1285">
        <v>2.2220813349999999</v>
      </c>
      <c r="O1285">
        <v>6.5440947090000003</v>
      </c>
      <c r="P1285">
        <v>0.58228215500000002</v>
      </c>
      <c r="Q1285">
        <v>0.35188233000000002</v>
      </c>
      <c r="S1285" s="13">
        <v>-1.2713878780000001</v>
      </c>
      <c r="T1285">
        <v>0.36951861000000003</v>
      </c>
      <c r="U1285">
        <v>-0.16780958700000001</v>
      </c>
    </row>
    <row r="1286" spans="1:21" x14ac:dyDescent="0.2">
      <c r="A1286" t="s">
        <v>1104</v>
      </c>
      <c r="B1286">
        <v>786000</v>
      </c>
      <c r="C1286" t="s">
        <v>6914</v>
      </c>
      <c r="D1286" t="s">
        <v>1105</v>
      </c>
      <c r="E1286" t="s">
        <v>6956</v>
      </c>
      <c r="F1286">
        <v>2</v>
      </c>
      <c r="G1286">
        <v>7</v>
      </c>
      <c r="H1286" t="s">
        <v>9525</v>
      </c>
      <c r="J1286" t="s">
        <v>4515</v>
      </c>
      <c r="M1286" t="s">
        <v>9526</v>
      </c>
      <c r="N1286">
        <v>1.8217074179999999</v>
      </c>
      <c r="O1286">
        <v>4.1700741289999996</v>
      </c>
      <c r="P1286">
        <v>0.189705977</v>
      </c>
      <c r="Q1286">
        <v>-1.7194070999999998E-2</v>
      </c>
      <c r="S1286" s="13">
        <v>-1.2716076110000001</v>
      </c>
      <c r="T1286">
        <v>0.368558424</v>
      </c>
      <c r="U1286">
        <v>-0.14953950999999999</v>
      </c>
    </row>
    <row r="1287" spans="1:21" x14ac:dyDescent="0.2">
      <c r="A1287" t="s">
        <v>280</v>
      </c>
      <c r="B1287">
        <v>659560</v>
      </c>
      <c r="C1287" t="s">
        <v>6906</v>
      </c>
      <c r="D1287" t="s">
        <v>280</v>
      </c>
      <c r="E1287" t="s">
        <v>6921</v>
      </c>
      <c r="F1287">
        <v>24</v>
      </c>
      <c r="G1287">
        <v>8</v>
      </c>
      <c r="H1287" t="s">
        <v>9527</v>
      </c>
      <c r="J1287" t="s">
        <v>414</v>
      </c>
      <c r="M1287" t="s">
        <v>9528</v>
      </c>
      <c r="N1287">
        <v>1.813871112</v>
      </c>
      <c r="O1287">
        <v>2.6633694910000001</v>
      </c>
      <c r="P1287">
        <v>-0.29586356800000002</v>
      </c>
      <c r="Q1287">
        <v>-0.59018158399999998</v>
      </c>
      <c r="S1287" s="13">
        <v>-1.2718409980000001</v>
      </c>
      <c r="T1287">
        <v>0.36753857600000001</v>
      </c>
      <c r="U1287">
        <v>-0.130580696</v>
      </c>
    </row>
    <row r="1288" spans="1:21" x14ac:dyDescent="0.2">
      <c r="A1288" t="s">
        <v>522</v>
      </c>
      <c r="B1288">
        <v>718840</v>
      </c>
      <c r="C1288" t="s">
        <v>6927</v>
      </c>
      <c r="D1288" t="s">
        <v>522</v>
      </c>
      <c r="E1288" t="s">
        <v>6977</v>
      </c>
      <c r="F1288">
        <v>15</v>
      </c>
      <c r="G1288">
        <v>5</v>
      </c>
      <c r="H1288" t="s">
        <v>9529</v>
      </c>
      <c r="J1288" t="s">
        <v>9530</v>
      </c>
      <c r="M1288" t="s">
        <v>9531</v>
      </c>
      <c r="N1288">
        <v>1.982575982</v>
      </c>
      <c r="O1288">
        <v>3.4571926419999999</v>
      </c>
      <c r="P1288">
        <v>-0.114791479</v>
      </c>
      <c r="Q1288">
        <v>1.868949E-3</v>
      </c>
      <c r="S1288" s="13">
        <v>-1.2718471790000001</v>
      </c>
      <c r="T1288">
        <v>0.36751156800000001</v>
      </c>
      <c r="U1288">
        <v>-0.14100380000000001</v>
      </c>
    </row>
    <row r="1289" spans="1:21" x14ac:dyDescent="0.2">
      <c r="A1289" t="s">
        <v>236</v>
      </c>
      <c r="B1289">
        <v>659400</v>
      </c>
      <c r="C1289" t="s">
        <v>6906</v>
      </c>
      <c r="D1289" t="s">
        <v>236</v>
      </c>
      <c r="E1289" t="s">
        <v>7006</v>
      </c>
      <c r="F1289">
        <v>17</v>
      </c>
      <c r="G1289">
        <v>3</v>
      </c>
      <c r="H1289" t="s">
        <v>9532</v>
      </c>
      <c r="J1289" t="s">
        <v>238</v>
      </c>
      <c r="M1289" t="s">
        <v>9533</v>
      </c>
      <c r="N1289">
        <v>1.813871112</v>
      </c>
      <c r="O1289">
        <v>2.6633694910000001</v>
      </c>
      <c r="P1289">
        <v>-0.29586356800000002</v>
      </c>
      <c r="Q1289">
        <v>-0.59018158399999998</v>
      </c>
      <c r="S1289" s="13">
        <v>-1.272073118</v>
      </c>
      <c r="T1289">
        <v>0.36652426700000001</v>
      </c>
      <c r="U1289">
        <v>-0.13068242599999999</v>
      </c>
    </row>
    <row r="1290" spans="1:21" x14ac:dyDescent="0.2">
      <c r="A1290" t="s">
        <v>746</v>
      </c>
      <c r="B1290">
        <v>748680</v>
      </c>
      <c r="C1290" t="s">
        <v>6938</v>
      </c>
      <c r="D1290" t="s">
        <v>746</v>
      </c>
      <c r="E1290" t="s">
        <v>6974</v>
      </c>
      <c r="F1290">
        <v>19</v>
      </c>
      <c r="G1290">
        <v>15</v>
      </c>
      <c r="H1290" t="s">
        <v>9534</v>
      </c>
      <c r="J1290" t="s">
        <v>4398</v>
      </c>
      <c r="M1290" t="s">
        <v>9535</v>
      </c>
      <c r="N1290">
        <v>2.092758737</v>
      </c>
      <c r="O1290">
        <v>5.3323610669999999</v>
      </c>
      <c r="P1290">
        <v>0.70420098600000003</v>
      </c>
      <c r="Q1290">
        <v>0.41355372699999998</v>
      </c>
      <c r="S1290" s="13">
        <v>-1.272140158</v>
      </c>
      <c r="T1290">
        <v>0.36623131599999997</v>
      </c>
      <c r="U1290">
        <v>-0.14383917700000001</v>
      </c>
    </row>
    <row r="1291" spans="1:21" x14ac:dyDescent="0.2">
      <c r="A1291" t="s">
        <v>1013</v>
      </c>
      <c r="B1291">
        <v>608920</v>
      </c>
      <c r="C1291" t="s">
        <v>6931</v>
      </c>
      <c r="D1291" t="s">
        <v>1014</v>
      </c>
      <c r="E1291" t="s">
        <v>7006</v>
      </c>
      <c r="F1291">
        <v>6</v>
      </c>
      <c r="G1291">
        <v>3</v>
      </c>
      <c r="H1291" t="s">
        <v>9536</v>
      </c>
      <c r="N1291">
        <v>1.9323965059999999</v>
      </c>
      <c r="O1291">
        <v>3.0528020530000002</v>
      </c>
      <c r="P1291">
        <v>2.6493138999999999E-2</v>
      </c>
      <c r="Q1291">
        <v>-0.38692188</v>
      </c>
      <c r="S1291" s="13">
        <v>-1.272399974</v>
      </c>
      <c r="T1291">
        <v>0.36509598100000001</v>
      </c>
      <c r="U1291">
        <v>-8.9634993999999996E-2</v>
      </c>
    </row>
    <row r="1292" spans="1:21" x14ac:dyDescent="0.2">
      <c r="A1292" t="s">
        <v>563</v>
      </c>
      <c r="B1292">
        <v>748320</v>
      </c>
      <c r="C1292" t="s">
        <v>6938</v>
      </c>
      <c r="D1292" t="s">
        <v>564</v>
      </c>
      <c r="E1292" t="s">
        <v>6928</v>
      </c>
      <c r="F1292">
        <v>9</v>
      </c>
      <c r="G1292">
        <v>16</v>
      </c>
      <c r="H1292" t="s">
        <v>9537</v>
      </c>
      <c r="J1292" t="s">
        <v>2524</v>
      </c>
      <c r="M1292" t="s">
        <v>9538</v>
      </c>
      <c r="N1292">
        <v>2.092758737</v>
      </c>
      <c r="O1292">
        <v>5.3323610669999999</v>
      </c>
      <c r="P1292">
        <v>0.70420098600000003</v>
      </c>
      <c r="Q1292">
        <v>0.41355372699999998</v>
      </c>
      <c r="S1292" s="13">
        <v>-1.2724493299999999</v>
      </c>
      <c r="T1292">
        <v>0.36488030399999999</v>
      </c>
      <c r="U1292">
        <v>-0.14407520300000001</v>
      </c>
    </row>
    <row r="1293" spans="1:21" x14ac:dyDescent="0.2">
      <c r="A1293" t="s">
        <v>1095</v>
      </c>
      <c r="B1293">
        <v>608600</v>
      </c>
      <c r="C1293" t="s">
        <v>6931</v>
      </c>
      <c r="D1293" t="s">
        <v>1096</v>
      </c>
      <c r="E1293" t="s">
        <v>6977</v>
      </c>
      <c r="F1293">
        <v>4</v>
      </c>
      <c r="G1293">
        <v>5</v>
      </c>
      <c r="H1293" t="s">
        <v>9539</v>
      </c>
      <c r="N1293">
        <v>1.9323965059999999</v>
      </c>
      <c r="O1293">
        <v>3.0528020530000002</v>
      </c>
      <c r="P1293">
        <v>2.6493138999999999E-2</v>
      </c>
      <c r="Q1293">
        <v>-0.38692188</v>
      </c>
      <c r="S1293" s="13">
        <v>-1.272820445</v>
      </c>
      <c r="T1293">
        <v>0.36325861500000001</v>
      </c>
      <c r="U1293">
        <v>-8.9820167000000006E-2</v>
      </c>
    </row>
    <row r="1294" spans="1:21" x14ac:dyDescent="0.2">
      <c r="A1294" t="s">
        <v>52</v>
      </c>
      <c r="B1294">
        <v>656560</v>
      </c>
      <c r="C1294" t="s">
        <v>6942</v>
      </c>
      <c r="D1294" t="s">
        <v>53</v>
      </c>
      <c r="E1294" t="s">
        <v>6918</v>
      </c>
      <c r="F1294">
        <v>2</v>
      </c>
      <c r="G1294">
        <v>1</v>
      </c>
      <c r="H1294" t="s">
        <v>9540</v>
      </c>
      <c r="J1294" t="s">
        <v>55</v>
      </c>
      <c r="M1294" t="s">
        <v>9541</v>
      </c>
      <c r="N1294">
        <v>2.0902262079999998</v>
      </c>
      <c r="O1294">
        <v>4.2704203920000001</v>
      </c>
      <c r="P1294">
        <v>0.23425843900000001</v>
      </c>
      <c r="Q1294">
        <v>1.6181978999999999E-2</v>
      </c>
      <c r="S1294" s="13">
        <v>-1.2728343440000001</v>
      </c>
      <c r="T1294">
        <v>0.363197881</v>
      </c>
      <c r="U1294">
        <v>-0.163687205</v>
      </c>
    </row>
    <row r="1295" spans="1:21" x14ac:dyDescent="0.2">
      <c r="A1295" t="s">
        <v>1783</v>
      </c>
      <c r="B1295">
        <v>578240</v>
      </c>
      <c r="C1295" t="s">
        <v>6945</v>
      </c>
      <c r="D1295" t="s">
        <v>1783</v>
      </c>
      <c r="E1295" t="s">
        <v>6915</v>
      </c>
      <c r="F1295">
        <v>11</v>
      </c>
      <c r="G1295">
        <v>13</v>
      </c>
      <c r="H1295" t="s">
        <v>9542</v>
      </c>
      <c r="J1295" t="s">
        <v>2956</v>
      </c>
      <c r="M1295" t="s">
        <v>9543</v>
      </c>
      <c r="N1295">
        <v>2.2220813349999999</v>
      </c>
      <c r="O1295">
        <v>6.5440947090000003</v>
      </c>
      <c r="P1295">
        <v>0.58228215500000002</v>
      </c>
      <c r="Q1295">
        <v>0.35188233000000002</v>
      </c>
      <c r="S1295" s="13">
        <v>-1.2728593260000001</v>
      </c>
      <c r="T1295">
        <v>0.36308871700000001</v>
      </c>
      <c r="U1295">
        <v>-0.16889145699999999</v>
      </c>
    </row>
    <row r="1296" spans="1:21" x14ac:dyDescent="0.2">
      <c r="A1296" t="s">
        <v>619</v>
      </c>
      <c r="B1296">
        <v>717560</v>
      </c>
      <c r="C1296" t="s">
        <v>6927</v>
      </c>
      <c r="D1296" t="s">
        <v>619</v>
      </c>
      <c r="E1296" t="s">
        <v>6939</v>
      </c>
      <c r="F1296">
        <v>22</v>
      </c>
      <c r="G1296">
        <v>2</v>
      </c>
      <c r="H1296" t="s">
        <v>9544</v>
      </c>
      <c r="J1296" t="s">
        <v>9545</v>
      </c>
      <c r="M1296" t="s">
        <v>9546</v>
      </c>
      <c r="N1296">
        <v>1.982575982</v>
      </c>
      <c r="O1296">
        <v>3.4571926419999999</v>
      </c>
      <c r="P1296">
        <v>-0.114791479</v>
      </c>
      <c r="Q1296">
        <v>1.868949E-3</v>
      </c>
      <c r="S1296" s="13">
        <v>-1.2731753379999999</v>
      </c>
      <c r="T1296">
        <v>0.36170781699999999</v>
      </c>
      <c r="U1296">
        <v>-0.14183811800000001</v>
      </c>
    </row>
    <row r="1297" spans="1:21" x14ac:dyDescent="0.2">
      <c r="A1297" t="s">
        <v>314</v>
      </c>
      <c r="B1297">
        <v>747280</v>
      </c>
      <c r="C1297" t="s">
        <v>6938</v>
      </c>
      <c r="D1297" t="s">
        <v>315</v>
      </c>
      <c r="E1297" t="s">
        <v>6915</v>
      </c>
      <c r="F1297">
        <v>6</v>
      </c>
      <c r="G1297">
        <v>13</v>
      </c>
      <c r="H1297" t="s">
        <v>9547</v>
      </c>
      <c r="J1297" t="s">
        <v>4034</v>
      </c>
      <c r="M1297" t="s">
        <v>9548</v>
      </c>
      <c r="N1297">
        <v>2.092758737</v>
      </c>
      <c r="O1297">
        <v>5.3323610669999999</v>
      </c>
      <c r="P1297">
        <v>0.70420098600000003</v>
      </c>
      <c r="Q1297">
        <v>0.41355372699999998</v>
      </c>
      <c r="S1297" s="13">
        <v>-1.273342494</v>
      </c>
      <c r="T1297">
        <v>0.36097738200000001</v>
      </c>
      <c r="U1297">
        <v>-0.144757777</v>
      </c>
    </row>
    <row r="1298" spans="1:21" x14ac:dyDescent="0.2">
      <c r="A1298" t="s">
        <v>820</v>
      </c>
      <c r="B1298">
        <v>717080</v>
      </c>
      <c r="C1298" t="s">
        <v>6927</v>
      </c>
      <c r="D1298" t="s">
        <v>820</v>
      </c>
      <c r="E1298" t="s">
        <v>6974</v>
      </c>
      <c r="F1298">
        <v>20</v>
      </c>
      <c r="G1298">
        <v>15</v>
      </c>
      <c r="H1298" t="s">
        <v>9549</v>
      </c>
      <c r="J1298" t="s">
        <v>9550</v>
      </c>
      <c r="M1298" t="s">
        <v>9551</v>
      </c>
      <c r="N1298">
        <v>1.982575982</v>
      </c>
      <c r="O1298">
        <v>3.4571926419999999</v>
      </c>
      <c r="P1298">
        <v>-0.114791479</v>
      </c>
      <c r="Q1298">
        <v>1.868949E-3</v>
      </c>
      <c r="S1298" s="13">
        <v>-1.273673397</v>
      </c>
      <c r="T1298">
        <v>0.35953141</v>
      </c>
      <c r="U1298">
        <v>-0.14215140000000001</v>
      </c>
    </row>
    <row r="1299" spans="1:21" x14ac:dyDescent="0.2">
      <c r="A1299" t="s">
        <v>883</v>
      </c>
      <c r="B1299">
        <v>655520</v>
      </c>
      <c r="C1299" t="s">
        <v>6942</v>
      </c>
      <c r="D1299" t="s">
        <v>883</v>
      </c>
      <c r="E1299" t="s">
        <v>6977</v>
      </c>
      <c r="F1299">
        <v>17</v>
      </c>
      <c r="G1299">
        <v>5</v>
      </c>
      <c r="H1299" t="s">
        <v>9552</v>
      </c>
      <c r="J1299" t="s">
        <v>2696</v>
      </c>
      <c r="M1299" t="s">
        <v>9553</v>
      </c>
      <c r="N1299">
        <v>2.0902262079999998</v>
      </c>
      <c r="O1299">
        <v>4.2704203920000001</v>
      </c>
      <c r="P1299">
        <v>0.23425843900000001</v>
      </c>
      <c r="Q1299">
        <v>1.6181978999999999E-2</v>
      </c>
      <c r="S1299" s="13">
        <v>-1.2738550930000001</v>
      </c>
      <c r="T1299">
        <v>0.35873744200000002</v>
      </c>
      <c r="U1299">
        <v>-0.16440133600000001</v>
      </c>
    </row>
    <row r="1300" spans="1:21" x14ac:dyDescent="0.2">
      <c r="A1300" t="s">
        <v>1582</v>
      </c>
      <c r="B1300">
        <v>783960</v>
      </c>
      <c r="C1300" t="s">
        <v>6914</v>
      </c>
      <c r="D1300" t="s">
        <v>1583</v>
      </c>
      <c r="E1300" t="s">
        <v>7006</v>
      </c>
      <c r="F1300">
        <v>9</v>
      </c>
      <c r="G1300">
        <v>3</v>
      </c>
      <c r="H1300" t="s">
        <v>9554</v>
      </c>
      <c r="J1300" t="s">
        <v>4236</v>
      </c>
      <c r="M1300" t="s">
        <v>9555</v>
      </c>
      <c r="N1300">
        <v>1.8217074179999999</v>
      </c>
      <c r="O1300">
        <v>4.1700741289999996</v>
      </c>
      <c r="P1300">
        <v>0.189705977</v>
      </c>
      <c r="Q1300">
        <v>-1.7194070999999998E-2</v>
      </c>
      <c r="S1300" s="13">
        <v>-1.274061245</v>
      </c>
      <c r="T1300">
        <v>0.35783660699999997</v>
      </c>
      <c r="U1300">
        <v>-0.15089641100000001</v>
      </c>
    </row>
    <row r="1301" spans="1:21" x14ac:dyDescent="0.2">
      <c r="A1301" t="s">
        <v>772</v>
      </c>
      <c r="B1301">
        <v>716600</v>
      </c>
      <c r="C1301" t="s">
        <v>6927</v>
      </c>
      <c r="D1301" t="s">
        <v>772</v>
      </c>
      <c r="E1301" t="s">
        <v>6928</v>
      </c>
      <c r="F1301">
        <v>18</v>
      </c>
      <c r="G1301">
        <v>16</v>
      </c>
      <c r="H1301" t="s">
        <v>9556</v>
      </c>
      <c r="J1301" t="s">
        <v>9557</v>
      </c>
      <c r="M1301" t="s">
        <v>9558</v>
      </c>
      <c r="N1301">
        <v>1.982575982</v>
      </c>
      <c r="O1301">
        <v>3.4571926419999999</v>
      </c>
      <c r="P1301">
        <v>-0.114791479</v>
      </c>
      <c r="Q1301">
        <v>1.868949E-3</v>
      </c>
      <c r="S1301" s="13">
        <v>-1.274171457</v>
      </c>
      <c r="T1301">
        <v>0.357355003</v>
      </c>
      <c r="U1301">
        <v>-0.142464909</v>
      </c>
    </row>
    <row r="1302" spans="1:21" x14ac:dyDescent="0.2">
      <c r="A1302" t="s">
        <v>1431</v>
      </c>
      <c r="B1302">
        <v>576800</v>
      </c>
      <c r="C1302" t="s">
        <v>6945</v>
      </c>
      <c r="D1302" t="s">
        <v>1431</v>
      </c>
      <c r="E1302" t="s">
        <v>7115</v>
      </c>
      <c r="F1302">
        <v>11</v>
      </c>
      <c r="G1302">
        <v>10</v>
      </c>
      <c r="H1302" t="s">
        <v>9559</v>
      </c>
      <c r="J1302" t="s">
        <v>5050</v>
      </c>
      <c r="M1302" t="s">
        <v>9560</v>
      </c>
      <c r="N1302">
        <v>2.2220813349999999</v>
      </c>
      <c r="O1302">
        <v>6.5440947090000003</v>
      </c>
      <c r="P1302">
        <v>0.58228215500000002</v>
      </c>
      <c r="Q1302">
        <v>0.35188233000000002</v>
      </c>
      <c r="S1302" s="13">
        <v>-1.274217586</v>
      </c>
      <c r="T1302">
        <v>0.35715343199999999</v>
      </c>
      <c r="U1302">
        <v>-0.169892504</v>
      </c>
    </row>
    <row r="1303" spans="1:21" x14ac:dyDescent="0.2">
      <c r="A1303" t="s">
        <v>947</v>
      </c>
      <c r="B1303">
        <v>746200</v>
      </c>
      <c r="C1303" t="s">
        <v>6938</v>
      </c>
      <c r="D1303" t="s">
        <v>948</v>
      </c>
      <c r="E1303" t="s">
        <v>6921</v>
      </c>
      <c r="F1303">
        <v>7</v>
      </c>
      <c r="G1303">
        <v>8</v>
      </c>
      <c r="H1303" t="s">
        <v>9561</v>
      </c>
      <c r="J1303" t="s">
        <v>2515</v>
      </c>
      <c r="M1303" t="s">
        <v>9562</v>
      </c>
      <c r="N1303">
        <v>2.092758737</v>
      </c>
      <c r="O1303">
        <v>5.3323610669999999</v>
      </c>
      <c r="P1303">
        <v>0.70420098600000003</v>
      </c>
      <c r="Q1303">
        <v>0.41355372699999998</v>
      </c>
      <c r="S1303" s="13">
        <v>-1.27427001</v>
      </c>
      <c r="T1303">
        <v>0.356924348</v>
      </c>
      <c r="U1303">
        <v>-0.14546774200000001</v>
      </c>
    </row>
    <row r="1304" spans="1:21" x14ac:dyDescent="0.2">
      <c r="A1304" t="s">
        <v>1954</v>
      </c>
      <c r="B1304">
        <v>686240</v>
      </c>
      <c r="C1304" t="s">
        <v>6910</v>
      </c>
      <c r="D1304" t="s">
        <v>1955</v>
      </c>
      <c r="E1304" t="s">
        <v>6918</v>
      </c>
      <c r="F1304">
        <v>1</v>
      </c>
      <c r="G1304">
        <v>1</v>
      </c>
      <c r="H1304" t="s">
        <v>9563</v>
      </c>
      <c r="J1304" t="s">
        <v>3871</v>
      </c>
      <c r="M1304" t="s">
        <v>9564</v>
      </c>
      <c r="N1304">
        <v>1.9874741039999999</v>
      </c>
      <c r="O1304">
        <v>3.7453511220000002</v>
      </c>
      <c r="P1304">
        <v>0.451009722</v>
      </c>
      <c r="Q1304">
        <v>-0.102386592</v>
      </c>
      <c r="S1304" s="13">
        <v>-1.2743636089999999</v>
      </c>
      <c r="T1304">
        <v>0.35651534299999998</v>
      </c>
      <c r="U1304">
        <v>-9.0121242000000004E-2</v>
      </c>
    </row>
    <row r="1305" spans="1:21" x14ac:dyDescent="0.2">
      <c r="A1305" t="s">
        <v>2054</v>
      </c>
      <c r="B1305">
        <v>686160</v>
      </c>
      <c r="C1305" t="s">
        <v>6910</v>
      </c>
      <c r="D1305" t="s">
        <v>2054</v>
      </c>
      <c r="E1305" t="s">
        <v>6911</v>
      </c>
      <c r="F1305">
        <v>15</v>
      </c>
      <c r="G1305">
        <v>12</v>
      </c>
      <c r="H1305" t="s">
        <v>9565</v>
      </c>
      <c r="J1305" t="s">
        <v>5151</v>
      </c>
      <c r="M1305" t="s">
        <v>9566</v>
      </c>
      <c r="N1305">
        <v>1.9874741039999999</v>
      </c>
      <c r="O1305">
        <v>3.7453511220000002</v>
      </c>
      <c r="P1305">
        <v>0.451009722</v>
      </c>
      <c r="Q1305">
        <v>-0.102386592</v>
      </c>
      <c r="S1305" s="13">
        <v>-1.27444968</v>
      </c>
      <c r="T1305">
        <v>0.356139231</v>
      </c>
      <c r="U1305">
        <v>-9.0167578999999998E-2</v>
      </c>
    </row>
    <row r="1306" spans="1:21" x14ac:dyDescent="0.2">
      <c r="A1306" t="s">
        <v>901</v>
      </c>
      <c r="B1306">
        <v>783480</v>
      </c>
      <c r="C1306" t="s">
        <v>6914</v>
      </c>
      <c r="D1306" t="s">
        <v>902</v>
      </c>
      <c r="E1306" t="s">
        <v>6977</v>
      </c>
      <c r="F1306">
        <v>2</v>
      </c>
      <c r="G1306">
        <v>5</v>
      </c>
      <c r="H1306" t="s">
        <v>9567</v>
      </c>
      <c r="J1306" t="s">
        <v>4676</v>
      </c>
      <c r="M1306" t="s">
        <v>9568</v>
      </c>
      <c r="N1306">
        <v>1.8217074179999999</v>
      </c>
      <c r="O1306">
        <v>4.1700741289999996</v>
      </c>
      <c r="P1306">
        <v>0.189705977</v>
      </c>
      <c r="Q1306">
        <v>-1.7194070999999998E-2</v>
      </c>
      <c r="S1306" s="13">
        <v>-1.27463857</v>
      </c>
      <c r="T1306">
        <v>0.355313826</v>
      </c>
      <c r="U1306">
        <v>-0.151216299</v>
      </c>
    </row>
    <row r="1307" spans="1:21" x14ac:dyDescent="0.2">
      <c r="A1307" t="s">
        <v>1620</v>
      </c>
      <c r="B1307">
        <v>576320</v>
      </c>
      <c r="C1307" t="s">
        <v>6945</v>
      </c>
      <c r="D1307" t="s">
        <v>1620</v>
      </c>
      <c r="E1307" t="s">
        <v>6911</v>
      </c>
      <c r="F1307">
        <v>18</v>
      </c>
      <c r="G1307">
        <v>12</v>
      </c>
      <c r="H1307" t="s">
        <v>9569</v>
      </c>
      <c r="J1307" t="s">
        <v>5103</v>
      </c>
      <c r="M1307" t="s">
        <v>9570</v>
      </c>
      <c r="N1307">
        <v>2.2220813349999999</v>
      </c>
      <c r="O1307">
        <v>6.5440947090000003</v>
      </c>
      <c r="P1307">
        <v>0.58228215500000002</v>
      </c>
      <c r="Q1307">
        <v>0.35188233000000002</v>
      </c>
      <c r="S1307" s="13">
        <v>-1.274670339</v>
      </c>
      <c r="T1307">
        <v>0.35517500299999999</v>
      </c>
      <c r="U1307">
        <v>-0.17022670000000001</v>
      </c>
    </row>
    <row r="1308" spans="1:21" x14ac:dyDescent="0.2">
      <c r="A1308" t="s">
        <v>195</v>
      </c>
      <c r="B1308">
        <v>781080</v>
      </c>
      <c r="C1308" t="s">
        <v>6953</v>
      </c>
      <c r="D1308" t="s">
        <v>195</v>
      </c>
      <c r="E1308" t="s">
        <v>6907</v>
      </c>
      <c r="F1308">
        <v>24</v>
      </c>
      <c r="G1308">
        <v>4</v>
      </c>
      <c r="H1308" t="s">
        <v>9571</v>
      </c>
      <c r="J1308" t="s">
        <v>597</v>
      </c>
      <c r="M1308" t="s">
        <v>9572</v>
      </c>
      <c r="N1308">
        <v>1.921480887</v>
      </c>
      <c r="O1308">
        <v>3.0856645180000002</v>
      </c>
      <c r="P1308">
        <v>0.44706724399999997</v>
      </c>
      <c r="Q1308">
        <v>-0.354940863</v>
      </c>
      <c r="S1308" s="13">
        <v>-1.27474215</v>
      </c>
      <c r="T1308">
        <v>0.35486120399999999</v>
      </c>
      <c r="U1308">
        <v>-9.2572329999999994E-2</v>
      </c>
    </row>
    <row r="1309" spans="1:21" x14ac:dyDescent="0.2">
      <c r="A1309" t="s">
        <v>583</v>
      </c>
      <c r="B1309">
        <v>607040</v>
      </c>
      <c r="C1309" t="s">
        <v>6931</v>
      </c>
      <c r="D1309" t="s">
        <v>583</v>
      </c>
      <c r="E1309" t="s">
        <v>6907</v>
      </c>
      <c r="F1309">
        <v>23</v>
      </c>
      <c r="G1309">
        <v>4</v>
      </c>
      <c r="H1309" t="s">
        <v>9573</v>
      </c>
      <c r="N1309">
        <v>1.9323965059999999</v>
      </c>
      <c r="O1309">
        <v>3.0528020530000002</v>
      </c>
      <c r="P1309">
        <v>2.6493138999999999E-2</v>
      </c>
      <c r="Q1309">
        <v>-0.38692188</v>
      </c>
      <c r="S1309" s="13">
        <v>-1.274870245</v>
      </c>
      <c r="T1309">
        <v>0.35430146000000001</v>
      </c>
      <c r="U1309">
        <v>-9.0724018000000003E-2</v>
      </c>
    </row>
    <row r="1310" spans="1:21" x14ac:dyDescent="0.2">
      <c r="A1310" t="s">
        <v>697</v>
      </c>
      <c r="B1310">
        <v>745280</v>
      </c>
      <c r="C1310" t="s">
        <v>6938</v>
      </c>
      <c r="D1310" t="s">
        <v>698</v>
      </c>
      <c r="E1310" t="s">
        <v>7115</v>
      </c>
      <c r="F1310">
        <v>3</v>
      </c>
      <c r="G1310">
        <v>10</v>
      </c>
      <c r="H1310" t="s">
        <v>9574</v>
      </c>
      <c r="J1310" t="s">
        <v>3857</v>
      </c>
      <c r="M1310" t="s">
        <v>9575</v>
      </c>
      <c r="N1310">
        <v>2.092758737</v>
      </c>
      <c r="O1310">
        <v>5.3323610669999999</v>
      </c>
      <c r="P1310">
        <v>0.70420098600000003</v>
      </c>
      <c r="Q1310">
        <v>0.41355372699999998</v>
      </c>
      <c r="S1310" s="13">
        <v>-1.275060117</v>
      </c>
      <c r="T1310">
        <v>0.35347176299999999</v>
      </c>
      <c r="U1310">
        <v>-0.146073443</v>
      </c>
    </row>
    <row r="1311" spans="1:21" x14ac:dyDescent="0.2">
      <c r="A1311" t="s">
        <v>67</v>
      </c>
      <c r="B1311">
        <v>782760</v>
      </c>
      <c r="C1311" t="s">
        <v>6914</v>
      </c>
      <c r="D1311" t="s">
        <v>69</v>
      </c>
      <c r="E1311" t="s">
        <v>6974</v>
      </c>
      <c r="F1311">
        <v>2</v>
      </c>
      <c r="G1311">
        <v>15</v>
      </c>
      <c r="H1311" t="s">
        <v>9576</v>
      </c>
      <c r="J1311" t="s">
        <v>3269</v>
      </c>
      <c r="M1311" t="s">
        <v>9577</v>
      </c>
      <c r="N1311">
        <v>1.8217074179999999</v>
      </c>
      <c r="O1311">
        <v>4.1700741289999996</v>
      </c>
      <c r="P1311">
        <v>0.189705977</v>
      </c>
      <c r="Q1311">
        <v>-1.7194070999999998E-2</v>
      </c>
      <c r="S1311" s="13">
        <v>-1.275504558</v>
      </c>
      <c r="T1311">
        <v>0.351529655</v>
      </c>
      <c r="U1311">
        <v>-0.151696573</v>
      </c>
    </row>
    <row r="1312" spans="1:21" x14ac:dyDescent="0.2">
      <c r="A1312" t="s">
        <v>907</v>
      </c>
      <c r="B1312">
        <v>575280</v>
      </c>
      <c r="C1312" t="s">
        <v>6945</v>
      </c>
      <c r="D1312" t="s">
        <v>907</v>
      </c>
      <c r="E1312" t="s">
        <v>6946</v>
      </c>
      <c r="F1312">
        <v>19</v>
      </c>
      <c r="G1312">
        <v>11</v>
      </c>
      <c r="H1312" t="s">
        <v>9578</v>
      </c>
      <c r="J1312" t="s">
        <v>3474</v>
      </c>
      <c r="M1312" t="s">
        <v>9579</v>
      </c>
      <c r="N1312">
        <v>2.2220813349999999</v>
      </c>
      <c r="O1312">
        <v>6.5440947090000003</v>
      </c>
      <c r="P1312">
        <v>0.58228215500000002</v>
      </c>
      <c r="Q1312">
        <v>0.35188233000000002</v>
      </c>
      <c r="S1312" s="13">
        <v>-1.2756513039999999</v>
      </c>
      <c r="T1312">
        <v>0.35088840799999998</v>
      </c>
      <c r="U1312">
        <v>-0.170951675</v>
      </c>
    </row>
    <row r="1313" spans="1:21" x14ac:dyDescent="0.2">
      <c r="A1313" t="s">
        <v>868</v>
      </c>
      <c r="B1313">
        <v>744480</v>
      </c>
      <c r="C1313" t="s">
        <v>6938</v>
      </c>
      <c r="D1313" t="s">
        <v>869</v>
      </c>
      <c r="E1313" t="s">
        <v>7115</v>
      </c>
      <c r="F1313">
        <v>4</v>
      </c>
      <c r="G1313">
        <v>10</v>
      </c>
      <c r="H1313" t="s">
        <v>9580</v>
      </c>
      <c r="J1313" t="s">
        <v>3913</v>
      </c>
      <c r="M1313" t="s">
        <v>9581</v>
      </c>
      <c r="N1313">
        <v>2.092758737</v>
      </c>
      <c r="O1313">
        <v>5.3323610669999999</v>
      </c>
      <c r="P1313">
        <v>0.70420098600000003</v>
      </c>
      <c r="Q1313">
        <v>0.41355372699999998</v>
      </c>
      <c r="S1313" s="13">
        <v>-1.2757471659999999</v>
      </c>
      <c r="T1313">
        <v>0.35046951599999998</v>
      </c>
      <c r="U1313">
        <v>-0.14660082799999999</v>
      </c>
    </row>
    <row r="1314" spans="1:21" x14ac:dyDescent="0.2">
      <c r="A1314" t="s">
        <v>1119</v>
      </c>
      <c r="B1314">
        <v>715040</v>
      </c>
      <c r="C1314" t="s">
        <v>6927</v>
      </c>
      <c r="D1314" t="s">
        <v>1120</v>
      </c>
      <c r="E1314" t="s">
        <v>6915</v>
      </c>
      <c r="F1314">
        <v>9</v>
      </c>
      <c r="G1314">
        <v>13</v>
      </c>
      <c r="H1314" t="s">
        <v>9582</v>
      </c>
      <c r="J1314" t="s">
        <v>9583</v>
      </c>
      <c r="M1314" t="s">
        <v>9584</v>
      </c>
      <c r="N1314">
        <v>1.982575982</v>
      </c>
      <c r="O1314">
        <v>3.4571926419999999</v>
      </c>
      <c r="P1314">
        <v>-0.114791479</v>
      </c>
      <c r="Q1314">
        <v>1.868949E-3</v>
      </c>
      <c r="S1314" s="13">
        <v>-1.275790151</v>
      </c>
      <c r="T1314">
        <v>0.35028168100000001</v>
      </c>
      <c r="U1314">
        <v>-0.143485378</v>
      </c>
    </row>
    <row r="1315" spans="1:21" x14ac:dyDescent="0.2">
      <c r="A1315" t="s">
        <v>1368</v>
      </c>
      <c r="B1315">
        <v>574720</v>
      </c>
      <c r="C1315" t="s">
        <v>6945</v>
      </c>
      <c r="D1315" t="s">
        <v>1368</v>
      </c>
      <c r="E1315" t="s">
        <v>6956</v>
      </c>
      <c r="F1315">
        <v>16</v>
      </c>
      <c r="G1315">
        <v>7</v>
      </c>
      <c r="H1315" t="s">
        <v>9585</v>
      </c>
      <c r="J1315" t="s">
        <v>5251</v>
      </c>
      <c r="M1315" t="s">
        <v>9586</v>
      </c>
      <c r="N1315">
        <v>2.2220813349999999</v>
      </c>
      <c r="O1315">
        <v>6.5440947090000003</v>
      </c>
      <c r="P1315">
        <v>0.58228215500000002</v>
      </c>
      <c r="Q1315">
        <v>0.35188233000000002</v>
      </c>
      <c r="S1315" s="13">
        <v>-1.2761795170000001</v>
      </c>
      <c r="T1315">
        <v>0.34858024199999998</v>
      </c>
      <c r="U1315">
        <v>-0.17134254800000001</v>
      </c>
    </row>
    <row r="1316" spans="1:21" x14ac:dyDescent="0.2">
      <c r="A1316" t="s">
        <v>859</v>
      </c>
      <c r="B1316">
        <v>606000</v>
      </c>
      <c r="C1316" t="s">
        <v>6931</v>
      </c>
      <c r="D1316" t="s">
        <v>859</v>
      </c>
      <c r="E1316" t="s">
        <v>7115</v>
      </c>
      <c r="F1316">
        <v>19</v>
      </c>
      <c r="G1316">
        <v>10</v>
      </c>
      <c r="H1316" t="s">
        <v>9587</v>
      </c>
      <c r="N1316">
        <v>1.9323965059999999</v>
      </c>
      <c r="O1316">
        <v>3.0528020530000002</v>
      </c>
      <c r="P1316">
        <v>2.6493138999999999E-2</v>
      </c>
      <c r="Q1316">
        <v>-0.38692188</v>
      </c>
      <c r="S1316" s="13">
        <v>-1.2762367779999999</v>
      </c>
      <c r="T1316">
        <v>0.34833002200000002</v>
      </c>
      <c r="U1316">
        <v>-9.1327632000000006E-2</v>
      </c>
    </row>
    <row r="1317" spans="1:21" x14ac:dyDescent="0.2">
      <c r="A1317" t="s">
        <v>236</v>
      </c>
      <c r="B1317">
        <v>782080</v>
      </c>
      <c r="C1317" t="s">
        <v>6914</v>
      </c>
      <c r="D1317" t="s">
        <v>236</v>
      </c>
      <c r="E1317" t="s">
        <v>7006</v>
      </c>
      <c r="F1317">
        <v>17</v>
      </c>
      <c r="G1317">
        <v>3</v>
      </c>
      <c r="H1317" t="s">
        <v>9588</v>
      </c>
      <c r="J1317" t="s">
        <v>6831</v>
      </c>
      <c r="M1317" t="s">
        <v>9589</v>
      </c>
      <c r="N1317">
        <v>1.8217074179999999</v>
      </c>
      <c r="O1317">
        <v>4.1700741289999996</v>
      </c>
      <c r="P1317">
        <v>0.189705977</v>
      </c>
      <c r="Q1317">
        <v>-1.7194070999999998E-2</v>
      </c>
      <c r="S1317" s="13">
        <v>-1.2763224360000001</v>
      </c>
      <c r="T1317">
        <v>0.34795571600000003</v>
      </c>
      <c r="U1317">
        <v>-0.152150653</v>
      </c>
    </row>
    <row r="1318" spans="1:21" x14ac:dyDescent="0.2">
      <c r="A1318" t="s">
        <v>1013</v>
      </c>
      <c r="B1318">
        <v>656400</v>
      </c>
      <c r="C1318" t="s">
        <v>6906</v>
      </c>
      <c r="D1318" t="s">
        <v>1014</v>
      </c>
      <c r="E1318" t="s">
        <v>7006</v>
      </c>
      <c r="F1318">
        <v>6</v>
      </c>
      <c r="G1318">
        <v>3</v>
      </c>
      <c r="H1318" t="s">
        <v>9590</v>
      </c>
      <c r="J1318" t="s">
        <v>1016</v>
      </c>
      <c r="M1318" t="s">
        <v>9591</v>
      </c>
      <c r="N1318">
        <v>1.813871112</v>
      </c>
      <c r="O1318">
        <v>2.6633694910000001</v>
      </c>
      <c r="P1318">
        <v>-0.29586356800000002</v>
      </c>
      <c r="Q1318">
        <v>-0.59018158399999998</v>
      </c>
      <c r="S1318" s="13">
        <v>-1.2764253590000001</v>
      </c>
      <c r="T1318">
        <v>0.34750596700000003</v>
      </c>
      <c r="U1318">
        <v>-0.132594302</v>
      </c>
    </row>
    <row r="1319" spans="1:21" x14ac:dyDescent="0.2">
      <c r="A1319" t="s">
        <v>1150</v>
      </c>
      <c r="B1319">
        <v>574120</v>
      </c>
      <c r="C1319" t="s">
        <v>6945</v>
      </c>
      <c r="D1319" t="s">
        <v>1150</v>
      </c>
      <c r="E1319" t="s">
        <v>7006</v>
      </c>
      <c r="F1319">
        <v>16</v>
      </c>
      <c r="G1319">
        <v>3</v>
      </c>
      <c r="H1319" t="s">
        <v>9592</v>
      </c>
      <c r="J1319" t="s">
        <v>5267</v>
      </c>
      <c r="M1319" t="s">
        <v>9593</v>
      </c>
      <c r="N1319">
        <v>2.2220813349999999</v>
      </c>
      <c r="O1319">
        <v>6.5440947090000003</v>
      </c>
      <c r="P1319">
        <v>0.58228215500000002</v>
      </c>
      <c r="Q1319">
        <v>0.35188233000000002</v>
      </c>
      <c r="S1319" s="13">
        <v>-1.2767454579999999</v>
      </c>
      <c r="T1319">
        <v>0.346107206</v>
      </c>
      <c r="U1319">
        <v>-0.17176173</v>
      </c>
    </row>
    <row r="1320" spans="1:21" x14ac:dyDescent="0.2">
      <c r="A1320" t="s">
        <v>1065</v>
      </c>
      <c r="B1320">
        <v>574080</v>
      </c>
      <c r="C1320" t="s">
        <v>6945</v>
      </c>
      <c r="D1320" t="s">
        <v>1066</v>
      </c>
      <c r="E1320" t="s">
        <v>6956</v>
      </c>
      <c r="F1320">
        <v>7</v>
      </c>
      <c r="G1320">
        <v>7</v>
      </c>
      <c r="H1320" t="s">
        <v>9594</v>
      </c>
      <c r="J1320" t="s">
        <v>2991</v>
      </c>
      <c r="M1320" t="s">
        <v>9595</v>
      </c>
      <c r="N1320">
        <v>2.2220813349999999</v>
      </c>
      <c r="O1320">
        <v>6.5440947090000003</v>
      </c>
      <c r="P1320">
        <v>0.58228215500000002</v>
      </c>
      <c r="Q1320">
        <v>0.35188233000000002</v>
      </c>
      <c r="S1320" s="13">
        <v>-1.276783188</v>
      </c>
      <c r="T1320">
        <v>0.34594233699999999</v>
      </c>
      <c r="U1320">
        <v>-0.17178968999999999</v>
      </c>
    </row>
    <row r="1321" spans="1:21" x14ac:dyDescent="0.2">
      <c r="A1321" t="s">
        <v>1729</v>
      </c>
      <c r="B1321">
        <v>714000</v>
      </c>
      <c r="C1321" t="s">
        <v>6927</v>
      </c>
      <c r="D1321" t="s">
        <v>1729</v>
      </c>
      <c r="E1321" t="s">
        <v>6907</v>
      </c>
      <c r="F1321">
        <v>16</v>
      </c>
      <c r="G1321">
        <v>4</v>
      </c>
      <c r="H1321" t="s">
        <v>9596</v>
      </c>
      <c r="J1321" t="s">
        <v>9597</v>
      </c>
      <c r="M1321" t="s">
        <v>9598</v>
      </c>
      <c r="N1321">
        <v>1.982575982</v>
      </c>
      <c r="O1321">
        <v>3.4571926419999999</v>
      </c>
      <c r="P1321">
        <v>-0.114791479</v>
      </c>
      <c r="Q1321">
        <v>1.868949E-3</v>
      </c>
      <c r="S1321" s="13">
        <v>-1.2768692800000001</v>
      </c>
      <c r="T1321">
        <v>0.345566133</v>
      </c>
      <c r="U1321">
        <v>-0.144167025</v>
      </c>
    </row>
    <row r="1322" spans="1:21" x14ac:dyDescent="0.2">
      <c r="A1322" t="s">
        <v>246</v>
      </c>
      <c r="B1322">
        <v>742840</v>
      </c>
      <c r="C1322" t="s">
        <v>6938</v>
      </c>
      <c r="D1322" t="s">
        <v>246</v>
      </c>
      <c r="E1322" t="s">
        <v>6939</v>
      </c>
      <c r="F1322">
        <v>10</v>
      </c>
      <c r="G1322">
        <v>2</v>
      </c>
      <c r="H1322" t="s">
        <v>9599</v>
      </c>
      <c r="J1322" t="s">
        <v>850</v>
      </c>
      <c r="M1322" t="s">
        <v>9600</v>
      </c>
      <c r="N1322">
        <v>2.092758737</v>
      </c>
      <c r="O1322">
        <v>5.3323610669999999</v>
      </c>
      <c r="P1322">
        <v>0.70420098600000003</v>
      </c>
      <c r="Q1322">
        <v>0.41355372699999998</v>
      </c>
      <c r="S1322" s="13">
        <v>-1.277155617</v>
      </c>
      <c r="T1322">
        <v>0.34431490799999998</v>
      </c>
      <c r="U1322">
        <v>-0.147683972</v>
      </c>
    </row>
    <row r="1323" spans="1:21" x14ac:dyDescent="0.2">
      <c r="A1323" t="s">
        <v>1954</v>
      </c>
      <c r="B1323">
        <v>655680</v>
      </c>
      <c r="C1323" t="s">
        <v>6906</v>
      </c>
      <c r="D1323" t="s">
        <v>1955</v>
      </c>
      <c r="E1323" t="s">
        <v>6918</v>
      </c>
      <c r="F1323">
        <v>1</v>
      </c>
      <c r="G1323">
        <v>1</v>
      </c>
      <c r="H1323" t="s">
        <v>9601</v>
      </c>
      <c r="J1323" t="s">
        <v>3389</v>
      </c>
      <c r="M1323" t="s">
        <v>9602</v>
      </c>
      <c r="N1323">
        <v>1.813871112</v>
      </c>
      <c r="O1323">
        <v>2.6633694910000001</v>
      </c>
      <c r="P1323">
        <v>-0.29586356800000002</v>
      </c>
      <c r="Q1323">
        <v>-0.59018158399999998</v>
      </c>
      <c r="S1323" s="13">
        <v>-1.277469897</v>
      </c>
      <c r="T1323">
        <v>0.342941575</v>
      </c>
      <c r="U1323">
        <v>-0.13305440700000001</v>
      </c>
    </row>
    <row r="1324" spans="1:21" x14ac:dyDescent="0.2">
      <c r="A1324" t="s">
        <v>1688</v>
      </c>
      <c r="B1324">
        <v>605040</v>
      </c>
      <c r="C1324" t="s">
        <v>6931</v>
      </c>
      <c r="D1324" t="s">
        <v>1688</v>
      </c>
      <c r="E1324" t="s">
        <v>6915</v>
      </c>
      <c r="F1324">
        <v>22</v>
      </c>
      <c r="G1324">
        <v>13</v>
      </c>
      <c r="H1324" t="s">
        <v>9603</v>
      </c>
      <c r="N1324">
        <v>1.9323965059999999</v>
      </c>
      <c r="O1324">
        <v>3.0528020530000002</v>
      </c>
      <c r="P1324">
        <v>2.6493138999999999E-2</v>
      </c>
      <c r="Q1324">
        <v>-0.38692188</v>
      </c>
      <c r="S1324" s="13">
        <v>-1.277498193</v>
      </c>
      <c r="T1324">
        <v>0.34281792700000002</v>
      </c>
      <c r="U1324">
        <v>-9.1885560000000005E-2</v>
      </c>
    </row>
    <row r="1325" spans="1:21" x14ac:dyDescent="0.2">
      <c r="A1325" t="s">
        <v>307</v>
      </c>
      <c r="B1325">
        <v>573320</v>
      </c>
      <c r="C1325" t="s">
        <v>6945</v>
      </c>
      <c r="D1325" t="s">
        <v>308</v>
      </c>
      <c r="E1325" t="s">
        <v>6915</v>
      </c>
      <c r="F1325">
        <v>3</v>
      </c>
      <c r="G1325">
        <v>13</v>
      </c>
      <c r="H1325" t="s">
        <v>9604</v>
      </c>
      <c r="J1325" t="s">
        <v>1196</v>
      </c>
      <c r="M1325" t="s">
        <v>9605</v>
      </c>
      <c r="N1325">
        <v>2.2220813349999999</v>
      </c>
      <c r="O1325">
        <v>6.5440947090000003</v>
      </c>
      <c r="P1325">
        <v>0.58228215500000002</v>
      </c>
      <c r="Q1325">
        <v>0.35188233000000002</v>
      </c>
      <c r="S1325" s="13">
        <v>-1.277500047</v>
      </c>
      <c r="T1325">
        <v>0.34280982599999998</v>
      </c>
      <c r="U1325">
        <v>-0.172321271</v>
      </c>
    </row>
    <row r="1326" spans="1:21" x14ac:dyDescent="0.2">
      <c r="A1326" t="s">
        <v>1456</v>
      </c>
      <c r="B1326">
        <v>381760</v>
      </c>
      <c r="C1326" t="s">
        <v>6961</v>
      </c>
      <c r="D1326" t="s">
        <v>1457</v>
      </c>
      <c r="E1326" t="s">
        <v>7006</v>
      </c>
      <c r="F1326">
        <v>7</v>
      </c>
      <c r="G1326">
        <v>3</v>
      </c>
      <c r="H1326" t="s">
        <v>9606</v>
      </c>
      <c r="J1326" t="s">
        <v>1759</v>
      </c>
      <c r="M1326" t="s">
        <v>9607</v>
      </c>
      <c r="N1326">
        <v>2.7247480949999998</v>
      </c>
      <c r="O1326">
        <v>7.0822175119999997</v>
      </c>
      <c r="P1326">
        <v>0.61298291999999999</v>
      </c>
      <c r="Q1326">
        <v>0.48262032500000002</v>
      </c>
      <c r="S1326" s="13">
        <v>-1.2775877899999999</v>
      </c>
      <c r="T1326">
        <v>0.34242640899999999</v>
      </c>
      <c r="U1326">
        <v>-0.19426884799999999</v>
      </c>
    </row>
    <row r="1327" spans="1:21" x14ac:dyDescent="0.2">
      <c r="A1327" t="s">
        <v>277</v>
      </c>
      <c r="B1327">
        <v>683160</v>
      </c>
      <c r="C1327" t="s">
        <v>6910</v>
      </c>
      <c r="D1327" t="s">
        <v>277</v>
      </c>
      <c r="E1327" t="s">
        <v>7085</v>
      </c>
      <c r="F1327">
        <v>22</v>
      </c>
      <c r="G1327">
        <v>9</v>
      </c>
      <c r="H1327" t="s">
        <v>9608</v>
      </c>
      <c r="J1327" t="s">
        <v>279</v>
      </c>
      <c r="M1327" t="s">
        <v>9609</v>
      </c>
      <c r="N1327">
        <v>1.9874741039999999</v>
      </c>
      <c r="O1327">
        <v>3.7453511220000002</v>
      </c>
      <c r="P1327">
        <v>0.451009722</v>
      </c>
      <c r="Q1327">
        <v>-0.102386592</v>
      </c>
      <c r="S1327" s="13">
        <v>-1.2776773610000001</v>
      </c>
      <c r="T1327">
        <v>0.34203500399999998</v>
      </c>
      <c r="U1327">
        <v>-9.1908823000000001E-2</v>
      </c>
    </row>
    <row r="1328" spans="1:21" x14ac:dyDescent="0.2">
      <c r="A1328" t="s">
        <v>1736</v>
      </c>
      <c r="B1328">
        <v>683120</v>
      </c>
      <c r="C1328" t="s">
        <v>6910</v>
      </c>
      <c r="D1328" t="s">
        <v>1736</v>
      </c>
      <c r="E1328" t="s">
        <v>6924</v>
      </c>
      <c r="F1328">
        <v>16</v>
      </c>
      <c r="G1328">
        <v>6</v>
      </c>
      <c r="H1328" t="s">
        <v>9610</v>
      </c>
      <c r="J1328" t="s">
        <v>4736</v>
      </c>
      <c r="M1328" t="s">
        <v>9611</v>
      </c>
      <c r="N1328">
        <v>1.9874741039999999</v>
      </c>
      <c r="O1328">
        <v>3.7453511220000002</v>
      </c>
      <c r="P1328">
        <v>0.451009722</v>
      </c>
      <c r="Q1328">
        <v>-0.102386592</v>
      </c>
      <c r="S1328" s="13">
        <v>-1.277720397</v>
      </c>
      <c r="T1328">
        <v>0.34184694799999998</v>
      </c>
      <c r="U1328">
        <v>-9.1932085999999996E-2</v>
      </c>
    </row>
    <row r="1329" spans="1:21" x14ac:dyDescent="0.2">
      <c r="A1329" t="s">
        <v>1365</v>
      </c>
      <c r="B1329">
        <v>651160</v>
      </c>
      <c r="C1329" t="s">
        <v>6942</v>
      </c>
      <c r="D1329" t="s">
        <v>1365</v>
      </c>
      <c r="E1329" t="s">
        <v>6970</v>
      </c>
      <c r="F1329">
        <v>21</v>
      </c>
      <c r="G1329">
        <v>14</v>
      </c>
      <c r="H1329" t="s">
        <v>9612</v>
      </c>
      <c r="J1329" t="s">
        <v>1367</v>
      </c>
      <c r="M1329" t="s">
        <v>9613</v>
      </c>
      <c r="N1329">
        <v>2.0902262079999998</v>
      </c>
      <c r="O1329">
        <v>4.2704203920000001</v>
      </c>
      <c r="P1329">
        <v>0.23425843900000001</v>
      </c>
      <c r="Q1329">
        <v>1.6181978999999999E-2</v>
      </c>
      <c r="S1329" s="13">
        <v>-1.278134385</v>
      </c>
      <c r="T1329">
        <v>0.340037912</v>
      </c>
      <c r="U1329">
        <v>-0.16740803900000001</v>
      </c>
    </row>
    <row r="1330" spans="1:21" x14ac:dyDescent="0.2">
      <c r="A1330" t="s">
        <v>2080</v>
      </c>
      <c r="B1330">
        <v>712600</v>
      </c>
      <c r="C1330" t="s">
        <v>6927</v>
      </c>
      <c r="D1330" t="s">
        <v>2080</v>
      </c>
      <c r="E1330" t="s">
        <v>6970</v>
      </c>
      <c r="F1330">
        <v>12</v>
      </c>
      <c r="G1330">
        <v>14</v>
      </c>
      <c r="H1330" t="s">
        <v>9614</v>
      </c>
      <c r="J1330" t="s">
        <v>9615</v>
      </c>
      <c r="M1330" t="s">
        <v>9616</v>
      </c>
      <c r="N1330">
        <v>1.982575982</v>
      </c>
      <c r="O1330">
        <v>3.4571926419999999</v>
      </c>
      <c r="P1330">
        <v>-0.114791479</v>
      </c>
      <c r="Q1330">
        <v>1.868949E-3</v>
      </c>
      <c r="S1330" s="13">
        <v>-1.2783219539999999</v>
      </c>
      <c r="T1330">
        <v>0.33921827999999998</v>
      </c>
      <c r="U1330">
        <v>-0.14508631999999999</v>
      </c>
    </row>
    <row r="1331" spans="1:21" x14ac:dyDescent="0.2">
      <c r="A1331" t="s">
        <v>243</v>
      </c>
      <c r="B1331">
        <v>780400</v>
      </c>
      <c r="C1331" t="s">
        <v>6914</v>
      </c>
      <c r="D1331" t="s">
        <v>243</v>
      </c>
      <c r="E1331" t="s">
        <v>6918</v>
      </c>
      <c r="F1331">
        <v>14</v>
      </c>
      <c r="G1331">
        <v>1</v>
      </c>
      <c r="H1331" t="s">
        <v>9617</v>
      </c>
      <c r="J1331" t="s">
        <v>6853</v>
      </c>
      <c r="M1331" t="s">
        <v>9618</v>
      </c>
      <c r="N1331">
        <v>1.8217074179999999</v>
      </c>
      <c r="O1331">
        <v>4.1700741289999996</v>
      </c>
      <c r="P1331">
        <v>0.189705977</v>
      </c>
      <c r="Q1331">
        <v>-1.7194070999999998E-2</v>
      </c>
      <c r="S1331" s="13">
        <v>-1.2783430760000001</v>
      </c>
      <c r="T1331">
        <v>0.33912598399999999</v>
      </c>
      <c r="U1331">
        <v>-0.15327453899999999</v>
      </c>
    </row>
    <row r="1332" spans="1:21" x14ac:dyDescent="0.2">
      <c r="A1332" t="s">
        <v>753</v>
      </c>
      <c r="B1332">
        <v>380360</v>
      </c>
      <c r="C1332" t="s">
        <v>6961</v>
      </c>
      <c r="D1332" t="s">
        <v>753</v>
      </c>
      <c r="E1332" t="s">
        <v>6911</v>
      </c>
      <c r="F1332">
        <v>10</v>
      </c>
      <c r="G1332">
        <v>12</v>
      </c>
      <c r="H1332" t="s">
        <v>9619</v>
      </c>
      <c r="J1332" t="s">
        <v>5917</v>
      </c>
      <c r="M1332" t="s">
        <v>9620</v>
      </c>
      <c r="N1332">
        <v>2.7247480949999998</v>
      </c>
      <c r="O1332">
        <v>7.0822175119999997</v>
      </c>
      <c r="P1332">
        <v>0.61298291999999999</v>
      </c>
      <c r="Q1332">
        <v>0.48262032500000002</v>
      </c>
      <c r="S1332" s="13">
        <v>-1.2786960510000001</v>
      </c>
      <c r="T1332">
        <v>0.33758356</v>
      </c>
      <c r="U1332">
        <v>-0.19530069</v>
      </c>
    </row>
    <row r="1333" spans="1:21" x14ac:dyDescent="0.2">
      <c r="A1333" t="s">
        <v>567</v>
      </c>
      <c r="B1333">
        <v>682000</v>
      </c>
      <c r="C1333" t="s">
        <v>6910</v>
      </c>
      <c r="D1333" t="s">
        <v>567</v>
      </c>
      <c r="E1333" t="s">
        <v>6924</v>
      </c>
      <c r="F1333">
        <v>24</v>
      </c>
      <c r="G1333">
        <v>6</v>
      </c>
      <c r="H1333" t="s">
        <v>9621</v>
      </c>
      <c r="J1333" t="s">
        <v>6053</v>
      </c>
      <c r="M1333" t="s">
        <v>9622</v>
      </c>
      <c r="N1333">
        <v>1.9874741039999999</v>
      </c>
      <c r="O1333">
        <v>3.7453511220000002</v>
      </c>
      <c r="P1333">
        <v>0.451009722</v>
      </c>
      <c r="Q1333">
        <v>-0.102386592</v>
      </c>
      <c r="S1333" s="13">
        <v>-1.2789253979999999</v>
      </c>
      <c r="T1333">
        <v>0.33658136999999999</v>
      </c>
      <c r="U1333">
        <v>-9.2583978999999997E-2</v>
      </c>
    </row>
    <row r="1334" spans="1:21" x14ac:dyDescent="0.2">
      <c r="A1334" t="s">
        <v>89</v>
      </c>
      <c r="B1334">
        <v>650120</v>
      </c>
      <c r="C1334" t="s">
        <v>6942</v>
      </c>
      <c r="D1334" t="s">
        <v>90</v>
      </c>
      <c r="E1334" t="s">
        <v>6921</v>
      </c>
      <c r="F1334">
        <v>1</v>
      </c>
      <c r="G1334">
        <v>8</v>
      </c>
      <c r="H1334" t="s">
        <v>9623</v>
      </c>
      <c r="J1334" t="s">
        <v>809</v>
      </c>
      <c r="M1334" t="s">
        <v>9624</v>
      </c>
      <c r="N1334">
        <v>2.0902262079999998</v>
      </c>
      <c r="O1334">
        <v>4.2704203920000001</v>
      </c>
      <c r="P1334">
        <v>0.23425843900000001</v>
      </c>
      <c r="Q1334">
        <v>1.6181978999999999E-2</v>
      </c>
      <c r="S1334" s="13">
        <v>-1.279155134</v>
      </c>
      <c r="T1334">
        <v>0.33557747399999999</v>
      </c>
      <c r="U1334">
        <v>-0.16812832</v>
      </c>
    </row>
    <row r="1335" spans="1:21" x14ac:dyDescent="0.2">
      <c r="A1335" t="s">
        <v>504</v>
      </c>
      <c r="B1335">
        <v>571520</v>
      </c>
      <c r="C1335" t="s">
        <v>6945</v>
      </c>
      <c r="D1335" t="s">
        <v>504</v>
      </c>
      <c r="E1335" t="s">
        <v>6956</v>
      </c>
      <c r="F1335">
        <v>12</v>
      </c>
      <c r="G1335">
        <v>7</v>
      </c>
      <c r="H1335" t="s">
        <v>9625</v>
      </c>
      <c r="J1335" t="s">
        <v>5279</v>
      </c>
      <c r="M1335" t="s">
        <v>9626</v>
      </c>
      <c r="N1335">
        <v>2.2220813349999999</v>
      </c>
      <c r="O1335">
        <v>6.5440947090000003</v>
      </c>
      <c r="P1335">
        <v>0.58228215500000002</v>
      </c>
      <c r="Q1335">
        <v>0.35188233000000002</v>
      </c>
      <c r="S1335" s="13">
        <v>-1.2791978719999999</v>
      </c>
      <c r="T1335">
        <v>0.335390719</v>
      </c>
      <c r="U1335">
        <v>-0.17358287999999999</v>
      </c>
    </row>
    <row r="1336" spans="1:21" x14ac:dyDescent="0.2">
      <c r="A1336" t="s">
        <v>1082</v>
      </c>
      <c r="B1336">
        <v>681200</v>
      </c>
      <c r="C1336" t="s">
        <v>6910</v>
      </c>
      <c r="D1336" t="s">
        <v>1082</v>
      </c>
      <c r="E1336" t="s">
        <v>7115</v>
      </c>
      <c r="F1336">
        <v>21</v>
      </c>
      <c r="G1336">
        <v>10</v>
      </c>
      <c r="H1336" t="s">
        <v>9627</v>
      </c>
      <c r="J1336" t="s">
        <v>2817</v>
      </c>
      <c r="M1336" t="s">
        <v>9628</v>
      </c>
      <c r="N1336">
        <v>1.9874741039999999</v>
      </c>
      <c r="O1336">
        <v>3.7453511220000002</v>
      </c>
      <c r="P1336">
        <v>0.451009722</v>
      </c>
      <c r="Q1336">
        <v>-0.102386592</v>
      </c>
      <c r="S1336" s="13">
        <v>-1.279786112</v>
      </c>
      <c r="T1336">
        <v>0.33282024300000002</v>
      </c>
      <c r="U1336">
        <v>-9.3050217000000005E-2</v>
      </c>
    </row>
    <row r="1337" spans="1:21" x14ac:dyDescent="0.2">
      <c r="A1337" t="s">
        <v>963</v>
      </c>
      <c r="B1337">
        <v>649360</v>
      </c>
      <c r="C1337" t="s">
        <v>6942</v>
      </c>
      <c r="D1337" t="s">
        <v>963</v>
      </c>
      <c r="E1337" t="s">
        <v>6939</v>
      </c>
      <c r="F1337">
        <v>20</v>
      </c>
      <c r="G1337">
        <v>2</v>
      </c>
      <c r="H1337" t="s">
        <v>9629</v>
      </c>
      <c r="J1337" t="s">
        <v>4068</v>
      </c>
      <c r="M1337" t="s">
        <v>9630</v>
      </c>
      <c r="N1337">
        <v>2.0902262079999998</v>
      </c>
      <c r="O1337">
        <v>4.2704203920000001</v>
      </c>
      <c r="P1337">
        <v>0.23425843900000001</v>
      </c>
      <c r="Q1337">
        <v>1.6181978999999999E-2</v>
      </c>
      <c r="S1337" s="13">
        <v>-1.2799010660000001</v>
      </c>
      <c r="T1337">
        <v>0.33231792300000002</v>
      </c>
      <c r="U1337">
        <v>-0.16865543499999999</v>
      </c>
    </row>
    <row r="1338" spans="1:21" x14ac:dyDescent="0.2">
      <c r="A1338" t="s">
        <v>1422</v>
      </c>
      <c r="B1338">
        <v>710640</v>
      </c>
      <c r="C1338" t="s">
        <v>6927</v>
      </c>
      <c r="D1338" t="s">
        <v>1423</v>
      </c>
      <c r="E1338" t="s">
        <v>6956</v>
      </c>
      <c r="F1338">
        <v>4</v>
      </c>
      <c r="G1338">
        <v>7</v>
      </c>
      <c r="H1338" t="s">
        <v>9631</v>
      </c>
      <c r="J1338" t="s">
        <v>9632</v>
      </c>
      <c r="M1338" t="s">
        <v>9633</v>
      </c>
      <c r="N1338">
        <v>1.982575982</v>
      </c>
      <c r="O1338">
        <v>3.4571926419999999</v>
      </c>
      <c r="P1338">
        <v>-0.114791479</v>
      </c>
      <c r="Q1338">
        <v>1.868949E-3</v>
      </c>
      <c r="S1338" s="13">
        <v>-1.2803556979999999</v>
      </c>
      <c r="T1338">
        <v>0.330331286</v>
      </c>
      <c r="U1338">
        <v>-0.14637661099999999</v>
      </c>
    </row>
    <row r="1339" spans="1:21" x14ac:dyDescent="0.2">
      <c r="A1339" t="s">
        <v>253</v>
      </c>
      <c r="B1339">
        <v>648880</v>
      </c>
      <c r="C1339" t="s">
        <v>6942</v>
      </c>
      <c r="D1339" t="s">
        <v>254</v>
      </c>
      <c r="E1339" t="s">
        <v>6939</v>
      </c>
      <c r="F1339">
        <v>4</v>
      </c>
      <c r="G1339">
        <v>2</v>
      </c>
      <c r="H1339" t="s">
        <v>9634</v>
      </c>
      <c r="J1339" t="s">
        <v>412</v>
      </c>
      <c r="M1339" t="s">
        <v>9635</v>
      </c>
      <c r="N1339">
        <v>2.0902262079999998</v>
      </c>
      <c r="O1339">
        <v>4.2704203920000001</v>
      </c>
      <c r="P1339">
        <v>0.23425843900000001</v>
      </c>
      <c r="Q1339">
        <v>1.6181978999999999E-2</v>
      </c>
      <c r="S1339" s="13">
        <v>-1.2803721809999999</v>
      </c>
      <c r="T1339">
        <v>0.33025925900000003</v>
      </c>
      <c r="U1339">
        <v>-0.16898868</v>
      </c>
    </row>
    <row r="1340" spans="1:21" x14ac:dyDescent="0.2">
      <c r="A1340" t="s">
        <v>504</v>
      </c>
      <c r="B1340">
        <v>739040</v>
      </c>
      <c r="C1340" t="s">
        <v>6938</v>
      </c>
      <c r="D1340" t="s">
        <v>504</v>
      </c>
      <c r="E1340" t="s">
        <v>6956</v>
      </c>
      <c r="F1340">
        <v>12</v>
      </c>
      <c r="G1340">
        <v>7</v>
      </c>
      <c r="H1340" t="s">
        <v>9636</v>
      </c>
      <c r="J1340" t="s">
        <v>506</v>
      </c>
      <c r="M1340" t="s">
        <v>9637</v>
      </c>
      <c r="N1340">
        <v>2.092758737</v>
      </c>
      <c r="O1340">
        <v>5.3323610669999999</v>
      </c>
      <c r="P1340">
        <v>0.70420098600000003</v>
      </c>
      <c r="Q1340">
        <v>0.41355372699999998</v>
      </c>
      <c r="S1340" s="13">
        <v>-1.2804191</v>
      </c>
      <c r="T1340">
        <v>0.330054232</v>
      </c>
      <c r="U1340">
        <v>-0.15020412799999999</v>
      </c>
    </row>
    <row r="1341" spans="1:21" x14ac:dyDescent="0.2">
      <c r="A1341" t="s">
        <v>730</v>
      </c>
      <c r="B1341">
        <v>710520</v>
      </c>
      <c r="C1341" t="s">
        <v>6927</v>
      </c>
      <c r="D1341" t="s">
        <v>731</v>
      </c>
      <c r="E1341" t="s">
        <v>6946</v>
      </c>
      <c r="F1341">
        <v>4</v>
      </c>
      <c r="G1341">
        <v>11</v>
      </c>
      <c r="H1341" t="s">
        <v>9638</v>
      </c>
      <c r="J1341" t="s">
        <v>9639</v>
      </c>
      <c r="M1341" t="s">
        <v>9640</v>
      </c>
      <c r="N1341">
        <v>1.982575982</v>
      </c>
      <c r="O1341">
        <v>3.4571926419999999</v>
      </c>
      <c r="P1341">
        <v>-0.114791479</v>
      </c>
      <c r="Q1341">
        <v>1.868949E-3</v>
      </c>
      <c r="S1341" s="13">
        <v>-1.2804802129999999</v>
      </c>
      <c r="T1341">
        <v>0.32978718400000001</v>
      </c>
      <c r="U1341">
        <v>-0.146455733</v>
      </c>
    </row>
    <row r="1342" spans="1:21" x14ac:dyDescent="0.2">
      <c r="A1342" t="s">
        <v>369</v>
      </c>
      <c r="B1342">
        <v>680440</v>
      </c>
      <c r="C1342" t="s">
        <v>6910</v>
      </c>
      <c r="D1342" t="s">
        <v>369</v>
      </c>
      <c r="E1342" t="s">
        <v>6939</v>
      </c>
      <c r="F1342">
        <v>23</v>
      </c>
      <c r="G1342">
        <v>2</v>
      </c>
      <c r="H1342" t="s">
        <v>9641</v>
      </c>
      <c r="J1342" t="s">
        <v>4407</v>
      </c>
      <c r="M1342" t="s">
        <v>9642</v>
      </c>
      <c r="N1342">
        <v>1.9874741039999999</v>
      </c>
      <c r="O1342">
        <v>3.7453511220000002</v>
      </c>
      <c r="P1342">
        <v>0.451009722</v>
      </c>
      <c r="Q1342">
        <v>-0.102386592</v>
      </c>
      <c r="S1342" s="13">
        <v>-1.2806037910000001</v>
      </c>
      <c r="T1342">
        <v>0.32924717199999998</v>
      </c>
      <c r="U1342">
        <v>-9.3493607000000006E-2</v>
      </c>
    </row>
    <row r="1343" spans="1:21" x14ac:dyDescent="0.2">
      <c r="A1343" t="s">
        <v>2457</v>
      </c>
      <c r="B1343">
        <v>680360</v>
      </c>
      <c r="C1343" t="s">
        <v>6910</v>
      </c>
      <c r="D1343" t="s">
        <v>2458</v>
      </c>
      <c r="E1343" t="s">
        <v>7115</v>
      </c>
      <c r="F1343">
        <v>5</v>
      </c>
      <c r="G1343">
        <v>10</v>
      </c>
      <c r="H1343" t="s">
        <v>9643</v>
      </c>
      <c r="J1343" t="s">
        <v>5081</v>
      </c>
      <c r="M1343" t="s">
        <v>9644</v>
      </c>
      <c r="N1343">
        <v>1.9874741039999999</v>
      </c>
      <c r="O1343">
        <v>3.7453511220000002</v>
      </c>
      <c r="P1343">
        <v>0.451009722</v>
      </c>
      <c r="Q1343">
        <v>-0.102386592</v>
      </c>
      <c r="S1343" s="13">
        <v>-1.2806898630000001</v>
      </c>
      <c r="T1343">
        <v>0.32887105999999999</v>
      </c>
      <c r="U1343">
        <v>-9.3540306000000004E-2</v>
      </c>
    </row>
    <row r="1344" spans="1:21" x14ac:dyDescent="0.2">
      <c r="A1344" t="s">
        <v>157</v>
      </c>
      <c r="B1344">
        <v>569880</v>
      </c>
      <c r="C1344" t="s">
        <v>6945</v>
      </c>
      <c r="D1344" t="s">
        <v>157</v>
      </c>
      <c r="E1344" t="s">
        <v>6946</v>
      </c>
      <c r="F1344">
        <v>14</v>
      </c>
      <c r="G1344">
        <v>11</v>
      </c>
      <c r="H1344" t="s">
        <v>9645</v>
      </c>
      <c r="J1344" t="s">
        <v>2283</v>
      </c>
      <c r="M1344" t="s">
        <v>9646</v>
      </c>
      <c r="N1344">
        <v>2.2220813349999999</v>
      </c>
      <c r="O1344">
        <v>6.5440947090000003</v>
      </c>
      <c r="P1344">
        <v>0.58228215500000002</v>
      </c>
      <c r="Q1344">
        <v>0.35188233000000002</v>
      </c>
      <c r="S1344" s="13">
        <v>-1.2807447789999999</v>
      </c>
      <c r="T1344">
        <v>0.32863108800000002</v>
      </c>
      <c r="U1344">
        <v>-0.17473554499999999</v>
      </c>
    </row>
    <row r="1345" spans="1:21" x14ac:dyDescent="0.2">
      <c r="A1345" t="s">
        <v>610</v>
      </c>
      <c r="B1345">
        <v>653400</v>
      </c>
      <c r="C1345" t="s">
        <v>6906</v>
      </c>
      <c r="D1345" t="s">
        <v>611</v>
      </c>
      <c r="E1345" t="s">
        <v>6974</v>
      </c>
      <c r="F1345">
        <v>9</v>
      </c>
      <c r="G1345">
        <v>15</v>
      </c>
      <c r="H1345" t="s">
        <v>9647</v>
      </c>
      <c r="J1345" t="s">
        <v>9648</v>
      </c>
      <c r="M1345" t="s">
        <v>9649</v>
      </c>
      <c r="N1345">
        <v>1.813871112</v>
      </c>
      <c r="O1345">
        <v>2.6633694910000001</v>
      </c>
      <c r="P1345">
        <v>-0.29586356800000002</v>
      </c>
      <c r="Q1345">
        <v>-0.59018158399999998</v>
      </c>
      <c r="S1345" s="13">
        <v>-1.2807776</v>
      </c>
      <c r="T1345">
        <v>0.32848766699999998</v>
      </c>
      <c r="U1345">
        <v>-0.134514631</v>
      </c>
    </row>
    <row r="1346" spans="1:21" x14ac:dyDescent="0.2">
      <c r="A1346" t="s">
        <v>491</v>
      </c>
      <c r="B1346">
        <v>648400</v>
      </c>
      <c r="C1346" t="s">
        <v>6942</v>
      </c>
      <c r="D1346" t="s">
        <v>491</v>
      </c>
      <c r="E1346" t="s">
        <v>6924</v>
      </c>
      <c r="F1346">
        <v>15</v>
      </c>
      <c r="G1346">
        <v>6</v>
      </c>
      <c r="H1346" t="s">
        <v>9650</v>
      </c>
      <c r="J1346" t="s">
        <v>493</v>
      </c>
      <c r="M1346" t="s">
        <v>9651</v>
      </c>
      <c r="N1346">
        <v>2.0902262079999998</v>
      </c>
      <c r="O1346">
        <v>4.2704203920000001</v>
      </c>
      <c r="P1346">
        <v>0.23425843900000001</v>
      </c>
      <c r="Q1346">
        <v>1.6181978999999999E-2</v>
      </c>
      <c r="S1346" s="13">
        <v>-1.2808432949999999</v>
      </c>
      <c r="T1346">
        <v>0.32820059499999998</v>
      </c>
      <c r="U1346">
        <v>-0.16932218099999999</v>
      </c>
    </row>
    <row r="1347" spans="1:21" x14ac:dyDescent="0.2">
      <c r="A1347" t="s">
        <v>1144</v>
      </c>
      <c r="B1347">
        <v>569760</v>
      </c>
      <c r="C1347" t="s">
        <v>6945</v>
      </c>
      <c r="D1347" t="s">
        <v>1145</v>
      </c>
      <c r="E1347" t="s">
        <v>6974</v>
      </c>
      <c r="F1347">
        <v>7</v>
      </c>
      <c r="G1347">
        <v>15</v>
      </c>
      <c r="H1347" t="s">
        <v>9652</v>
      </c>
      <c r="J1347" t="s">
        <v>5673</v>
      </c>
      <c r="M1347" t="s">
        <v>9653</v>
      </c>
      <c r="N1347">
        <v>2.2220813349999999</v>
      </c>
      <c r="O1347">
        <v>6.5440947090000003</v>
      </c>
      <c r="P1347">
        <v>0.58228215500000002</v>
      </c>
      <c r="Q1347">
        <v>0.35188233000000002</v>
      </c>
      <c r="S1347" s="13">
        <v>-1.2808579680000001</v>
      </c>
      <c r="T1347">
        <v>0.32813648099999998</v>
      </c>
      <c r="U1347">
        <v>-0.174820007</v>
      </c>
    </row>
    <row r="1348" spans="1:21" x14ac:dyDescent="0.2">
      <c r="A1348" t="s">
        <v>820</v>
      </c>
      <c r="B1348">
        <v>778280</v>
      </c>
      <c r="C1348" t="s">
        <v>6914</v>
      </c>
      <c r="D1348" t="s">
        <v>820</v>
      </c>
      <c r="E1348" t="s">
        <v>6974</v>
      </c>
      <c r="F1348">
        <v>20</v>
      </c>
      <c r="G1348">
        <v>15</v>
      </c>
      <c r="H1348" t="s">
        <v>9654</v>
      </c>
      <c r="J1348" t="s">
        <v>3440</v>
      </c>
      <c r="M1348" t="s">
        <v>9655</v>
      </c>
      <c r="N1348">
        <v>1.8217074179999999</v>
      </c>
      <c r="O1348">
        <v>4.1700741289999996</v>
      </c>
      <c r="P1348">
        <v>0.189705977</v>
      </c>
      <c r="Q1348">
        <v>-1.7194070999999998E-2</v>
      </c>
      <c r="S1348" s="13">
        <v>-1.28089293</v>
      </c>
      <c r="T1348">
        <v>0.32798370199999999</v>
      </c>
      <c r="U1348">
        <v>-0.15469693800000001</v>
      </c>
    </row>
    <row r="1349" spans="1:21" x14ac:dyDescent="0.2">
      <c r="A1349" t="s">
        <v>1013</v>
      </c>
      <c r="B1349">
        <v>679960</v>
      </c>
      <c r="C1349" t="s">
        <v>6910</v>
      </c>
      <c r="D1349" t="s">
        <v>1014</v>
      </c>
      <c r="E1349" t="s">
        <v>7006</v>
      </c>
      <c r="F1349">
        <v>6</v>
      </c>
      <c r="G1349">
        <v>3</v>
      </c>
      <c r="H1349" t="s">
        <v>9656</v>
      </c>
      <c r="J1349" t="s">
        <v>6483</v>
      </c>
      <c r="M1349" t="s">
        <v>9657</v>
      </c>
      <c r="N1349">
        <v>1.9874741039999999</v>
      </c>
      <c r="O1349">
        <v>3.7453511220000002</v>
      </c>
      <c r="P1349">
        <v>0.451009722</v>
      </c>
      <c r="Q1349">
        <v>-0.102386592</v>
      </c>
      <c r="S1349" s="13">
        <v>-1.28112022</v>
      </c>
      <c r="T1349">
        <v>0.32699049600000002</v>
      </c>
      <c r="U1349">
        <v>-9.3773876000000006E-2</v>
      </c>
    </row>
    <row r="1350" spans="1:21" x14ac:dyDescent="0.2">
      <c r="A1350" t="s">
        <v>408</v>
      </c>
      <c r="B1350">
        <v>602080</v>
      </c>
      <c r="C1350" t="s">
        <v>6931</v>
      </c>
      <c r="D1350" t="s">
        <v>408</v>
      </c>
      <c r="E1350" t="s">
        <v>6918</v>
      </c>
      <c r="F1350">
        <v>10</v>
      </c>
      <c r="G1350">
        <v>1</v>
      </c>
      <c r="H1350" t="s">
        <v>9658</v>
      </c>
      <c r="N1350">
        <v>1.9323965059999999</v>
      </c>
      <c r="O1350">
        <v>3.0528020530000002</v>
      </c>
      <c r="P1350">
        <v>2.6493138999999999E-2</v>
      </c>
      <c r="Q1350">
        <v>-0.38692188</v>
      </c>
      <c r="S1350" s="13">
        <v>-1.281387557</v>
      </c>
      <c r="T1350">
        <v>0.32582229800000001</v>
      </c>
      <c r="U1350">
        <v>-9.3610364000000001E-2</v>
      </c>
    </row>
    <row r="1351" spans="1:21" x14ac:dyDescent="0.2">
      <c r="A1351" t="s">
        <v>329</v>
      </c>
      <c r="B1351">
        <v>652880</v>
      </c>
      <c r="C1351" t="s">
        <v>6906</v>
      </c>
      <c r="D1351" t="s">
        <v>329</v>
      </c>
      <c r="E1351" t="s">
        <v>6924</v>
      </c>
      <c r="F1351">
        <v>22</v>
      </c>
      <c r="G1351">
        <v>6</v>
      </c>
      <c r="H1351" t="s">
        <v>9659</v>
      </c>
      <c r="J1351" t="s">
        <v>4433</v>
      </c>
      <c r="M1351" t="s">
        <v>9660</v>
      </c>
      <c r="N1351">
        <v>1.813871112</v>
      </c>
      <c r="O1351">
        <v>2.6633694910000001</v>
      </c>
      <c r="P1351">
        <v>-0.29586356800000002</v>
      </c>
      <c r="Q1351">
        <v>-0.59018158399999998</v>
      </c>
      <c r="S1351" s="13">
        <v>-1.2815319890000001</v>
      </c>
      <c r="T1351">
        <v>0.32519116100000001</v>
      </c>
      <c r="U1351">
        <v>-0.134848353</v>
      </c>
    </row>
    <row r="1352" spans="1:21" x14ac:dyDescent="0.2">
      <c r="A1352" t="s">
        <v>832</v>
      </c>
      <c r="B1352">
        <v>601880</v>
      </c>
      <c r="C1352" t="s">
        <v>6931</v>
      </c>
      <c r="D1352" t="s">
        <v>832</v>
      </c>
      <c r="E1352" t="s">
        <v>6924</v>
      </c>
      <c r="F1352">
        <v>21</v>
      </c>
      <c r="G1352">
        <v>6</v>
      </c>
      <c r="H1352" t="s">
        <v>9661</v>
      </c>
      <c r="N1352">
        <v>1.9323965059999999</v>
      </c>
      <c r="O1352">
        <v>3.0528020530000002</v>
      </c>
      <c r="P1352">
        <v>2.6493138999999999E-2</v>
      </c>
      <c r="Q1352">
        <v>-0.38692188</v>
      </c>
      <c r="S1352" s="13">
        <v>-1.2816503509999999</v>
      </c>
      <c r="T1352">
        <v>0.32467394399999999</v>
      </c>
      <c r="U1352">
        <v>-9.3727151999999994E-2</v>
      </c>
    </row>
    <row r="1353" spans="1:21" x14ac:dyDescent="0.2">
      <c r="A1353" t="s">
        <v>185</v>
      </c>
      <c r="B1353">
        <v>647480</v>
      </c>
      <c r="C1353" t="s">
        <v>6942</v>
      </c>
      <c r="D1353" t="s">
        <v>185</v>
      </c>
      <c r="E1353" t="s">
        <v>6977</v>
      </c>
      <c r="F1353">
        <v>23</v>
      </c>
      <c r="G1353">
        <v>5</v>
      </c>
      <c r="H1353" t="s">
        <v>9662</v>
      </c>
      <c r="J1353" t="s">
        <v>4868</v>
      </c>
      <c r="M1353" t="s">
        <v>9663</v>
      </c>
      <c r="N1353">
        <v>2.0902262079999998</v>
      </c>
      <c r="O1353">
        <v>4.2704203920000001</v>
      </c>
      <c r="P1353">
        <v>0.23425843900000001</v>
      </c>
      <c r="Q1353">
        <v>1.6181978999999999E-2</v>
      </c>
      <c r="S1353" s="13">
        <v>-1.281746265</v>
      </c>
      <c r="T1353">
        <v>0.324254822</v>
      </c>
      <c r="U1353">
        <v>-0.169962107</v>
      </c>
    </row>
    <row r="1354" spans="1:21" x14ac:dyDescent="0.2">
      <c r="A1354" t="s">
        <v>894</v>
      </c>
      <c r="B1354">
        <v>601800</v>
      </c>
      <c r="C1354" t="s">
        <v>6931</v>
      </c>
      <c r="D1354" t="s">
        <v>894</v>
      </c>
      <c r="E1354" t="s">
        <v>6939</v>
      </c>
      <c r="F1354">
        <v>18</v>
      </c>
      <c r="G1354">
        <v>2</v>
      </c>
      <c r="H1354" t="s">
        <v>9664</v>
      </c>
      <c r="N1354">
        <v>1.9323965059999999</v>
      </c>
      <c r="O1354">
        <v>3.0528020530000002</v>
      </c>
      <c r="P1354">
        <v>2.6493138999999999E-2</v>
      </c>
      <c r="Q1354">
        <v>-0.38692188</v>
      </c>
      <c r="S1354" s="13">
        <v>-1.2817554689999999</v>
      </c>
      <c r="T1354">
        <v>0.32421460299999999</v>
      </c>
      <c r="U1354">
        <v>-9.3773876000000006E-2</v>
      </c>
    </row>
    <row r="1355" spans="1:21" x14ac:dyDescent="0.2">
      <c r="A1355" t="s">
        <v>912</v>
      </c>
      <c r="B1355">
        <v>601640</v>
      </c>
      <c r="C1355" t="s">
        <v>6931</v>
      </c>
      <c r="D1355" t="s">
        <v>912</v>
      </c>
      <c r="E1355" t="s">
        <v>6921</v>
      </c>
      <c r="F1355">
        <v>23</v>
      </c>
      <c r="G1355">
        <v>8</v>
      </c>
      <c r="H1355" t="s">
        <v>9665</v>
      </c>
      <c r="N1355">
        <v>1.9323965059999999</v>
      </c>
      <c r="O1355">
        <v>3.0528020530000002</v>
      </c>
      <c r="P1355">
        <v>2.6493138999999999E-2</v>
      </c>
      <c r="Q1355">
        <v>-0.38692188</v>
      </c>
      <c r="S1355" s="13">
        <v>-1.281965705</v>
      </c>
      <c r="T1355">
        <v>0.32329592000000001</v>
      </c>
      <c r="U1355">
        <v>-9.3867338999999994E-2</v>
      </c>
    </row>
    <row r="1356" spans="1:21" x14ac:dyDescent="0.2">
      <c r="A1356" t="s">
        <v>38</v>
      </c>
      <c r="B1356">
        <v>708840</v>
      </c>
      <c r="C1356" t="s">
        <v>6927</v>
      </c>
      <c r="D1356" t="s">
        <v>38</v>
      </c>
      <c r="E1356" t="s">
        <v>6939</v>
      </c>
      <c r="F1356">
        <v>24</v>
      </c>
      <c r="G1356">
        <v>2</v>
      </c>
      <c r="H1356" t="s">
        <v>9666</v>
      </c>
      <c r="J1356" t="s">
        <v>9667</v>
      </c>
      <c r="M1356" t="s">
        <v>9668</v>
      </c>
      <c r="N1356">
        <v>1.982575982</v>
      </c>
      <c r="O1356">
        <v>3.4571926419999999</v>
      </c>
      <c r="P1356">
        <v>-0.114791479</v>
      </c>
      <c r="Q1356">
        <v>1.868949E-3</v>
      </c>
      <c r="S1356" s="13">
        <v>-1.2822234210000001</v>
      </c>
      <c r="T1356">
        <v>0.32216976000000003</v>
      </c>
      <c r="U1356">
        <v>-0.147564959</v>
      </c>
    </row>
    <row r="1357" spans="1:21" x14ac:dyDescent="0.2">
      <c r="A1357" t="s">
        <v>2257</v>
      </c>
      <c r="B1357">
        <v>567960</v>
      </c>
      <c r="C1357" t="s">
        <v>6945</v>
      </c>
      <c r="D1357" t="s">
        <v>2257</v>
      </c>
      <c r="E1357" t="s">
        <v>6911</v>
      </c>
      <c r="F1357">
        <v>16</v>
      </c>
      <c r="G1357">
        <v>12</v>
      </c>
      <c r="H1357" t="s">
        <v>9669</v>
      </c>
      <c r="J1357" t="s">
        <v>4497</v>
      </c>
      <c r="M1357" t="s">
        <v>9670</v>
      </c>
      <c r="N1357">
        <v>2.2220813349999999</v>
      </c>
      <c r="O1357">
        <v>6.5440947090000003</v>
      </c>
      <c r="P1357">
        <v>0.58228215500000002</v>
      </c>
      <c r="Q1357">
        <v>0.35188233000000002</v>
      </c>
      <c r="S1357" s="13">
        <v>-1.2825557919999999</v>
      </c>
      <c r="T1357">
        <v>0.320717374</v>
      </c>
      <c r="U1357">
        <v>-0.17608890599999999</v>
      </c>
    </row>
    <row r="1358" spans="1:21" x14ac:dyDescent="0.2">
      <c r="A1358" t="s">
        <v>169</v>
      </c>
      <c r="B1358">
        <v>773480</v>
      </c>
      <c r="C1358" t="s">
        <v>6953</v>
      </c>
      <c r="D1358" t="s">
        <v>169</v>
      </c>
      <c r="E1358" t="s">
        <v>6918</v>
      </c>
      <c r="F1358">
        <v>16</v>
      </c>
      <c r="G1358">
        <v>1</v>
      </c>
      <c r="H1358" t="s">
        <v>9671</v>
      </c>
      <c r="J1358" t="s">
        <v>2995</v>
      </c>
      <c r="M1358" t="s">
        <v>9672</v>
      </c>
      <c r="N1358">
        <v>1.921480887</v>
      </c>
      <c r="O1358">
        <v>3.0856645180000002</v>
      </c>
      <c r="P1358">
        <v>0.44706724399999997</v>
      </c>
      <c r="Q1358">
        <v>-0.354940863</v>
      </c>
      <c r="S1358" s="13">
        <v>-1.282628095</v>
      </c>
      <c r="T1358">
        <v>0.32040142999999999</v>
      </c>
      <c r="U1358">
        <v>-9.7021807000000002E-2</v>
      </c>
    </row>
    <row r="1359" spans="1:21" x14ac:dyDescent="0.2">
      <c r="A1359" t="s">
        <v>988</v>
      </c>
      <c r="B1359">
        <v>773200</v>
      </c>
      <c r="C1359" t="s">
        <v>6953</v>
      </c>
      <c r="D1359" t="s">
        <v>988</v>
      </c>
      <c r="E1359" t="s">
        <v>6974</v>
      </c>
      <c r="F1359">
        <v>16</v>
      </c>
      <c r="G1359">
        <v>15</v>
      </c>
      <c r="H1359" t="s">
        <v>9673</v>
      </c>
      <c r="J1359" t="s">
        <v>1212</v>
      </c>
      <c r="M1359" t="s">
        <v>9674</v>
      </c>
      <c r="N1359">
        <v>1.921480887</v>
      </c>
      <c r="O1359">
        <v>3.0856645180000002</v>
      </c>
      <c r="P1359">
        <v>0.44706724399999997</v>
      </c>
      <c r="Q1359">
        <v>-0.354940863</v>
      </c>
      <c r="S1359" s="13">
        <v>-1.2829186299999999</v>
      </c>
      <c r="T1359">
        <v>0.31913185900000002</v>
      </c>
      <c r="U1359">
        <v>-9.7186608999999993E-2</v>
      </c>
    </row>
    <row r="1360" spans="1:21" x14ac:dyDescent="0.2">
      <c r="A1360" t="s">
        <v>912</v>
      </c>
      <c r="B1360">
        <v>735920</v>
      </c>
      <c r="C1360" t="s">
        <v>6938</v>
      </c>
      <c r="D1360" t="s">
        <v>912</v>
      </c>
      <c r="E1360" t="s">
        <v>6921</v>
      </c>
      <c r="F1360">
        <v>23</v>
      </c>
      <c r="G1360">
        <v>8</v>
      </c>
      <c r="H1360" t="s">
        <v>9675</v>
      </c>
      <c r="J1360" t="s">
        <v>5465</v>
      </c>
      <c r="M1360" t="s">
        <v>9676</v>
      </c>
      <c r="N1360">
        <v>2.092758737</v>
      </c>
      <c r="O1360">
        <v>5.3323610669999999</v>
      </c>
      <c r="P1360">
        <v>0.70420098600000003</v>
      </c>
      <c r="Q1360">
        <v>0.41355372699999998</v>
      </c>
      <c r="S1360" s="13">
        <v>-1.283098592</v>
      </c>
      <c r="T1360">
        <v>0.31834546600000002</v>
      </c>
      <c r="U1360">
        <v>-0.15228429700000001</v>
      </c>
    </row>
    <row r="1361" spans="1:21" x14ac:dyDescent="0.2">
      <c r="A1361" t="s">
        <v>529</v>
      </c>
      <c r="B1361">
        <v>773000</v>
      </c>
      <c r="C1361" t="s">
        <v>6953</v>
      </c>
      <c r="D1361" t="s">
        <v>529</v>
      </c>
      <c r="E1361" t="s">
        <v>6956</v>
      </c>
      <c r="F1361">
        <v>22</v>
      </c>
      <c r="G1361">
        <v>7</v>
      </c>
      <c r="H1361" t="s">
        <v>9677</v>
      </c>
      <c r="J1361" t="s">
        <v>2959</v>
      </c>
      <c r="M1361" t="s">
        <v>9678</v>
      </c>
      <c r="N1361">
        <v>1.921480887</v>
      </c>
      <c r="O1361">
        <v>3.0856645180000002</v>
      </c>
      <c r="P1361">
        <v>0.44706724399999997</v>
      </c>
      <c r="Q1361">
        <v>-0.354940863</v>
      </c>
      <c r="S1361" s="13">
        <v>-1.2831261540000001</v>
      </c>
      <c r="T1361">
        <v>0.318225023</v>
      </c>
      <c r="U1361">
        <v>-9.7304363000000005E-2</v>
      </c>
    </row>
    <row r="1362" spans="1:21" x14ac:dyDescent="0.2">
      <c r="A1362" t="s">
        <v>2294</v>
      </c>
      <c r="B1362">
        <v>707880</v>
      </c>
      <c r="C1362" t="s">
        <v>6927</v>
      </c>
      <c r="D1362" t="s">
        <v>2294</v>
      </c>
      <c r="E1362" t="s">
        <v>7085</v>
      </c>
      <c r="F1362">
        <v>20</v>
      </c>
      <c r="G1362">
        <v>9</v>
      </c>
      <c r="H1362" t="s">
        <v>9679</v>
      </c>
      <c r="J1362" t="s">
        <v>9680</v>
      </c>
      <c r="M1362" t="s">
        <v>9681</v>
      </c>
      <c r="N1362">
        <v>1.982575982</v>
      </c>
      <c r="O1362">
        <v>3.4571926419999999</v>
      </c>
      <c r="P1362">
        <v>-0.114791479</v>
      </c>
      <c r="Q1362">
        <v>1.868949E-3</v>
      </c>
      <c r="S1362" s="13">
        <v>-1.283219541</v>
      </c>
      <c r="T1362">
        <v>0.31781694700000002</v>
      </c>
      <c r="U1362">
        <v>-0.14820007599999999</v>
      </c>
    </row>
    <row r="1363" spans="1:21" x14ac:dyDescent="0.2">
      <c r="A1363" t="s">
        <v>190</v>
      </c>
      <c r="B1363">
        <v>707880</v>
      </c>
      <c r="C1363" t="s">
        <v>6927</v>
      </c>
      <c r="D1363" t="s">
        <v>190</v>
      </c>
      <c r="E1363" t="s">
        <v>6946</v>
      </c>
      <c r="F1363">
        <v>10</v>
      </c>
      <c r="G1363">
        <v>11</v>
      </c>
      <c r="H1363" t="s">
        <v>9682</v>
      </c>
      <c r="J1363" t="s">
        <v>9683</v>
      </c>
      <c r="M1363" t="s">
        <v>9684</v>
      </c>
      <c r="N1363">
        <v>1.982575982</v>
      </c>
      <c r="O1363">
        <v>3.4571926419999999</v>
      </c>
      <c r="P1363">
        <v>-0.114791479</v>
      </c>
      <c r="Q1363">
        <v>1.868949E-3</v>
      </c>
      <c r="S1363" s="13">
        <v>-1.283219541</v>
      </c>
      <c r="T1363">
        <v>0.31781694700000002</v>
      </c>
      <c r="U1363">
        <v>-0.14820007599999999</v>
      </c>
    </row>
    <row r="1364" spans="1:21" x14ac:dyDescent="0.2">
      <c r="A1364" t="s">
        <v>2108</v>
      </c>
      <c r="B1364">
        <v>567120</v>
      </c>
      <c r="C1364" t="s">
        <v>6945</v>
      </c>
      <c r="D1364" t="s">
        <v>2108</v>
      </c>
      <c r="E1364" t="s">
        <v>6956</v>
      </c>
      <c r="F1364">
        <v>17</v>
      </c>
      <c r="G1364">
        <v>7</v>
      </c>
      <c r="H1364" t="s">
        <v>9685</v>
      </c>
      <c r="J1364" t="s">
        <v>3639</v>
      </c>
      <c r="M1364" t="s">
        <v>9686</v>
      </c>
      <c r="N1364">
        <v>2.2220813349999999</v>
      </c>
      <c r="O1364">
        <v>6.5440947090000003</v>
      </c>
      <c r="P1364">
        <v>0.58228215500000002</v>
      </c>
      <c r="Q1364">
        <v>0.35188233000000002</v>
      </c>
      <c r="S1364" s="13">
        <v>-1.283348111</v>
      </c>
      <c r="T1364">
        <v>0.31725512500000003</v>
      </c>
      <c r="U1364">
        <v>-0.17668233</v>
      </c>
    </row>
    <row r="1365" spans="1:21" x14ac:dyDescent="0.2">
      <c r="A1365" t="s">
        <v>1092</v>
      </c>
      <c r="B1365">
        <v>600400</v>
      </c>
      <c r="C1365" t="s">
        <v>6931</v>
      </c>
      <c r="D1365" t="s">
        <v>1092</v>
      </c>
      <c r="E1365" t="s">
        <v>6970</v>
      </c>
      <c r="F1365">
        <v>20</v>
      </c>
      <c r="G1365">
        <v>14</v>
      </c>
      <c r="H1365" t="s">
        <v>9687</v>
      </c>
      <c r="N1365">
        <v>1.9323965059999999</v>
      </c>
      <c r="O1365">
        <v>3.0528020530000002</v>
      </c>
      <c r="P1365">
        <v>2.6493138999999999E-2</v>
      </c>
      <c r="Q1365">
        <v>-0.38692188</v>
      </c>
      <c r="S1365" s="13">
        <v>-1.2835950330000001</v>
      </c>
      <c r="T1365">
        <v>0.31617613</v>
      </c>
      <c r="U1365">
        <v>-9.4592361999999999E-2</v>
      </c>
    </row>
    <row r="1366" spans="1:21" x14ac:dyDescent="0.2">
      <c r="A1366" t="s">
        <v>2139</v>
      </c>
      <c r="B1366">
        <v>677640</v>
      </c>
      <c r="C1366" t="s">
        <v>6910</v>
      </c>
      <c r="D1366" t="s">
        <v>2140</v>
      </c>
      <c r="E1366" t="s">
        <v>6924</v>
      </c>
      <c r="F1366">
        <v>1</v>
      </c>
      <c r="G1366">
        <v>6</v>
      </c>
      <c r="H1366" t="s">
        <v>9688</v>
      </c>
      <c r="J1366" t="s">
        <v>5097</v>
      </c>
      <c r="M1366" t="s">
        <v>9689</v>
      </c>
      <c r="N1366">
        <v>1.9874741039999999</v>
      </c>
      <c r="O1366">
        <v>3.7453511220000002</v>
      </c>
      <c r="P1366">
        <v>0.451009722</v>
      </c>
      <c r="Q1366">
        <v>-0.102386592</v>
      </c>
      <c r="S1366" s="13">
        <v>-1.2836162929999999</v>
      </c>
      <c r="T1366">
        <v>0.31608322799999999</v>
      </c>
      <c r="U1366">
        <v>-9.5131066E-2</v>
      </c>
    </row>
    <row r="1367" spans="1:21" x14ac:dyDescent="0.2">
      <c r="A1367" t="s">
        <v>397</v>
      </c>
      <c r="B1367">
        <v>772520</v>
      </c>
      <c r="C1367" t="s">
        <v>6953</v>
      </c>
      <c r="D1367" t="s">
        <v>397</v>
      </c>
      <c r="E1367" t="s">
        <v>7006</v>
      </c>
      <c r="F1367">
        <v>10</v>
      </c>
      <c r="G1367">
        <v>3</v>
      </c>
      <c r="H1367" t="s">
        <v>9690</v>
      </c>
      <c r="J1367" t="s">
        <v>399</v>
      </c>
      <c r="M1367" t="s">
        <v>9691</v>
      </c>
      <c r="N1367">
        <v>1.921480887</v>
      </c>
      <c r="O1367">
        <v>3.0856645180000002</v>
      </c>
      <c r="P1367">
        <v>0.44706724399999997</v>
      </c>
      <c r="Q1367">
        <v>-0.354940863</v>
      </c>
      <c r="S1367" s="13">
        <v>-1.283624214</v>
      </c>
      <c r="T1367">
        <v>0.316048616</v>
      </c>
      <c r="U1367">
        <v>-9.7587102999999994E-2</v>
      </c>
    </row>
    <row r="1368" spans="1:21" x14ac:dyDescent="0.2">
      <c r="A1368" t="s">
        <v>1494</v>
      </c>
      <c r="B1368">
        <v>775840</v>
      </c>
      <c r="C1368" t="s">
        <v>6914</v>
      </c>
      <c r="D1368" t="s">
        <v>1494</v>
      </c>
      <c r="E1368" t="s">
        <v>7115</v>
      </c>
      <c r="F1368">
        <v>12</v>
      </c>
      <c r="G1368">
        <v>10</v>
      </c>
      <c r="H1368" t="s">
        <v>9692</v>
      </c>
      <c r="J1368" t="s">
        <v>5933</v>
      </c>
      <c r="M1368" t="s">
        <v>9693</v>
      </c>
      <c r="N1368">
        <v>1.8217074179999999</v>
      </c>
      <c r="O1368">
        <v>4.1700741289999996</v>
      </c>
      <c r="P1368">
        <v>0.189705977</v>
      </c>
      <c r="Q1368">
        <v>-1.7194070999999998E-2</v>
      </c>
      <c r="S1368" s="13">
        <v>-1.283827668</v>
      </c>
      <c r="T1368">
        <v>0.31515956699999997</v>
      </c>
      <c r="U1368">
        <v>-0.15633982699999999</v>
      </c>
    </row>
    <row r="1369" spans="1:21" x14ac:dyDescent="0.2">
      <c r="A1369" t="s">
        <v>380</v>
      </c>
      <c r="B1369">
        <v>650960</v>
      </c>
      <c r="C1369" t="s">
        <v>6906</v>
      </c>
      <c r="D1369" t="s">
        <v>380</v>
      </c>
      <c r="E1369" t="s">
        <v>6928</v>
      </c>
      <c r="F1369">
        <v>16</v>
      </c>
      <c r="G1369">
        <v>16</v>
      </c>
      <c r="H1369" t="s">
        <v>9694</v>
      </c>
      <c r="J1369" t="s">
        <v>1561</v>
      </c>
      <c r="M1369" t="s">
        <v>9695</v>
      </c>
      <c r="N1369">
        <v>1.813871112</v>
      </c>
      <c r="O1369">
        <v>2.6633694910000001</v>
      </c>
      <c r="P1369">
        <v>-0.29586356800000002</v>
      </c>
      <c r="Q1369">
        <v>-0.59018158399999998</v>
      </c>
      <c r="S1369" s="13">
        <v>-1.2843174230000001</v>
      </c>
      <c r="T1369">
        <v>0.31301944900000001</v>
      </c>
      <c r="U1369">
        <v>-0.13608278400000001</v>
      </c>
    </row>
    <row r="1370" spans="1:21" x14ac:dyDescent="0.2">
      <c r="A1370" t="s">
        <v>23</v>
      </c>
      <c r="B1370">
        <v>599640</v>
      </c>
      <c r="C1370" t="s">
        <v>6931</v>
      </c>
      <c r="D1370" t="s">
        <v>23</v>
      </c>
      <c r="E1370" t="s">
        <v>6907</v>
      </c>
      <c r="F1370">
        <v>18</v>
      </c>
      <c r="G1370">
        <v>4</v>
      </c>
      <c r="H1370" t="s">
        <v>9696</v>
      </c>
      <c r="N1370">
        <v>1.9323965059999999</v>
      </c>
      <c r="O1370">
        <v>3.0528020530000002</v>
      </c>
      <c r="P1370">
        <v>2.6493138999999999E-2</v>
      </c>
      <c r="Q1370">
        <v>-0.38692188</v>
      </c>
      <c r="S1370" s="13">
        <v>-1.284593654</v>
      </c>
      <c r="T1370">
        <v>0.31181238700000002</v>
      </c>
      <c r="U1370">
        <v>-9.5037330000000003E-2</v>
      </c>
    </row>
    <row r="1371" spans="1:21" x14ac:dyDescent="0.2">
      <c r="A1371" t="s">
        <v>2040</v>
      </c>
      <c r="B1371">
        <v>676720</v>
      </c>
      <c r="C1371" t="s">
        <v>6910</v>
      </c>
      <c r="D1371" t="s">
        <v>2040</v>
      </c>
      <c r="E1371" t="s">
        <v>6946</v>
      </c>
      <c r="F1371">
        <v>18</v>
      </c>
      <c r="G1371">
        <v>11</v>
      </c>
      <c r="H1371" t="s">
        <v>9697</v>
      </c>
      <c r="J1371" t="s">
        <v>2969</v>
      </c>
      <c r="M1371" t="s">
        <v>9698</v>
      </c>
      <c r="N1371">
        <v>1.9874741039999999</v>
      </c>
      <c r="O1371">
        <v>3.7453511220000002</v>
      </c>
      <c r="P1371">
        <v>0.451009722</v>
      </c>
      <c r="Q1371">
        <v>-0.102386592</v>
      </c>
      <c r="S1371" s="13">
        <v>-1.2846061150000001</v>
      </c>
      <c r="T1371">
        <v>0.31175793200000002</v>
      </c>
      <c r="U1371">
        <v>-9.5670437999999997E-2</v>
      </c>
    </row>
    <row r="1372" spans="1:21" x14ac:dyDescent="0.2">
      <c r="A1372" t="s">
        <v>583</v>
      </c>
      <c r="B1372">
        <v>775120</v>
      </c>
      <c r="C1372" t="s">
        <v>6914</v>
      </c>
      <c r="D1372" t="s">
        <v>583</v>
      </c>
      <c r="E1372" t="s">
        <v>6907</v>
      </c>
      <c r="F1372">
        <v>23</v>
      </c>
      <c r="G1372">
        <v>4</v>
      </c>
      <c r="H1372" t="s">
        <v>9699</v>
      </c>
      <c r="J1372" t="s">
        <v>5529</v>
      </c>
      <c r="M1372" t="s">
        <v>9700</v>
      </c>
      <c r="N1372">
        <v>1.8217074179999999</v>
      </c>
      <c r="O1372">
        <v>4.1700741289999996</v>
      </c>
      <c r="P1372">
        <v>0.189705977</v>
      </c>
      <c r="Q1372">
        <v>-1.7194070999999998E-2</v>
      </c>
      <c r="S1372" s="13">
        <v>-1.284693657</v>
      </c>
      <c r="T1372">
        <v>0.311375397</v>
      </c>
      <c r="U1372">
        <v>-0.15682580400000001</v>
      </c>
    </row>
    <row r="1373" spans="1:21" x14ac:dyDescent="0.2">
      <c r="A1373" t="s">
        <v>337</v>
      </c>
      <c r="B1373">
        <v>676560</v>
      </c>
      <c r="C1373" t="s">
        <v>6910</v>
      </c>
      <c r="D1373" t="s">
        <v>337</v>
      </c>
      <c r="E1373" t="s">
        <v>6974</v>
      </c>
      <c r="F1373">
        <v>13</v>
      </c>
      <c r="G1373">
        <v>15</v>
      </c>
      <c r="H1373" t="s">
        <v>9701</v>
      </c>
      <c r="J1373" t="s">
        <v>4718</v>
      </c>
      <c r="M1373" t="s">
        <v>9702</v>
      </c>
      <c r="N1373">
        <v>1.9874741039999999</v>
      </c>
      <c r="O1373">
        <v>3.7453511220000002</v>
      </c>
      <c r="P1373">
        <v>0.451009722</v>
      </c>
      <c r="Q1373">
        <v>-0.102386592</v>
      </c>
      <c r="S1373" s="13">
        <v>-1.284778258</v>
      </c>
      <c r="T1373">
        <v>0.31100570599999999</v>
      </c>
      <c r="U1373">
        <v>-9.5764310000000005E-2</v>
      </c>
    </row>
    <row r="1374" spans="1:21" x14ac:dyDescent="0.2">
      <c r="A1374" t="s">
        <v>2149</v>
      </c>
      <c r="B1374">
        <v>706360</v>
      </c>
      <c r="C1374" t="s">
        <v>6927</v>
      </c>
      <c r="D1374" t="s">
        <v>2149</v>
      </c>
      <c r="E1374" t="s">
        <v>7085</v>
      </c>
      <c r="F1374">
        <v>13</v>
      </c>
      <c r="G1374">
        <v>9</v>
      </c>
      <c r="H1374" t="s">
        <v>9703</v>
      </c>
      <c r="J1374" t="s">
        <v>9704</v>
      </c>
      <c r="M1374" t="s">
        <v>9705</v>
      </c>
      <c r="N1374">
        <v>1.982575982</v>
      </c>
      <c r="O1374">
        <v>3.4571926419999999</v>
      </c>
      <c r="P1374">
        <v>-0.114791479</v>
      </c>
      <c r="Q1374">
        <v>1.868949E-3</v>
      </c>
      <c r="S1374" s="13">
        <v>-1.284796729</v>
      </c>
      <c r="T1374">
        <v>0.31092499200000001</v>
      </c>
      <c r="U1374">
        <v>-0.14920758200000001</v>
      </c>
    </row>
    <row r="1375" spans="1:21" x14ac:dyDescent="0.2">
      <c r="A1375" t="s">
        <v>1511</v>
      </c>
      <c r="B1375">
        <v>733920</v>
      </c>
      <c r="C1375" t="s">
        <v>6938</v>
      </c>
      <c r="D1375" t="s">
        <v>1512</v>
      </c>
      <c r="E1375" t="s">
        <v>6970</v>
      </c>
      <c r="F1375">
        <v>4</v>
      </c>
      <c r="G1375">
        <v>14</v>
      </c>
      <c r="H1375" t="s">
        <v>9706</v>
      </c>
      <c r="J1375" t="s">
        <v>4286</v>
      </c>
      <c r="M1375" t="s">
        <v>9707</v>
      </c>
      <c r="N1375">
        <v>2.092758737</v>
      </c>
      <c r="O1375">
        <v>5.3323610669999999</v>
      </c>
      <c r="P1375">
        <v>0.70420098600000003</v>
      </c>
      <c r="Q1375">
        <v>0.41355372699999998</v>
      </c>
      <c r="S1375" s="13">
        <v>-1.2848162139999999</v>
      </c>
      <c r="T1375">
        <v>0.310839847</v>
      </c>
      <c r="U1375">
        <v>-0.15362299800000001</v>
      </c>
    </row>
    <row r="1376" spans="1:21" x14ac:dyDescent="0.2">
      <c r="A1376" t="s">
        <v>157</v>
      </c>
      <c r="B1376">
        <v>644320</v>
      </c>
      <c r="C1376" t="s">
        <v>6942</v>
      </c>
      <c r="D1376" t="s">
        <v>157</v>
      </c>
      <c r="E1376" t="s">
        <v>6946</v>
      </c>
      <c r="F1376">
        <v>14</v>
      </c>
      <c r="G1376">
        <v>11</v>
      </c>
      <c r="H1376" t="s">
        <v>9708</v>
      </c>
      <c r="J1376" t="s">
        <v>1042</v>
      </c>
      <c r="M1376" t="s">
        <v>9709</v>
      </c>
      <c r="N1376">
        <v>2.0902262079999998</v>
      </c>
      <c r="O1376">
        <v>4.2704203920000001</v>
      </c>
      <c r="P1376">
        <v>0.23425843900000001</v>
      </c>
      <c r="Q1376">
        <v>1.6181978999999999E-2</v>
      </c>
      <c r="S1376" s="13">
        <v>-1.2848477709999999</v>
      </c>
      <c r="T1376">
        <v>0.310701952</v>
      </c>
      <c r="U1376">
        <v>-0.17216732600000001</v>
      </c>
    </row>
    <row r="1377" spans="1:21" x14ac:dyDescent="0.2">
      <c r="A1377" t="s">
        <v>741</v>
      </c>
      <c r="B1377">
        <v>733320</v>
      </c>
      <c r="C1377" t="s">
        <v>6938</v>
      </c>
      <c r="D1377" t="s">
        <v>741</v>
      </c>
      <c r="E1377" t="s">
        <v>6946</v>
      </c>
      <c r="F1377">
        <v>17</v>
      </c>
      <c r="G1377">
        <v>11</v>
      </c>
      <c r="H1377" t="s">
        <v>9710</v>
      </c>
      <c r="J1377" t="s">
        <v>2868</v>
      </c>
      <c r="M1377" t="s">
        <v>9711</v>
      </c>
      <c r="N1377">
        <v>2.092758737</v>
      </c>
      <c r="O1377">
        <v>5.3323610669999999</v>
      </c>
      <c r="P1377">
        <v>0.70420098600000003</v>
      </c>
      <c r="Q1377">
        <v>0.41355372699999998</v>
      </c>
      <c r="S1377" s="13">
        <v>-1.2853315009999999</v>
      </c>
      <c r="T1377">
        <v>0.308588162</v>
      </c>
      <c r="U1377">
        <v>-0.154025415</v>
      </c>
    </row>
    <row r="1378" spans="1:21" x14ac:dyDescent="0.2">
      <c r="A1378" t="s">
        <v>1089</v>
      </c>
      <c r="B1378">
        <v>676000</v>
      </c>
      <c r="C1378" t="s">
        <v>6910</v>
      </c>
      <c r="D1378" t="s">
        <v>1089</v>
      </c>
      <c r="E1378" t="s">
        <v>6946</v>
      </c>
      <c r="F1378">
        <v>21</v>
      </c>
      <c r="G1378">
        <v>11</v>
      </c>
      <c r="H1378" t="s">
        <v>9712</v>
      </c>
      <c r="J1378" t="s">
        <v>3119</v>
      </c>
      <c r="M1378" t="s">
        <v>9713</v>
      </c>
      <c r="N1378">
        <v>1.9874741039999999</v>
      </c>
      <c r="O1378">
        <v>3.7453511220000002</v>
      </c>
      <c r="P1378">
        <v>0.451009722</v>
      </c>
      <c r="Q1378">
        <v>-0.102386592</v>
      </c>
      <c r="S1378" s="13">
        <v>-1.2853807589999999</v>
      </c>
      <c r="T1378">
        <v>0.30837291700000002</v>
      </c>
      <c r="U1378">
        <v>-9.6093023E-2</v>
      </c>
    </row>
    <row r="1379" spans="1:21" x14ac:dyDescent="0.2">
      <c r="A1379" t="s">
        <v>1535</v>
      </c>
      <c r="B1379">
        <v>564320</v>
      </c>
      <c r="C1379" t="s">
        <v>6945</v>
      </c>
      <c r="D1379" t="s">
        <v>1535</v>
      </c>
      <c r="E1379" t="s">
        <v>6907</v>
      </c>
      <c r="F1379">
        <v>19</v>
      </c>
      <c r="G1379">
        <v>4</v>
      </c>
      <c r="H1379" t="s">
        <v>9714</v>
      </c>
      <c r="J1379" t="s">
        <v>2796</v>
      </c>
      <c r="M1379" t="s">
        <v>9715</v>
      </c>
      <c r="N1379">
        <v>2.2220813349999999</v>
      </c>
      <c r="O1379">
        <v>6.5440947090000003</v>
      </c>
      <c r="P1379">
        <v>0.58228215500000002</v>
      </c>
      <c r="Q1379">
        <v>0.35188233000000002</v>
      </c>
      <c r="S1379" s="13">
        <v>-1.2859891720000001</v>
      </c>
      <c r="T1379">
        <v>0.305714292</v>
      </c>
      <c r="U1379">
        <v>-0.17866628700000001</v>
      </c>
    </row>
    <row r="1380" spans="1:21" x14ac:dyDescent="0.2">
      <c r="A1380" t="s">
        <v>769</v>
      </c>
      <c r="B1380">
        <v>649800</v>
      </c>
      <c r="C1380" t="s">
        <v>6906</v>
      </c>
      <c r="D1380" t="s">
        <v>769</v>
      </c>
      <c r="E1380" t="s">
        <v>6911</v>
      </c>
      <c r="F1380">
        <v>12</v>
      </c>
      <c r="G1380">
        <v>12</v>
      </c>
      <c r="H1380" t="s">
        <v>9716</v>
      </c>
      <c r="J1380" t="s">
        <v>9717</v>
      </c>
      <c r="M1380" t="s">
        <v>9718</v>
      </c>
      <c r="N1380">
        <v>1.813871112</v>
      </c>
      <c r="O1380">
        <v>2.6633694910000001</v>
      </c>
      <c r="P1380">
        <v>-0.29586356800000002</v>
      </c>
      <c r="Q1380">
        <v>-0.59018158399999998</v>
      </c>
      <c r="S1380" s="13">
        <v>-1.28600029</v>
      </c>
      <c r="T1380">
        <v>0.30566570700000001</v>
      </c>
      <c r="U1380">
        <v>-0.13683028999999999</v>
      </c>
    </row>
    <row r="1381" spans="1:21" x14ac:dyDescent="0.2">
      <c r="A1381" t="s">
        <v>1290</v>
      </c>
      <c r="B1381">
        <v>643040</v>
      </c>
      <c r="C1381" t="s">
        <v>6942</v>
      </c>
      <c r="D1381" t="s">
        <v>1291</v>
      </c>
      <c r="E1381" t="s">
        <v>6924</v>
      </c>
      <c r="F1381">
        <v>7</v>
      </c>
      <c r="G1381">
        <v>6</v>
      </c>
      <c r="H1381" t="s">
        <v>9719</v>
      </c>
      <c r="J1381" t="s">
        <v>1502</v>
      </c>
      <c r="M1381" t="s">
        <v>9720</v>
      </c>
      <c r="N1381">
        <v>2.0902262079999998</v>
      </c>
      <c r="O1381">
        <v>4.2704203920000001</v>
      </c>
      <c r="P1381">
        <v>0.23425843900000001</v>
      </c>
      <c r="Q1381">
        <v>1.6181978999999999E-2</v>
      </c>
      <c r="S1381" s="13">
        <v>-1.2861040770000001</v>
      </c>
      <c r="T1381">
        <v>0.30521218100000003</v>
      </c>
      <c r="U1381">
        <v>-0.173063775</v>
      </c>
    </row>
    <row r="1382" spans="1:21" x14ac:dyDescent="0.2">
      <c r="A1382" t="s">
        <v>307</v>
      </c>
      <c r="B1382">
        <v>598440</v>
      </c>
      <c r="C1382" t="s">
        <v>6931</v>
      </c>
      <c r="D1382" t="s">
        <v>308</v>
      </c>
      <c r="E1382" t="s">
        <v>6915</v>
      </c>
      <c r="F1382">
        <v>3</v>
      </c>
      <c r="G1382">
        <v>13</v>
      </c>
      <c r="H1382" t="s">
        <v>9721</v>
      </c>
      <c r="J1382" t="s">
        <v>1612</v>
      </c>
      <c r="M1382" t="s">
        <v>9722</v>
      </c>
      <c r="N1382">
        <v>1.9323965059999999</v>
      </c>
      <c r="O1382">
        <v>3.0528020530000002</v>
      </c>
      <c r="P1382">
        <v>2.6493138999999999E-2</v>
      </c>
      <c r="Q1382">
        <v>-0.38692188</v>
      </c>
      <c r="S1382" s="13">
        <v>-1.2861704220000001</v>
      </c>
      <c r="T1382">
        <v>0.304922268</v>
      </c>
      <c r="U1382">
        <v>-9.5740839999999994E-2</v>
      </c>
    </row>
    <row r="1383" spans="1:21" x14ac:dyDescent="0.2">
      <c r="A1383" t="s">
        <v>1215</v>
      </c>
      <c r="B1383">
        <v>649680</v>
      </c>
      <c r="C1383" t="s">
        <v>6906</v>
      </c>
      <c r="D1383" t="s">
        <v>1215</v>
      </c>
      <c r="E1383" t="s">
        <v>6970</v>
      </c>
      <c r="F1383">
        <v>18</v>
      </c>
      <c r="G1383">
        <v>14</v>
      </c>
      <c r="H1383" t="s">
        <v>9723</v>
      </c>
      <c r="J1383" t="s">
        <v>1217</v>
      </c>
      <c r="M1383" t="s">
        <v>9724</v>
      </c>
      <c r="N1383">
        <v>1.813871112</v>
      </c>
      <c r="O1383">
        <v>2.6633694910000001</v>
      </c>
      <c r="P1383">
        <v>-0.29586356800000002</v>
      </c>
      <c r="Q1383">
        <v>-0.59018158399999998</v>
      </c>
      <c r="S1383" s="13">
        <v>-1.2861743800000001</v>
      </c>
      <c r="T1383">
        <v>0.30490497500000002</v>
      </c>
      <c r="U1383">
        <v>-0.136907692</v>
      </c>
    </row>
    <row r="1384" spans="1:21" x14ac:dyDescent="0.2">
      <c r="A1384" t="s">
        <v>494</v>
      </c>
      <c r="B1384">
        <v>598400</v>
      </c>
      <c r="C1384" t="s">
        <v>6931</v>
      </c>
      <c r="D1384" t="s">
        <v>495</v>
      </c>
      <c r="E1384" t="s">
        <v>6939</v>
      </c>
      <c r="F1384">
        <v>5</v>
      </c>
      <c r="G1384">
        <v>2</v>
      </c>
      <c r="H1384" t="s">
        <v>9725</v>
      </c>
      <c r="N1384">
        <v>1.9323965059999999</v>
      </c>
      <c r="O1384">
        <v>3.0528020530000002</v>
      </c>
      <c r="P1384">
        <v>2.6493138999999999E-2</v>
      </c>
      <c r="Q1384">
        <v>-0.38692188</v>
      </c>
      <c r="S1384" s="13">
        <v>-1.2862229810000001</v>
      </c>
      <c r="T1384">
        <v>0.30469259700000001</v>
      </c>
      <c r="U1384">
        <v>-9.5764310000000005E-2</v>
      </c>
    </row>
    <row r="1385" spans="1:21" x14ac:dyDescent="0.2">
      <c r="A1385" t="s">
        <v>1108</v>
      </c>
      <c r="B1385">
        <v>674920</v>
      </c>
      <c r="C1385" t="s">
        <v>6910</v>
      </c>
      <c r="D1385" t="s">
        <v>1109</v>
      </c>
      <c r="E1385" t="s">
        <v>6977</v>
      </c>
      <c r="F1385">
        <v>3</v>
      </c>
      <c r="G1385">
        <v>5</v>
      </c>
      <c r="H1385" t="s">
        <v>9726</v>
      </c>
      <c r="J1385" t="s">
        <v>3135</v>
      </c>
      <c r="M1385" t="s">
        <v>9727</v>
      </c>
      <c r="N1385">
        <v>1.9874741039999999</v>
      </c>
      <c r="O1385">
        <v>3.7453511220000002</v>
      </c>
      <c r="P1385">
        <v>0.451009722</v>
      </c>
      <c r="Q1385">
        <v>-0.102386592</v>
      </c>
      <c r="S1385" s="13">
        <v>-1.286542724</v>
      </c>
      <c r="T1385">
        <v>0.30329539599999999</v>
      </c>
      <c r="U1385">
        <v>-9.6727673E-2</v>
      </c>
    </row>
    <row r="1386" spans="1:21" x14ac:dyDescent="0.2">
      <c r="A1386" t="s">
        <v>522</v>
      </c>
      <c r="B1386">
        <v>642360</v>
      </c>
      <c r="C1386" t="s">
        <v>6942</v>
      </c>
      <c r="D1386" t="s">
        <v>522</v>
      </c>
      <c r="E1386" t="s">
        <v>6977</v>
      </c>
      <c r="F1386">
        <v>15</v>
      </c>
      <c r="G1386">
        <v>5</v>
      </c>
      <c r="H1386" t="s">
        <v>9728</v>
      </c>
      <c r="J1386" t="s">
        <v>4820</v>
      </c>
      <c r="M1386" t="s">
        <v>9729</v>
      </c>
      <c r="N1386">
        <v>2.0902262079999998</v>
      </c>
      <c r="O1386">
        <v>4.2704203920000001</v>
      </c>
      <c r="P1386">
        <v>0.23425843900000001</v>
      </c>
      <c r="Q1386">
        <v>1.6181978999999999E-2</v>
      </c>
      <c r="S1386" s="13">
        <v>-1.28677149</v>
      </c>
      <c r="T1386">
        <v>0.30229574100000001</v>
      </c>
      <c r="U1386">
        <v>-0.17354076700000001</v>
      </c>
    </row>
    <row r="1387" spans="1:21" x14ac:dyDescent="0.2">
      <c r="A1387" t="s">
        <v>89</v>
      </c>
      <c r="B1387">
        <v>731520</v>
      </c>
      <c r="C1387" t="s">
        <v>6938</v>
      </c>
      <c r="D1387" t="s">
        <v>90</v>
      </c>
      <c r="E1387" t="s">
        <v>6921</v>
      </c>
      <c r="F1387">
        <v>1</v>
      </c>
      <c r="G1387">
        <v>8</v>
      </c>
      <c r="H1387" t="s">
        <v>9730</v>
      </c>
      <c r="J1387" t="s">
        <v>1743</v>
      </c>
      <c r="M1387" t="s">
        <v>9731</v>
      </c>
      <c r="N1387">
        <v>2.092758737</v>
      </c>
      <c r="O1387">
        <v>5.3323610669999999</v>
      </c>
      <c r="P1387">
        <v>0.70420098600000003</v>
      </c>
      <c r="Q1387">
        <v>0.41355372699999998</v>
      </c>
      <c r="S1387" s="13">
        <v>-1.286877362</v>
      </c>
      <c r="T1387">
        <v>0.30183310400000002</v>
      </c>
      <c r="U1387">
        <v>-0.15523490600000001</v>
      </c>
    </row>
    <row r="1388" spans="1:21" x14ac:dyDescent="0.2">
      <c r="A1388" t="s">
        <v>1349</v>
      </c>
      <c r="B1388">
        <v>674400</v>
      </c>
      <c r="C1388" t="s">
        <v>6910</v>
      </c>
      <c r="D1388" t="s">
        <v>1350</v>
      </c>
      <c r="E1388" t="s">
        <v>6939</v>
      </c>
      <c r="F1388">
        <v>6</v>
      </c>
      <c r="G1388">
        <v>2</v>
      </c>
      <c r="H1388" t="s">
        <v>9732</v>
      </c>
      <c r="J1388" t="s">
        <v>3290</v>
      </c>
      <c r="M1388" t="s">
        <v>9733</v>
      </c>
      <c r="N1388">
        <v>1.9874741039999999</v>
      </c>
      <c r="O1388">
        <v>3.7453511220000002</v>
      </c>
      <c r="P1388">
        <v>0.451009722</v>
      </c>
      <c r="Q1388">
        <v>-0.102386592</v>
      </c>
      <c r="S1388" s="13">
        <v>-1.287102188</v>
      </c>
      <c r="T1388">
        <v>0.30085066300000002</v>
      </c>
      <c r="U1388">
        <v>-9.7033576999999996E-2</v>
      </c>
    </row>
    <row r="1389" spans="1:21" x14ac:dyDescent="0.2">
      <c r="A1389" t="s">
        <v>681</v>
      </c>
      <c r="B1389">
        <v>731240</v>
      </c>
      <c r="C1389" t="s">
        <v>6938</v>
      </c>
      <c r="D1389" t="s">
        <v>682</v>
      </c>
      <c r="E1389" t="s">
        <v>6907</v>
      </c>
      <c r="F1389">
        <v>5</v>
      </c>
      <c r="G1389">
        <v>4</v>
      </c>
      <c r="H1389" t="s">
        <v>9734</v>
      </c>
      <c r="J1389" t="s">
        <v>5641</v>
      </c>
      <c r="M1389" t="s">
        <v>9735</v>
      </c>
      <c r="N1389">
        <v>2.092758737</v>
      </c>
      <c r="O1389">
        <v>5.3323610669999999</v>
      </c>
      <c r="P1389">
        <v>0.70420098600000003</v>
      </c>
      <c r="Q1389">
        <v>0.41355372699999998</v>
      </c>
      <c r="S1389" s="13">
        <v>-1.287117829</v>
      </c>
      <c r="T1389">
        <v>0.30078231799999999</v>
      </c>
      <c r="U1389">
        <v>-0.15542335199999999</v>
      </c>
    </row>
    <row r="1390" spans="1:21" x14ac:dyDescent="0.2">
      <c r="A1390" t="s">
        <v>703</v>
      </c>
      <c r="B1390">
        <v>369520</v>
      </c>
      <c r="C1390" t="s">
        <v>6961</v>
      </c>
      <c r="D1390" t="s">
        <v>704</v>
      </c>
      <c r="E1390" t="s">
        <v>6924</v>
      </c>
      <c r="F1390">
        <v>8</v>
      </c>
      <c r="G1390">
        <v>6</v>
      </c>
      <c r="H1390" t="s">
        <v>9736</v>
      </c>
      <c r="J1390" t="s">
        <v>6527</v>
      </c>
      <c r="M1390" t="s">
        <v>9737</v>
      </c>
      <c r="N1390">
        <v>2.7247480949999998</v>
      </c>
      <c r="O1390">
        <v>7.0822175119999997</v>
      </c>
      <c r="P1390">
        <v>0.61298291999999999</v>
      </c>
      <c r="Q1390">
        <v>0.48262032500000002</v>
      </c>
      <c r="S1390" s="13">
        <v>-1.2872771599999999</v>
      </c>
      <c r="T1390">
        <v>0.30008607599999998</v>
      </c>
      <c r="U1390">
        <v>-0.20337416899999999</v>
      </c>
    </row>
    <row r="1391" spans="1:21" x14ac:dyDescent="0.2">
      <c r="A1391" t="s">
        <v>1736</v>
      </c>
      <c r="B1391">
        <v>731000</v>
      </c>
      <c r="C1391" t="s">
        <v>6938</v>
      </c>
      <c r="D1391" t="s">
        <v>1736</v>
      </c>
      <c r="E1391" t="s">
        <v>6924</v>
      </c>
      <c r="F1391">
        <v>16</v>
      </c>
      <c r="G1391">
        <v>6</v>
      </c>
      <c r="H1391" t="s">
        <v>9738</v>
      </c>
      <c r="J1391" t="s">
        <v>3115</v>
      </c>
      <c r="M1391" t="s">
        <v>9739</v>
      </c>
      <c r="N1391">
        <v>2.092758737</v>
      </c>
      <c r="O1391">
        <v>5.3323610669999999</v>
      </c>
      <c r="P1391">
        <v>0.70420098600000003</v>
      </c>
      <c r="Q1391">
        <v>0.41355372699999998</v>
      </c>
      <c r="S1391" s="13">
        <v>-1.2873239439999999</v>
      </c>
      <c r="T1391">
        <v>0.299881644</v>
      </c>
      <c r="U1391">
        <v>-0.155584943</v>
      </c>
    </row>
    <row r="1392" spans="1:21" x14ac:dyDescent="0.2">
      <c r="A1392" t="s">
        <v>801</v>
      </c>
      <c r="B1392">
        <v>772800</v>
      </c>
      <c r="C1392" t="s">
        <v>6914</v>
      </c>
      <c r="D1392" t="s">
        <v>801</v>
      </c>
      <c r="E1392" t="s">
        <v>6911</v>
      </c>
      <c r="F1392">
        <v>23</v>
      </c>
      <c r="G1392">
        <v>12</v>
      </c>
      <c r="H1392" t="s">
        <v>9740</v>
      </c>
      <c r="J1392" t="s">
        <v>5085</v>
      </c>
      <c r="M1392" t="s">
        <v>9741</v>
      </c>
      <c r="N1392">
        <v>1.8217074179999999</v>
      </c>
      <c r="O1392">
        <v>4.1700741289999996</v>
      </c>
      <c r="P1392">
        <v>0.189705977</v>
      </c>
      <c r="Q1392">
        <v>-1.7194070999999998E-2</v>
      </c>
      <c r="S1392" s="13">
        <v>-1.287484063</v>
      </c>
      <c r="T1392">
        <v>0.299181957</v>
      </c>
      <c r="U1392">
        <v>-0.158395439</v>
      </c>
    </row>
    <row r="1393" spans="1:21" x14ac:dyDescent="0.2">
      <c r="A1393" t="s">
        <v>1263</v>
      </c>
      <c r="B1393">
        <v>562480</v>
      </c>
      <c r="C1393" t="s">
        <v>6945</v>
      </c>
      <c r="D1393" t="s">
        <v>1264</v>
      </c>
      <c r="E1393" t="s">
        <v>6911</v>
      </c>
      <c r="F1393">
        <v>7</v>
      </c>
      <c r="G1393">
        <v>12</v>
      </c>
      <c r="H1393" t="s">
        <v>9742</v>
      </c>
      <c r="J1393" t="s">
        <v>4344</v>
      </c>
      <c r="M1393" t="s">
        <v>9743</v>
      </c>
      <c r="N1393">
        <v>2.2220813349999999</v>
      </c>
      <c r="O1393">
        <v>6.5440947090000003</v>
      </c>
      <c r="P1393">
        <v>0.58228215500000002</v>
      </c>
      <c r="Q1393">
        <v>0.35188233000000002</v>
      </c>
      <c r="S1393" s="13">
        <v>-1.287724726</v>
      </c>
      <c r="T1393">
        <v>0.29813031600000001</v>
      </c>
      <c r="U1393">
        <v>-0.17997498200000001</v>
      </c>
    </row>
    <row r="1394" spans="1:21" x14ac:dyDescent="0.2">
      <c r="A1394" t="s">
        <v>375</v>
      </c>
      <c r="B1394">
        <v>562160</v>
      </c>
      <c r="C1394" t="s">
        <v>6945</v>
      </c>
      <c r="D1394" t="s">
        <v>375</v>
      </c>
      <c r="E1394" t="s">
        <v>6977</v>
      </c>
      <c r="F1394">
        <v>12</v>
      </c>
      <c r="G1394">
        <v>5</v>
      </c>
      <c r="H1394" t="s">
        <v>9744</v>
      </c>
      <c r="J1394" t="s">
        <v>5087</v>
      </c>
      <c r="M1394" t="s">
        <v>9745</v>
      </c>
      <c r="N1394">
        <v>2.2220813349999999</v>
      </c>
      <c r="O1394">
        <v>6.5440947090000003</v>
      </c>
      <c r="P1394">
        <v>0.58228215500000002</v>
      </c>
      <c r="Q1394">
        <v>0.35188233000000002</v>
      </c>
      <c r="S1394" s="13">
        <v>-1.288026562</v>
      </c>
      <c r="T1394">
        <v>0.29681136400000002</v>
      </c>
      <c r="U1394">
        <v>-0.18020298400000001</v>
      </c>
    </row>
    <row r="1395" spans="1:21" x14ac:dyDescent="0.2">
      <c r="A1395" t="s">
        <v>397</v>
      </c>
      <c r="B1395">
        <v>561960</v>
      </c>
      <c r="C1395" t="s">
        <v>6945</v>
      </c>
      <c r="D1395" t="s">
        <v>397</v>
      </c>
      <c r="E1395" t="s">
        <v>7006</v>
      </c>
      <c r="F1395">
        <v>10</v>
      </c>
      <c r="G1395">
        <v>3</v>
      </c>
      <c r="H1395" t="s">
        <v>9746</v>
      </c>
      <c r="J1395" t="s">
        <v>3410</v>
      </c>
      <c r="M1395" t="s">
        <v>9747</v>
      </c>
      <c r="N1395">
        <v>2.2220813349999999</v>
      </c>
      <c r="O1395">
        <v>6.5440947090000003</v>
      </c>
      <c r="P1395">
        <v>0.58228215500000002</v>
      </c>
      <c r="Q1395">
        <v>0.35188233000000002</v>
      </c>
      <c r="S1395" s="13">
        <v>-1.2882152090000001</v>
      </c>
      <c r="T1395">
        <v>0.29598701900000002</v>
      </c>
      <c r="U1395">
        <v>-0.18034554699999999</v>
      </c>
    </row>
    <row r="1396" spans="1:21" x14ac:dyDescent="0.2">
      <c r="A1396" t="s">
        <v>485</v>
      </c>
      <c r="B1396">
        <v>767920</v>
      </c>
      <c r="C1396" t="s">
        <v>6953</v>
      </c>
      <c r="D1396" t="s">
        <v>486</v>
      </c>
      <c r="E1396" t="s">
        <v>6974</v>
      </c>
      <c r="F1396">
        <v>8</v>
      </c>
      <c r="G1396">
        <v>15</v>
      </c>
      <c r="H1396" t="s">
        <v>9748</v>
      </c>
      <c r="J1396" t="s">
        <v>5012</v>
      </c>
      <c r="M1396" t="s">
        <v>9749</v>
      </c>
      <c r="N1396">
        <v>1.921480887</v>
      </c>
      <c r="O1396">
        <v>3.0856645180000002</v>
      </c>
      <c r="P1396">
        <v>0.44706724399999997</v>
      </c>
      <c r="Q1396">
        <v>-0.354940863</v>
      </c>
      <c r="S1396" s="13">
        <v>-1.2883972859999999</v>
      </c>
      <c r="T1396">
        <v>0.29519138499999997</v>
      </c>
      <c r="U1396">
        <v>-0.100306071</v>
      </c>
    </row>
    <row r="1397" spans="1:21" x14ac:dyDescent="0.2">
      <c r="A1397" t="s">
        <v>951</v>
      </c>
      <c r="B1397">
        <v>596680</v>
      </c>
      <c r="C1397" t="s">
        <v>6931</v>
      </c>
      <c r="D1397" t="s">
        <v>951</v>
      </c>
      <c r="E1397" t="s">
        <v>6970</v>
      </c>
      <c r="F1397">
        <v>16</v>
      </c>
      <c r="G1397">
        <v>14</v>
      </c>
      <c r="H1397" t="s">
        <v>9750</v>
      </c>
      <c r="N1397">
        <v>1.9323965059999999</v>
      </c>
      <c r="O1397">
        <v>3.0528020530000002</v>
      </c>
      <c r="P1397">
        <v>2.6493138999999999E-2</v>
      </c>
      <c r="Q1397">
        <v>-0.38692188</v>
      </c>
      <c r="S1397" s="13">
        <v>-1.2884830169999999</v>
      </c>
      <c r="T1397">
        <v>0.29481675800000001</v>
      </c>
      <c r="U1397">
        <v>-9.6774721999999994E-2</v>
      </c>
    </row>
    <row r="1398" spans="1:21" x14ac:dyDescent="0.2">
      <c r="A1398" t="s">
        <v>779</v>
      </c>
      <c r="B1398">
        <v>702800</v>
      </c>
      <c r="C1398" t="s">
        <v>6927</v>
      </c>
      <c r="D1398" t="s">
        <v>780</v>
      </c>
      <c r="E1398" t="s">
        <v>7006</v>
      </c>
      <c r="F1398">
        <v>8</v>
      </c>
      <c r="G1398">
        <v>3</v>
      </c>
      <c r="H1398" t="s">
        <v>9751</v>
      </c>
      <c r="J1398" t="s">
        <v>9752</v>
      </c>
      <c r="M1398" t="s">
        <v>9753</v>
      </c>
      <c r="N1398">
        <v>1.982575982</v>
      </c>
      <c r="O1398">
        <v>3.4571926419999999</v>
      </c>
      <c r="P1398">
        <v>-0.114791479</v>
      </c>
      <c r="Q1398">
        <v>1.868949E-3</v>
      </c>
      <c r="S1398" s="13">
        <v>-1.288490672</v>
      </c>
      <c r="T1398">
        <v>0.29478330800000002</v>
      </c>
      <c r="U1398">
        <v>-0.151576455</v>
      </c>
    </row>
    <row r="1399" spans="1:21" x14ac:dyDescent="0.2">
      <c r="A1399" t="s">
        <v>124</v>
      </c>
      <c r="B1399">
        <v>702560</v>
      </c>
      <c r="C1399" t="s">
        <v>6927</v>
      </c>
      <c r="D1399" t="s">
        <v>125</v>
      </c>
      <c r="E1399" t="s">
        <v>6918</v>
      </c>
      <c r="F1399">
        <v>7</v>
      </c>
      <c r="G1399">
        <v>1</v>
      </c>
      <c r="H1399" t="s">
        <v>9754</v>
      </c>
      <c r="J1399" t="s">
        <v>9755</v>
      </c>
      <c r="M1399" t="s">
        <v>9756</v>
      </c>
      <c r="N1399">
        <v>1.982575982</v>
      </c>
      <c r="O1399">
        <v>3.4571926419999999</v>
      </c>
      <c r="P1399">
        <v>-0.114791479</v>
      </c>
      <c r="Q1399">
        <v>1.868949E-3</v>
      </c>
      <c r="S1399" s="13">
        <v>-1.288739702</v>
      </c>
      <c r="T1399">
        <v>0.29369510500000001</v>
      </c>
      <c r="U1399">
        <v>-0.15173661999999999</v>
      </c>
    </row>
    <row r="1400" spans="1:21" x14ac:dyDescent="0.2">
      <c r="A1400" t="s">
        <v>801</v>
      </c>
      <c r="B1400">
        <v>639720</v>
      </c>
      <c r="C1400" t="s">
        <v>6942</v>
      </c>
      <c r="D1400" t="s">
        <v>801</v>
      </c>
      <c r="E1400" t="s">
        <v>6911</v>
      </c>
      <c r="F1400">
        <v>23</v>
      </c>
      <c r="G1400">
        <v>12</v>
      </c>
      <c r="H1400" t="s">
        <v>9757</v>
      </c>
      <c r="J1400" t="s">
        <v>4706</v>
      </c>
      <c r="M1400" t="s">
        <v>9758</v>
      </c>
      <c r="N1400">
        <v>2.0902262079999998</v>
      </c>
      <c r="O1400">
        <v>4.2704203920000001</v>
      </c>
      <c r="P1400">
        <v>0.23425843900000001</v>
      </c>
      <c r="Q1400">
        <v>1.6181978999999999E-2</v>
      </c>
      <c r="S1400" s="13">
        <v>-1.289362621</v>
      </c>
      <c r="T1400">
        <v>0.29097308999999999</v>
      </c>
      <c r="U1400">
        <v>-0.17539760099999999</v>
      </c>
    </row>
    <row r="1401" spans="1:21" x14ac:dyDescent="0.2">
      <c r="A1401" t="s">
        <v>438</v>
      </c>
      <c r="B1401">
        <v>595800</v>
      </c>
      <c r="C1401" t="s">
        <v>6931</v>
      </c>
      <c r="D1401" t="s">
        <v>438</v>
      </c>
      <c r="E1401" t="s">
        <v>6956</v>
      </c>
      <c r="F1401">
        <v>11</v>
      </c>
      <c r="G1401">
        <v>7</v>
      </c>
      <c r="H1401" t="s">
        <v>9759</v>
      </c>
      <c r="N1401">
        <v>1.9323965059999999</v>
      </c>
      <c r="O1401">
        <v>3.0528020530000002</v>
      </c>
      <c r="P1401">
        <v>2.6493138999999999E-2</v>
      </c>
      <c r="Q1401">
        <v>-0.38692188</v>
      </c>
      <c r="S1401" s="13">
        <v>-1.289639314</v>
      </c>
      <c r="T1401">
        <v>0.28976400400000002</v>
      </c>
      <c r="U1401">
        <v>-9.7292587E-2</v>
      </c>
    </row>
    <row r="1402" spans="1:21" x14ac:dyDescent="0.2">
      <c r="A1402" t="s">
        <v>839</v>
      </c>
      <c r="B1402">
        <v>647160</v>
      </c>
      <c r="C1402" t="s">
        <v>6906</v>
      </c>
      <c r="D1402" t="s">
        <v>840</v>
      </c>
      <c r="E1402" t="s">
        <v>6928</v>
      </c>
      <c r="F1402">
        <v>5</v>
      </c>
      <c r="G1402">
        <v>16</v>
      </c>
      <c r="H1402" t="s">
        <v>9760</v>
      </c>
      <c r="J1402" t="s">
        <v>923</v>
      </c>
      <c r="M1402" t="s">
        <v>9761</v>
      </c>
      <c r="N1402">
        <v>1.813871112</v>
      </c>
      <c r="O1402">
        <v>2.6633694910000001</v>
      </c>
      <c r="P1402">
        <v>-0.29586356800000002</v>
      </c>
      <c r="Q1402">
        <v>-0.59018158399999998</v>
      </c>
      <c r="S1402" s="13">
        <v>-1.289830263</v>
      </c>
      <c r="T1402">
        <v>0.28892960299999998</v>
      </c>
      <c r="U1402">
        <v>-0.13853632199999999</v>
      </c>
    </row>
    <row r="1403" spans="1:21" x14ac:dyDescent="0.2">
      <c r="A1403" t="s">
        <v>730</v>
      </c>
      <c r="B1403">
        <v>639200</v>
      </c>
      <c r="C1403" t="s">
        <v>6942</v>
      </c>
      <c r="D1403" t="s">
        <v>731</v>
      </c>
      <c r="E1403" t="s">
        <v>6946</v>
      </c>
      <c r="F1403">
        <v>4</v>
      </c>
      <c r="G1403">
        <v>11</v>
      </c>
      <c r="H1403" t="s">
        <v>9762</v>
      </c>
      <c r="J1403" t="s">
        <v>1573</v>
      </c>
      <c r="M1403" t="s">
        <v>9763</v>
      </c>
      <c r="N1403">
        <v>2.0902262079999998</v>
      </c>
      <c r="O1403">
        <v>4.2704203920000001</v>
      </c>
      <c r="P1403">
        <v>0.23425843900000001</v>
      </c>
      <c r="Q1403">
        <v>1.6181978999999999E-2</v>
      </c>
      <c r="S1403" s="13">
        <v>-1.2898729950000001</v>
      </c>
      <c r="T1403">
        <v>0.28874287100000001</v>
      </c>
      <c r="U1403">
        <v>-0.175764279</v>
      </c>
    </row>
    <row r="1404" spans="1:21" x14ac:dyDescent="0.2">
      <c r="A1404" t="s">
        <v>320</v>
      </c>
      <c r="B1404">
        <v>638880</v>
      </c>
      <c r="C1404" t="s">
        <v>6942</v>
      </c>
      <c r="D1404" t="s">
        <v>320</v>
      </c>
      <c r="E1404" t="s">
        <v>6907</v>
      </c>
      <c r="F1404">
        <v>13</v>
      </c>
      <c r="G1404">
        <v>4</v>
      </c>
      <c r="H1404" t="s">
        <v>9764</v>
      </c>
      <c r="J1404" t="s">
        <v>499</v>
      </c>
      <c r="M1404" t="s">
        <v>9765</v>
      </c>
      <c r="N1404">
        <v>2.0902262079999998</v>
      </c>
      <c r="O1404">
        <v>4.2704203920000001</v>
      </c>
      <c r="P1404">
        <v>0.23425843900000001</v>
      </c>
      <c r="Q1404">
        <v>1.6181978999999999E-2</v>
      </c>
      <c r="S1404" s="13">
        <v>-1.2901870719999999</v>
      </c>
      <c r="T1404">
        <v>0.28737042800000001</v>
      </c>
      <c r="U1404">
        <v>-0.17599008099999999</v>
      </c>
    </row>
    <row r="1405" spans="1:21" x14ac:dyDescent="0.2">
      <c r="A1405" t="s">
        <v>1394</v>
      </c>
      <c r="B1405">
        <v>671440</v>
      </c>
      <c r="C1405" t="s">
        <v>6910</v>
      </c>
      <c r="D1405" t="s">
        <v>1394</v>
      </c>
      <c r="E1405" t="s">
        <v>6939</v>
      </c>
      <c r="F1405">
        <v>16</v>
      </c>
      <c r="G1405">
        <v>2</v>
      </c>
      <c r="H1405" t="s">
        <v>9766</v>
      </c>
      <c r="J1405" t="s">
        <v>3204</v>
      </c>
      <c r="M1405" t="s">
        <v>9767</v>
      </c>
      <c r="N1405">
        <v>1.9874741039999999</v>
      </c>
      <c r="O1405">
        <v>3.7453511220000002</v>
      </c>
      <c r="P1405">
        <v>0.451009722</v>
      </c>
      <c r="Q1405">
        <v>-0.102386592</v>
      </c>
      <c r="S1405" s="13">
        <v>-1.2902868329999999</v>
      </c>
      <c r="T1405">
        <v>0.28693449300000001</v>
      </c>
      <c r="U1405">
        <v>-9.8778988999999998E-2</v>
      </c>
    </row>
    <row r="1406" spans="1:21" x14ac:dyDescent="0.2">
      <c r="A1406" t="s">
        <v>1256</v>
      </c>
      <c r="B1406">
        <v>770440</v>
      </c>
      <c r="C1406" t="s">
        <v>6914</v>
      </c>
      <c r="D1406" t="s">
        <v>1257</v>
      </c>
      <c r="E1406" t="s">
        <v>6946</v>
      </c>
      <c r="F1406">
        <v>7</v>
      </c>
      <c r="G1406">
        <v>11</v>
      </c>
      <c r="H1406" t="s">
        <v>9768</v>
      </c>
      <c r="J1406" t="s">
        <v>3014</v>
      </c>
      <c r="M1406" t="s">
        <v>9769</v>
      </c>
      <c r="N1406">
        <v>1.8217074179999999</v>
      </c>
      <c r="O1406">
        <v>4.1700741289999996</v>
      </c>
      <c r="P1406">
        <v>0.189705977</v>
      </c>
      <c r="Q1406">
        <v>-1.7194070999999998E-2</v>
      </c>
      <c r="S1406" s="13">
        <v>-1.2903225810000001</v>
      </c>
      <c r="T1406">
        <v>0.28677828500000002</v>
      </c>
      <c r="U1406">
        <v>-0.15999797800000001</v>
      </c>
    </row>
    <row r="1407" spans="1:21" x14ac:dyDescent="0.2">
      <c r="A1407" t="s">
        <v>709</v>
      </c>
      <c r="B1407">
        <v>595200</v>
      </c>
      <c r="C1407" t="s">
        <v>6931</v>
      </c>
      <c r="D1407" t="s">
        <v>709</v>
      </c>
      <c r="E1407" t="s">
        <v>6928</v>
      </c>
      <c r="F1407">
        <v>20</v>
      </c>
      <c r="G1407">
        <v>16</v>
      </c>
      <c r="H1407" t="s">
        <v>9770</v>
      </c>
      <c r="N1407">
        <v>1.9323965059999999</v>
      </c>
      <c r="O1407">
        <v>3.0528020530000002</v>
      </c>
      <c r="P1407">
        <v>2.6493138999999999E-2</v>
      </c>
      <c r="Q1407">
        <v>-0.38692188</v>
      </c>
      <c r="S1407" s="13">
        <v>-1.2904276990000001</v>
      </c>
      <c r="T1407">
        <v>0.28631894400000002</v>
      </c>
      <c r="U1407">
        <v>-9.7646030999999994E-2</v>
      </c>
    </row>
    <row r="1408" spans="1:21" x14ac:dyDescent="0.2">
      <c r="A1408" t="s">
        <v>1167</v>
      </c>
      <c r="B1408">
        <v>671040</v>
      </c>
      <c r="C1408" t="s">
        <v>6910</v>
      </c>
      <c r="D1408" t="s">
        <v>1168</v>
      </c>
      <c r="E1408" t="s">
        <v>7006</v>
      </c>
      <c r="F1408">
        <v>5</v>
      </c>
      <c r="G1408">
        <v>3</v>
      </c>
      <c r="H1408" t="s">
        <v>9771</v>
      </c>
      <c r="J1408" t="s">
        <v>3829</v>
      </c>
      <c r="M1408" t="s">
        <v>9772</v>
      </c>
      <c r="N1408">
        <v>1.9874741039999999</v>
      </c>
      <c r="O1408">
        <v>3.7453511220000002</v>
      </c>
      <c r="P1408">
        <v>0.451009722</v>
      </c>
      <c r="Q1408">
        <v>-0.102386592</v>
      </c>
      <c r="S1408" s="13">
        <v>-1.2907171909999999</v>
      </c>
      <c r="T1408">
        <v>0.28505393000000001</v>
      </c>
      <c r="U1408">
        <v>-9.9015394000000007E-2</v>
      </c>
    </row>
    <row r="1409" spans="1:21" x14ac:dyDescent="0.2">
      <c r="A1409" t="s">
        <v>1260</v>
      </c>
      <c r="B1409">
        <v>727040</v>
      </c>
      <c r="C1409" t="s">
        <v>6938</v>
      </c>
      <c r="D1409" t="s">
        <v>1260</v>
      </c>
      <c r="E1409" t="s">
        <v>6915</v>
      </c>
      <c r="F1409">
        <v>19</v>
      </c>
      <c r="G1409">
        <v>13</v>
      </c>
      <c r="H1409" t="s">
        <v>9773</v>
      </c>
      <c r="J1409" t="s">
        <v>1262</v>
      </c>
      <c r="M1409" t="s">
        <v>9774</v>
      </c>
      <c r="N1409">
        <v>2.092758737</v>
      </c>
      <c r="O1409">
        <v>5.3323610669999999</v>
      </c>
      <c r="P1409">
        <v>0.70420098600000003</v>
      </c>
      <c r="Q1409">
        <v>0.41355372699999998</v>
      </c>
      <c r="S1409" s="13">
        <v>-1.290724837</v>
      </c>
      <c r="T1409">
        <v>0.285020518</v>
      </c>
      <c r="U1409">
        <v>-0.15825990200000001</v>
      </c>
    </row>
    <row r="1410" spans="1:21" x14ac:dyDescent="0.2">
      <c r="A1410" t="s">
        <v>1491</v>
      </c>
      <c r="B1410">
        <v>726800</v>
      </c>
      <c r="C1410" t="s">
        <v>6938</v>
      </c>
      <c r="D1410" t="s">
        <v>1491</v>
      </c>
      <c r="E1410" t="s">
        <v>6928</v>
      </c>
      <c r="F1410">
        <v>15</v>
      </c>
      <c r="G1410">
        <v>16</v>
      </c>
      <c r="H1410" t="s">
        <v>9775</v>
      </c>
      <c r="J1410" t="s">
        <v>1869</v>
      </c>
      <c r="M1410" t="s">
        <v>9776</v>
      </c>
      <c r="N1410">
        <v>2.092758737</v>
      </c>
      <c r="O1410">
        <v>5.3323610669999999</v>
      </c>
      <c r="P1410">
        <v>0.70420098600000003</v>
      </c>
      <c r="Q1410">
        <v>0.41355372699999998</v>
      </c>
      <c r="S1410" s="13">
        <v>-1.2909309520000001</v>
      </c>
      <c r="T1410">
        <v>0.28411984400000001</v>
      </c>
      <c r="U1410">
        <v>-0.15842255099999999</v>
      </c>
    </row>
    <row r="1411" spans="1:21" x14ac:dyDescent="0.2">
      <c r="A1411" t="s">
        <v>912</v>
      </c>
      <c r="B1411">
        <v>638080</v>
      </c>
      <c r="C1411" t="s">
        <v>6942</v>
      </c>
      <c r="D1411" t="s">
        <v>912</v>
      </c>
      <c r="E1411" t="s">
        <v>6921</v>
      </c>
      <c r="F1411">
        <v>23</v>
      </c>
      <c r="G1411">
        <v>8</v>
      </c>
      <c r="H1411" t="s">
        <v>9777</v>
      </c>
      <c r="J1411" t="s">
        <v>1149</v>
      </c>
      <c r="M1411" t="s">
        <v>9778</v>
      </c>
      <c r="N1411">
        <v>2.0902262079999998</v>
      </c>
      <c r="O1411">
        <v>4.2704203920000001</v>
      </c>
      <c r="P1411">
        <v>0.23425843900000001</v>
      </c>
      <c r="Q1411">
        <v>1.6181978999999999E-2</v>
      </c>
      <c r="S1411" s="13">
        <v>-1.290972263</v>
      </c>
      <c r="T1411">
        <v>0.28393932100000002</v>
      </c>
      <c r="U1411">
        <v>-0.17655509899999999</v>
      </c>
    </row>
    <row r="1412" spans="1:21" x14ac:dyDescent="0.2">
      <c r="A1412" t="s">
        <v>1939</v>
      </c>
      <c r="B1412">
        <v>638080</v>
      </c>
      <c r="C1412" t="s">
        <v>6942</v>
      </c>
      <c r="D1412" t="s">
        <v>1939</v>
      </c>
      <c r="E1412" t="s">
        <v>6928</v>
      </c>
      <c r="F1412">
        <v>19</v>
      </c>
      <c r="G1412">
        <v>16</v>
      </c>
      <c r="H1412" t="s">
        <v>9779</v>
      </c>
      <c r="J1412" t="s">
        <v>4848</v>
      </c>
      <c r="M1412" t="s">
        <v>9780</v>
      </c>
      <c r="N1412">
        <v>2.0902262079999998</v>
      </c>
      <c r="O1412">
        <v>4.2704203920000001</v>
      </c>
      <c r="P1412">
        <v>0.23425843900000001</v>
      </c>
      <c r="Q1412">
        <v>1.6181978999999999E-2</v>
      </c>
      <c r="S1412" s="13">
        <v>-1.290972263</v>
      </c>
      <c r="T1412">
        <v>0.28393932100000002</v>
      </c>
      <c r="U1412">
        <v>-0.17655509899999999</v>
      </c>
    </row>
    <row r="1413" spans="1:21" x14ac:dyDescent="0.2">
      <c r="A1413" t="s">
        <v>380</v>
      </c>
      <c r="B1413">
        <v>726600</v>
      </c>
      <c r="C1413" t="s">
        <v>6938</v>
      </c>
      <c r="D1413" t="s">
        <v>380</v>
      </c>
      <c r="E1413" t="s">
        <v>6928</v>
      </c>
      <c r="F1413">
        <v>16</v>
      </c>
      <c r="G1413">
        <v>16</v>
      </c>
      <c r="H1413" t="s">
        <v>9781</v>
      </c>
      <c r="J1413" t="s">
        <v>2853</v>
      </c>
      <c r="M1413" t="s">
        <v>9782</v>
      </c>
      <c r="N1413">
        <v>2.092758737</v>
      </c>
      <c r="O1413">
        <v>5.3323610669999999</v>
      </c>
      <c r="P1413">
        <v>0.70420098600000003</v>
      </c>
      <c r="Q1413">
        <v>0.41355372699999998</v>
      </c>
      <c r="S1413" s="13">
        <v>-1.291102714</v>
      </c>
      <c r="T1413">
        <v>0.283369282</v>
      </c>
      <c r="U1413">
        <v>-0.15855813899999999</v>
      </c>
    </row>
    <row r="1414" spans="1:21" x14ac:dyDescent="0.2">
      <c r="A1414" t="s">
        <v>507</v>
      </c>
      <c r="B1414">
        <v>769760</v>
      </c>
      <c r="C1414" t="s">
        <v>6914</v>
      </c>
      <c r="D1414" t="s">
        <v>508</v>
      </c>
      <c r="E1414" t="s">
        <v>6918</v>
      </c>
      <c r="F1414">
        <v>5</v>
      </c>
      <c r="G1414">
        <v>1</v>
      </c>
      <c r="H1414" t="s">
        <v>9783</v>
      </c>
      <c r="J1414" t="s">
        <v>3641</v>
      </c>
      <c r="M1414" t="s">
        <v>9784</v>
      </c>
      <c r="N1414">
        <v>1.8217074179999999</v>
      </c>
      <c r="O1414">
        <v>4.1700741289999996</v>
      </c>
      <c r="P1414">
        <v>0.189705977</v>
      </c>
      <c r="Q1414">
        <v>-1.7194070999999998E-2</v>
      </c>
      <c r="S1414" s="13">
        <v>-1.2911404580000001</v>
      </c>
      <c r="T1414">
        <v>0.283204346</v>
      </c>
      <c r="U1414">
        <v>-0.160460827</v>
      </c>
    </row>
    <row r="1415" spans="1:21" x14ac:dyDescent="0.2">
      <c r="A1415" t="s">
        <v>3164</v>
      </c>
      <c r="B1415">
        <v>699960</v>
      </c>
      <c r="C1415" t="s">
        <v>6927</v>
      </c>
      <c r="D1415" t="s">
        <v>3165</v>
      </c>
      <c r="E1415" t="s">
        <v>6918</v>
      </c>
      <c r="F1415">
        <v>9</v>
      </c>
      <c r="G1415">
        <v>1</v>
      </c>
      <c r="H1415" t="s">
        <v>9785</v>
      </c>
      <c r="J1415" t="s">
        <v>9786</v>
      </c>
      <c r="M1415" t="s">
        <v>9787</v>
      </c>
      <c r="N1415">
        <v>1.982575982</v>
      </c>
      <c r="O1415">
        <v>3.4571926419999999</v>
      </c>
      <c r="P1415">
        <v>-0.114791479</v>
      </c>
      <c r="Q1415">
        <v>1.868949E-3</v>
      </c>
      <c r="S1415" s="13">
        <v>-1.2914375250000001</v>
      </c>
      <c r="T1415">
        <v>0.28190623500000001</v>
      </c>
      <c r="U1415">
        <v>-0.15347553899999999</v>
      </c>
    </row>
    <row r="1416" spans="1:21" x14ac:dyDescent="0.2">
      <c r="A1416" t="s">
        <v>2412</v>
      </c>
      <c r="B1416">
        <v>699880</v>
      </c>
      <c r="C1416" t="s">
        <v>6927</v>
      </c>
      <c r="D1416" t="s">
        <v>2412</v>
      </c>
      <c r="E1416" t="s">
        <v>6956</v>
      </c>
      <c r="F1416">
        <v>14</v>
      </c>
      <c r="G1416">
        <v>7</v>
      </c>
      <c r="H1416" t="s">
        <v>9788</v>
      </c>
      <c r="J1416" t="s">
        <v>9789</v>
      </c>
      <c r="M1416" t="s">
        <v>9790</v>
      </c>
      <c r="N1416">
        <v>1.982575982</v>
      </c>
      <c r="O1416">
        <v>3.4571926419999999</v>
      </c>
      <c r="P1416">
        <v>-0.114791479</v>
      </c>
      <c r="Q1416">
        <v>1.868949E-3</v>
      </c>
      <c r="S1416" s="13">
        <v>-1.2915205350000001</v>
      </c>
      <c r="T1416">
        <v>0.2815435</v>
      </c>
      <c r="U1416">
        <v>-0.153529155</v>
      </c>
    </row>
    <row r="1417" spans="1:21" x14ac:dyDescent="0.2">
      <c r="A1417" t="s">
        <v>1256</v>
      </c>
      <c r="B1417">
        <v>725360</v>
      </c>
      <c r="C1417" t="s">
        <v>6938</v>
      </c>
      <c r="D1417" t="s">
        <v>1257</v>
      </c>
      <c r="E1417" t="s">
        <v>6946</v>
      </c>
      <c r="F1417">
        <v>7</v>
      </c>
      <c r="G1417">
        <v>11</v>
      </c>
      <c r="H1417" t="s">
        <v>9791</v>
      </c>
      <c r="J1417" t="s">
        <v>3921</v>
      </c>
      <c r="M1417" t="s">
        <v>9792</v>
      </c>
      <c r="N1417">
        <v>2.092758737</v>
      </c>
      <c r="O1417">
        <v>5.3323610669999999</v>
      </c>
      <c r="P1417">
        <v>0.70420098600000003</v>
      </c>
      <c r="Q1417">
        <v>0.41355372699999998</v>
      </c>
      <c r="S1417" s="13">
        <v>-1.29216764</v>
      </c>
      <c r="T1417">
        <v>0.27871579800000001</v>
      </c>
      <c r="U1417">
        <v>-0.15939972999999999</v>
      </c>
    </row>
    <row r="1418" spans="1:21" x14ac:dyDescent="0.2">
      <c r="A1418" t="s">
        <v>435</v>
      </c>
      <c r="B1418">
        <v>725120</v>
      </c>
      <c r="C1418" t="s">
        <v>6938</v>
      </c>
      <c r="D1418" t="s">
        <v>435</v>
      </c>
      <c r="E1418" t="s">
        <v>6915</v>
      </c>
      <c r="F1418">
        <v>14</v>
      </c>
      <c r="G1418">
        <v>13</v>
      </c>
      <c r="H1418" t="s">
        <v>9793</v>
      </c>
      <c r="J1418" t="s">
        <v>3961</v>
      </c>
      <c r="M1418" t="s">
        <v>9794</v>
      </c>
      <c r="N1418">
        <v>2.092758737</v>
      </c>
      <c r="O1418">
        <v>5.3323610669999999</v>
      </c>
      <c r="P1418">
        <v>0.70420098600000003</v>
      </c>
      <c r="Q1418">
        <v>0.41355372699999998</v>
      </c>
      <c r="S1418" s="13">
        <v>-1.2923737550000001</v>
      </c>
      <c r="T1418">
        <v>0.27781512400000002</v>
      </c>
      <c r="U1418">
        <v>-0.159562807</v>
      </c>
    </row>
    <row r="1419" spans="1:21" x14ac:dyDescent="0.2">
      <c r="A1419" t="s">
        <v>547</v>
      </c>
      <c r="B1419">
        <v>669120</v>
      </c>
      <c r="C1419" t="s">
        <v>6910</v>
      </c>
      <c r="D1419" t="s">
        <v>548</v>
      </c>
      <c r="E1419" t="s">
        <v>6970</v>
      </c>
      <c r="F1419">
        <v>5</v>
      </c>
      <c r="G1419">
        <v>14</v>
      </c>
      <c r="H1419" t="s">
        <v>9795</v>
      </c>
      <c r="J1419" t="s">
        <v>2572</v>
      </c>
      <c r="M1419" t="s">
        <v>9796</v>
      </c>
      <c r="N1419">
        <v>1.9874741039999999</v>
      </c>
      <c r="O1419">
        <v>3.7453511220000002</v>
      </c>
      <c r="P1419">
        <v>0.451009722</v>
      </c>
      <c r="Q1419">
        <v>-0.102386592</v>
      </c>
      <c r="S1419" s="13">
        <v>-1.292782906</v>
      </c>
      <c r="T1419">
        <v>0.27602722499999999</v>
      </c>
      <c r="U1419">
        <v>-0.100151935</v>
      </c>
    </row>
    <row r="1420" spans="1:21" x14ac:dyDescent="0.2">
      <c r="A1420" t="s">
        <v>1104</v>
      </c>
      <c r="B1420">
        <v>698480</v>
      </c>
      <c r="C1420" t="s">
        <v>6927</v>
      </c>
      <c r="D1420" t="s">
        <v>1105</v>
      </c>
      <c r="E1420" t="s">
        <v>6956</v>
      </c>
      <c r="F1420">
        <v>2</v>
      </c>
      <c r="G1420">
        <v>7</v>
      </c>
      <c r="H1420" t="s">
        <v>9797</v>
      </c>
      <c r="J1420" t="s">
        <v>9798</v>
      </c>
      <c r="M1420" t="s">
        <v>9799</v>
      </c>
      <c r="N1420">
        <v>1.982575982</v>
      </c>
      <c r="O1420">
        <v>3.4571926419999999</v>
      </c>
      <c r="P1420">
        <v>-0.114791479</v>
      </c>
      <c r="Q1420">
        <v>1.868949E-3</v>
      </c>
      <c r="S1420" s="13">
        <v>-1.2929732089999999</v>
      </c>
      <c r="T1420">
        <v>0.27519564699999999</v>
      </c>
      <c r="U1420">
        <v>-0.15446850400000001</v>
      </c>
    </row>
    <row r="1421" spans="1:21" x14ac:dyDescent="0.2">
      <c r="A1421" t="s">
        <v>1729</v>
      </c>
      <c r="B1421">
        <v>724400</v>
      </c>
      <c r="C1421" t="s">
        <v>6938</v>
      </c>
      <c r="D1421" t="s">
        <v>1729</v>
      </c>
      <c r="E1421" t="s">
        <v>6907</v>
      </c>
      <c r="F1421">
        <v>16</v>
      </c>
      <c r="G1421">
        <v>4</v>
      </c>
      <c r="H1421" t="s">
        <v>9800</v>
      </c>
      <c r="J1421" t="s">
        <v>3758</v>
      </c>
      <c r="M1421" t="s">
        <v>9801</v>
      </c>
      <c r="N1421">
        <v>2.092758737</v>
      </c>
      <c r="O1421">
        <v>5.3323610669999999</v>
      </c>
      <c r="P1421">
        <v>0.70420098600000003</v>
      </c>
      <c r="Q1421">
        <v>0.41355372699999998</v>
      </c>
      <c r="S1421" s="13">
        <v>-1.2929920989999999</v>
      </c>
      <c r="T1421">
        <v>0.27511310100000003</v>
      </c>
      <c r="U1421">
        <v>-0.16005240600000001</v>
      </c>
    </row>
    <row r="1422" spans="1:21" x14ac:dyDescent="0.2">
      <c r="A1422" t="s">
        <v>2348</v>
      </c>
      <c r="B1422">
        <v>556640</v>
      </c>
      <c r="C1422" t="s">
        <v>6945</v>
      </c>
      <c r="D1422" t="s">
        <v>2348</v>
      </c>
      <c r="E1422" t="s">
        <v>6911</v>
      </c>
      <c r="F1422">
        <v>11</v>
      </c>
      <c r="G1422">
        <v>12</v>
      </c>
      <c r="H1422" t="s">
        <v>9802</v>
      </c>
      <c r="J1422" t="s">
        <v>4390</v>
      </c>
      <c r="M1422" t="s">
        <v>9803</v>
      </c>
      <c r="N1422">
        <v>2.2220813349999999</v>
      </c>
      <c r="O1422">
        <v>6.5440947090000003</v>
      </c>
      <c r="P1422">
        <v>0.58228215500000002</v>
      </c>
      <c r="Q1422">
        <v>0.35188233000000002</v>
      </c>
      <c r="S1422" s="13">
        <v>-1.293233225</v>
      </c>
      <c r="T1422">
        <v>0.27405943700000002</v>
      </c>
      <c r="U1422">
        <v>-0.18415498299999999</v>
      </c>
    </row>
    <row r="1423" spans="1:21" x14ac:dyDescent="0.2">
      <c r="A1423" t="s">
        <v>2257</v>
      </c>
      <c r="B1423">
        <v>763160</v>
      </c>
      <c r="C1423" t="s">
        <v>6953</v>
      </c>
      <c r="D1423" t="s">
        <v>2257</v>
      </c>
      <c r="E1423" t="s">
        <v>6911</v>
      </c>
      <c r="F1423">
        <v>16</v>
      </c>
      <c r="G1423">
        <v>12</v>
      </c>
      <c r="H1423" t="s">
        <v>9804</v>
      </c>
      <c r="J1423" t="s">
        <v>5335</v>
      </c>
      <c r="M1423" t="s">
        <v>9805</v>
      </c>
      <c r="N1423">
        <v>1.921480887</v>
      </c>
      <c r="O1423">
        <v>3.0856645180000002</v>
      </c>
      <c r="P1423">
        <v>0.44706724399999997</v>
      </c>
      <c r="Q1423">
        <v>-0.354940863</v>
      </c>
      <c r="S1423" s="13">
        <v>-1.2933363769999999</v>
      </c>
      <c r="T1423">
        <v>0.27360868399999999</v>
      </c>
      <c r="U1423">
        <v>-0.103137647</v>
      </c>
    </row>
    <row r="1424" spans="1:21" x14ac:dyDescent="0.2">
      <c r="A1424" t="s">
        <v>947</v>
      </c>
      <c r="B1424">
        <v>644600</v>
      </c>
      <c r="C1424" t="s">
        <v>6906</v>
      </c>
      <c r="D1424" t="s">
        <v>948</v>
      </c>
      <c r="E1424" t="s">
        <v>6921</v>
      </c>
      <c r="F1424">
        <v>7</v>
      </c>
      <c r="G1424">
        <v>8</v>
      </c>
      <c r="H1424" t="s">
        <v>9806</v>
      </c>
      <c r="J1424" t="s">
        <v>2064</v>
      </c>
      <c r="M1424" t="s">
        <v>9807</v>
      </c>
      <c r="N1424">
        <v>1.813871112</v>
      </c>
      <c r="O1424">
        <v>2.6633694910000001</v>
      </c>
      <c r="P1424">
        <v>-0.29586356800000002</v>
      </c>
      <c r="Q1424">
        <v>-0.59018158399999998</v>
      </c>
      <c r="S1424" s="13">
        <v>-1.2935441750000001</v>
      </c>
      <c r="T1424">
        <v>0.27270065300000002</v>
      </c>
      <c r="U1424">
        <v>-0.140197081</v>
      </c>
    </row>
    <row r="1425" spans="1:21" x14ac:dyDescent="0.2">
      <c r="A1425" t="s">
        <v>415</v>
      </c>
      <c r="B1425">
        <v>556240</v>
      </c>
      <c r="C1425" t="s">
        <v>6945</v>
      </c>
      <c r="D1425" t="s">
        <v>415</v>
      </c>
      <c r="E1425" t="s">
        <v>6924</v>
      </c>
      <c r="F1425">
        <v>19</v>
      </c>
      <c r="G1425">
        <v>6</v>
      </c>
      <c r="H1425" t="s">
        <v>9808</v>
      </c>
      <c r="J1425" t="s">
        <v>6385</v>
      </c>
      <c r="M1425" t="s">
        <v>9809</v>
      </c>
      <c r="N1425">
        <v>2.2220813349999999</v>
      </c>
      <c r="O1425">
        <v>6.5440947090000003</v>
      </c>
      <c r="P1425">
        <v>0.58228215500000002</v>
      </c>
      <c r="Q1425">
        <v>0.35188233000000002</v>
      </c>
      <c r="S1425" s="13">
        <v>-1.293610519</v>
      </c>
      <c r="T1425">
        <v>0.27241074599999998</v>
      </c>
      <c r="U1425">
        <v>-0.18444276200000001</v>
      </c>
    </row>
    <row r="1426" spans="1:21" x14ac:dyDescent="0.2">
      <c r="A1426" t="s">
        <v>57</v>
      </c>
      <c r="B1426">
        <v>644360</v>
      </c>
      <c r="C1426" t="s">
        <v>6906</v>
      </c>
      <c r="D1426" t="s">
        <v>59</v>
      </c>
      <c r="E1426" t="s">
        <v>6928</v>
      </c>
      <c r="F1426">
        <v>4</v>
      </c>
      <c r="G1426">
        <v>16</v>
      </c>
      <c r="H1426" t="s">
        <v>9810</v>
      </c>
      <c r="J1426" t="s">
        <v>4002</v>
      </c>
      <c r="M1426" t="s">
        <v>9811</v>
      </c>
      <c r="N1426">
        <v>1.813871112</v>
      </c>
      <c r="O1426">
        <v>2.6633694910000001</v>
      </c>
      <c r="P1426">
        <v>-0.29586356800000002</v>
      </c>
      <c r="Q1426">
        <v>-0.59018158399999998</v>
      </c>
      <c r="S1426" s="13">
        <v>-1.2938923550000001</v>
      </c>
      <c r="T1426">
        <v>0.27117918899999999</v>
      </c>
      <c r="U1426">
        <v>-0.14035310400000001</v>
      </c>
    </row>
    <row r="1427" spans="1:21" x14ac:dyDescent="0.2">
      <c r="A1427" t="s">
        <v>175</v>
      </c>
      <c r="B1427">
        <v>592560</v>
      </c>
      <c r="C1427" t="s">
        <v>6931</v>
      </c>
      <c r="D1427" t="s">
        <v>175</v>
      </c>
      <c r="E1427" t="s">
        <v>7006</v>
      </c>
      <c r="F1427">
        <v>15</v>
      </c>
      <c r="G1427">
        <v>3</v>
      </c>
      <c r="H1427" t="s">
        <v>9812</v>
      </c>
      <c r="N1427">
        <v>1.9323965059999999</v>
      </c>
      <c r="O1427">
        <v>3.0528020530000002</v>
      </c>
      <c r="P1427">
        <v>2.6493138999999999E-2</v>
      </c>
      <c r="Q1427">
        <v>-0.38692188</v>
      </c>
      <c r="S1427" s="13">
        <v>-1.2938965899999999</v>
      </c>
      <c r="T1427">
        <v>0.27116067999999999</v>
      </c>
      <c r="U1427">
        <v>-9.9204610999999998E-2</v>
      </c>
    </row>
    <row r="1428" spans="1:21" x14ac:dyDescent="0.2">
      <c r="A1428" t="s">
        <v>2294</v>
      </c>
      <c r="B1428">
        <v>555920</v>
      </c>
      <c r="C1428" t="s">
        <v>6945</v>
      </c>
      <c r="D1428" t="s">
        <v>2294</v>
      </c>
      <c r="E1428" t="s">
        <v>7085</v>
      </c>
      <c r="F1428">
        <v>20</v>
      </c>
      <c r="G1428">
        <v>9</v>
      </c>
      <c r="H1428" t="s">
        <v>9813</v>
      </c>
      <c r="J1428" t="s">
        <v>3552</v>
      </c>
      <c r="M1428" t="s">
        <v>9814</v>
      </c>
      <c r="N1428">
        <v>2.2220813349999999</v>
      </c>
      <c r="O1428">
        <v>6.5440947090000003</v>
      </c>
      <c r="P1428">
        <v>0.58228215500000002</v>
      </c>
      <c r="Q1428">
        <v>0.35188233000000002</v>
      </c>
      <c r="S1428" s="13">
        <v>-1.293912355</v>
      </c>
      <c r="T1428">
        <v>0.271091794</v>
      </c>
      <c r="U1428">
        <v>-0.18467312299999999</v>
      </c>
    </row>
    <row r="1429" spans="1:21" x14ac:dyDescent="0.2">
      <c r="A1429" t="s">
        <v>426</v>
      </c>
      <c r="B1429">
        <v>635080</v>
      </c>
      <c r="C1429" t="s">
        <v>6942</v>
      </c>
      <c r="D1429" t="s">
        <v>426</v>
      </c>
      <c r="E1429" t="s">
        <v>6911</v>
      </c>
      <c r="F1429">
        <v>22</v>
      </c>
      <c r="G1429">
        <v>12</v>
      </c>
      <c r="H1429" t="s">
        <v>9815</v>
      </c>
      <c r="J1429" t="s">
        <v>1602</v>
      </c>
      <c r="M1429" t="s">
        <v>9816</v>
      </c>
      <c r="N1429">
        <v>2.0902262079999998</v>
      </c>
      <c r="O1429">
        <v>4.2704203920000001</v>
      </c>
      <c r="P1429">
        <v>0.23425843900000001</v>
      </c>
      <c r="Q1429">
        <v>1.6181978999999999E-2</v>
      </c>
      <c r="S1429" s="13">
        <v>-1.2939167300000001</v>
      </c>
      <c r="T1429">
        <v>0.27107267200000001</v>
      </c>
      <c r="U1429">
        <v>-0.17868049</v>
      </c>
    </row>
    <row r="1430" spans="1:21" x14ac:dyDescent="0.2">
      <c r="A1430" t="s">
        <v>1391</v>
      </c>
      <c r="B1430">
        <v>555880</v>
      </c>
      <c r="C1430" t="s">
        <v>6945</v>
      </c>
      <c r="D1430" t="s">
        <v>1391</v>
      </c>
      <c r="E1430" t="s">
        <v>7085</v>
      </c>
      <c r="F1430">
        <v>12</v>
      </c>
      <c r="G1430">
        <v>9</v>
      </c>
      <c r="H1430" t="s">
        <v>9817</v>
      </c>
      <c r="J1430" t="s">
        <v>4501</v>
      </c>
      <c r="M1430" t="s">
        <v>9818</v>
      </c>
      <c r="N1430">
        <v>2.2220813349999999</v>
      </c>
      <c r="O1430">
        <v>6.5440947090000003</v>
      </c>
      <c r="P1430">
        <v>0.58228215500000002</v>
      </c>
      <c r="Q1430">
        <v>0.35188233000000002</v>
      </c>
      <c r="S1430" s="13">
        <v>-1.293950084</v>
      </c>
      <c r="T1430">
        <v>0.27092692499999999</v>
      </c>
      <c r="U1430">
        <v>-0.18470192599999999</v>
      </c>
    </row>
    <row r="1431" spans="1:21" x14ac:dyDescent="0.2">
      <c r="A1431" t="s">
        <v>668</v>
      </c>
      <c r="B1431">
        <v>592440</v>
      </c>
      <c r="C1431" t="s">
        <v>6931</v>
      </c>
      <c r="D1431" t="s">
        <v>668</v>
      </c>
      <c r="E1431" t="s">
        <v>6956</v>
      </c>
      <c r="F1431">
        <v>21</v>
      </c>
      <c r="G1431">
        <v>7</v>
      </c>
      <c r="H1431" t="s">
        <v>9819</v>
      </c>
      <c r="N1431">
        <v>1.9323965059999999</v>
      </c>
      <c r="O1431">
        <v>3.0528020530000002</v>
      </c>
      <c r="P1431">
        <v>2.6493138999999999E-2</v>
      </c>
      <c r="Q1431">
        <v>-0.38692188</v>
      </c>
      <c r="S1431" s="13">
        <v>-1.2940542669999999</v>
      </c>
      <c r="T1431">
        <v>0.270471668</v>
      </c>
      <c r="U1431">
        <v>-9.9275588999999997E-2</v>
      </c>
    </row>
    <row r="1432" spans="1:21" x14ac:dyDescent="0.2">
      <c r="A1432" t="s">
        <v>894</v>
      </c>
      <c r="B1432">
        <v>360880</v>
      </c>
      <c r="C1432" t="s">
        <v>6961</v>
      </c>
      <c r="D1432" t="s">
        <v>894</v>
      </c>
      <c r="E1432" t="s">
        <v>6939</v>
      </c>
      <c r="F1432">
        <v>18</v>
      </c>
      <c r="G1432">
        <v>2</v>
      </c>
      <c r="H1432" t="s">
        <v>9820</v>
      </c>
      <c r="J1432" t="s">
        <v>5131</v>
      </c>
      <c r="M1432" t="s">
        <v>9821</v>
      </c>
      <c r="N1432">
        <v>2.7247480949999998</v>
      </c>
      <c r="O1432">
        <v>7.0822175119999997</v>
      </c>
      <c r="P1432">
        <v>0.61298291999999999</v>
      </c>
      <c r="Q1432">
        <v>0.48262032500000002</v>
      </c>
      <c r="S1432" s="13">
        <v>-1.294116716</v>
      </c>
      <c r="T1432">
        <v>0.27019878200000003</v>
      </c>
      <c r="U1432">
        <v>-0.209918363</v>
      </c>
    </row>
    <row r="1433" spans="1:21" x14ac:dyDescent="0.2">
      <c r="A1433" t="s">
        <v>2028</v>
      </c>
      <c r="B1433">
        <v>697320</v>
      </c>
      <c r="C1433" t="s">
        <v>6927</v>
      </c>
      <c r="D1433" t="s">
        <v>2028</v>
      </c>
      <c r="E1433" t="s">
        <v>6924</v>
      </c>
      <c r="F1433">
        <v>10</v>
      </c>
      <c r="G1433">
        <v>6</v>
      </c>
      <c r="H1433" t="s">
        <v>9822</v>
      </c>
      <c r="J1433" t="s">
        <v>9823</v>
      </c>
      <c r="M1433" t="s">
        <v>9824</v>
      </c>
      <c r="N1433">
        <v>1.982575982</v>
      </c>
      <c r="O1433">
        <v>3.4571926419999999</v>
      </c>
      <c r="P1433">
        <v>-0.114791479</v>
      </c>
      <c r="Q1433">
        <v>1.868949E-3</v>
      </c>
      <c r="S1433" s="13">
        <v>-1.294176853</v>
      </c>
      <c r="T1433">
        <v>0.26993599800000001</v>
      </c>
      <c r="U1433">
        <v>-0.155248364</v>
      </c>
    </row>
    <row r="1434" spans="1:21" x14ac:dyDescent="0.2">
      <c r="A1434" t="s">
        <v>988</v>
      </c>
      <c r="B1434">
        <v>696880</v>
      </c>
      <c r="C1434" t="s">
        <v>6927</v>
      </c>
      <c r="D1434" t="s">
        <v>988</v>
      </c>
      <c r="E1434" t="s">
        <v>6974</v>
      </c>
      <c r="F1434">
        <v>16</v>
      </c>
      <c r="G1434">
        <v>15</v>
      </c>
      <c r="H1434" t="s">
        <v>9825</v>
      </c>
      <c r="J1434" t="s">
        <v>9826</v>
      </c>
      <c r="M1434" t="s">
        <v>9827</v>
      </c>
      <c r="N1434">
        <v>1.982575982</v>
      </c>
      <c r="O1434">
        <v>3.4571926419999999</v>
      </c>
      <c r="P1434">
        <v>-0.114791479</v>
      </c>
      <c r="Q1434">
        <v>1.868949E-3</v>
      </c>
      <c r="S1434" s="13">
        <v>-1.2946334070000001</v>
      </c>
      <c r="T1434">
        <v>0.26794095800000001</v>
      </c>
      <c r="U1434">
        <v>-0.15554453900000001</v>
      </c>
    </row>
    <row r="1435" spans="1:21" x14ac:dyDescent="0.2">
      <c r="A1435" t="s">
        <v>1336</v>
      </c>
      <c r="B1435">
        <v>643800</v>
      </c>
      <c r="C1435" t="s">
        <v>6906</v>
      </c>
      <c r="D1435" t="s">
        <v>1336</v>
      </c>
      <c r="E1435" t="s">
        <v>6915</v>
      </c>
      <c r="F1435">
        <v>15</v>
      </c>
      <c r="G1435">
        <v>13</v>
      </c>
      <c r="H1435" t="s">
        <v>9828</v>
      </c>
      <c r="J1435" t="s">
        <v>4156</v>
      </c>
      <c r="M1435" t="s">
        <v>9829</v>
      </c>
      <c r="N1435">
        <v>1.813871112</v>
      </c>
      <c r="O1435">
        <v>2.6633694910000001</v>
      </c>
      <c r="P1435">
        <v>-0.29586356800000002</v>
      </c>
      <c r="Q1435">
        <v>-0.59018158399999998</v>
      </c>
      <c r="S1435" s="13">
        <v>-1.2947047730000001</v>
      </c>
      <c r="T1435">
        <v>0.26762910699999998</v>
      </c>
      <c r="U1435">
        <v>-0.14071737400000001</v>
      </c>
    </row>
    <row r="1436" spans="1:21" x14ac:dyDescent="0.2">
      <c r="A1436" t="s">
        <v>1330</v>
      </c>
      <c r="B1436">
        <v>722400</v>
      </c>
      <c r="C1436" t="s">
        <v>6938</v>
      </c>
      <c r="D1436" t="s">
        <v>1330</v>
      </c>
      <c r="E1436" t="s">
        <v>6915</v>
      </c>
      <c r="F1436">
        <v>23</v>
      </c>
      <c r="G1436">
        <v>13</v>
      </c>
      <c r="H1436" t="s">
        <v>9830</v>
      </c>
      <c r="J1436" t="s">
        <v>5753</v>
      </c>
      <c r="M1436" t="s">
        <v>9831</v>
      </c>
      <c r="N1436">
        <v>2.092758737</v>
      </c>
      <c r="O1436">
        <v>5.3323610669999999</v>
      </c>
      <c r="P1436">
        <v>0.70420098600000003</v>
      </c>
      <c r="Q1436">
        <v>0.41355372699999998</v>
      </c>
      <c r="S1436" s="13">
        <v>-1.2947097219999999</v>
      </c>
      <c r="T1436">
        <v>0.26760748200000001</v>
      </c>
      <c r="U1436">
        <v>-0.16141530500000001</v>
      </c>
    </row>
    <row r="1437" spans="1:21" x14ac:dyDescent="0.2">
      <c r="A1437" t="s">
        <v>769</v>
      </c>
      <c r="B1437">
        <v>591760</v>
      </c>
      <c r="C1437" t="s">
        <v>6931</v>
      </c>
      <c r="D1437" t="s">
        <v>769</v>
      </c>
      <c r="E1437" t="s">
        <v>6911</v>
      </c>
      <c r="F1437">
        <v>12</v>
      </c>
      <c r="G1437">
        <v>12</v>
      </c>
      <c r="H1437" t="s">
        <v>9832</v>
      </c>
      <c r="N1437">
        <v>1.9323965059999999</v>
      </c>
      <c r="O1437">
        <v>3.0528020530000002</v>
      </c>
      <c r="P1437">
        <v>2.6493138999999999E-2</v>
      </c>
      <c r="Q1437">
        <v>-0.38692188</v>
      </c>
      <c r="S1437" s="13">
        <v>-1.2949477700000001</v>
      </c>
      <c r="T1437">
        <v>0.266567267</v>
      </c>
      <c r="U1437">
        <v>-9.9678014999999995E-2</v>
      </c>
    </row>
    <row r="1438" spans="1:21" x14ac:dyDescent="0.2">
      <c r="A1438" t="s">
        <v>1668</v>
      </c>
      <c r="B1438">
        <v>591720</v>
      </c>
      <c r="C1438" t="s">
        <v>6931</v>
      </c>
      <c r="D1438" t="s">
        <v>1668</v>
      </c>
      <c r="E1438" t="s">
        <v>6915</v>
      </c>
      <c r="F1438">
        <v>10</v>
      </c>
      <c r="G1438">
        <v>13</v>
      </c>
      <c r="H1438" t="s">
        <v>9833</v>
      </c>
      <c r="N1438">
        <v>1.9323965059999999</v>
      </c>
      <c r="O1438">
        <v>3.0528020530000002</v>
      </c>
      <c r="P1438">
        <v>2.6493138999999999E-2</v>
      </c>
      <c r="Q1438">
        <v>-0.38692188</v>
      </c>
      <c r="S1438" s="13">
        <v>-1.295000328</v>
      </c>
      <c r="T1438">
        <v>0.26633759699999998</v>
      </c>
      <c r="U1438">
        <v>-9.9701699000000005E-2</v>
      </c>
    </row>
    <row r="1439" spans="1:21" x14ac:dyDescent="0.2">
      <c r="A1439" t="s">
        <v>2270</v>
      </c>
      <c r="B1439">
        <v>359760</v>
      </c>
      <c r="C1439" t="s">
        <v>6961</v>
      </c>
      <c r="D1439" t="s">
        <v>2271</v>
      </c>
      <c r="E1439" t="s">
        <v>6921</v>
      </c>
      <c r="F1439">
        <v>8</v>
      </c>
      <c r="G1439">
        <v>8</v>
      </c>
      <c r="H1439" t="s">
        <v>9834</v>
      </c>
      <c r="J1439" t="s">
        <v>4435</v>
      </c>
      <c r="M1439" t="s">
        <v>9835</v>
      </c>
      <c r="N1439">
        <v>2.7247480949999998</v>
      </c>
      <c r="O1439">
        <v>7.0822175119999997</v>
      </c>
      <c r="P1439">
        <v>0.61298291999999999</v>
      </c>
      <c r="Q1439">
        <v>0.48262032500000002</v>
      </c>
      <c r="S1439" s="13">
        <v>-1.2950033249999999</v>
      </c>
      <c r="T1439">
        <v>0.26632450299999999</v>
      </c>
      <c r="U1439">
        <v>-0.21077394999999999</v>
      </c>
    </row>
    <row r="1440" spans="1:21" x14ac:dyDescent="0.2">
      <c r="A1440" t="s">
        <v>820</v>
      </c>
      <c r="B1440">
        <v>761440</v>
      </c>
      <c r="C1440" t="s">
        <v>6953</v>
      </c>
      <c r="D1440" t="s">
        <v>820</v>
      </c>
      <c r="E1440" t="s">
        <v>6974</v>
      </c>
      <c r="F1440">
        <v>20</v>
      </c>
      <c r="G1440">
        <v>15</v>
      </c>
      <c r="H1440" t="s">
        <v>9836</v>
      </c>
      <c r="J1440" t="s">
        <v>2494</v>
      </c>
      <c r="M1440" t="s">
        <v>9837</v>
      </c>
      <c r="N1440">
        <v>1.921480887</v>
      </c>
      <c r="O1440">
        <v>3.0856645180000002</v>
      </c>
      <c r="P1440">
        <v>0.44706724399999997</v>
      </c>
      <c r="Q1440">
        <v>-0.354940863</v>
      </c>
      <c r="S1440" s="13">
        <v>-1.2951210909999999</v>
      </c>
      <c r="T1440">
        <v>0.26580989300000002</v>
      </c>
      <c r="U1440">
        <v>-0.10416538</v>
      </c>
    </row>
    <row r="1441" spans="1:21" x14ac:dyDescent="0.2">
      <c r="A1441" t="s">
        <v>33</v>
      </c>
      <c r="B1441">
        <v>591480</v>
      </c>
      <c r="C1441" t="s">
        <v>6931</v>
      </c>
      <c r="D1441" t="s">
        <v>33</v>
      </c>
      <c r="E1441" t="s">
        <v>6918</v>
      </c>
      <c r="F1441">
        <v>17</v>
      </c>
      <c r="G1441">
        <v>1</v>
      </c>
      <c r="H1441" t="s">
        <v>9838</v>
      </c>
      <c r="N1441">
        <v>1.9323965059999999</v>
      </c>
      <c r="O1441">
        <v>3.0528020530000002</v>
      </c>
      <c r="P1441">
        <v>2.6493138999999999E-2</v>
      </c>
      <c r="Q1441">
        <v>-0.38692188</v>
      </c>
      <c r="S1441" s="13">
        <v>-1.295315682</v>
      </c>
      <c r="T1441">
        <v>0.264959573</v>
      </c>
      <c r="U1441">
        <v>-9.9843827999999996E-2</v>
      </c>
    </row>
    <row r="1442" spans="1:21" x14ac:dyDescent="0.2">
      <c r="A1442" t="s">
        <v>397</v>
      </c>
      <c r="B1442">
        <v>643280</v>
      </c>
      <c r="C1442" t="s">
        <v>6906</v>
      </c>
      <c r="D1442" t="s">
        <v>397</v>
      </c>
      <c r="E1442" t="s">
        <v>7006</v>
      </c>
      <c r="F1442">
        <v>10</v>
      </c>
      <c r="G1442">
        <v>3</v>
      </c>
      <c r="H1442" t="s">
        <v>9839</v>
      </c>
      <c r="J1442" t="s">
        <v>9840</v>
      </c>
      <c r="M1442" t="s">
        <v>9841</v>
      </c>
      <c r="N1442">
        <v>1.813871112</v>
      </c>
      <c r="O1442">
        <v>2.6633694910000001</v>
      </c>
      <c r="P1442">
        <v>-0.29586356800000002</v>
      </c>
      <c r="Q1442">
        <v>-0.59018158399999998</v>
      </c>
      <c r="S1442" s="13">
        <v>-1.2954591609999999</v>
      </c>
      <c r="T1442">
        <v>0.264332601</v>
      </c>
      <c r="U1442">
        <v>-0.14105589800000001</v>
      </c>
    </row>
    <row r="1443" spans="1:21" x14ac:dyDescent="0.2">
      <c r="A1443" t="s">
        <v>2488</v>
      </c>
      <c r="B1443">
        <v>721520</v>
      </c>
      <c r="C1443" t="s">
        <v>6938</v>
      </c>
      <c r="D1443" t="s">
        <v>2488</v>
      </c>
      <c r="E1443" t="s">
        <v>6907</v>
      </c>
      <c r="F1443">
        <v>10</v>
      </c>
      <c r="G1443">
        <v>4</v>
      </c>
      <c r="H1443" t="s">
        <v>9842</v>
      </c>
      <c r="J1443" t="s">
        <v>3357</v>
      </c>
      <c r="M1443" t="s">
        <v>9843</v>
      </c>
      <c r="N1443">
        <v>2.092758737</v>
      </c>
      <c r="O1443">
        <v>5.3323610669999999</v>
      </c>
      <c r="P1443">
        <v>0.70420098600000003</v>
      </c>
      <c r="Q1443">
        <v>0.41355372699999998</v>
      </c>
      <c r="S1443" s="13">
        <v>-1.2954654759999999</v>
      </c>
      <c r="T1443">
        <v>0.26430500899999998</v>
      </c>
      <c r="U1443">
        <v>-0.16201633900000001</v>
      </c>
    </row>
    <row r="1444" spans="1:21" x14ac:dyDescent="0.2">
      <c r="A1444" t="s">
        <v>333</v>
      </c>
      <c r="B1444">
        <v>643160</v>
      </c>
      <c r="C1444" t="s">
        <v>6906</v>
      </c>
      <c r="D1444" t="s">
        <v>334</v>
      </c>
      <c r="E1444" t="s">
        <v>6915</v>
      </c>
      <c r="F1444">
        <v>2</v>
      </c>
      <c r="G1444">
        <v>13</v>
      </c>
      <c r="H1444" t="s">
        <v>9844</v>
      </c>
      <c r="J1444" t="s">
        <v>955</v>
      </c>
      <c r="M1444" t="s">
        <v>9845</v>
      </c>
      <c r="N1444">
        <v>1.813871112</v>
      </c>
      <c r="O1444">
        <v>2.6633694910000001</v>
      </c>
      <c r="P1444">
        <v>-0.29586356800000002</v>
      </c>
      <c r="Q1444">
        <v>-0.59018158399999998</v>
      </c>
      <c r="S1444" s="13">
        <v>-1.2956332509999999</v>
      </c>
      <c r="T1444">
        <v>0.26357186900000001</v>
      </c>
      <c r="U1444">
        <v>-0.14113405700000001</v>
      </c>
    </row>
    <row r="1445" spans="1:21" x14ac:dyDescent="0.2">
      <c r="A1445" t="s">
        <v>494</v>
      </c>
      <c r="B1445">
        <v>765800</v>
      </c>
      <c r="C1445" t="s">
        <v>6914</v>
      </c>
      <c r="D1445" t="s">
        <v>495</v>
      </c>
      <c r="E1445" t="s">
        <v>6939</v>
      </c>
      <c r="F1445">
        <v>5</v>
      </c>
      <c r="G1445">
        <v>2</v>
      </c>
      <c r="H1445" t="s">
        <v>9846</v>
      </c>
      <c r="J1445" t="s">
        <v>3397</v>
      </c>
      <c r="M1445" t="s">
        <v>9847</v>
      </c>
      <c r="N1445">
        <v>1.8217074179999999</v>
      </c>
      <c r="O1445">
        <v>4.1700741289999996</v>
      </c>
      <c r="P1445">
        <v>0.189705977</v>
      </c>
      <c r="Q1445">
        <v>-1.7194070999999998E-2</v>
      </c>
      <c r="S1445" s="13">
        <v>-1.295903394</v>
      </c>
      <c r="T1445">
        <v>0.26239140599999999</v>
      </c>
      <c r="U1445">
        <v>-0.16316608199999999</v>
      </c>
    </row>
    <row r="1446" spans="1:21" x14ac:dyDescent="0.2">
      <c r="A1446" t="s">
        <v>52</v>
      </c>
      <c r="B1446">
        <v>765400</v>
      </c>
      <c r="C1446" t="s">
        <v>6914</v>
      </c>
      <c r="D1446" t="s">
        <v>53</v>
      </c>
      <c r="E1446" t="s">
        <v>6918</v>
      </c>
      <c r="F1446">
        <v>2</v>
      </c>
      <c r="G1446">
        <v>1</v>
      </c>
      <c r="H1446" t="s">
        <v>9848</v>
      </c>
      <c r="J1446" t="s">
        <v>5055</v>
      </c>
      <c r="M1446" t="s">
        <v>9849</v>
      </c>
      <c r="N1446">
        <v>1.8217074179999999</v>
      </c>
      <c r="O1446">
        <v>4.1700741289999996</v>
      </c>
      <c r="P1446">
        <v>0.189705977</v>
      </c>
      <c r="Q1446">
        <v>-1.7194070999999998E-2</v>
      </c>
      <c r="S1446" s="13">
        <v>-1.296384499</v>
      </c>
      <c r="T1446">
        <v>0.26028908899999997</v>
      </c>
      <c r="U1446">
        <v>-0.16344027899999999</v>
      </c>
    </row>
    <row r="1447" spans="1:21" x14ac:dyDescent="0.2">
      <c r="A1447" t="s">
        <v>1550</v>
      </c>
      <c r="B1447">
        <v>553280</v>
      </c>
      <c r="C1447" t="s">
        <v>6945</v>
      </c>
      <c r="D1447" t="s">
        <v>1550</v>
      </c>
      <c r="E1447" t="s">
        <v>6974</v>
      </c>
      <c r="F1447">
        <v>14</v>
      </c>
      <c r="G1447">
        <v>15</v>
      </c>
      <c r="H1447" t="s">
        <v>9850</v>
      </c>
      <c r="J1447" t="s">
        <v>1552</v>
      </c>
      <c r="M1447" t="s">
        <v>9851</v>
      </c>
      <c r="N1447">
        <v>2.2220813349999999</v>
      </c>
      <c r="O1447">
        <v>6.5440947090000003</v>
      </c>
      <c r="P1447">
        <v>0.58228215500000002</v>
      </c>
      <c r="Q1447">
        <v>0.35188233000000002</v>
      </c>
      <c r="S1447" s="13">
        <v>-1.296402498</v>
      </c>
      <c r="T1447">
        <v>0.26021043799999999</v>
      </c>
      <c r="U1447">
        <v>-0.18657827399999999</v>
      </c>
    </row>
    <row r="1448" spans="1:21" x14ac:dyDescent="0.2">
      <c r="A1448" t="s">
        <v>1062</v>
      </c>
      <c r="B1448">
        <v>632520</v>
      </c>
      <c r="C1448" t="s">
        <v>6942</v>
      </c>
      <c r="D1448" t="s">
        <v>1062</v>
      </c>
      <c r="E1448" t="s">
        <v>6924</v>
      </c>
      <c r="F1448">
        <v>17</v>
      </c>
      <c r="G1448">
        <v>6</v>
      </c>
      <c r="H1448" t="s">
        <v>9852</v>
      </c>
      <c r="J1448" t="s">
        <v>1064</v>
      </c>
      <c r="M1448" t="s">
        <v>9853</v>
      </c>
      <c r="N1448">
        <v>2.0902262079999998</v>
      </c>
      <c r="O1448">
        <v>4.2704203920000001</v>
      </c>
      <c r="P1448">
        <v>0.23425843900000001</v>
      </c>
      <c r="Q1448">
        <v>1.6181978999999999E-2</v>
      </c>
      <c r="S1448" s="13">
        <v>-1.296429343</v>
      </c>
      <c r="T1448">
        <v>0.260093132</v>
      </c>
      <c r="U1448">
        <v>-0.180502419</v>
      </c>
    </row>
    <row r="1449" spans="1:21" x14ac:dyDescent="0.2">
      <c r="A1449" t="s">
        <v>1231</v>
      </c>
      <c r="B1449">
        <v>665440</v>
      </c>
      <c r="C1449" t="s">
        <v>6910</v>
      </c>
      <c r="D1449" t="s">
        <v>1231</v>
      </c>
      <c r="E1449" t="s">
        <v>7085</v>
      </c>
      <c r="F1449">
        <v>21</v>
      </c>
      <c r="G1449">
        <v>9</v>
      </c>
      <c r="H1449" t="s">
        <v>9854</v>
      </c>
      <c r="J1449" t="s">
        <v>2212</v>
      </c>
      <c r="M1449" t="s">
        <v>9855</v>
      </c>
      <c r="N1449">
        <v>1.9874741039999999</v>
      </c>
      <c r="O1449">
        <v>3.7453511220000002</v>
      </c>
      <c r="P1449">
        <v>0.451009722</v>
      </c>
      <c r="Q1449">
        <v>-0.102386592</v>
      </c>
      <c r="S1449" s="13">
        <v>-1.2967421939999999</v>
      </c>
      <c r="T1449">
        <v>0.25872604100000002</v>
      </c>
      <c r="U1449">
        <v>-0.102338654</v>
      </c>
    </row>
    <row r="1450" spans="1:21" x14ac:dyDescent="0.2">
      <c r="A1450" t="s">
        <v>1368</v>
      </c>
      <c r="B1450">
        <v>694640</v>
      </c>
      <c r="C1450" t="s">
        <v>6927</v>
      </c>
      <c r="D1450" t="s">
        <v>1368</v>
      </c>
      <c r="E1450" t="s">
        <v>6956</v>
      </c>
      <c r="F1450">
        <v>16</v>
      </c>
      <c r="G1450">
        <v>7</v>
      </c>
      <c r="H1450" t="s">
        <v>9856</v>
      </c>
      <c r="J1450" t="s">
        <v>9857</v>
      </c>
      <c r="M1450" t="s">
        <v>9858</v>
      </c>
      <c r="N1450">
        <v>1.982575982</v>
      </c>
      <c r="O1450">
        <v>3.4571926419999999</v>
      </c>
      <c r="P1450">
        <v>-0.114791479</v>
      </c>
      <c r="Q1450">
        <v>1.868949E-3</v>
      </c>
      <c r="S1450" s="13">
        <v>-1.2969576860000001</v>
      </c>
      <c r="T1450">
        <v>0.257784393</v>
      </c>
      <c r="U1450">
        <v>-0.157055482</v>
      </c>
    </row>
    <row r="1451" spans="1:21" x14ac:dyDescent="0.2">
      <c r="A1451" t="s">
        <v>1062</v>
      </c>
      <c r="B1451">
        <v>719720</v>
      </c>
      <c r="C1451" t="s">
        <v>6938</v>
      </c>
      <c r="D1451" t="s">
        <v>1062</v>
      </c>
      <c r="E1451" t="s">
        <v>6924</v>
      </c>
      <c r="F1451">
        <v>17</v>
      </c>
      <c r="G1451">
        <v>6</v>
      </c>
      <c r="H1451" t="s">
        <v>9859</v>
      </c>
      <c r="J1451" t="s">
        <v>3975</v>
      </c>
      <c r="M1451" t="s">
        <v>9860</v>
      </c>
      <c r="N1451">
        <v>2.092758737</v>
      </c>
      <c r="O1451">
        <v>5.3323610669999999</v>
      </c>
      <c r="P1451">
        <v>0.70420098600000003</v>
      </c>
      <c r="Q1451">
        <v>0.41355372699999998</v>
      </c>
      <c r="S1451" s="13">
        <v>-1.297011336</v>
      </c>
      <c r="T1451">
        <v>0.25754995200000003</v>
      </c>
      <c r="U1451">
        <v>-0.163248323</v>
      </c>
    </row>
    <row r="1452" spans="1:21" x14ac:dyDescent="0.2">
      <c r="A1452" t="s">
        <v>671</v>
      </c>
      <c r="B1452">
        <v>719720</v>
      </c>
      <c r="C1452" t="s">
        <v>6938</v>
      </c>
      <c r="D1452" t="s">
        <v>672</v>
      </c>
      <c r="E1452" t="s">
        <v>6970</v>
      </c>
      <c r="F1452">
        <v>6</v>
      </c>
      <c r="G1452">
        <v>14</v>
      </c>
      <c r="H1452" t="s">
        <v>9861</v>
      </c>
      <c r="J1452" t="s">
        <v>4554</v>
      </c>
      <c r="M1452" t="s">
        <v>9862</v>
      </c>
      <c r="N1452">
        <v>2.092758737</v>
      </c>
      <c r="O1452">
        <v>5.3323610669999999</v>
      </c>
      <c r="P1452">
        <v>0.70420098600000003</v>
      </c>
      <c r="Q1452">
        <v>0.41355372699999998</v>
      </c>
      <c r="S1452" s="13">
        <v>-1.297011336</v>
      </c>
      <c r="T1452">
        <v>0.25754995200000003</v>
      </c>
      <c r="U1452">
        <v>-0.163248323</v>
      </c>
    </row>
    <row r="1453" spans="1:21" x14ac:dyDescent="0.2">
      <c r="A1453" t="s">
        <v>832</v>
      </c>
      <c r="B1453">
        <v>356960</v>
      </c>
      <c r="C1453" t="s">
        <v>6961</v>
      </c>
      <c r="D1453" t="s">
        <v>832</v>
      </c>
      <c r="E1453" t="s">
        <v>6924</v>
      </c>
      <c r="F1453">
        <v>21</v>
      </c>
      <c r="G1453">
        <v>6</v>
      </c>
      <c r="H1453" t="s">
        <v>9863</v>
      </c>
      <c r="J1453" t="s">
        <v>6331</v>
      </c>
      <c r="M1453" t="s">
        <v>9864</v>
      </c>
      <c r="N1453">
        <v>2.7247480949999998</v>
      </c>
      <c r="O1453">
        <v>7.0822175119999997</v>
      </c>
      <c r="P1453">
        <v>0.61298291999999999</v>
      </c>
      <c r="Q1453">
        <v>0.48262032500000002</v>
      </c>
      <c r="S1453" s="13">
        <v>-1.297219847</v>
      </c>
      <c r="T1453">
        <v>0.256638806</v>
      </c>
      <c r="U1453">
        <v>-0.212920322</v>
      </c>
    </row>
    <row r="1454" spans="1:21" x14ac:dyDescent="0.2">
      <c r="A1454" t="s">
        <v>2335</v>
      </c>
      <c r="B1454">
        <v>694280</v>
      </c>
      <c r="C1454" t="s">
        <v>6927</v>
      </c>
      <c r="D1454" t="s">
        <v>2335</v>
      </c>
      <c r="E1454" t="s">
        <v>6915</v>
      </c>
      <c r="F1454">
        <v>13</v>
      </c>
      <c r="G1454">
        <v>13</v>
      </c>
      <c r="H1454" t="s">
        <v>9865</v>
      </c>
      <c r="J1454" t="s">
        <v>9866</v>
      </c>
      <c r="M1454" t="s">
        <v>9867</v>
      </c>
      <c r="N1454">
        <v>1.982575982</v>
      </c>
      <c r="O1454">
        <v>3.4571926419999999</v>
      </c>
      <c r="P1454">
        <v>-0.114791479</v>
      </c>
      <c r="Q1454">
        <v>1.868949E-3</v>
      </c>
      <c r="S1454" s="13">
        <v>-1.2973312299999999</v>
      </c>
      <c r="T1454">
        <v>0.256152088</v>
      </c>
      <c r="U1454">
        <v>-0.15729880399999999</v>
      </c>
    </row>
    <row r="1455" spans="1:21" x14ac:dyDescent="0.2">
      <c r="A1455" t="s">
        <v>124</v>
      </c>
      <c r="B1455">
        <v>764520</v>
      </c>
      <c r="C1455" t="s">
        <v>6914</v>
      </c>
      <c r="D1455" t="s">
        <v>125</v>
      </c>
      <c r="E1455" t="s">
        <v>6918</v>
      </c>
      <c r="F1455">
        <v>7</v>
      </c>
      <c r="G1455">
        <v>1</v>
      </c>
      <c r="H1455" t="s">
        <v>9868</v>
      </c>
      <c r="J1455" t="s">
        <v>1938</v>
      </c>
      <c r="M1455" t="s">
        <v>9869</v>
      </c>
      <c r="N1455">
        <v>1.8217074179999999</v>
      </c>
      <c r="O1455">
        <v>4.1700741289999996</v>
      </c>
      <c r="P1455">
        <v>0.189705977</v>
      </c>
      <c r="Q1455">
        <v>-1.7194070999999998E-2</v>
      </c>
      <c r="S1455" s="13">
        <v>-1.297442929</v>
      </c>
      <c r="T1455">
        <v>0.25566399099999998</v>
      </c>
      <c r="U1455">
        <v>-0.16404412299999999</v>
      </c>
    </row>
    <row r="1456" spans="1:21" x14ac:dyDescent="0.2">
      <c r="A1456" t="s">
        <v>1001</v>
      </c>
      <c r="B1456">
        <v>718880</v>
      </c>
      <c r="C1456" t="s">
        <v>6938</v>
      </c>
      <c r="D1456" t="s">
        <v>1001</v>
      </c>
      <c r="E1456" t="s">
        <v>7006</v>
      </c>
      <c r="F1456">
        <v>14</v>
      </c>
      <c r="G1456">
        <v>3</v>
      </c>
      <c r="H1456" t="s">
        <v>9870</v>
      </c>
      <c r="J1456" t="s">
        <v>2747</v>
      </c>
      <c r="M1456" t="s">
        <v>9871</v>
      </c>
      <c r="N1456">
        <v>2.092758737</v>
      </c>
      <c r="O1456">
        <v>5.3323610669999999</v>
      </c>
      <c r="P1456">
        <v>0.70420098600000003</v>
      </c>
      <c r="Q1456">
        <v>0.41355372699999998</v>
      </c>
      <c r="S1456" s="13">
        <v>-1.2977327380000001</v>
      </c>
      <c r="T1456">
        <v>0.25439759200000001</v>
      </c>
      <c r="U1456">
        <v>-0.16382444600000001</v>
      </c>
    </row>
    <row r="1457" spans="1:21" x14ac:dyDescent="0.2">
      <c r="A1457" t="s">
        <v>718</v>
      </c>
      <c r="B1457">
        <v>631120</v>
      </c>
      <c r="C1457" t="s">
        <v>6942</v>
      </c>
      <c r="D1457" t="s">
        <v>718</v>
      </c>
      <c r="E1457" t="s">
        <v>6924</v>
      </c>
      <c r="F1457">
        <v>14</v>
      </c>
      <c r="G1457">
        <v>6</v>
      </c>
      <c r="H1457" t="s">
        <v>9872</v>
      </c>
      <c r="J1457" t="s">
        <v>2716</v>
      </c>
      <c r="M1457" t="s">
        <v>9873</v>
      </c>
      <c r="N1457">
        <v>2.0902262079999998</v>
      </c>
      <c r="O1457">
        <v>4.2704203920000001</v>
      </c>
      <c r="P1457">
        <v>0.23425843900000001</v>
      </c>
      <c r="Q1457">
        <v>1.6181978999999999E-2</v>
      </c>
      <c r="S1457" s="13">
        <v>-1.2978034270000001</v>
      </c>
      <c r="T1457">
        <v>0.25408869499999998</v>
      </c>
      <c r="U1457">
        <v>-0.18150202900000001</v>
      </c>
    </row>
    <row r="1458" spans="1:21" x14ac:dyDescent="0.2">
      <c r="A1458" t="s">
        <v>2911</v>
      </c>
      <c r="B1458">
        <v>630880</v>
      </c>
      <c r="C1458" t="s">
        <v>6942</v>
      </c>
      <c r="D1458" t="s">
        <v>2912</v>
      </c>
      <c r="E1458" t="s">
        <v>6946</v>
      </c>
      <c r="F1458">
        <v>6</v>
      </c>
      <c r="G1458">
        <v>11</v>
      </c>
      <c r="H1458" t="s">
        <v>9874</v>
      </c>
      <c r="J1458" t="s">
        <v>4648</v>
      </c>
      <c r="M1458" t="s">
        <v>9875</v>
      </c>
      <c r="N1458">
        <v>2.0902262079999998</v>
      </c>
      <c r="O1458">
        <v>4.2704203920000001</v>
      </c>
      <c r="P1458">
        <v>0.23425843900000001</v>
      </c>
      <c r="Q1458">
        <v>1.6181978999999999E-2</v>
      </c>
      <c r="S1458" s="13">
        <v>-1.298038985</v>
      </c>
      <c r="T1458">
        <v>0.25305936299999998</v>
      </c>
      <c r="U1458">
        <v>-0.18167362200000001</v>
      </c>
    </row>
    <row r="1459" spans="1:21" x14ac:dyDescent="0.2">
      <c r="A1459" t="s">
        <v>2457</v>
      </c>
      <c r="B1459">
        <v>630760</v>
      </c>
      <c r="C1459" t="s">
        <v>6942</v>
      </c>
      <c r="D1459" t="s">
        <v>2458</v>
      </c>
      <c r="E1459" t="s">
        <v>7115</v>
      </c>
      <c r="F1459">
        <v>5</v>
      </c>
      <c r="G1459">
        <v>10</v>
      </c>
      <c r="H1459" t="s">
        <v>9876</v>
      </c>
      <c r="J1459" t="s">
        <v>2498</v>
      </c>
      <c r="M1459" t="s">
        <v>9877</v>
      </c>
      <c r="N1459">
        <v>2.0902262079999998</v>
      </c>
      <c r="O1459">
        <v>4.2704203920000001</v>
      </c>
      <c r="P1459">
        <v>0.23425843900000001</v>
      </c>
      <c r="Q1459">
        <v>1.6181978999999999E-2</v>
      </c>
      <c r="S1459" s="13">
        <v>-1.2981567629999999</v>
      </c>
      <c r="T1459">
        <v>0.25254469699999998</v>
      </c>
      <c r="U1459">
        <v>-0.18175944299999999</v>
      </c>
    </row>
    <row r="1460" spans="1:21" x14ac:dyDescent="0.2">
      <c r="A1460" t="s">
        <v>263</v>
      </c>
      <c r="B1460">
        <v>664080</v>
      </c>
      <c r="C1460" t="s">
        <v>6910</v>
      </c>
      <c r="D1460" t="s">
        <v>264</v>
      </c>
      <c r="E1460" t="s">
        <v>6974</v>
      </c>
      <c r="F1460">
        <v>5</v>
      </c>
      <c r="G1460">
        <v>15</v>
      </c>
      <c r="H1460" t="s">
        <v>9878</v>
      </c>
      <c r="J1460" t="s">
        <v>9879</v>
      </c>
      <c r="M1460" t="s">
        <v>9880</v>
      </c>
      <c r="N1460">
        <v>1.9874741039999999</v>
      </c>
      <c r="O1460">
        <v>3.7453511220000002</v>
      </c>
      <c r="P1460">
        <v>0.451009722</v>
      </c>
      <c r="Q1460">
        <v>-0.102386592</v>
      </c>
      <c r="S1460" s="13">
        <v>-1.29820541</v>
      </c>
      <c r="T1460">
        <v>0.25233212500000002</v>
      </c>
      <c r="U1460">
        <v>-0.103149583</v>
      </c>
    </row>
    <row r="1461" spans="1:21" x14ac:dyDescent="0.2">
      <c r="A1461" t="s">
        <v>462</v>
      </c>
      <c r="B1461">
        <v>550480</v>
      </c>
      <c r="C1461" t="s">
        <v>6945</v>
      </c>
      <c r="D1461" t="s">
        <v>462</v>
      </c>
      <c r="E1461" t="s">
        <v>6956</v>
      </c>
      <c r="F1461">
        <v>20</v>
      </c>
      <c r="G1461">
        <v>7</v>
      </c>
      <c r="H1461" t="s">
        <v>9881</v>
      </c>
      <c r="J1461" t="s">
        <v>4503</v>
      </c>
      <c r="M1461" t="s">
        <v>9882</v>
      </c>
      <c r="N1461">
        <v>2.2220813349999999</v>
      </c>
      <c r="O1461">
        <v>6.5440947090000003</v>
      </c>
      <c r="P1461">
        <v>0.58228215500000002</v>
      </c>
      <c r="Q1461">
        <v>0.35188233000000002</v>
      </c>
      <c r="S1461" s="13">
        <v>-1.299043559</v>
      </c>
      <c r="T1461">
        <v>0.24866960499999999</v>
      </c>
      <c r="U1461">
        <v>-0.18860806399999999</v>
      </c>
    </row>
    <row r="1462" spans="1:21" x14ac:dyDescent="0.2">
      <c r="A1462" t="s">
        <v>801</v>
      </c>
      <c r="B1462">
        <v>550480</v>
      </c>
      <c r="C1462" t="s">
        <v>6945</v>
      </c>
      <c r="D1462" t="s">
        <v>801</v>
      </c>
      <c r="E1462" t="s">
        <v>6911</v>
      </c>
      <c r="F1462">
        <v>23</v>
      </c>
      <c r="G1462">
        <v>12</v>
      </c>
      <c r="H1462" t="s">
        <v>9883</v>
      </c>
      <c r="J1462" t="s">
        <v>4209</v>
      </c>
      <c r="M1462" t="s">
        <v>9884</v>
      </c>
      <c r="N1462">
        <v>2.2220813349999999</v>
      </c>
      <c r="O1462">
        <v>6.5440947090000003</v>
      </c>
      <c r="P1462">
        <v>0.58228215500000002</v>
      </c>
      <c r="Q1462">
        <v>0.35188233000000002</v>
      </c>
      <c r="S1462" s="13">
        <v>-1.299043559</v>
      </c>
      <c r="T1462">
        <v>0.24866960499999999</v>
      </c>
      <c r="U1462">
        <v>-0.18860806399999999</v>
      </c>
    </row>
    <row r="1463" spans="1:21" x14ac:dyDescent="0.2">
      <c r="A1463" t="s">
        <v>519</v>
      </c>
      <c r="B1463">
        <v>762760</v>
      </c>
      <c r="C1463" t="s">
        <v>6914</v>
      </c>
      <c r="D1463" t="s">
        <v>519</v>
      </c>
      <c r="E1463" t="s">
        <v>6956</v>
      </c>
      <c r="F1463">
        <v>18</v>
      </c>
      <c r="G1463">
        <v>7</v>
      </c>
      <c r="H1463" t="s">
        <v>9885</v>
      </c>
      <c r="J1463" t="s">
        <v>4461</v>
      </c>
      <c r="M1463" t="s">
        <v>9886</v>
      </c>
      <c r="N1463">
        <v>1.8217074179999999</v>
      </c>
      <c r="O1463">
        <v>4.1700741289999996</v>
      </c>
      <c r="P1463">
        <v>0.189705977</v>
      </c>
      <c r="Q1463">
        <v>-1.7194070999999998E-2</v>
      </c>
      <c r="S1463" s="13">
        <v>-1.2995597889999999</v>
      </c>
      <c r="T1463">
        <v>0.24641379499999999</v>
      </c>
      <c r="U1463">
        <v>-0.165254337</v>
      </c>
    </row>
    <row r="1464" spans="1:21" x14ac:dyDescent="0.2">
      <c r="A1464" t="s">
        <v>94</v>
      </c>
      <c r="B1464">
        <v>662800</v>
      </c>
      <c r="C1464" t="s">
        <v>6910</v>
      </c>
      <c r="D1464" t="s">
        <v>95</v>
      </c>
      <c r="E1464" t="s">
        <v>6939</v>
      </c>
      <c r="F1464">
        <v>1</v>
      </c>
      <c r="G1464">
        <v>2</v>
      </c>
      <c r="H1464" t="s">
        <v>9887</v>
      </c>
      <c r="J1464" t="s">
        <v>6469</v>
      </c>
      <c r="M1464" t="s">
        <v>9888</v>
      </c>
      <c r="N1464">
        <v>1.9874741039999999</v>
      </c>
      <c r="O1464">
        <v>3.7453511220000002</v>
      </c>
      <c r="P1464">
        <v>0.451009722</v>
      </c>
      <c r="Q1464">
        <v>-0.102386592</v>
      </c>
      <c r="S1464" s="13">
        <v>-1.299582553</v>
      </c>
      <c r="T1464">
        <v>0.246314322</v>
      </c>
      <c r="U1464">
        <v>-0.103914197</v>
      </c>
    </row>
    <row r="1465" spans="1:21" x14ac:dyDescent="0.2">
      <c r="A1465" t="s">
        <v>33</v>
      </c>
      <c r="B1465">
        <v>756760</v>
      </c>
      <c r="C1465" t="s">
        <v>6953</v>
      </c>
      <c r="D1465" t="s">
        <v>33</v>
      </c>
      <c r="E1465" t="s">
        <v>6918</v>
      </c>
      <c r="F1465">
        <v>17</v>
      </c>
      <c r="G1465">
        <v>1</v>
      </c>
      <c r="H1465" t="s">
        <v>9889</v>
      </c>
      <c r="J1465" t="s">
        <v>213</v>
      </c>
      <c r="M1465" t="s">
        <v>9890</v>
      </c>
      <c r="N1465">
        <v>1.921480887</v>
      </c>
      <c r="O1465">
        <v>3.0856645180000002</v>
      </c>
      <c r="P1465">
        <v>0.44706724399999997</v>
      </c>
      <c r="Q1465">
        <v>-0.354940863</v>
      </c>
      <c r="S1465" s="13">
        <v>-1.299977172</v>
      </c>
      <c r="T1465">
        <v>0.24458992700000001</v>
      </c>
      <c r="U1465">
        <v>-0.10697414299999999</v>
      </c>
    </row>
    <row r="1466" spans="1:21" x14ac:dyDescent="0.2">
      <c r="A1466" t="s">
        <v>1335</v>
      </c>
      <c r="B1466">
        <v>756760</v>
      </c>
      <c r="C1466" t="s">
        <v>6953</v>
      </c>
      <c r="D1466" t="s">
        <v>1335</v>
      </c>
      <c r="E1466" t="s">
        <v>6915</v>
      </c>
      <c r="F1466">
        <v>12</v>
      </c>
      <c r="G1466">
        <v>13</v>
      </c>
      <c r="H1466" t="s">
        <v>9891</v>
      </c>
      <c r="J1466" t="s">
        <v>3821</v>
      </c>
      <c r="M1466" t="s">
        <v>9892</v>
      </c>
      <c r="N1466">
        <v>1.921480887</v>
      </c>
      <c r="O1466">
        <v>3.0856645180000002</v>
      </c>
      <c r="P1466">
        <v>0.44706724399999997</v>
      </c>
      <c r="Q1466">
        <v>-0.354940863</v>
      </c>
      <c r="S1466" s="13">
        <v>-1.299977172</v>
      </c>
      <c r="T1466">
        <v>0.24458992700000001</v>
      </c>
      <c r="U1466">
        <v>-0.10697414299999999</v>
      </c>
    </row>
    <row r="1467" spans="1:21" x14ac:dyDescent="0.2">
      <c r="A1467" t="s">
        <v>1764</v>
      </c>
      <c r="B1467">
        <v>756720</v>
      </c>
      <c r="C1467" t="s">
        <v>6953</v>
      </c>
      <c r="D1467" t="s">
        <v>1764</v>
      </c>
      <c r="E1467" t="s">
        <v>7115</v>
      </c>
      <c r="F1467">
        <v>20</v>
      </c>
      <c r="G1467">
        <v>10</v>
      </c>
      <c r="H1467" t="s">
        <v>9893</v>
      </c>
      <c r="J1467" t="s">
        <v>2663</v>
      </c>
      <c r="M1467" t="s">
        <v>9894</v>
      </c>
      <c r="N1467">
        <v>1.921480887</v>
      </c>
      <c r="O1467">
        <v>3.0856645180000002</v>
      </c>
      <c r="P1467">
        <v>0.44706724399999997</v>
      </c>
      <c r="Q1467">
        <v>-0.354940863</v>
      </c>
      <c r="S1467" s="13">
        <v>-1.300018677</v>
      </c>
      <c r="T1467">
        <v>0.24440856</v>
      </c>
      <c r="U1467">
        <v>-0.106998228</v>
      </c>
    </row>
    <row r="1468" spans="1:21" x14ac:dyDescent="0.2">
      <c r="A1468" t="s">
        <v>337</v>
      </c>
      <c r="B1468">
        <v>587840</v>
      </c>
      <c r="C1468" t="s">
        <v>6931</v>
      </c>
      <c r="D1468" t="s">
        <v>337</v>
      </c>
      <c r="E1468" t="s">
        <v>6974</v>
      </c>
      <c r="F1468">
        <v>13</v>
      </c>
      <c r="G1468">
        <v>15</v>
      </c>
      <c r="H1468" t="s">
        <v>9895</v>
      </c>
      <c r="N1468">
        <v>1.9323965059999999</v>
      </c>
      <c r="O1468">
        <v>3.0528020530000002</v>
      </c>
      <c r="P1468">
        <v>2.6493138999999999E-2</v>
      </c>
      <c r="Q1468">
        <v>-0.38692188</v>
      </c>
      <c r="S1468" s="13">
        <v>-1.300098548</v>
      </c>
      <c r="T1468">
        <v>0.24405954199999999</v>
      </c>
      <c r="U1468">
        <v>-0.102005181</v>
      </c>
    </row>
    <row r="1469" spans="1:21" x14ac:dyDescent="0.2">
      <c r="A1469" t="s">
        <v>311</v>
      </c>
      <c r="B1469">
        <v>762160</v>
      </c>
      <c r="C1469" t="s">
        <v>6914</v>
      </c>
      <c r="D1469" t="s">
        <v>311</v>
      </c>
      <c r="E1469" t="s">
        <v>7006</v>
      </c>
      <c r="F1469">
        <v>18</v>
      </c>
      <c r="G1469">
        <v>3</v>
      </c>
      <c r="H1469" t="s">
        <v>9896</v>
      </c>
      <c r="J1469" t="s">
        <v>4118</v>
      </c>
      <c r="M1469" t="s">
        <v>9897</v>
      </c>
      <c r="N1469">
        <v>1.8217074179999999</v>
      </c>
      <c r="O1469">
        <v>4.1700741289999996</v>
      </c>
      <c r="P1469">
        <v>0.189705977</v>
      </c>
      <c r="Q1469">
        <v>-1.7194070999999998E-2</v>
      </c>
      <c r="S1469" s="13">
        <v>-1.3002814460000001</v>
      </c>
      <c r="T1469">
        <v>0.243260319</v>
      </c>
      <c r="U1469">
        <v>-0.16566768200000001</v>
      </c>
    </row>
    <row r="1470" spans="1:21" x14ac:dyDescent="0.2">
      <c r="A1470" t="s">
        <v>603</v>
      </c>
      <c r="B1470">
        <v>587600</v>
      </c>
      <c r="C1470" t="s">
        <v>6931</v>
      </c>
      <c r="D1470" t="s">
        <v>604</v>
      </c>
      <c r="E1470" t="s">
        <v>6911</v>
      </c>
      <c r="F1470">
        <v>8</v>
      </c>
      <c r="G1470">
        <v>12</v>
      </c>
      <c r="H1470" t="s">
        <v>9898</v>
      </c>
      <c r="N1470">
        <v>1.9323965059999999</v>
      </c>
      <c r="O1470">
        <v>3.0528020530000002</v>
      </c>
      <c r="P1470">
        <v>2.6493138999999999E-2</v>
      </c>
      <c r="Q1470">
        <v>-0.38692188</v>
      </c>
      <c r="S1470" s="13">
        <v>-1.3004139020000001</v>
      </c>
      <c r="T1470">
        <v>0.24268151900000001</v>
      </c>
      <c r="U1470">
        <v>-0.102148067</v>
      </c>
    </row>
    <row r="1471" spans="1:21" x14ac:dyDescent="0.2">
      <c r="A1471" t="s">
        <v>202</v>
      </c>
      <c r="B1471">
        <v>639640</v>
      </c>
      <c r="C1471" t="s">
        <v>6906</v>
      </c>
      <c r="D1471" t="s">
        <v>202</v>
      </c>
      <c r="E1471" t="s">
        <v>6907</v>
      </c>
      <c r="F1471">
        <v>14</v>
      </c>
      <c r="G1471">
        <v>4</v>
      </c>
      <c r="H1471" t="s">
        <v>9899</v>
      </c>
      <c r="J1471" t="s">
        <v>9900</v>
      </c>
      <c r="M1471" t="s">
        <v>9901</v>
      </c>
      <c r="N1471">
        <v>1.813871112</v>
      </c>
      <c r="O1471">
        <v>2.6633694910000001</v>
      </c>
      <c r="P1471">
        <v>-0.29586356800000002</v>
      </c>
      <c r="Q1471">
        <v>-0.59018158399999998</v>
      </c>
      <c r="S1471" s="13">
        <v>-1.3007398809999999</v>
      </c>
      <c r="T1471">
        <v>0.24125706399999999</v>
      </c>
      <c r="U1471">
        <v>-0.14343298800000001</v>
      </c>
    </row>
    <row r="1472" spans="1:21" x14ac:dyDescent="0.2">
      <c r="A1472" t="s">
        <v>2206</v>
      </c>
      <c r="B1472">
        <v>715320</v>
      </c>
      <c r="C1472" t="s">
        <v>6938</v>
      </c>
      <c r="D1472" t="s">
        <v>2207</v>
      </c>
      <c r="E1472" t="s">
        <v>6956</v>
      </c>
      <c r="F1472">
        <v>3</v>
      </c>
      <c r="G1472">
        <v>7</v>
      </c>
      <c r="H1472" t="s">
        <v>9902</v>
      </c>
      <c r="J1472" t="s">
        <v>3414</v>
      </c>
      <c r="M1472" t="s">
        <v>9903</v>
      </c>
      <c r="N1472">
        <v>2.092758737</v>
      </c>
      <c r="O1472">
        <v>5.3323610669999999</v>
      </c>
      <c r="P1472">
        <v>0.70420098600000003</v>
      </c>
      <c r="Q1472">
        <v>0.41355372699999998</v>
      </c>
      <c r="S1472" s="13">
        <v>-1.300790106</v>
      </c>
      <c r="T1472">
        <v>0.24103759</v>
      </c>
      <c r="U1472">
        <v>-0.16627463300000001</v>
      </c>
    </row>
    <row r="1473" spans="1:21" x14ac:dyDescent="0.2">
      <c r="A1473" t="s">
        <v>616</v>
      </c>
      <c r="B1473">
        <v>548480</v>
      </c>
      <c r="C1473" t="s">
        <v>6945</v>
      </c>
      <c r="D1473" t="s">
        <v>616</v>
      </c>
      <c r="E1473" t="s">
        <v>6974</v>
      </c>
      <c r="F1473">
        <v>17</v>
      </c>
      <c r="G1473">
        <v>15</v>
      </c>
      <c r="H1473" t="s">
        <v>9904</v>
      </c>
      <c r="J1473" t="s">
        <v>5173</v>
      </c>
      <c r="M1473" t="s">
        <v>9905</v>
      </c>
      <c r="N1473">
        <v>2.2220813349999999</v>
      </c>
      <c r="O1473">
        <v>6.5440947090000003</v>
      </c>
      <c r="P1473">
        <v>0.58228215500000002</v>
      </c>
      <c r="Q1473">
        <v>0.35188233000000002</v>
      </c>
      <c r="S1473" s="13">
        <v>-1.300930031</v>
      </c>
      <c r="T1473">
        <v>0.240426153</v>
      </c>
      <c r="U1473">
        <v>-0.19006374400000001</v>
      </c>
    </row>
    <row r="1474" spans="1:21" x14ac:dyDescent="0.2">
      <c r="A1474" t="s">
        <v>892</v>
      </c>
      <c r="B1474">
        <v>690600</v>
      </c>
      <c r="C1474" t="s">
        <v>6927</v>
      </c>
      <c r="D1474" t="s">
        <v>892</v>
      </c>
      <c r="E1474" t="s">
        <v>6977</v>
      </c>
      <c r="F1474">
        <v>21</v>
      </c>
      <c r="G1474">
        <v>5</v>
      </c>
      <c r="H1474" t="s">
        <v>9906</v>
      </c>
      <c r="J1474" t="s">
        <v>9907</v>
      </c>
      <c r="M1474" t="s">
        <v>9908</v>
      </c>
      <c r="N1474">
        <v>1.982575982</v>
      </c>
      <c r="O1474">
        <v>3.4571926419999999</v>
      </c>
      <c r="P1474">
        <v>-0.114791479</v>
      </c>
      <c r="Q1474">
        <v>1.868949E-3</v>
      </c>
      <c r="S1474" s="13">
        <v>-1.301149688</v>
      </c>
      <c r="T1474">
        <v>0.23946630299999999</v>
      </c>
      <c r="U1474">
        <v>-0.159793937</v>
      </c>
    </row>
    <row r="1475" spans="1:21" x14ac:dyDescent="0.2">
      <c r="A1475" t="s">
        <v>1055</v>
      </c>
      <c r="B1475">
        <v>690560</v>
      </c>
      <c r="C1475" t="s">
        <v>6927</v>
      </c>
      <c r="D1475" t="s">
        <v>1055</v>
      </c>
      <c r="E1475" t="s">
        <v>6970</v>
      </c>
      <c r="F1475">
        <v>11</v>
      </c>
      <c r="G1475">
        <v>14</v>
      </c>
      <c r="H1475" t="s">
        <v>9909</v>
      </c>
      <c r="J1475" t="s">
        <v>9910</v>
      </c>
      <c r="M1475" t="s">
        <v>9911</v>
      </c>
      <c r="N1475">
        <v>1.982575982</v>
      </c>
      <c r="O1475">
        <v>3.4571926419999999</v>
      </c>
      <c r="P1475">
        <v>-0.114791479</v>
      </c>
      <c r="Q1475">
        <v>1.868949E-3</v>
      </c>
      <c r="S1475" s="13">
        <v>-1.301191193</v>
      </c>
      <c r="T1475">
        <v>0.239284935</v>
      </c>
      <c r="U1475">
        <v>-0.159821137</v>
      </c>
    </row>
    <row r="1476" spans="1:21" x14ac:dyDescent="0.2">
      <c r="A1476" t="s">
        <v>1422</v>
      </c>
      <c r="B1476">
        <v>627520</v>
      </c>
      <c r="C1476" t="s">
        <v>6942</v>
      </c>
      <c r="D1476" t="s">
        <v>1423</v>
      </c>
      <c r="E1476" t="s">
        <v>6956</v>
      </c>
      <c r="F1476">
        <v>4</v>
      </c>
      <c r="G1476">
        <v>7</v>
      </c>
      <c r="H1476" t="s">
        <v>9912</v>
      </c>
      <c r="J1476" t="s">
        <v>2039</v>
      </c>
      <c r="M1476" t="s">
        <v>9913</v>
      </c>
      <c r="N1476">
        <v>2.0902262079999998</v>
      </c>
      <c r="O1476">
        <v>4.2704203920000001</v>
      </c>
      <c r="P1476">
        <v>0.23425843900000001</v>
      </c>
      <c r="Q1476">
        <v>1.6181978999999999E-2</v>
      </c>
      <c r="S1476" s="13">
        <v>-1.301336788</v>
      </c>
      <c r="T1476">
        <v>0.23864871600000001</v>
      </c>
      <c r="U1476">
        <v>-0.18408306799999999</v>
      </c>
    </row>
    <row r="1477" spans="1:21" x14ac:dyDescent="0.2">
      <c r="A1477" t="s">
        <v>820</v>
      </c>
      <c r="B1477">
        <v>638960</v>
      </c>
      <c r="C1477" t="s">
        <v>6906</v>
      </c>
      <c r="D1477" t="s">
        <v>820</v>
      </c>
      <c r="E1477" t="s">
        <v>6974</v>
      </c>
      <c r="F1477">
        <v>20</v>
      </c>
      <c r="G1477">
        <v>15</v>
      </c>
      <c r="H1477" t="s">
        <v>9914</v>
      </c>
      <c r="J1477" t="s">
        <v>911</v>
      </c>
      <c r="M1477" t="s">
        <v>9915</v>
      </c>
      <c r="N1477">
        <v>1.813871112</v>
      </c>
      <c r="O1477">
        <v>2.6633694910000001</v>
      </c>
      <c r="P1477">
        <v>-0.29586356800000002</v>
      </c>
      <c r="Q1477">
        <v>-0.59018158399999998</v>
      </c>
      <c r="S1477" s="13">
        <v>-1.3017263889999999</v>
      </c>
      <c r="T1477">
        <v>0.236946249</v>
      </c>
      <c r="U1477">
        <v>-0.14387850599999999</v>
      </c>
    </row>
    <row r="1478" spans="1:21" x14ac:dyDescent="0.2">
      <c r="A1478" t="s">
        <v>1013</v>
      </c>
      <c r="B1478">
        <v>626840</v>
      </c>
      <c r="C1478" t="s">
        <v>6942</v>
      </c>
      <c r="D1478" t="s">
        <v>1014</v>
      </c>
      <c r="E1478" t="s">
        <v>7006</v>
      </c>
      <c r="F1478">
        <v>6</v>
      </c>
      <c r="G1478">
        <v>3</v>
      </c>
      <c r="H1478" t="s">
        <v>9916</v>
      </c>
      <c r="J1478" t="s">
        <v>4910</v>
      </c>
      <c r="M1478" t="s">
        <v>9917</v>
      </c>
      <c r="N1478">
        <v>2.0902262079999998</v>
      </c>
      <c r="O1478">
        <v>4.2704203920000001</v>
      </c>
      <c r="P1478">
        <v>0.23425843900000001</v>
      </c>
      <c r="Q1478">
        <v>1.6181978999999999E-2</v>
      </c>
      <c r="S1478" s="13">
        <v>-1.3020042009999999</v>
      </c>
      <c r="T1478">
        <v>0.23573227599999999</v>
      </c>
      <c r="U1478">
        <v>-0.18457232500000001</v>
      </c>
    </row>
    <row r="1479" spans="1:21" x14ac:dyDescent="0.2">
      <c r="A1479" t="s">
        <v>534</v>
      </c>
      <c r="B1479">
        <v>638760</v>
      </c>
      <c r="C1479" t="s">
        <v>6906</v>
      </c>
      <c r="D1479" t="s">
        <v>534</v>
      </c>
      <c r="E1479" t="s">
        <v>6928</v>
      </c>
      <c r="F1479">
        <v>22</v>
      </c>
      <c r="G1479">
        <v>16</v>
      </c>
      <c r="H1479" t="s">
        <v>9918</v>
      </c>
      <c r="J1479" t="s">
        <v>4030</v>
      </c>
      <c r="M1479" t="s">
        <v>9919</v>
      </c>
      <c r="N1479">
        <v>1.813871112</v>
      </c>
      <c r="O1479">
        <v>2.6633694910000001</v>
      </c>
      <c r="P1479">
        <v>-0.29586356800000002</v>
      </c>
      <c r="Q1479">
        <v>-0.59018158399999998</v>
      </c>
      <c r="S1479" s="13">
        <v>-1.302016539</v>
      </c>
      <c r="T1479">
        <v>0.235678363</v>
      </c>
      <c r="U1479">
        <v>-0.144009627</v>
      </c>
    </row>
    <row r="1480" spans="1:21" x14ac:dyDescent="0.2">
      <c r="A1480" t="s">
        <v>148</v>
      </c>
      <c r="B1480">
        <v>713800</v>
      </c>
      <c r="C1480" t="s">
        <v>6938</v>
      </c>
      <c r="D1480" t="s">
        <v>148</v>
      </c>
      <c r="E1480" t="s">
        <v>6915</v>
      </c>
      <c r="F1480">
        <v>17</v>
      </c>
      <c r="G1480">
        <v>13</v>
      </c>
      <c r="H1480" t="s">
        <v>9920</v>
      </c>
      <c r="J1480" t="s">
        <v>2364</v>
      </c>
      <c r="M1480" t="s">
        <v>9921</v>
      </c>
      <c r="N1480">
        <v>2.092758737</v>
      </c>
      <c r="O1480">
        <v>5.3323610669999999</v>
      </c>
      <c r="P1480">
        <v>0.70420098600000003</v>
      </c>
      <c r="Q1480">
        <v>0.41355372699999998</v>
      </c>
      <c r="S1480" s="13">
        <v>-1.3020955000000001</v>
      </c>
      <c r="T1480">
        <v>0.23533332000000001</v>
      </c>
      <c r="U1480">
        <v>-0.167325006</v>
      </c>
    </row>
    <row r="1481" spans="1:21" x14ac:dyDescent="0.2">
      <c r="A1481" t="s">
        <v>2657</v>
      </c>
      <c r="B1481">
        <v>547160</v>
      </c>
      <c r="C1481" t="s">
        <v>6945</v>
      </c>
      <c r="D1481" t="s">
        <v>2658</v>
      </c>
      <c r="E1481" t="s">
        <v>6977</v>
      </c>
      <c r="F1481">
        <v>8</v>
      </c>
      <c r="G1481">
        <v>5</v>
      </c>
      <c r="H1481" t="s">
        <v>9922</v>
      </c>
      <c r="J1481" t="s">
        <v>4584</v>
      </c>
      <c r="M1481" t="s">
        <v>9923</v>
      </c>
      <c r="N1481">
        <v>2.2220813349999999</v>
      </c>
      <c r="O1481">
        <v>6.5440947090000003</v>
      </c>
      <c r="P1481">
        <v>0.58228215500000002</v>
      </c>
      <c r="Q1481">
        <v>0.35188233000000002</v>
      </c>
      <c r="S1481" s="13">
        <v>-1.3021751020000001</v>
      </c>
      <c r="T1481">
        <v>0.234985475</v>
      </c>
      <c r="U1481">
        <v>-0.19102717299999999</v>
      </c>
    </row>
    <row r="1482" spans="1:21" x14ac:dyDescent="0.2">
      <c r="A1482" t="s">
        <v>369</v>
      </c>
      <c r="B1482">
        <v>754600</v>
      </c>
      <c r="C1482" t="s">
        <v>6953</v>
      </c>
      <c r="D1482" t="s">
        <v>369</v>
      </c>
      <c r="E1482" t="s">
        <v>6939</v>
      </c>
      <c r="F1482">
        <v>23</v>
      </c>
      <c r="G1482">
        <v>2</v>
      </c>
      <c r="H1482" t="s">
        <v>9924</v>
      </c>
      <c r="J1482" t="s">
        <v>371</v>
      </c>
      <c r="M1482" t="s">
        <v>9925</v>
      </c>
      <c r="N1482">
        <v>1.921480887</v>
      </c>
      <c r="O1482">
        <v>3.0856645180000002</v>
      </c>
      <c r="P1482">
        <v>0.44706724399999997</v>
      </c>
      <c r="Q1482">
        <v>-0.354940863</v>
      </c>
      <c r="S1482" s="13">
        <v>-1.3022184409999999</v>
      </c>
      <c r="T1482">
        <v>0.23479609600000001</v>
      </c>
      <c r="U1482">
        <v>-0.108276647</v>
      </c>
    </row>
    <row r="1483" spans="1:21" x14ac:dyDescent="0.2">
      <c r="A1483" t="s">
        <v>730</v>
      </c>
      <c r="B1483">
        <v>713600</v>
      </c>
      <c r="C1483" t="s">
        <v>6938</v>
      </c>
      <c r="D1483" t="s">
        <v>731</v>
      </c>
      <c r="E1483" t="s">
        <v>6946</v>
      </c>
      <c r="F1483">
        <v>4</v>
      </c>
      <c r="G1483">
        <v>11</v>
      </c>
      <c r="H1483" t="s">
        <v>9926</v>
      </c>
      <c r="J1483" t="s">
        <v>3941</v>
      </c>
      <c r="M1483" t="s">
        <v>9927</v>
      </c>
      <c r="N1483">
        <v>2.092758737</v>
      </c>
      <c r="O1483">
        <v>5.3323610669999999</v>
      </c>
      <c r="P1483">
        <v>0.70420098600000003</v>
      </c>
      <c r="Q1483">
        <v>0.41355372699999998</v>
      </c>
      <c r="S1483" s="13">
        <v>-1.302267262</v>
      </c>
      <c r="T1483">
        <v>0.234582758</v>
      </c>
      <c r="U1483">
        <v>-0.16746340300000001</v>
      </c>
    </row>
    <row r="1484" spans="1:21" x14ac:dyDescent="0.2">
      <c r="A1484" t="s">
        <v>106</v>
      </c>
      <c r="B1484">
        <v>688920</v>
      </c>
      <c r="C1484" t="s">
        <v>6927</v>
      </c>
      <c r="D1484" t="s">
        <v>107</v>
      </c>
      <c r="E1484" t="s">
        <v>6907</v>
      </c>
      <c r="F1484">
        <v>2</v>
      </c>
      <c r="G1484">
        <v>4</v>
      </c>
      <c r="H1484" t="s">
        <v>9928</v>
      </c>
      <c r="J1484" t="s">
        <v>9929</v>
      </c>
      <c r="M1484" t="s">
        <v>9930</v>
      </c>
      <c r="N1484">
        <v>1.982575982</v>
      </c>
      <c r="O1484">
        <v>3.4571926419999999</v>
      </c>
      <c r="P1484">
        <v>-0.114791479</v>
      </c>
      <c r="Q1484">
        <v>1.868949E-3</v>
      </c>
      <c r="S1484" s="13">
        <v>-1.3028928959999999</v>
      </c>
      <c r="T1484">
        <v>0.23184887900000001</v>
      </c>
      <c r="U1484">
        <v>-0.16093780399999999</v>
      </c>
    </row>
    <row r="1485" spans="1:21" x14ac:dyDescent="0.2">
      <c r="A1485" t="s">
        <v>172</v>
      </c>
      <c r="B1485">
        <v>712840</v>
      </c>
      <c r="C1485" t="s">
        <v>6938</v>
      </c>
      <c r="D1485" t="s">
        <v>172</v>
      </c>
      <c r="E1485" t="s">
        <v>7006</v>
      </c>
      <c r="F1485">
        <v>11</v>
      </c>
      <c r="G1485">
        <v>3</v>
      </c>
      <c r="H1485" t="s">
        <v>9931</v>
      </c>
      <c r="J1485" t="s">
        <v>3959</v>
      </c>
      <c r="M1485" t="s">
        <v>9932</v>
      </c>
      <c r="N1485">
        <v>2.092758737</v>
      </c>
      <c r="O1485">
        <v>5.3323610669999999</v>
      </c>
      <c r="P1485">
        <v>0.70420098600000003</v>
      </c>
      <c r="Q1485">
        <v>0.41355372699999998</v>
      </c>
      <c r="S1485" s="13">
        <v>-1.302919959</v>
      </c>
      <c r="T1485">
        <v>0.231730623</v>
      </c>
      <c r="U1485">
        <v>-0.16798971100000001</v>
      </c>
    </row>
    <row r="1486" spans="1:21" x14ac:dyDescent="0.2">
      <c r="A1486" t="s">
        <v>697</v>
      </c>
      <c r="B1486">
        <v>753800</v>
      </c>
      <c r="C1486" t="s">
        <v>6953</v>
      </c>
      <c r="D1486" t="s">
        <v>698</v>
      </c>
      <c r="E1486" t="s">
        <v>7115</v>
      </c>
      <c r="F1486">
        <v>3</v>
      </c>
      <c r="G1486">
        <v>10</v>
      </c>
      <c r="H1486" t="s">
        <v>9933</v>
      </c>
      <c r="J1486" t="s">
        <v>1556</v>
      </c>
      <c r="M1486" t="s">
        <v>9934</v>
      </c>
      <c r="N1486">
        <v>1.921480887</v>
      </c>
      <c r="O1486">
        <v>3.0856645180000002</v>
      </c>
      <c r="P1486">
        <v>0.44706724399999997</v>
      </c>
      <c r="Q1486">
        <v>-0.354940863</v>
      </c>
      <c r="S1486" s="13">
        <v>-1.30304854</v>
      </c>
      <c r="T1486">
        <v>0.23116875200000001</v>
      </c>
      <c r="U1486">
        <v>-0.108760049</v>
      </c>
    </row>
    <row r="1487" spans="1:21" x14ac:dyDescent="0.2">
      <c r="A1487" t="s">
        <v>1013</v>
      </c>
      <c r="B1487">
        <v>688760</v>
      </c>
      <c r="C1487" t="s">
        <v>6927</v>
      </c>
      <c r="D1487" t="s">
        <v>1014</v>
      </c>
      <c r="E1487" t="s">
        <v>7006</v>
      </c>
      <c r="F1487">
        <v>6</v>
      </c>
      <c r="G1487">
        <v>3</v>
      </c>
      <c r="H1487" t="s">
        <v>9935</v>
      </c>
      <c r="J1487" t="s">
        <v>9936</v>
      </c>
      <c r="M1487" t="s">
        <v>9937</v>
      </c>
      <c r="N1487">
        <v>1.982575982</v>
      </c>
      <c r="O1487">
        <v>3.4571926419999999</v>
      </c>
      <c r="P1487">
        <v>-0.114791479</v>
      </c>
      <c r="Q1487">
        <v>1.868949E-3</v>
      </c>
      <c r="S1487" s="13">
        <v>-1.3030589159999999</v>
      </c>
      <c r="T1487">
        <v>0.23112341</v>
      </c>
      <c r="U1487">
        <v>-0.16104690099999999</v>
      </c>
    </row>
    <row r="1488" spans="1:21" x14ac:dyDescent="0.2">
      <c r="A1488" t="s">
        <v>74</v>
      </c>
      <c r="B1488">
        <v>712280</v>
      </c>
      <c r="C1488" t="s">
        <v>6938</v>
      </c>
      <c r="D1488" t="s">
        <v>75</v>
      </c>
      <c r="E1488" t="s">
        <v>6970</v>
      </c>
      <c r="F1488">
        <v>3</v>
      </c>
      <c r="G1488">
        <v>14</v>
      </c>
      <c r="H1488" t="s">
        <v>9938</v>
      </c>
      <c r="J1488" t="s">
        <v>3794</v>
      </c>
      <c r="M1488" t="s">
        <v>9939</v>
      </c>
      <c r="N1488">
        <v>2.092758737</v>
      </c>
      <c r="O1488">
        <v>5.3323610669999999</v>
      </c>
      <c r="P1488">
        <v>0.70420098600000003</v>
      </c>
      <c r="Q1488">
        <v>0.41355372699999998</v>
      </c>
      <c r="S1488" s="13">
        <v>-1.3034008930000001</v>
      </c>
      <c r="T1488">
        <v>0.229629049</v>
      </c>
      <c r="U1488">
        <v>-0.16837792600000001</v>
      </c>
    </row>
    <row r="1489" spans="1:21" x14ac:dyDescent="0.2">
      <c r="A1489" t="s">
        <v>1049</v>
      </c>
      <c r="B1489">
        <v>659000</v>
      </c>
      <c r="C1489" t="s">
        <v>6910</v>
      </c>
      <c r="D1489" t="s">
        <v>1049</v>
      </c>
      <c r="E1489" t="s">
        <v>6928</v>
      </c>
      <c r="F1489">
        <v>23</v>
      </c>
      <c r="G1489">
        <v>16</v>
      </c>
      <c r="H1489" t="s">
        <v>9940</v>
      </c>
      <c r="J1489" t="s">
        <v>1228</v>
      </c>
      <c r="M1489" t="s">
        <v>9941</v>
      </c>
      <c r="N1489">
        <v>1.9874741039999999</v>
      </c>
      <c r="O1489">
        <v>3.7453511220000002</v>
      </c>
      <c r="P1489">
        <v>0.451009722</v>
      </c>
      <c r="Q1489">
        <v>-0.102386592</v>
      </c>
      <c r="S1489" s="13">
        <v>-1.303670949</v>
      </c>
      <c r="T1489">
        <v>0.228448968</v>
      </c>
      <c r="U1489">
        <v>-0.10619210699999999</v>
      </c>
    </row>
    <row r="1490" spans="1:21" x14ac:dyDescent="0.2">
      <c r="A1490" t="s">
        <v>325</v>
      </c>
      <c r="B1490">
        <v>711920</v>
      </c>
      <c r="C1490" t="s">
        <v>6938</v>
      </c>
      <c r="D1490" t="s">
        <v>326</v>
      </c>
      <c r="E1490" t="s">
        <v>6921</v>
      </c>
      <c r="F1490">
        <v>2</v>
      </c>
      <c r="G1490">
        <v>8</v>
      </c>
      <c r="H1490" t="s">
        <v>9942</v>
      </c>
      <c r="J1490" t="s">
        <v>2583</v>
      </c>
      <c r="M1490" t="s">
        <v>9943</v>
      </c>
      <c r="N1490">
        <v>2.092758737</v>
      </c>
      <c r="O1490">
        <v>5.3323610669999999</v>
      </c>
      <c r="P1490">
        <v>0.70420098600000003</v>
      </c>
      <c r="Q1490">
        <v>0.41355372699999998</v>
      </c>
      <c r="S1490" s="13">
        <v>-1.303710065</v>
      </c>
      <c r="T1490">
        <v>0.22827803799999999</v>
      </c>
      <c r="U1490">
        <v>-0.168627676</v>
      </c>
    </row>
    <row r="1491" spans="1:21" x14ac:dyDescent="0.2">
      <c r="A1491" t="s">
        <v>697</v>
      </c>
      <c r="B1491">
        <v>624920</v>
      </c>
      <c r="C1491" t="s">
        <v>6942</v>
      </c>
      <c r="D1491" t="s">
        <v>698</v>
      </c>
      <c r="E1491" t="s">
        <v>7115</v>
      </c>
      <c r="F1491">
        <v>3</v>
      </c>
      <c r="G1491">
        <v>10</v>
      </c>
      <c r="H1491" t="s">
        <v>9944</v>
      </c>
      <c r="J1491" t="s">
        <v>2070</v>
      </c>
      <c r="M1491" t="s">
        <v>9945</v>
      </c>
      <c r="N1491">
        <v>2.0902262079999998</v>
      </c>
      <c r="O1491">
        <v>4.2704203920000001</v>
      </c>
      <c r="P1491">
        <v>0.23425843900000001</v>
      </c>
      <c r="Q1491">
        <v>1.6181978999999999E-2</v>
      </c>
      <c r="S1491" s="13">
        <v>-1.3038886599999999</v>
      </c>
      <c r="T1491">
        <v>0.22749762000000001</v>
      </c>
      <c r="U1491">
        <v>-0.18595673900000001</v>
      </c>
    </row>
    <row r="1492" spans="1:21" x14ac:dyDescent="0.2">
      <c r="A1492" t="s">
        <v>697</v>
      </c>
      <c r="B1492">
        <v>584800</v>
      </c>
      <c r="C1492" t="s">
        <v>6931</v>
      </c>
      <c r="D1492" t="s">
        <v>698</v>
      </c>
      <c r="E1492" t="s">
        <v>7115</v>
      </c>
      <c r="F1492">
        <v>3</v>
      </c>
      <c r="G1492">
        <v>10</v>
      </c>
      <c r="H1492" t="s">
        <v>9946</v>
      </c>
      <c r="J1492" t="s">
        <v>4260</v>
      </c>
      <c r="M1492" t="s">
        <v>9947</v>
      </c>
      <c r="N1492">
        <v>1.9323965059999999</v>
      </c>
      <c r="O1492">
        <v>3.0528020530000002</v>
      </c>
      <c r="P1492">
        <v>2.6493138999999999E-2</v>
      </c>
      <c r="Q1492">
        <v>-0.38692188</v>
      </c>
      <c r="S1492" s="13">
        <v>-1.3040930289999999</v>
      </c>
      <c r="T1492">
        <v>0.226604572</v>
      </c>
      <c r="U1492">
        <v>-0.103818547</v>
      </c>
    </row>
    <row r="1493" spans="1:21" x14ac:dyDescent="0.2">
      <c r="A1493" t="s">
        <v>554</v>
      </c>
      <c r="B1493">
        <v>752280</v>
      </c>
      <c r="C1493" t="s">
        <v>6953</v>
      </c>
      <c r="D1493" t="s">
        <v>555</v>
      </c>
      <c r="E1493" t="s">
        <v>6928</v>
      </c>
      <c r="F1493">
        <v>3</v>
      </c>
      <c r="G1493">
        <v>16</v>
      </c>
      <c r="H1493" t="s">
        <v>9948</v>
      </c>
      <c r="J1493" t="s">
        <v>5295</v>
      </c>
      <c r="M1493" t="s">
        <v>9949</v>
      </c>
      <c r="N1493">
        <v>1.921480887</v>
      </c>
      <c r="O1493">
        <v>3.0856645180000002</v>
      </c>
      <c r="P1493">
        <v>0.44706724399999997</v>
      </c>
      <c r="Q1493">
        <v>-0.354940863</v>
      </c>
      <c r="S1493" s="13">
        <v>-1.3046257290000001</v>
      </c>
      <c r="T1493">
        <v>0.224276797</v>
      </c>
      <c r="U1493">
        <v>-0.109679998</v>
      </c>
    </row>
    <row r="1494" spans="1:21" x14ac:dyDescent="0.2">
      <c r="A1494" t="s">
        <v>202</v>
      </c>
      <c r="B1494">
        <v>710760</v>
      </c>
      <c r="C1494" t="s">
        <v>6938</v>
      </c>
      <c r="D1494" t="s">
        <v>202</v>
      </c>
      <c r="E1494" t="s">
        <v>6907</v>
      </c>
      <c r="F1494">
        <v>14</v>
      </c>
      <c r="G1494">
        <v>4</v>
      </c>
      <c r="H1494" t="s">
        <v>9950</v>
      </c>
      <c r="J1494" t="s">
        <v>3843</v>
      </c>
      <c r="M1494" t="s">
        <v>9951</v>
      </c>
      <c r="N1494">
        <v>2.092758737</v>
      </c>
      <c r="O1494">
        <v>5.3323610669999999</v>
      </c>
      <c r="P1494">
        <v>0.70420098600000003</v>
      </c>
      <c r="Q1494">
        <v>0.41355372699999998</v>
      </c>
      <c r="S1494" s="13">
        <v>-1.304706286</v>
      </c>
      <c r="T1494">
        <v>0.22392477899999999</v>
      </c>
      <c r="U1494">
        <v>-0.16943340500000001</v>
      </c>
    </row>
    <row r="1495" spans="1:21" x14ac:dyDescent="0.2">
      <c r="A1495" t="s">
        <v>2139</v>
      </c>
      <c r="B1495">
        <v>758280</v>
      </c>
      <c r="C1495" t="s">
        <v>6914</v>
      </c>
      <c r="D1495" t="s">
        <v>2140</v>
      </c>
      <c r="E1495" t="s">
        <v>6924</v>
      </c>
      <c r="F1495">
        <v>1</v>
      </c>
      <c r="G1495">
        <v>6</v>
      </c>
      <c r="H1495" t="s">
        <v>9952</v>
      </c>
      <c r="J1495" t="s">
        <v>4966</v>
      </c>
      <c r="M1495" t="s">
        <v>9953</v>
      </c>
      <c r="N1495">
        <v>1.8217074179999999</v>
      </c>
      <c r="O1495">
        <v>4.1700741289999996</v>
      </c>
      <c r="P1495">
        <v>0.189705977</v>
      </c>
      <c r="Q1495">
        <v>-1.7194070999999998E-2</v>
      </c>
      <c r="S1495" s="13">
        <v>-1.304948161</v>
      </c>
      <c r="T1495">
        <v>0.22286784300000001</v>
      </c>
      <c r="U1495">
        <v>-0.16835018500000001</v>
      </c>
    </row>
    <row r="1496" spans="1:21" x14ac:dyDescent="0.2">
      <c r="A1496" t="s">
        <v>1394</v>
      </c>
      <c r="B1496">
        <v>584040</v>
      </c>
      <c r="C1496" t="s">
        <v>6931</v>
      </c>
      <c r="D1496" t="s">
        <v>1394</v>
      </c>
      <c r="E1496" t="s">
        <v>6939</v>
      </c>
      <c r="F1496">
        <v>16</v>
      </c>
      <c r="G1496">
        <v>2</v>
      </c>
      <c r="H1496" t="s">
        <v>9954</v>
      </c>
      <c r="N1496">
        <v>1.9323965059999999</v>
      </c>
      <c r="O1496">
        <v>3.0528020530000002</v>
      </c>
      <c r="P1496">
        <v>2.6493138999999999E-2</v>
      </c>
      <c r="Q1496">
        <v>-0.38692188</v>
      </c>
      <c r="S1496" s="13">
        <v>-1.30509165</v>
      </c>
      <c r="T1496">
        <v>0.22224083</v>
      </c>
      <c r="U1496">
        <v>-0.10427307399999999</v>
      </c>
    </row>
    <row r="1497" spans="1:21" x14ac:dyDescent="0.2">
      <c r="A1497" t="s">
        <v>1167</v>
      </c>
      <c r="B1497">
        <v>751800</v>
      </c>
      <c r="C1497" t="s">
        <v>6953</v>
      </c>
      <c r="D1497" t="s">
        <v>1168</v>
      </c>
      <c r="E1497" t="s">
        <v>7006</v>
      </c>
      <c r="F1497">
        <v>5</v>
      </c>
      <c r="G1497">
        <v>3</v>
      </c>
      <c r="H1497" t="s">
        <v>9955</v>
      </c>
      <c r="J1497" t="s">
        <v>5265</v>
      </c>
      <c r="M1497" t="s">
        <v>9956</v>
      </c>
      <c r="N1497">
        <v>1.921480887</v>
      </c>
      <c r="O1497">
        <v>3.0856645180000002</v>
      </c>
      <c r="P1497">
        <v>0.44706724399999997</v>
      </c>
      <c r="Q1497">
        <v>-0.354940863</v>
      </c>
      <c r="S1497" s="13">
        <v>-1.305123789</v>
      </c>
      <c r="T1497">
        <v>0.22210039000000001</v>
      </c>
      <c r="U1497">
        <v>-0.109970914</v>
      </c>
    </row>
    <row r="1498" spans="1:21" x14ac:dyDescent="0.2">
      <c r="A1498" t="s">
        <v>1155</v>
      </c>
      <c r="B1498">
        <v>636600</v>
      </c>
      <c r="C1498" t="s">
        <v>6906</v>
      </c>
      <c r="D1498" t="s">
        <v>1156</v>
      </c>
      <c r="E1498" t="s">
        <v>6970</v>
      </c>
      <c r="F1498">
        <v>8</v>
      </c>
      <c r="G1498">
        <v>14</v>
      </c>
      <c r="H1498" t="s">
        <v>9957</v>
      </c>
      <c r="J1498" t="s">
        <v>1158</v>
      </c>
      <c r="M1498" t="s">
        <v>9958</v>
      </c>
      <c r="N1498">
        <v>1.813871112</v>
      </c>
      <c r="O1498">
        <v>2.6633694910000001</v>
      </c>
      <c r="P1498">
        <v>-0.29586356800000002</v>
      </c>
      <c r="Q1498">
        <v>-0.59018158399999998</v>
      </c>
      <c r="S1498" s="13">
        <v>-1.305150152</v>
      </c>
      <c r="T1498">
        <v>0.221985187</v>
      </c>
      <c r="U1498">
        <v>-0.145428269</v>
      </c>
    </row>
    <row r="1499" spans="1:21" x14ac:dyDescent="0.2">
      <c r="A1499" t="s">
        <v>458</v>
      </c>
      <c r="B1499">
        <v>543520</v>
      </c>
      <c r="C1499" t="s">
        <v>6945</v>
      </c>
      <c r="D1499" t="s">
        <v>459</v>
      </c>
      <c r="E1499" t="s">
        <v>6921</v>
      </c>
      <c r="F1499">
        <v>4</v>
      </c>
      <c r="G1499">
        <v>8</v>
      </c>
      <c r="H1499" t="s">
        <v>9959</v>
      </c>
      <c r="J1499" t="s">
        <v>3259</v>
      </c>
      <c r="M1499" t="s">
        <v>9960</v>
      </c>
      <c r="N1499">
        <v>2.2220813349999999</v>
      </c>
      <c r="O1499">
        <v>6.5440947090000003</v>
      </c>
      <c r="P1499">
        <v>0.58228215500000002</v>
      </c>
      <c r="Q1499">
        <v>0.35188233000000002</v>
      </c>
      <c r="S1499" s="13">
        <v>-1.305608482</v>
      </c>
      <c r="T1499">
        <v>0.219982393</v>
      </c>
      <c r="U1499">
        <v>-0.19369502699999999</v>
      </c>
    </row>
    <row r="1500" spans="1:21" x14ac:dyDescent="0.2">
      <c r="A1500" t="s">
        <v>397</v>
      </c>
      <c r="B1500">
        <v>583520</v>
      </c>
      <c r="C1500" t="s">
        <v>6931</v>
      </c>
      <c r="D1500" t="s">
        <v>397</v>
      </c>
      <c r="E1500" t="s">
        <v>7006</v>
      </c>
      <c r="F1500">
        <v>10</v>
      </c>
      <c r="G1500">
        <v>3</v>
      </c>
      <c r="H1500" t="s">
        <v>9961</v>
      </c>
      <c r="N1500">
        <v>1.9323965059999999</v>
      </c>
      <c r="O1500">
        <v>3.0528020530000002</v>
      </c>
      <c r="P1500">
        <v>2.6493138999999999E-2</v>
      </c>
      <c r="Q1500">
        <v>-0.38692188</v>
      </c>
      <c r="S1500" s="13">
        <v>-1.3057749160000001</v>
      </c>
      <c r="T1500">
        <v>0.219255111</v>
      </c>
      <c r="U1500">
        <v>-0.10458434</v>
      </c>
    </row>
    <row r="1501" spans="1:21" x14ac:dyDescent="0.2">
      <c r="A1501" t="s">
        <v>1275</v>
      </c>
      <c r="B1501">
        <v>622960</v>
      </c>
      <c r="C1501" t="s">
        <v>6942</v>
      </c>
      <c r="D1501" t="s">
        <v>1276</v>
      </c>
      <c r="E1501" t="s">
        <v>7085</v>
      </c>
      <c r="F1501">
        <v>5</v>
      </c>
      <c r="G1501">
        <v>9</v>
      </c>
      <c r="H1501" t="s">
        <v>9962</v>
      </c>
      <c r="J1501" t="s">
        <v>1278</v>
      </c>
      <c r="M1501" t="s">
        <v>9963</v>
      </c>
      <c r="N1501">
        <v>2.0902262079999998</v>
      </c>
      <c r="O1501">
        <v>4.2704203920000001</v>
      </c>
      <c r="P1501">
        <v>0.23425843900000001</v>
      </c>
      <c r="Q1501">
        <v>1.6181978999999999E-2</v>
      </c>
      <c r="S1501" s="13">
        <v>-1.305812379</v>
      </c>
      <c r="T1501">
        <v>0.21909140899999999</v>
      </c>
      <c r="U1501">
        <v>-0.187374561</v>
      </c>
    </row>
    <row r="1502" spans="1:21" x14ac:dyDescent="0.2">
      <c r="A1502" t="s">
        <v>963</v>
      </c>
      <c r="B1502">
        <v>656600</v>
      </c>
      <c r="C1502" t="s">
        <v>6910</v>
      </c>
      <c r="D1502" t="s">
        <v>963</v>
      </c>
      <c r="E1502" t="s">
        <v>6939</v>
      </c>
      <c r="F1502">
        <v>20</v>
      </c>
      <c r="G1502">
        <v>2</v>
      </c>
      <c r="H1502" t="s">
        <v>9964</v>
      </c>
      <c r="J1502" t="s">
        <v>3985</v>
      </c>
      <c r="M1502" t="s">
        <v>9965</v>
      </c>
      <c r="N1502">
        <v>1.9874741039999999</v>
      </c>
      <c r="O1502">
        <v>3.7453511220000002</v>
      </c>
      <c r="P1502">
        <v>0.451009722</v>
      </c>
      <c r="Q1502">
        <v>-0.102386592</v>
      </c>
      <c r="S1502" s="13">
        <v>-1.306253093</v>
      </c>
      <c r="T1502">
        <v>0.21716558699999999</v>
      </c>
      <c r="U1502">
        <v>-0.107636967</v>
      </c>
    </row>
    <row r="1503" spans="1:21" x14ac:dyDescent="0.2">
      <c r="A1503" t="s">
        <v>820</v>
      </c>
      <c r="B1503">
        <v>542800</v>
      </c>
      <c r="C1503" t="s">
        <v>6945</v>
      </c>
      <c r="D1503" t="s">
        <v>820</v>
      </c>
      <c r="E1503" t="s">
        <v>6974</v>
      </c>
      <c r="F1503">
        <v>20</v>
      </c>
      <c r="G1503">
        <v>15</v>
      </c>
      <c r="H1503" t="s">
        <v>9966</v>
      </c>
      <c r="J1503" t="s">
        <v>2411</v>
      </c>
      <c r="M1503" t="s">
        <v>9967</v>
      </c>
      <c r="N1503">
        <v>2.2220813349999999</v>
      </c>
      <c r="O1503">
        <v>6.5440947090000003</v>
      </c>
      <c r="P1503">
        <v>0.58228215500000002</v>
      </c>
      <c r="Q1503">
        <v>0.35188233000000002</v>
      </c>
      <c r="S1503" s="13">
        <v>-1.306287612</v>
      </c>
      <c r="T1503">
        <v>0.21701475000000001</v>
      </c>
      <c r="U1503">
        <v>-0.19422468100000001</v>
      </c>
    </row>
    <row r="1504" spans="1:21" x14ac:dyDescent="0.2">
      <c r="A1504" t="s">
        <v>1461</v>
      </c>
      <c r="B1504">
        <v>583120</v>
      </c>
      <c r="C1504" t="s">
        <v>6931</v>
      </c>
      <c r="D1504" t="s">
        <v>1461</v>
      </c>
      <c r="E1504" t="s">
        <v>6918</v>
      </c>
      <c r="F1504">
        <v>21</v>
      </c>
      <c r="G1504">
        <v>1</v>
      </c>
      <c r="H1504" t="s">
        <v>9968</v>
      </c>
      <c r="N1504">
        <v>1.9323965059999999</v>
      </c>
      <c r="O1504">
        <v>3.0528020530000002</v>
      </c>
      <c r="P1504">
        <v>2.6493138999999999E-2</v>
      </c>
      <c r="Q1504">
        <v>-0.38692188</v>
      </c>
      <c r="S1504" s="13">
        <v>-1.3063005059999999</v>
      </c>
      <c r="T1504">
        <v>0.21695840499999999</v>
      </c>
      <c r="U1504">
        <v>-0.104823928</v>
      </c>
    </row>
    <row r="1505" spans="1:21" x14ac:dyDescent="0.2">
      <c r="A1505" t="s">
        <v>522</v>
      </c>
      <c r="B1505">
        <v>708800</v>
      </c>
      <c r="C1505" t="s">
        <v>6938</v>
      </c>
      <c r="D1505" t="s">
        <v>522</v>
      </c>
      <c r="E1505" t="s">
        <v>6977</v>
      </c>
      <c r="F1505">
        <v>15</v>
      </c>
      <c r="G1505">
        <v>5</v>
      </c>
      <c r="H1505" t="s">
        <v>9969</v>
      </c>
      <c r="J1505" t="s">
        <v>5105</v>
      </c>
      <c r="M1505" t="s">
        <v>9970</v>
      </c>
      <c r="N1505">
        <v>2.092758737</v>
      </c>
      <c r="O1505">
        <v>5.3323610669999999</v>
      </c>
      <c r="P1505">
        <v>0.70420098600000003</v>
      </c>
      <c r="Q1505">
        <v>0.41355372699999998</v>
      </c>
      <c r="S1505" s="13">
        <v>-1.3063895569999999</v>
      </c>
      <c r="T1505">
        <v>0.21656927200000001</v>
      </c>
      <c r="U1505">
        <v>-0.170798214</v>
      </c>
    </row>
    <row r="1506" spans="1:21" x14ac:dyDescent="0.2">
      <c r="A1506" t="s">
        <v>625</v>
      </c>
      <c r="B1506">
        <v>750160</v>
      </c>
      <c r="C1506" t="s">
        <v>6953</v>
      </c>
      <c r="D1506" t="s">
        <v>625</v>
      </c>
      <c r="E1506" t="s">
        <v>6918</v>
      </c>
      <c r="F1506">
        <v>11</v>
      </c>
      <c r="G1506">
        <v>1</v>
      </c>
      <c r="H1506" t="s">
        <v>9971</v>
      </c>
      <c r="J1506" t="s">
        <v>987</v>
      </c>
      <c r="M1506" t="s">
        <v>9972</v>
      </c>
      <c r="N1506">
        <v>1.921480887</v>
      </c>
      <c r="O1506">
        <v>3.0856645180000002</v>
      </c>
      <c r="P1506">
        <v>0.44706724399999997</v>
      </c>
      <c r="Q1506">
        <v>-0.354940863</v>
      </c>
      <c r="S1506" s="13">
        <v>-1.306825492</v>
      </c>
      <c r="T1506">
        <v>0.21466433400000001</v>
      </c>
      <c r="U1506">
        <v>-0.11096634800000001</v>
      </c>
    </row>
    <row r="1507" spans="1:21" x14ac:dyDescent="0.2">
      <c r="A1507" t="s">
        <v>1461</v>
      </c>
      <c r="B1507">
        <v>621920</v>
      </c>
      <c r="C1507" t="s">
        <v>6942</v>
      </c>
      <c r="D1507" t="s">
        <v>1461</v>
      </c>
      <c r="E1507" t="s">
        <v>6918</v>
      </c>
      <c r="F1507">
        <v>21</v>
      </c>
      <c r="G1507">
        <v>1</v>
      </c>
      <c r="H1507" t="s">
        <v>9973</v>
      </c>
      <c r="J1507" t="s">
        <v>5034</v>
      </c>
      <c r="M1507" t="s">
        <v>9974</v>
      </c>
      <c r="N1507">
        <v>2.0902262079999998</v>
      </c>
      <c r="O1507">
        <v>4.2704203920000001</v>
      </c>
      <c r="P1507">
        <v>0.23425843900000001</v>
      </c>
      <c r="Q1507">
        <v>1.6181978999999999E-2</v>
      </c>
      <c r="S1507" s="13">
        <v>-1.306833127</v>
      </c>
      <c r="T1507">
        <v>0.214630971</v>
      </c>
      <c r="U1507">
        <v>-0.18812875900000001</v>
      </c>
    </row>
    <row r="1508" spans="1:21" x14ac:dyDescent="0.2">
      <c r="A1508" t="s">
        <v>106</v>
      </c>
      <c r="B1508">
        <v>621720</v>
      </c>
      <c r="C1508" t="s">
        <v>6942</v>
      </c>
      <c r="D1508" t="s">
        <v>107</v>
      </c>
      <c r="E1508" t="s">
        <v>6907</v>
      </c>
      <c r="F1508">
        <v>2</v>
      </c>
      <c r="G1508">
        <v>4</v>
      </c>
      <c r="H1508" t="s">
        <v>9975</v>
      </c>
      <c r="J1508" t="s">
        <v>481</v>
      </c>
      <c r="M1508" t="s">
        <v>9976</v>
      </c>
      <c r="N1508">
        <v>2.0902262079999998</v>
      </c>
      <c r="O1508">
        <v>4.2704203920000001</v>
      </c>
      <c r="P1508">
        <v>0.23425843900000001</v>
      </c>
      <c r="Q1508">
        <v>1.6181978999999999E-2</v>
      </c>
      <c r="S1508" s="13">
        <v>-1.3070294250000001</v>
      </c>
      <c r="T1508">
        <v>0.213773194</v>
      </c>
      <c r="U1508">
        <v>-0.188273947</v>
      </c>
    </row>
    <row r="1509" spans="1:21" x14ac:dyDescent="0.2">
      <c r="A1509" t="s">
        <v>668</v>
      </c>
      <c r="B1509">
        <v>655800</v>
      </c>
      <c r="C1509" t="s">
        <v>6910</v>
      </c>
      <c r="D1509" t="s">
        <v>668</v>
      </c>
      <c r="E1509" t="s">
        <v>6956</v>
      </c>
      <c r="F1509">
        <v>21</v>
      </c>
      <c r="G1509">
        <v>7</v>
      </c>
      <c r="H1509" t="s">
        <v>9977</v>
      </c>
      <c r="J1509" t="s">
        <v>817</v>
      </c>
      <c r="M1509" t="s">
        <v>9978</v>
      </c>
      <c r="N1509">
        <v>1.9874741039999999</v>
      </c>
      <c r="O1509">
        <v>3.7453511220000002</v>
      </c>
      <c r="P1509">
        <v>0.451009722</v>
      </c>
      <c r="Q1509">
        <v>-0.102386592</v>
      </c>
      <c r="S1509" s="13">
        <v>-1.307113808</v>
      </c>
      <c r="T1509">
        <v>0.21340445999999999</v>
      </c>
      <c r="U1509">
        <v>-0.10811965699999999</v>
      </c>
    </row>
    <row r="1510" spans="1:21" x14ac:dyDescent="0.2">
      <c r="A1510" t="s">
        <v>792</v>
      </c>
      <c r="B1510">
        <v>635040</v>
      </c>
      <c r="C1510" t="s">
        <v>6906</v>
      </c>
      <c r="D1510" t="s">
        <v>793</v>
      </c>
      <c r="E1510" t="s">
        <v>6924</v>
      </c>
      <c r="F1510">
        <v>5</v>
      </c>
      <c r="G1510">
        <v>6</v>
      </c>
      <c r="H1510" t="s">
        <v>9979</v>
      </c>
      <c r="J1510" t="s">
        <v>3943</v>
      </c>
      <c r="M1510" t="s">
        <v>9980</v>
      </c>
      <c r="N1510">
        <v>1.813871112</v>
      </c>
      <c r="O1510">
        <v>2.6633694910000001</v>
      </c>
      <c r="P1510">
        <v>-0.29586356800000002</v>
      </c>
      <c r="Q1510">
        <v>-0.59018158399999998</v>
      </c>
      <c r="S1510" s="13">
        <v>-1.307413318</v>
      </c>
      <c r="T1510">
        <v>0.21209567100000001</v>
      </c>
      <c r="U1510">
        <v>-0.146455733</v>
      </c>
    </row>
    <row r="1511" spans="1:21" x14ac:dyDescent="0.2">
      <c r="A1511" t="s">
        <v>482</v>
      </c>
      <c r="B1511">
        <v>621160</v>
      </c>
      <c r="C1511" t="s">
        <v>6942</v>
      </c>
      <c r="D1511" t="s">
        <v>482</v>
      </c>
      <c r="E1511" t="s">
        <v>6946</v>
      </c>
      <c r="F1511">
        <v>15</v>
      </c>
      <c r="G1511">
        <v>11</v>
      </c>
      <c r="H1511" t="s">
        <v>9981</v>
      </c>
      <c r="J1511" t="s">
        <v>2023</v>
      </c>
      <c r="M1511" t="s">
        <v>9982</v>
      </c>
      <c r="N1511">
        <v>2.0902262079999998</v>
      </c>
      <c r="O1511">
        <v>4.2704203920000001</v>
      </c>
      <c r="P1511">
        <v>0.23425843900000001</v>
      </c>
      <c r="Q1511">
        <v>1.6181978999999999E-2</v>
      </c>
      <c r="S1511" s="13">
        <v>-1.307579059</v>
      </c>
      <c r="T1511">
        <v>0.21137142</v>
      </c>
      <c r="U1511">
        <v>-0.18868073199999999</v>
      </c>
    </row>
    <row r="1512" spans="1:21" x14ac:dyDescent="0.2">
      <c r="A1512" t="s">
        <v>372</v>
      </c>
      <c r="B1512">
        <v>749320</v>
      </c>
      <c r="C1512" t="s">
        <v>6953</v>
      </c>
      <c r="D1512" t="s">
        <v>372</v>
      </c>
      <c r="E1512" t="s">
        <v>7006</v>
      </c>
      <c r="F1512">
        <v>23</v>
      </c>
      <c r="G1512">
        <v>3</v>
      </c>
      <c r="H1512" t="s">
        <v>9983</v>
      </c>
      <c r="J1512" t="s">
        <v>1244</v>
      </c>
      <c r="M1512" t="s">
        <v>9984</v>
      </c>
      <c r="N1512">
        <v>1.921480887</v>
      </c>
      <c r="O1512">
        <v>3.0856645180000002</v>
      </c>
      <c r="P1512">
        <v>0.44706724399999997</v>
      </c>
      <c r="Q1512">
        <v>-0.354940863</v>
      </c>
      <c r="S1512" s="13">
        <v>-1.3076970969999999</v>
      </c>
      <c r="T1512">
        <v>0.21085562199999999</v>
      </c>
      <c r="U1512">
        <v>-0.11147709</v>
      </c>
    </row>
    <row r="1513" spans="1:21" x14ac:dyDescent="0.2">
      <c r="A1513" t="s">
        <v>607</v>
      </c>
      <c r="B1513">
        <v>620760</v>
      </c>
      <c r="C1513" t="s">
        <v>6942</v>
      </c>
      <c r="D1513" t="s">
        <v>607</v>
      </c>
      <c r="E1513" t="s">
        <v>6915</v>
      </c>
      <c r="F1513">
        <v>18</v>
      </c>
      <c r="G1513">
        <v>13</v>
      </c>
      <c r="H1513" t="s">
        <v>9985</v>
      </c>
      <c r="J1513" t="s">
        <v>609</v>
      </c>
      <c r="M1513" t="s">
        <v>9986</v>
      </c>
      <c r="N1513">
        <v>2.0902262079999998</v>
      </c>
      <c r="O1513">
        <v>4.2704203920000001</v>
      </c>
      <c r="P1513">
        <v>0.23425843900000001</v>
      </c>
      <c r="Q1513">
        <v>1.6181978999999999E-2</v>
      </c>
      <c r="S1513" s="13">
        <v>-1.307971655</v>
      </c>
      <c r="T1513">
        <v>0.209655867</v>
      </c>
      <c r="U1513">
        <v>-0.188971527</v>
      </c>
    </row>
    <row r="1514" spans="1:21" x14ac:dyDescent="0.2">
      <c r="A1514" t="s">
        <v>632</v>
      </c>
      <c r="B1514">
        <v>620320</v>
      </c>
      <c r="C1514" t="s">
        <v>6942</v>
      </c>
      <c r="D1514" t="s">
        <v>632</v>
      </c>
      <c r="E1514" t="s">
        <v>6924</v>
      </c>
      <c r="F1514">
        <v>18</v>
      </c>
      <c r="G1514">
        <v>6</v>
      </c>
      <c r="H1514" t="s">
        <v>9987</v>
      </c>
      <c r="J1514" t="s">
        <v>634</v>
      </c>
      <c r="M1514" t="s">
        <v>9988</v>
      </c>
      <c r="N1514">
        <v>2.0902262079999998</v>
      </c>
      <c r="O1514">
        <v>4.2704203920000001</v>
      </c>
      <c r="P1514">
        <v>0.23425843900000001</v>
      </c>
      <c r="Q1514">
        <v>1.6181978999999999E-2</v>
      </c>
      <c r="S1514" s="13">
        <v>-1.30840351</v>
      </c>
      <c r="T1514">
        <v>0.207768758</v>
      </c>
      <c r="U1514">
        <v>-0.18929162599999999</v>
      </c>
    </row>
    <row r="1515" spans="1:21" x14ac:dyDescent="0.2">
      <c r="A1515" t="s">
        <v>644</v>
      </c>
      <c r="B1515">
        <v>620320</v>
      </c>
      <c r="C1515" t="s">
        <v>6942</v>
      </c>
      <c r="D1515" t="s">
        <v>644</v>
      </c>
      <c r="E1515" t="s">
        <v>6946</v>
      </c>
      <c r="F1515">
        <v>11</v>
      </c>
      <c r="G1515">
        <v>11</v>
      </c>
      <c r="H1515" t="s">
        <v>9989</v>
      </c>
      <c r="J1515" t="s">
        <v>2665</v>
      </c>
      <c r="M1515" t="s">
        <v>9990</v>
      </c>
      <c r="N1515">
        <v>2.0902262079999998</v>
      </c>
      <c r="O1515">
        <v>4.2704203920000001</v>
      </c>
      <c r="P1515">
        <v>0.23425843900000001</v>
      </c>
      <c r="Q1515">
        <v>1.6181978999999999E-2</v>
      </c>
      <c r="S1515" s="13">
        <v>-1.30840351</v>
      </c>
      <c r="T1515">
        <v>0.207768758</v>
      </c>
      <c r="U1515">
        <v>-0.18929162599999999</v>
      </c>
    </row>
    <row r="1516" spans="1:21" x14ac:dyDescent="0.2">
      <c r="A1516" t="s">
        <v>563</v>
      </c>
      <c r="B1516">
        <v>620320</v>
      </c>
      <c r="C1516" t="s">
        <v>6942</v>
      </c>
      <c r="D1516" t="s">
        <v>564</v>
      </c>
      <c r="E1516" t="s">
        <v>6928</v>
      </c>
      <c r="F1516">
        <v>9</v>
      </c>
      <c r="G1516">
        <v>16</v>
      </c>
      <c r="H1516" t="s">
        <v>9991</v>
      </c>
      <c r="J1516" t="s">
        <v>1616</v>
      </c>
      <c r="M1516" t="s">
        <v>9992</v>
      </c>
      <c r="N1516">
        <v>2.0902262079999998</v>
      </c>
      <c r="O1516">
        <v>4.2704203920000001</v>
      </c>
      <c r="P1516">
        <v>0.23425843900000001</v>
      </c>
      <c r="Q1516">
        <v>1.6181978999999999E-2</v>
      </c>
      <c r="S1516" s="13">
        <v>-1.30840351</v>
      </c>
      <c r="T1516">
        <v>0.207768758</v>
      </c>
      <c r="U1516">
        <v>-0.18929162599999999</v>
      </c>
    </row>
    <row r="1517" spans="1:21" x14ac:dyDescent="0.2">
      <c r="A1517" t="s">
        <v>663</v>
      </c>
      <c r="B1517">
        <v>581480</v>
      </c>
      <c r="C1517" t="s">
        <v>6931</v>
      </c>
      <c r="D1517" t="s">
        <v>663</v>
      </c>
      <c r="E1517" t="s">
        <v>6918</v>
      </c>
      <c r="F1517">
        <v>15</v>
      </c>
      <c r="G1517">
        <v>1</v>
      </c>
      <c r="H1517" t="s">
        <v>9993</v>
      </c>
      <c r="N1517">
        <v>1.9323965059999999</v>
      </c>
      <c r="O1517">
        <v>3.0528020530000002</v>
      </c>
      <c r="P1517">
        <v>2.6493138999999999E-2</v>
      </c>
      <c r="Q1517">
        <v>-0.38692188</v>
      </c>
      <c r="S1517" s="13">
        <v>-1.3084554230000001</v>
      </c>
      <c r="T1517">
        <v>0.207541907</v>
      </c>
      <c r="U1517">
        <v>-0.105807621</v>
      </c>
    </row>
    <row r="1518" spans="1:21" x14ac:dyDescent="0.2">
      <c r="A1518" t="s">
        <v>236</v>
      </c>
      <c r="B1518">
        <v>706360</v>
      </c>
      <c r="C1518" t="s">
        <v>6938</v>
      </c>
      <c r="D1518" t="s">
        <v>236</v>
      </c>
      <c r="E1518" t="s">
        <v>7006</v>
      </c>
      <c r="F1518">
        <v>17</v>
      </c>
      <c r="G1518">
        <v>3</v>
      </c>
      <c r="H1518" t="s">
        <v>9994</v>
      </c>
      <c r="J1518" t="s">
        <v>1734</v>
      </c>
      <c r="M1518" t="s">
        <v>9995</v>
      </c>
      <c r="N1518">
        <v>2.092758737</v>
      </c>
      <c r="O1518">
        <v>5.3323610669999999</v>
      </c>
      <c r="P1518">
        <v>0.70420098600000003</v>
      </c>
      <c r="Q1518">
        <v>0.41355372699999998</v>
      </c>
      <c r="S1518" s="13">
        <v>-1.308485057</v>
      </c>
      <c r="T1518">
        <v>0.20741241699999999</v>
      </c>
      <c r="U1518">
        <v>-0.17250327700000001</v>
      </c>
    </row>
    <row r="1519" spans="1:21" x14ac:dyDescent="0.2">
      <c r="A1519" t="s">
        <v>1971</v>
      </c>
      <c r="B1519">
        <v>683480</v>
      </c>
      <c r="C1519" t="s">
        <v>6927</v>
      </c>
      <c r="D1519" t="s">
        <v>1971</v>
      </c>
      <c r="E1519" t="s">
        <v>7115</v>
      </c>
      <c r="F1519">
        <v>10</v>
      </c>
      <c r="G1519">
        <v>10</v>
      </c>
      <c r="H1519" t="s">
        <v>9996</v>
      </c>
      <c r="J1519" t="s">
        <v>9997</v>
      </c>
      <c r="M1519" t="s">
        <v>9998</v>
      </c>
      <c r="N1519">
        <v>1.982575982</v>
      </c>
      <c r="O1519">
        <v>3.4571926419999999</v>
      </c>
      <c r="P1519">
        <v>-0.114791479</v>
      </c>
      <c r="Q1519">
        <v>1.868949E-3</v>
      </c>
      <c r="S1519" s="13">
        <v>-1.3085375720000001</v>
      </c>
      <c r="T1519">
        <v>0.20718293500000001</v>
      </c>
      <c r="U1519">
        <v>-0.16466256100000001</v>
      </c>
    </row>
    <row r="1520" spans="1:21" x14ac:dyDescent="0.2">
      <c r="A1520" t="s">
        <v>169</v>
      </c>
      <c r="B1520">
        <v>620080</v>
      </c>
      <c r="C1520" t="s">
        <v>6942</v>
      </c>
      <c r="D1520" t="s">
        <v>169</v>
      </c>
      <c r="E1520" t="s">
        <v>6918</v>
      </c>
      <c r="F1520">
        <v>16</v>
      </c>
      <c r="G1520">
        <v>1</v>
      </c>
      <c r="H1520" t="s">
        <v>9999</v>
      </c>
      <c r="J1520" t="s">
        <v>171</v>
      </c>
      <c r="M1520" t="s">
        <v>10000</v>
      </c>
      <c r="N1520">
        <v>2.0902262079999998</v>
      </c>
      <c r="O1520">
        <v>4.2704203920000001</v>
      </c>
      <c r="P1520">
        <v>0.23425843900000001</v>
      </c>
      <c r="Q1520">
        <v>1.6181978999999999E-2</v>
      </c>
      <c r="S1520" s="13">
        <v>-1.3086390670000001</v>
      </c>
      <c r="T1520">
        <v>0.206739426</v>
      </c>
      <c r="U1520">
        <v>-0.18946632499999999</v>
      </c>
    </row>
    <row r="1521" spans="1:21" x14ac:dyDescent="0.2">
      <c r="A1521" t="s">
        <v>1683</v>
      </c>
      <c r="B1521">
        <v>654080</v>
      </c>
      <c r="C1521" t="s">
        <v>6910</v>
      </c>
      <c r="D1521" t="s">
        <v>1683</v>
      </c>
      <c r="E1521" t="s">
        <v>6915</v>
      </c>
      <c r="F1521">
        <v>16</v>
      </c>
      <c r="G1521">
        <v>13</v>
      </c>
      <c r="H1521" t="s">
        <v>10001</v>
      </c>
      <c r="J1521" t="s">
        <v>3681</v>
      </c>
      <c r="M1521" t="s">
        <v>10002</v>
      </c>
      <c r="N1521">
        <v>1.9874741039999999</v>
      </c>
      <c r="O1521">
        <v>3.7453511220000002</v>
      </c>
      <c r="P1521">
        <v>0.451009722</v>
      </c>
      <c r="Q1521">
        <v>-0.102386592</v>
      </c>
      <c r="S1521" s="13">
        <v>-1.3089643449999999</v>
      </c>
      <c r="T1521">
        <v>0.20531803700000001</v>
      </c>
      <c r="U1521">
        <v>-0.10915926200000001</v>
      </c>
    </row>
    <row r="1522" spans="1:21" x14ac:dyDescent="0.2">
      <c r="A1522" t="s">
        <v>477</v>
      </c>
      <c r="B1522">
        <v>683040</v>
      </c>
      <c r="C1522" t="s">
        <v>6927</v>
      </c>
      <c r="D1522" t="s">
        <v>477</v>
      </c>
      <c r="E1522" t="s">
        <v>6918</v>
      </c>
      <c r="F1522">
        <v>12</v>
      </c>
      <c r="G1522">
        <v>1</v>
      </c>
      <c r="H1522" t="s">
        <v>10003</v>
      </c>
      <c r="J1522" t="s">
        <v>10004</v>
      </c>
      <c r="M1522" t="s">
        <v>10005</v>
      </c>
      <c r="N1522">
        <v>1.982575982</v>
      </c>
      <c r="O1522">
        <v>3.4571926419999999</v>
      </c>
      <c r="P1522">
        <v>-0.114791479</v>
      </c>
      <c r="Q1522">
        <v>1.868949E-3</v>
      </c>
      <c r="S1522" s="13">
        <v>-1.3089941270000001</v>
      </c>
      <c r="T1522">
        <v>0.20518789600000001</v>
      </c>
      <c r="U1522">
        <v>-0.16496522999999999</v>
      </c>
    </row>
    <row r="1523" spans="1:21" x14ac:dyDescent="0.2">
      <c r="A1523" t="s">
        <v>2885</v>
      </c>
      <c r="B1523">
        <v>653920</v>
      </c>
      <c r="C1523" t="s">
        <v>6910</v>
      </c>
      <c r="D1523" t="s">
        <v>2885</v>
      </c>
      <c r="E1523" t="s">
        <v>7085</v>
      </c>
      <c r="F1523">
        <v>11</v>
      </c>
      <c r="G1523">
        <v>9</v>
      </c>
      <c r="H1523" t="s">
        <v>10006</v>
      </c>
      <c r="J1523" t="s">
        <v>6143</v>
      </c>
      <c r="M1523" t="s">
        <v>10007</v>
      </c>
      <c r="N1523">
        <v>1.9874741039999999</v>
      </c>
      <c r="O1523">
        <v>3.7453511220000002</v>
      </c>
      <c r="P1523">
        <v>0.451009722</v>
      </c>
      <c r="Q1523">
        <v>-0.102386592</v>
      </c>
      <c r="S1523" s="13">
        <v>-1.309136488</v>
      </c>
      <c r="T1523">
        <v>0.20456581200000001</v>
      </c>
      <c r="U1523">
        <v>-0.109256096</v>
      </c>
    </row>
    <row r="1524" spans="1:21" x14ac:dyDescent="0.2">
      <c r="A1524" t="s">
        <v>1383</v>
      </c>
      <c r="B1524">
        <v>341840</v>
      </c>
      <c r="C1524" t="s">
        <v>6961</v>
      </c>
      <c r="D1524" t="s">
        <v>1384</v>
      </c>
      <c r="E1524" t="s">
        <v>6956</v>
      </c>
      <c r="F1524">
        <v>6</v>
      </c>
      <c r="G1524">
        <v>7</v>
      </c>
      <c r="H1524" t="s">
        <v>10008</v>
      </c>
      <c r="J1524" t="s">
        <v>5143</v>
      </c>
      <c r="M1524" t="s">
        <v>10009</v>
      </c>
      <c r="N1524">
        <v>2.7247480949999998</v>
      </c>
      <c r="O1524">
        <v>7.0822175119999997</v>
      </c>
      <c r="P1524">
        <v>0.61298291999999999</v>
      </c>
      <c r="Q1524">
        <v>0.48262032500000002</v>
      </c>
      <c r="S1524" s="13">
        <v>-1.3091890690000001</v>
      </c>
      <c r="T1524">
        <v>0.204336042</v>
      </c>
      <c r="U1524">
        <v>-0.22469767600000001</v>
      </c>
    </row>
    <row r="1525" spans="1:21" x14ac:dyDescent="0.2">
      <c r="A1525" t="s">
        <v>2073</v>
      </c>
      <c r="B1525">
        <v>747840</v>
      </c>
      <c r="C1525" t="s">
        <v>6953</v>
      </c>
      <c r="D1525" t="s">
        <v>2074</v>
      </c>
      <c r="E1525" t="s">
        <v>7085</v>
      </c>
      <c r="F1525">
        <v>2</v>
      </c>
      <c r="G1525">
        <v>9</v>
      </c>
      <c r="H1525" t="s">
        <v>10010</v>
      </c>
      <c r="J1525" t="s">
        <v>5517</v>
      </c>
      <c r="M1525" t="s">
        <v>10011</v>
      </c>
      <c r="N1525">
        <v>1.921480887</v>
      </c>
      <c r="O1525">
        <v>3.0856645180000002</v>
      </c>
      <c r="P1525">
        <v>0.44706724399999997</v>
      </c>
      <c r="Q1525">
        <v>-0.354940863</v>
      </c>
      <c r="S1525" s="13">
        <v>-1.309232781</v>
      </c>
      <c r="T1525">
        <v>0.204145034</v>
      </c>
      <c r="U1525">
        <v>-0.112378432</v>
      </c>
    </row>
    <row r="1526" spans="1:21" x14ac:dyDescent="0.2">
      <c r="A1526" t="s">
        <v>2453</v>
      </c>
      <c r="B1526">
        <v>653800</v>
      </c>
      <c r="C1526" t="s">
        <v>6910</v>
      </c>
      <c r="D1526" t="s">
        <v>2454</v>
      </c>
      <c r="E1526" t="s">
        <v>6911</v>
      </c>
      <c r="F1526">
        <v>3</v>
      </c>
      <c r="G1526">
        <v>12</v>
      </c>
      <c r="H1526" t="s">
        <v>10012</v>
      </c>
      <c r="J1526" t="s">
        <v>6163</v>
      </c>
      <c r="M1526" t="s">
        <v>10013</v>
      </c>
      <c r="N1526">
        <v>1.9874741039999999</v>
      </c>
      <c r="O1526">
        <v>3.7453511220000002</v>
      </c>
      <c r="P1526">
        <v>0.451009722</v>
      </c>
      <c r="Q1526">
        <v>-0.102386592</v>
      </c>
      <c r="S1526" s="13">
        <v>-1.3092655950000001</v>
      </c>
      <c r="T1526">
        <v>0.20400164300000001</v>
      </c>
      <c r="U1526">
        <v>-0.109328735</v>
      </c>
    </row>
    <row r="1527" spans="1:21" x14ac:dyDescent="0.2">
      <c r="A1527" t="s">
        <v>314</v>
      </c>
      <c r="B1527">
        <v>619440</v>
      </c>
      <c r="C1527" t="s">
        <v>6942</v>
      </c>
      <c r="D1527" t="s">
        <v>315</v>
      </c>
      <c r="E1527" t="s">
        <v>6915</v>
      </c>
      <c r="F1527">
        <v>6</v>
      </c>
      <c r="G1527">
        <v>13</v>
      </c>
      <c r="H1527" t="s">
        <v>10014</v>
      </c>
      <c r="J1527" t="s">
        <v>4513</v>
      </c>
      <c r="M1527" t="s">
        <v>10015</v>
      </c>
      <c r="N1527">
        <v>2.0902262079999998</v>
      </c>
      <c r="O1527">
        <v>4.2704203920000001</v>
      </c>
      <c r="P1527">
        <v>0.23425843900000001</v>
      </c>
      <c r="Q1527">
        <v>1.6181978999999999E-2</v>
      </c>
      <c r="S1527" s="13">
        <v>-1.30926722</v>
      </c>
      <c r="T1527">
        <v>0.203994541</v>
      </c>
      <c r="U1527">
        <v>-0.18993253299999999</v>
      </c>
    </row>
    <row r="1528" spans="1:21" x14ac:dyDescent="0.2">
      <c r="A1528" t="s">
        <v>1857</v>
      </c>
      <c r="B1528">
        <v>704960</v>
      </c>
      <c r="C1528" t="s">
        <v>6938</v>
      </c>
      <c r="D1528" t="s">
        <v>1858</v>
      </c>
      <c r="E1528" t="s">
        <v>6974</v>
      </c>
      <c r="F1528">
        <v>6</v>
      </c>
      <c r="G1528">
        <v>15</v>
      </c>
      <c r="H1528" t="s">
        <v>10016</v>
      </c>
      <c r="J1528" t="s">
        <v>2547</v>
      </c>
      <c r="M1528" t="s">
        <v>10017</v>
      </c>
      <c r="N1528">
        <v>2.092758737</v>
      </c>
      <c r="O1528">
        <v>5.3323610669999999</v>
      </c>
      <c r="P1528">
        <v>0.70420098600000003</v>
      </c>
      <c r="Q1528">
        <v>0.41355372699999998</v>
      </c>
      <c r="S1528" s="13">
        <v>-1.3096873929999999</v>
      </c>
      <c r="T1528">
        <v>0.202158484</v>
      </c>
      <c r="U1528">
        <v>-0.173484623</v>
      </c>
    </row>
    <row r="1529" spans="1:21" x14ac:dyDescent="0.2">
      <c r="A1529" t="s">
        <v>1290</v>
      </c>
      <c r="B1529">
        <v>539040</v>
      </c>
      <c r="C1529" t="s">
        <v>6945</v>
      </c>
      <c r="D1529" t="s">
        <v>1291</v>
      </c>
      <c r="E1529" t="s">
        <v>6924</v>
      </c>
      <c r="F1529">
        <v>7</v>
      </c>
      <c r="G1529">
        <v>6</v>
      </c>
      <c r="H1529" t="s">
        <v>10018</v>
      </c>
      <c r="J1529" t="s">
        <v>6165</v>
      </c>
      <c r="M1529" t="s">
        <v>10019</v>
      </c>
      <c r="N1529">
        <v>2.2220813349999999</v>
      </c>
      <c r="O1529">
        <v>6.5440947090000003</v>
      </c>
      <c r="P1529">
        <v>0.58228215500000002</v>
      </c>
      <c r="Q1529">
        <v>0.35188233000000002</v>
      </c>
      <c r="S1529" s="13">
        <v>-1.3098341790000001</v>
      </c>
      <c r="T1529">
        <v>0.20151706</v>
      </c>
      <c r="U1529">
        <v>-0.19700119799999999</v>
      </c>
    </row>
    <row r="1530" spans="1:21" x14ac:dyDescent="0.2">
      <c r="A1530" t="s">
        <v>337</v>
      </c>
      <c r="B1530">
        <v>633360</v>
      </c>
      <c r="C1530" t="s">
        <v>6906</v>
      </c>
      <c r="D1530" t="s">
        <v>337</v>
      </c>
      <c r="E1530" t="s">
        <v>6974</v>
      </c>
      <c r="F1530">
        <v>13</v>
      </c>
      <c r="G1530">
        <v>15</v>
      </c>
      <c r="H1530" t="s">
        <v>10020</v>
      </c>
      <c r="J1530" t="s">
        <v>10021</v>
      </c>
      <c r="M1530" t="s">
        <v>10022</v>
      </c>
      <c r="N1530">
        <v>1.813871112</v>
      </c>
      <c r="O1530">
        <v>2.6633694910000001</v>
      </c>
      <c r="P1530">
        <v>-0.29586356800000002</v>
      </c>
      <c r="Q1530">
        <v>-0.59018158399999998</v>
      </c>
      <c r="S1530" s="13">
        <v>-1.3098505730000001</v>
      </c>
      <c r="T1530">
        <v>0.20144542300000001</v>
      </c>
      <c r="U1530">
        <v>-0.147564959</v>
      </c>
    </row>
    <row r="1531" spans="1:21" x14ac:dyDescent="0.2">
      <c r="A1531" t="s">
        <v>1260</v>
      </c>
      <c r="B1531">
        <v>618440</v>
      </c>
      <c r="C1531" t="s">
        <v>6942</v>
      </c>
      <c r="D1531" t="s">
        <v>1260</v>
      </c>
      <c r="E1531" t="s">
        <v>6915</v>
      </c>
      <c r="F1531">
        <v>19</v>
      </c>
      <c r="G1531">
        <v>13</v>
      </c>
      <c r="H1531" t="s">
        <v>10023</v>
      </c>
      <c r="J1531" t="s">
        <v>4612</v>
      </c>
      <c r="M1531" t="s">
        <v>10024</v>
      </c>
      <c r="N1531">
        <v>2.0902262079999998</v>
      </c>
      <c r="O1531">
        <v>4.2704203920000001</v>
      </c>
      <c r="P1531">
        <v>0.23425843900000001</v>
      </c>
      <c r="Q1531">
        <v>1.6181978999999999E-2</v>
      </c>
      <c r="S1531" s="13">
        <v>-1.3102487089999999</v>
      </c>
      <c r="T1531">
        <v>0.19970565800000001</v>
      </c>
      <c r="U1531">
        <v>-0.19066198600000001</v>
      </c>
    </row>
    <row r="1532" spans="1:21" x14ac:dyDescent="0.2">
      <c r="A1532" t="s">
        <v>1031</v>
      </c>
      <c r="B1532">
        <v>618400</v>
      </c>
      <c r="C1532" t="s">
        <v>6942</v>
      </c>
      <c r="D1532" t="s">
        <v>1031</v>
      </c>
      <c r="E1532" t="s">
        <v>6956</v>
      </c>
      <c r="F1532">
        <v>13</v>
      </c>
      <c r="G1532">
        <v>7</v>
      </c>
      <c r="H1532" t="s">
        <v>10025</v>
      </c>
      <c r="J1532" t="s">
        <v>2099</v>
      </c>
      <c r="M1532" t="s">
        <v>10026</v>
      </c>
      <c r="N1532">
        <v>2.0902262079999998</v>
      </c>
      <c r="O1532">
        <v>4.2704203920000001</v>
      </c>
      <c r="P1532">
        <v>0.23425843900000001</v>
      </c>
      <c r="Q1532">
        <v>1.6181978999999999E-2</v>
      </c>
      <c r="S1532" s="13">
        <v>-1.310287969</v>
      </c>
      <c r="T1532">
        <v>0.19953410299999999</v>
      </c>
      <c r="U1532">
        <v>-0.19069119000000001</v>
      </c>
    </row>
    <row r="1533" spans="1:21" x14ac:dyDescent="0.2">
      <c r="A1533" t="s">
        <v>1318</v>
      </c>
      <c r="B1533">
        <v>704200</v>
      </c>
      <c r="C1533" t="s">
        <v>6938</v>
      </c>
      <c r="D1533" t="s">
        <v>1318</v>
      </c>
      <c r="E1533" t="s">
        <v>6946</v>
      </c>
      <c r="F1533">
        <v>20</v>
      </c>
      <c r="G1533">
        <v>11</v>
      </c>
      <c r="H1533" t="s">
        <v>10027</v>
      </c>
      <c r="J1533" t="s">
        <v>3653</v>
      </c>
      <c r="M1533" t="s">
        <v>10028</v>
      </c>
      <c r="N1533">
        <v>2.092758737</v>
      </c>
      <c r="O1533">
        <v>5.3323610669999999</v>
      </c>
      <c r="P1533">
        <v>0.70420098600000003</v>
      </c>
      <c r="Q1533">
        <v>0.41355372699999998</v>
      </c>
      <c r="S1533" s="13">
        <v>-1.3103400890000001</v>
      </c>
      <c r="T1533">
        <v>0.19930634799999999</v>
      </c>
      <c r="U1533">
        <v>-0.174018284</v>
      </c>
    </row>
    <row r="1534" spans="1:21" x14ac:dyDescent="0.2">
      <c r="A1534" t="s">
        <v>607</v>
      </c>
      <c r="B1534">
        <v>652800</v>
      </c>
      <c r="C1534" t="s">
        <v>6910</v>
      </c>
      <c r="D1534" t="s">
        <v>607</v>
      </c>
      <c r="E1534" t="s">
        <v>6915</v>
      </c>
      <c r="F1534">
        <v>18</v>
      </c>
      <c r="G1534">
        <v>13</v>
      </c>
      <c r="H1534" t="s">
        <v>10029</v>
      </c>
      <c r="J1534" t="s">
        <v>5010</v>
      </c>
      <c r="M1534" t="s">
        <v>10030</v>
      </c>
      <c r="N1534">
        <v>1.9874741039999999</v>
      </c>
      <c r="O1534">
        <v>3.7453511220000002</v>
      </c>
      <c r="P1534">
        <v>0.451009722</v>
      </c>
      <c r="Q1534">
        <v>-0.102386592</v>
      </c>
      <c r="S1534" s="13">
        <v>-1.310341489</v>
      </c>
      <c r="T1534">
        <v>0.19930023399999999</v>
      </c>
      <c r="U1534">
        <v>-0.109934539</v>
      </c>
    </row>
    <row r="1535" spans="1:21" x14ac:dyDescent="0.2">
      <c r="A1535" t="s">
        <v>311</v>
      </c>
      <c r="B1535">
        <v>681480</v>
      </c>
      <c r="C1535" t="s">
        <v>6927</v>
      </c>
      <c r="D1535" t="s">
        <v>311</v>
      </c>
      <c r="E1535" t="s">
        <v>7006</v>
      </c>
      <c r="F1535">
        <v>18</v>
      </c>
      <c r="G1535">
        <v>3</v>
      </c>
      <c r="H1535" t="s">
        <v>10031</v>
      </c>
      <c r="J1535" t="s">
        <v>10032</v>
      </c>
      <c r="M1535" t="s">
        <v>10033</v>
      </c>
      <c r="N1535">
        <v>1.982575982</v>
      </c>
      <c r="O1535">
        <v>3.4571926419999999</v>
      </c>
      <c r="P1535">
        <v>-0.114791479</v>
      </c>
      <c r="Q1535">
        <v>1.868949E-3</v>
      </c>
      <c r="S1535" s="13">
        <v>-1.3106128210000001</v>
      </c>
      <c r="T1535">
        <v>0.19811457399999999</v>
      </c>
      <c r="U1535">
        <v>-0.16604002900000001</v>
      </c>
    </row>
    <row r="1536" spans="1:21" x14ac:dyDescent="0.2">
      <c r="A1536" t="s">
        <v>577</v>
      </c>
      <c r="B1536">
        <v>618040</v>
      </c>
      <c r="C1536" t="s">
        <v>6942</v>
      </c>
      <c r="D1536" t="s">
        <v>578</v>
      </c>
      <c r="E1536" t="s">
        <v>7115</v>
      </c>
      <c r="F1536">
        <v>1</v>
      </c>
      <c r="G1536">
        <v>10</v>
      </c>
      <c r="H1536" t="s">
        <v>10034</v>
      </c>
      <c r="J1536" t="s">
        <v>4652</v>
      </c>
      <c r="M1536" t="s">
        <v>10035</v>
      </c>
      <c r="N1536">
        <v>2.0902262079999998</v>
      </c>
      <c r="O1536">
        <v>4.2704203920000001</v>
      </c>
      <c r="P1536">
        <v>0.23425843900000001</v>
      </c>
      <c r="Q1536">
        <v>1.6181978999999999E-2</v>
      </c>
      <c r="S1536" s="13">
        <v>-1.3106413050000001</v>
      </c>
      <c r="T1536">
        <v>0.197990105</v>
      </c>
      <c r="U1536">
        <v>-0.19095411100000001</v>
      </c>
    </row>
    <row r="1537" spans="1:21" x14ac:dyDescent="0.2">
      <c r="A1537" t="s">
        <v>892</v>
      </c>
      <c r="B1537">
        <v>579720</v>
      </c>
      <c r="C1537" t="s">
        <v>6931</v>
      </c>
      <c r="D1537" t="s">
        <v>892</v>
      </c>
      <c r="E1537" t="s">
        <v>6977</v>
      </c>
      <c r="F1537">
        <v>21</v>
      </c>
      <c r="G1537">
        <v>5</v>
      </c>
      <c r="H1537" t="s">
        <v>10036</v>
      </c>
      <c r="N1537">
        <v>1.9323965059999999</v>
      </c>
      <c r="O1537">
        <v>3.0528020530000002</v>
      </c>
      <c r="P1537">
        <v>2.6493138999999999E-2</v>
      </c>
      <c r="Q1537">
        <v>-0.38692188</v>
      </c>
      <c r="S1537" s="13">
        <v>-1.3107680180000001</v>
      </c>
      <c r="T1537">
        <v>0.19743639800000001</v>
      </c>
      <c r="U1537">
        <v>-0.106865777</v>
      </c>
    </row>
    <row r="1538" spans="1:21" x14ac:dyDescent="0.2">
      <c r="A1538" t="s">
        <v>2902</v>
      </c>
      <c r="B1538">
        <v>617760</v>
      </c>
      <c r="C1538" t="s">
        <v>6942</v>
      </c>
      <c r="D1538" t="s">
        <v>2903</v>
      </c>
      <c r="E1538" t="s">
        <v>6977</v>
      </c>
      <c r="F1538">
        <v>6</v>
      </c>
      <c r="G1538">
        <v>5</v>
      </c>
      <c r="H1538" t="s">
        <v>10037</v>
      </c>
      <c r="J1538" t="s">
        <v>4032</v>
      </c>
      <c r="M1538" t="s">
        <v>10038</v>
      </c>
      <c r="N1538">
        <v>2.0902262079999998</v>
      </c>
      <c r="O1538">
        <v>4.2704203920000001</v>
      </c>
      <c r="P1538">
        <v>0.23425843900000001</v>
      </c>
      <c r="Q1538">
        <v>1.6181978999999999E-2</v>
      </c>
      <c r="S1538" s="13">
        <v>-1.3109161220000001</v>
      </c>
      <c r="T1538">
        <v>0.19678921699999999</v>
      </c>
      <c r="U1538">
        <v>-0.19115871500000001</v>
      </c>
    </row>
    <row r="1539" spans="1:21" x14ac:dyDescent="0.2">
      <c r="A1539" t="s">
        <v>1140</v>
      </c>
      <c r="B1539">
        <v>681160</v>
      </c>
      <c r="C1539" t="s">
        <v>6927</v>
      </c>
      <c r="D1539" t="s">
        <v>1141</v>
      </c>
      <c r="E1539" t="s">
        <v>7085</v>
      </c>
      <c r="F1539">
        <v>4</v>
      </c>
      <c r="G1539">
        <v>9</v>
      </c>
      <c r="H1539" t="s">
        <v>10039</v>
      </c>
      <c r="J1539" t="s">
        <v>10040</v>
      </c>
      <c r="M1539" t="s">
        <v>10041</v>
      </c>
      <c r="N1539">
        <v>1.982575982</v>
      </c>
      <c r="O1539">
        <v>3.4571926419999999</v>
      </c>
      <c r="P1539">
        <v>-0.114791479</v>
      </c>
      <c r="Q1539">
        <v>1.868949E-3</v>
      </c>
      <c r="S1539" s="13">
        <v>-1.3109448610000001</v>
      </c>
      <c r="T1539">
        <v>0.196663636</v>
      </c>
      <c r="U1539">
        <v>-0.16626083</v>
      </c>
    </row>
    <row r="1540" spans="1:21" x14ac:dyDescent="0.2">
      <c r="A1540" t="s">
        <v>554</v>
      </c>
      <c r="B1540">
        <v>680840</v>
      </c>
      <c r="C1540" t="s">
        <v>6927</v>
      </c>
      <c r="D1540" t="s">
        <v>555</v>
      </c>
      <c r="E1540" t="s">
        <v>6928</v>
      </c>
      <c r="F1540">
        <v>3</v>
      </c>
      <c r="G1540">
        <v>16</v>
      </c>
      <c r="H1540" t="s">
        <v>10042</v>
      </c>
      <c r="J1540" t="s">
        <v>10043</v>
      </c>
      <c r="M1540" t="s">
        <v>10044</v>
      </c>
      <c r="N1540">
        <v>1.982575982</v>
      </c>
      <c r="O1540">
        <v>3.4571926419999999</v>
      </c>
      <c r="P1540">
        <v>-0.114791479</v>
      </c>
      <c r="Q1540">
        <v>1.868949E-3</v>
      </c>
      <c r="S1540" s="13">
        <v>-1.3112769</v>
      </c>
      <c r="T1540">
        <v>0.19521269799999999</v>
      </c>
      <c r="U1540">
        <v>-0.16648174299999999</v>
      </c>
    </row>
    <row r="1541" spans="1:21" x14ac:dyDescent="0.2">
      <c r="A1541" t="s">
        <v>1620</v>
      </c>
      <c r="B1541">
        <v>745800</v>
      </c>
      <c r="C1541" t="s">
        <v>6953</v>
      </c>
      <c r="D1541" t="s">
        <v>1620</v>
      </c>
      <c r="E1541" t="s">
        <v>6911</v>
      </c>
      <c r="F1541">
        <v>18</v>
      </c>
      <c r="G1541">
        <v>12</v>
      </c>
      <c r="H1541" t="s">
        <v>10045</v>
      </c>
      <c r="J1541" t="s">
        <v>5413</v>
      </c>
      <c r="M1541" t="s">
        <v>10046</v>
      </c>
      <c r="N1541">
        <v>1.921480887</v>
      </c>
      <c r="O1541">
        <v>3.0856645180000002</v>
      </c>
      <c r="P1541">
        <v>0.44706724399999997</v>
      </c>
      <c r="Q1541">
        <v>-0.354940863</v>
      </c>
      <c r="S1541" s="13">
        <v>-1.3113495340000001</v>
      </c>
      <c r="T1541">
        <v>0.19489530499999999</v>
      </c>
      <c r="U1541">
        <v>-0.113623897</v>
      </c>
    </row>
    <row r="1542" spans="1:21" x14ac:dyDescent="0.2">
      <c r="A1542" t="s">
        <v>554</v>
      </c>
      <c r="B1542">
        <v>632320</v>
      </c>
      <c r="C1542" t="s">
        <v>6906</v>
      </c>
      <c r="D1542" t="s">
        <v>555</v>
      </c>
      <c r="E1542" t="s">
        <v>6928</v>
      </c>
      <c r="F1542">
        <v>3</v>
      </c>
      <c r="G1542">
        <v>16</v>
      </c>
      <c r="H1542" t="s">
        <v>10047</v>
      </c>
      <c r="J1542" t="s">
        <v>3833</v>
      </c>
      <c r="M1542" t="s">
        <v>10048</v>
      </c>
      <c r="N1542">
        <v>1.813871112</v>
      </c>
      <c r="O1542">
        <v>2.6633694910000001</v>
      </c>
      <c r="P1542">
        <v>-0.29586356800000002</v>
      </c>
      <c r="Q1542">
        <v>-0.59018158399999998</v>
      </c>
      <c r="S1542" s="13">
        <v>-1.31135935</v>
      </c>
      <c r="T1542">
        <v>0.194852412</v>
      </c>
      <c r="U1542">
        <v>-0.148253044</v>
      </c>
    </row>
    <row r="1543" spans="1:21" x14ac:dyDescent="0.2">
      <c r="A1543" t="s">
        <v>2335</v>
      </c>
      <c r="B1543">
        <v>579240</v>
      </c>
      <c r="C1543" t="s">
        <v>6931</v>
      </c>
      <c r="D1543" t="s">
        <v>2335</v>
      </c>
      <c r="E1543" t="s">
        <v>6915</v>
      </c>
      <c r="F1543">
        <v>13</v>
      </c>
      <c r="G1543">
        <v>13</v>
      </c>
      <c r="H1543" t="s">
        <v>10049</v>
      </c>
      <c r="N1543">
        <v>1.9323965059999999</v>
      </c>
      <c r="O1543">
        <v>3.0528020530000002</v>
      </c>
      <c r="P1543">
        <v>2.6493138999999999E-2</v>
      </c>
      <c r="Q1543">
        <v>-0.38692188</v>
      </c>
      <c r="S1543" s="13">
        <v>-1.3113987250000001</v>
      </c>
      <c r="T1543">
        <v>0.19468035</v>
      </c>
      <c r="U1543">
        <v>-0.107154813</v>
      </c>
    </row>
    <row r="1544" spans="1:21" x14ac:dyDescent="0.2">
      <c r="A1544" t="s">
        <v>2224</v>
      </c>
      <c r="B1544">
        <v>702720</v>
      </c>
      <c r="C1544" t="s">
        <v>6938</v>
      </c>
      <c r="D1544" t="s">
        <v>2224</v>
      </c>
      <c r="E1544" t="s">
        <v>6974</v>
      </c>
      <c r="F1544">
        <v>18</v>
      </c>
      <c r="G1544">
        <v>15</v>
      </c>
      <c r="H1544" t="s">
        <v>10050</v>
      </c>
      <c r="J1544" t="s">
        <v>4183</v>
      </c>
      <c r="M1544" t="s">
        <v>10051</v>
      </c>
      <c r="N1544">
        <v>2.092758737</v>
      </c>
      <c r="O1544">
        <v>5.3323610669999999</v>
      </c>
      <c r="P1544">
        <v>0.70420098600000003</v>
      </c>
      <c r="Q1544">
        <v>0.41355372699999998</v>
      </c>
      <c r="S1544" s="13">
        <v>-1.31161113</v>
      </c>
      <c r="T1544">
        <v>0.19375218999999999</v>
      </c>
      <c r="U1544">
        <v>-0.175059404</v>
      </c>
    </row>
    <row r="1545" spans="1:21" x14ac:dyDescent="0.2">
      <c r="A1545" t="s">
        <v>607</v>
      </c>
      <c r="B1545">
        <v>537080</v>
      </c>
      <c r="C1545" t="s">
        <v>6945</v>
      </c>
      <c r="D1545" t="s">
        <v>607</v>
      </c>
      <c r="E1545" t="s">
        <v>6915</v>
      </c>
      <c r="F1545">
        <v>18</v>
      </c>
      <c r="G1545">
        <v>13</v>
      </c>
      <c r="H1545" t="s">
        <v>10052</v>
      </c>
      <c r="J1545" t="s">
        <v>4794</v>
      </c>
      <c r="M1545" t="s">
        <v>10053</v>
      </c>
      <c r="N1545">
        <v>2.2220813349999999</v>
      </c>
      <c r="O1545">
        <v>6.5440947090000003</v>
      </c>
      <c r="P1545">
        <v>0.58228215500000002</v>
      </c>
      <c r="Q1545">
        <v>0.35188233000000002</v>
      </c>
      <c r="S1545" s="13">
        <v>-1.3116829219999999</v>
      </c>
      <c r="T1545">
        <v>0.193438478</v>
      </c>
      <c r="U1545">
        <v>-0.19845560000000001</v>
      </c>
    </row>
    <row r="1546" spans="1:21" x14ac:dyDescent="0.2">
      <c r="A1546" t="s">
        <v>116</v>
      </c>
      <c r="B1546">
        <v>745360</v>
      </c>
      <c r="C1546" t="s">
        <v>6953</v>
      </c>
      <c r="D1546" t="s">
        <v>117</v>
      </c>
      <c r="E1546" t="s">
        <v>6921</v>
      </c>
      <c r="F1546">
        <v>3</v>
      </c>
      <c r="G1546">
        <v>8</v>
      </c>
      <c r="H1546" t="s">
        <v>10054</v>
      </c>
      <c r="J1546" t="s">
        <v>2833</v>
      </c>
      <c r="M1546" t="s">
        <v>10055</v>
      </c>
      <c r="N1546">
        <v>1.921480887</v>
      </c>
      <c r="O1546">
        <v>3.0856645180000002</v>
      </c>
      <c r="P1546">
        <v>0.44706724399999997</v>
      </c>
      <c r="Q1546">
        <v>-0.354940863</v>
      </c>
      <c r="S1546" s="13">
        <v>-1.3118060890000001</v>
      </c>
      <c r="T1546">
        <v>0.19290026599999999</v>
      </c>
      <c r="U1546">
        <v>-0.113892995</v>
      </c>
    </row>
    <row r="1547" spans="1:21" x14ac:dyDescent="0.2">
      <c r="A1547" t="s">
        <v>1461</v>
      </c>
      <c r="B1547">
        <v>702320</v>
      </c>
      <c r="C1547" t="s">
        <v>6938</v>
      </c>
      <c r="D1547" t="s">
        <v>1461</v>
      </c>
      <c r="E1547" t="s">
        <v>6918</v>
      </c>
      <c r="F1547">
        <v>21</v>
      </c>
      <c r="G1547">
        <v>1</v>
      </c>
      <c r="H1547" t="s">
        <v>10056</v>
      </c>
      <c r="J1547" t="s">
        <v>1844</v>
      </c>
      <c r="M1547" t="s">
        <v>10057</v>
      </c>
      <c r="N1547">
        <v>2.092758737</v>
      </c>
      <c r="O1547">
        <v>5.3323610669999999</v>
      </c>
      <c r="P1547">
        <v>0.70420098600000003</v>
      </c>
      <c r="Q1547">
        <v>0.41355372699999998</v>
      </c>
      <c r="S1547" s="13">
        <v>-1.3119546550000001</v>
      </c>
      <c r="T1547">
        <v>0.192251066</v>
      </c>
      <c r="U1547">
        <v>-0.17534121699999999</v>
      </c>
    </row>
    <row r="1548" spans="1:21" x14ac:dyDescent="0.2">
      <c r="A1548" t="s">
        <v>295</v>
      </c>
      <c r="B1548">
        <v>702200</v>
      </c>
      <c r="C1548" t="s">
        <v>6938</v>
      </c>
      <c r="D1548" t="s">
        <v>295</v>
      </c>
      <c r="E1548" t="s">
        <v>6911</v>
      </c>
      <c r="F1548">
        <v>20</v>
      </c>
      <c r="G1548">
        <v>12</v>
      </c>
      <c r="H1548" t="s">
        <v>10058</v>
      </c>
      <c r="J1548" t="s">
        <v>3917</v>
      </c>
      <c r="M1548" t="s">
        <v>10059</v>
      </c>
      <c r="N1548">
        <v>2.092758737</v>
      </c>
      <c r="O1548">
        <v>5.3323610669999999</v>
      </c>
      <c r="P1548">
        <v>0.70420098600000003</v>
      </c>
      <c r="Q1548">
        <v>0.41355372699999998</v>
      </c>
      <c r="S1548" s="13">
        <v>-1.3120577120000001</v>
      </c>
      <c r="T1548">
        <v>0.191800729</v>
      </c>
      <c r="U1548">
        <v>-0.17542579599999999</v>
      </c>
    </row>
    <row r="1549" spans="1:21" x14ac:dyDescent="0.2">
      <c r="A1549" t="s">
        <v>632</v>
      </c>
      <c r="B1549">
        <v>752360</v>
      </c>
      <c r="C1549" t="s">
        <v>6914</v>
      </c>
      <c r="D1549" t="s">
        <v>632</v>
      </c>
      <c r="E1549" t="s">
        <v>6924</v>
      </c>
      <c r="F1549">
        <v>18</v>
      </c>
      <c r="G1549">
        <v>6</v>
      </c>
      <c r="H1549" t="s">
        <v>10060</v>
      </c>
      <c r="J1549" t="s">
        <v>3161</v>
      </c>
      <c r="M1549" t="s">
        <v>10061</v>
      </c>
      <c r="N1549">
        <v>1.8217074179999999</v>
      </c>
      <c r="O1549">
        <v>4.1700741289999996</v>
      </c>
      <c r="P1549">
        <v>0.189705977</v>
      </c>
      <c r="Q1549">
        <v>-1.7194070999999998E-2</v>
      </c>
      <c r="S1549" s="13">
        <v>-1.3120685089999999</v>
      </c>
      <c r="T1549">
        <v>0.191753548</v>
      </c>
      <c r="U1549">
        <v>-0.17247527100000001</v>
      </c>
    </row>
    <row r="1550" spans="1:21" x14ac:dyDescent="0.2">
      <c r="A1550" t="s">
        <v>277</v>
      </c>
      <c r="B1550">
        <v>679920</v>
      </c>
      <c r="C1550" t="s">
        <v>6927</v>
      </c>
      <c r="D1550" t="s">
        <v>277</v>
      </c>
      <c r="E1550" t="s">
        <v>7085</v>
      </c>
      <c r="F1550">
        <v>22</v>
      </c>
      <c r="G1550">
        <v>9</v>
      </c>
      <c r="H1550" t="s">
        <v>10062</v>
      </c>
      <c r="J1550" t="s">
        <v>10063</v>
      </c>
      <c r="M1550" t="s">
        <v>10064</v>
      </c>
      <c r="N1550">
        <v>1.982575982</v>
      </c>
      <c r="O1550">
        <v>3.4571926419999999</v>
      </c>
      <c r="P1550">
        <v>-0.114791479</v>
      </c>
      <c r="Q1550">
        <v>1.868949E-3</v>
      </c>
      <c r="S1550" s="13">
        <v>-1.3122315149999999</v>
      </c>
      <c r="T1550">
        <v>0.19104125199999999</v>
      </c>
      <c r="U1550">
        <v>-0.167117495</v>
      </c>
    </row>
    <row r="1551" spans="1:21" x14ac:dyDescent="0.2">
      <c r="A1551" t="s">
        <v>2348</v>
      </c>
      <c r="B1551">
        <v>616280</v>
      </c>
      <c r="C1551" t="s">
        <v>6942</v>
      </c>
      <c r="D1551" t="s">
        <v>2348</v>
      </c>
      <c r="E1551" t="s">
        <v>6911</v>
      </c>
      <c r="F1551">
        <v>11</v>
      </c>
      <c r="G1551">
        <v>12</v>
      </c>
      <c r="H1551" t="s">
        <v>10065</v>
      </c>
      <c r="J1551" t="s">
        <v>3363</v>
      </c>
      <c r="M1551" t="s">
        <v>10066</v>
      </c>
      <c r="N1551">
        <v>2.0902262079999998</v>
      </c>
      <c r="O1551">
        <v>4.2704203920000001</v>
      </c>
      <c r="P1551">
        <v>0.23425843900000001</v>
      </c>
      <c r="Q1551">
        <v>1.6181978999999999E-2</v>
      </c>
      <c r="S1551" s="13">
        <v>-1.3123687260000001</v>
      </c>
      <c r="T1551">
        <v>0.19044167100000001</v>
      </c>
      <c r="U1551">
        <v>-0.19224179899999999</v>
      </c>
    </row>
    <row r="1552" spans="1:21" x14ac:dyDescent="0.2">
      <c r="A1552" t="s">
        <v>153</v>
      </c>
      <c r="B1552">
        <v>701760</v>
      </c>
      <c r="C1552" t="s">
        <v>6938</v>
      </c>
      <c r="D1552" t="s">
        <v>153</v>
      </c>
      <c r="E1552" t="s">
        <v>6928</v>
      </c>
      <c r="F1552">
        <v>14</v>
      </c>
      <c r="G1552">
        <v>16</v>
      </c>
      <c r="H1552" t="s">
        <v>10067</v>
      </c>
      <c r="J1552" t="s">
        <v>5687</v>
      </c>
      <c r="M1552" t="s">
        <v>10068</v>
      </c>
      <c r="N1552">
        <v>2.092758737</v>
      </c>
      <c r="O1552">
        <v>5.3323610669999999</v>
      </c>
      <c r="P1552">
        <v>0.70420098600000003</v>
      </c>
      <c r="Q1552">
        <v>0.41355372699999998</v>
      </c>
      <c r="S1552" s="13">
        <v>-1.3124355889999999</v>
      </c>
      <c r="T1552">
        <v>0.190149493</v>
      </c>
      <c r="U1552">
        <v>-0.175736062</v>
      </c>
    </row>
    <row r="1553" spans="1:21" x14ac:dyDescent="0.2">
      <c r="A1553" t="s">
        <v>1065</v>
      </c>
      <c r="B1553">
        <v>616160</v>
      </c>
      <c r="C1553" t="s">
        <v>6942</v>
      </c>
      <c r="D1553" t="s">
        <v>1066</v>
      </c>
      <c r="E1553" t="s">
        <v>6956</v>
      </c>
      <c r="F1553">
        <v>7</v>
      </c>
      <c r="G1553">
        <v>7</v>
      </c>
      <c r="H1553" t="s">
        <v>10069</v>
      </c>
      <c r="J1553" t="s">
        <v>1772</v>
      </c>
      <c r="M1553" t="s">
        <v>10070</v>
      </c>
      <c r="N1553">
        <v>2.0902262079999998</v>
      </c>
      <c r="O1553">
        <v>4.2704203920000001</v>
      </c>
      <c r="P1553">
        <v>0.23425843900000001</v>
      </c>
      <c r="Q1553">
        <v>1.6181978999999999E-2</v>
      </c>
      <c r="S1553" s="13">
        <v>-1.3124865050000001</v>
      </c>
      <c r="T1553">
        <v>0.18992700500000001</v>
      </c>
      <c r="U1553">
        <v>-0.192329735</v>
      </c>
    </row>
    <row r="1554" spans="1:21" x14ac:dyDescent="0.2">
      <c r="A1554" t="s">
        <v>134</v>
      </c>
      <c r="B1554">
        <v>616160</v>
      </c>
      <c r="C1554" t="s">
        <v>6942</v>
      </c>
      <c r="D1554" t="s">
        <v>135</v>
      </c>
      <c r="E1554" t="s">
        <v>6970</v>
      </c>
      <c r="F1554">
        <v>1</v>
      </c>
      <c r="G1554">
        <v>14</v>
      </c>
      <c r="H1554" t="s">
        <v>10071</v>
      </c>
      <c r="J1554" t="s">
        <v>2269</v>
      </c>
      <c r="M1554" t="s">
        <v>10072</v>
      </c>
      <c r="N1554">
        <v>2.0902262079999998</v>
      </c>
      <c r="O1554">
        <v>4.2704203920000001</v>
      </c>
      <c r="P1554">
        <v>0.23425843900000001</v>
      </c>
      <c r="Q1554">
        <v>1.6181978999999999E-2</v>
      </c>
      <c r="S1554" s="13">
        <v>-1.3124865050000001</v>
      </c>
      <c r="T1554">
        <v>0.18992700500000001</v>
      </c>
      <c r="U1554">
        <v>-0.192329735</v>
      </c>
    </row>
    <row r="1555" spans="1:21" x14ac:dyDescent="0.2">
      <c r="A1555" t="s">
        <v>1498</v>
      </c>
      <c r="B1555">
        <v>578400</v>
      </c>
      <c r="C1555" t="s">
        <v>6931</v>
      </c>
      <c r="D1555" t="s">
        <v>1498</v>
      </c>
      <c r="E1555" t="s">
        <v>6911</v>
      </c>
      <c r="F1555">
        <v>17</v>
      </c>
      <c r="G1555">
        <v>12</v>
      </c>
      <c r="H1555" t="s">
        <v>10073</v>
      </c>
      <c r="N1555">
        <v>1.9323965059999999</v>
      </c>
      <c r="O1555">
        <v>3.0528020530000002</v>
      </c>
      <c r="P1555">
        <v>2.6493138999999999E-2</v>
      </c>
      <c r="Q1555">
        <v>-0.38692188</v>
      </c>
      <c r="S1555" s="13">
        <v>-1.312502464</v>
      </c>
      <c r="T1555">
        <v>0.189857267</v>
      </c>
      <c r="U1555">
        <v>-0.107661089</v>
      </c>
    </row>
    <row r="1556" spans="1:21" x14ac:dyDescent="0.2">
      <c r="A1556" t="s">
        <v>124</v>
      </c>
      <c r="B1556">
        <v>701280</v>
      </c>
      <c r="C1556" t="s">
        <v>6938</v>
      </c>
      <c r="D1556" t="s">
        <v>125</v>
      </c>
      <c r="E1556" t="s">
        <v>6918</v>
      </c>
      <c r="F1556">
        <v>7</v>
      </c>
      <c r="G1556">
        <v>1</v>
      </c>
      <c r="H1556" t="s">
        <v>10074</v>
      </c>
      <c r="J1556" t="s">
        <v>1128</v>
      </c>
      <c r="M1556" t="s">
        <v>10075</v>
      </c>
      <c r="N1556">
        <v>2.092758737</v>
      </c>
      <c r="O1556">
        <v>5.3323610669999999</v>
      </c>
      <c r="P1556">
        <v>0.70420098600000003</v>
      </c>
      <c r="Q1556">
        <v>0.41355372699999998</v>
      </c>
      <c r="S1556" s="13">
        <v>-1.3128478189999999</v>
      </c>
      <c r="T1556">
        <v>0.18834814499999999</v>
      </c>
      <c r="U1556">
        <v>-0.17607478700000001</v>
      </c>
    </row>
    <row r="1557" spans="1:21" x14ac:dyDescent="0.2">
      <c r="A1557" t="s">
        <v>2960</v>
      </c>
      <c r="B1557">
        <v>535560</v>
      </c>
      <c r="C1557" t="s">
        <v>6945</v>
      </c>
      <c r="D1557" t="s">
        <v>2961</v>
      </c>
      <c r="E1557" t="s">
        <v>6939</v>
      </c>
      <c r="F1557">
        <v>7</v>
      </c>
      <c r="G1557">
        <v>2</v>
      </c>
      <c r="H1557" t="s">
        <v>10076</v>
      </c>
      <c r="J1557" t="s">
        <v>4211</v>
      </c>
      <c r="M1557" t="s">
        <v>10077</v>
      </c>
      <c r="N1557">
        <v>2.2220813349999999</v>
      </c>
      <c r="O1557">
        <v>6.5440947090000003</v>
      </c>
      <c r="P1557">
        <v>0.58228215500000002</v>
      </c>
      <c r="Q1557">
        <v>0.35188233000000002</v>
      </c>
      <c r="S1557" s="13">
        <v>-1.3131166409999999</v>
      </c>
      <c r="T1557">
        <v>0.18717345399999999</v>
      </c>
      <c r="U1557">
        <v>-0.199586867</v>
      </c>
    </row>
    <row r="1558" spans="1:21" x14ac:dyDescent="0.2">
      <c r="A1558" t="s">
        <v>494</v>
      </c>
      <c r="B1558">
        <v>679040</v>
      </c>
      <c r="C1558" t="s">
        <v>6927</v>
      </c>
      <c r="D1558" t="s">
        <v>495</v>
      </c>
      <c r="E1558" t="s">
        <v>6939</v>
      </c>
      <c r="F1558">
        <v>5</v>
      </c>
      <c r="G1558">
        <v>2</v>
      </c>
      <c r="H1558" t="s">
        <v>10078</v>
      </c>
      <c r="J1558" t="s">
        <v>10079</v>
      </c>
      <c r="M1558" t="s">
        <v>10080</v>
      </c>
      <c r="N1558">
        <v>1.982575982</v>
      </c>
      <c r="O1558">
        <v>3.4571926419999999</v>
      </c>
      <c r="P1558">
        <v>-0.114791479</v>
      </c>
      <c r="Q1558">
        <v>1.868949E-3</v>
      </c>
      <c r="S1558" s="13">
        <v>-1.313144624</v>
      </c>
      <c r="T1558">
        <v>0.18705117299999999</v>
      </c>
      <c r="U1558">
        <v>-0.16772647700000001</v>
      </c>
    </row>
    <row r="1559" spans="1:21" x14ac:dyDescent="0.2">
      <c r="A1559" t="s">
        <v>148</v>
      </c>
      <c r="B1559">
        <v>577440</v>
      </c>
      <c r="C1559" t="s">
        <v>6931</v>
      </c>
      <c r="D1559" t="s">
        <v>148</v>
      </c>
      <c r="E1559" t="s">
        <v>6915</v>
      </c>
      <c r="F1559">
        <v>17</v>
      </c>
      <c r="G1559">
        <v>13</v>
      </c>
      <c r="H1559" t="s">
        <v>10081</v>
      </c>
      <c r="N1559">
        <v>1.9323965059999999</v>
      </c>
      <c r="O1559">
        <v>3.0528020530000002</v>
      </c>
      <c r="P1559">
        <v>2.6493138999999999E-2</v>
      </c>
      <c r="Q1559">
        <v>-0.38692188</v>
      </c>
      <c r="S1559" s="13">
        <v>-1.3137638789999999</v>
      </c>
      <c r="T1559">
        <v>0.184345171</v>
      </c>
      <c r="U1559">
        <v>-0.10824041399999999</v>
      </c>
    </row>
    <row r="1560" spans="1:21" x14ac:dyDescent="0.2">
      <c r="A1560" t="s">
        <v>385</v>
      </c>
      <c r="B1560">
        <v>700200</v>
      </c>
      <c r="C1560" t="s">
        <v>6938</v>
      </c>
      <c r="D1560" t="s">
        <v>386</v>
      </c>
      <c r="E1560" t="s">
        <v>6928</v>
      </c>
      <c r="F1560">
        <v>7</v>
      </c>
      <c r="G1560">
        <v>16</v>
      </c>
      <c r="H1560" t="s">
        <v>10082</v>
      </c>
      <c r="J1560" t="s">
        <v>4960</v>
      </c>
      <c r="M1560" t="s">
        <v>10083</v>
      </c>
      <c r="N1560">
        <v>2.092758737</v>
      </c>
      <c r="O1560">
        <v>5.3323610669999999</v>
      </c>
      <c r="P1560">
        <v>0.70420098600000003</v>
      </c>
      <c r="Q1560">
        <v>0.41355372699999998</v>
      </c>
      <c r="S1560" s="13">
        <v>-1.3137753350000001</v>
      </c>
      <c r="T1560">
        <v>0.18429511000000001</v>
      </c>
      <c r="U1560">
        <v>-0.176837884</v>
      </c>
    </row>
    <row r="1561" spans="1:21" x14ac:dyDescent="0.2">
      <c r="A1561" t="s">
        <v>1140</v>
      </c>
      <c r="B1561">
        <v>649600</v>
      </c>
      <c r="C1561" t="s">
        <v>6910</v>
      </c>
      <c r="D1561" t="s">
        <v>1141</v>
      </c>
      <c r="E1561" t="s">
        <v>7085</v>
      </c>
      <c r="F1561">
        <v>4</v>
      </c>
      <c r="G1561">
        <v>9</v>
      </c>
      <c r="H1561" t="s">
        <v>10084</v>
      </c>
      <c r="J1561" t="s">
        <v>2229</v>
      </c>
      <c r="M1561" t="s">
        <v>10085</v>
      </c>
      <c r="N1561">
        <v>1.9874741039999999</v>
      </c>
      <c r="O1561">
        <v>3.7453511220000002</v>
      </c>
      <c r="P1561">
        <v>0.451009722</v>
      </c>
      <c r="Q1561">
        <v>-0.102386592</v>
      </c>
      <c r="S1561" s="13">
        <v>-1.313784348</v>
      </c>
      <c r="T1561">
        <v>0.18425572600000001</v>
      </c>
      <c r="U1561">
        <v>-0.111878809</v>
      </c>
    </row>
    <row r="1562" spans="1:21" x14ac:dyDescent="0.2">
      <c r="A1562" t="s">
        <v>1058</v>
      </c>
      <c r="B1562">
        <v>649480</v>
      </c>
      <c r="C1562" t="s">
        <v>6910</v>
      </c>
      <c r="D1562" t="s">
        <v>1059</v>
      </c>
      <c r="E1562" t="s">
        <v>6911</v>
      </c>
      <c r="F1562">
        <v>6</v>
      </c>
      <c r="G1562">
        <v>12</v>
      </c>
      <c r="H1562" t="s">
        <v>10086</v>
      </c>
      <c r="J1562" t="s">
        <v>2813</v>
      </c>
      <c r="M1562" t="s">
        <v>10087</v>
      </c>
      <c r="N1562">
        <v>1.9874741039999999</v>
      </c>
      <c r="O1562">
        <v>3.7453511220000002</v>
      </c>
      <c r="P1562">
        <v>0.451009722</v>
      </c>
      <c r="Q1562">
        <v>-0.102386592</v>
      </c>
      <c r="S1562" s="13">
        <v>-1.313913455</v>
      </c>
      <c r="T1562">
        <v>0.18369155700000001</v>
      </c>
      <c r="U1562">
        <v>-0.111951889</v>
      </c>
    </row>
    <row r="1563" spans="1:21" x14ac:dyDescent="0.2">
      <c r="A1563" t="s">
        <v>139</v>
      </c>
      <c r="B1563">
        <v>577320</v>
      </c>
      <c r="C1563" t="s">
        <v>6931</v>
      </c>
      <c r="D1563" t="s">
        <v>139</v>
      </c>
      <c r="E1563" t="s">
        <v>6939</v>
      </c>
      <c r="F1563">
        <v>17</v>
      </c>
      <c r="G1563">
        <v>2</v>
      </c>
      <c r="H1563" t="s">
        <v>10088</v>
      </c>
      <c r="N1563">
        <v>1.9323965059999999</v>
      </c>
      <c r="O1563">
        <v>3.0528020530000002</v>
      </c>
      <c r="P1563">
        <v>2.6493138999999999E-2</v>
      </c>
      <c r="Q1563">
        <v>-0.38692188</v>
      </c>
      <c r="S1563" s="13">
        <v>-1.3139215559999999</v>
      </c>
      <c r="T1563">
        <v>0.18365615900000001</v>
      </c>
      <c r="U1563">
        <v>-0.108312884</v>
      </c>
    </row>
    <row r="1564" spans="1:21" x14ac:dyDescent="0.2">
      <c r="A1564" t="s">
        <v>239</v>
      </c>
      <c r="B1564">
        <v>743320</v>
      </c>
      <c r="C1564" t="s">
        <v>6953</v>
      </c>
      <c r="D1564" t="s">
        <v>240</v>
      </c>
      <c r="E1564" t="s">
        <v>6977</v>
      </c>
      <c r="F1564">
        <v>1</v>
      </c>
      <c r="G1564">
        <v>5</v>
      </c>
      <c r="H1564" t="s">
        <v>10089</v>
      </c>
      <c r="J1564" t="s">
        <v>5331</v>
      </c>
      <c r="M1564" t="s">
        <v>10090</v>
      </c>
      <c r="N1564">
        <v>1.921480887</v>
      </c>
      <c r="O1564">
        <v>3.0856645180000002</v>
      </c>
      <c r="P1564">
        <v>0.44706724399999997</v>
      </c>
      <c r="Q1564">
        <v>-0.354940863</v>
      </c>
      <c r="S1564" s="13">
        <v>-1.313922842</v>
      </c>
      <c r="T1564">
        <v>0.183650537</v>
      </c>
      <c r="U1564">
        <v>-0.11514281699999999</v>
      </c>
    </row>
    <row r="1565" spans="1:21" x14ac:dyDescent="0.2">
      <c r="A1565" t="s">
        <v>2443</v>
      </c>
      <c r="B1565">
        <v>649360</v>
      </c>
      <c r="C1565" t="s">
        <v>6910</v>
      </c>
      <c r="D1565" t="s">
        <v>2444</v>
      </c>
      <c r="E1565" t="s">
        <v>7006</v>
      </c>
      <c r="F1565">
        <v>1</v>
      </c>
      <c r="G1565">
        <v>3</v>
      </c>
      <c r="H1565" t="s">
        <v>10091</v>
      </c>
      <c r="J1565" t="s">
        <v>5129</v>
      </c>
      <c r="M1565" t="s">
        <v>10092</v>
      </c>
      <c r="N1565">
        <v>1.9874741039999999</v>
      </c>
      <c r="O1565">
        <v>3.7453511220000002</v>
      </c>
      <c r="P1565">
        <v>0.451009722</v>
      </c>
      <c r="Q1565">
        <v>-0.102386592</v>
      </c>
      <c r="S1565" s="13">
        <v>-1.314042562</v>
      </c>
      <c r="T1565">
        <v>0.183127388</v>
      </c>
      <c r="U1565">
        <v>-0.112024981</v>
      </c>
    </row>
    <row r="1566" spans="1:21" x14ac:dyDescent="0.2">
      <c r="A1566" t="s">
        <v>2453</v>
      </c>
      <c r="B1566">
        <v>699680</v>
      </c>
      <c r="C1566" t="s">
        <v>6938</v>
      </c>
      <c r="D1566" t="s">
        <v>2454</v>
      </c>
      <c r="E1566" t="s">
        <v>6911</v>
      </c>
      <c r="F1566">
        <v>3</v>
      </c>
      <c r="G1566">
        <v>12</v>
      </c>
      <c r="H1566" t="s">
        <v>10093</v>
      </c>
      <c r="J1566" t="s">
        <v>4092</v>
      </c>
      <c r="M1566" t="s">
        <v>10094</v>
      </c>
      <c r="N1566">
        <v>2.092758737</v>
      </c>
      <c r="O1566">
        <v>5.3323610669999999</v>
      </c>
      <c r="P1566">
        <v>0.70420098600000003</v>
      </c>
      <c r="Q1566">
        <v>0.41355372699999998</v>
      </c>
      <c r="S1566" s="13">
        <v>-1.314221917</v>
      </c>
      <c r="T1566">
        <v>0.182343649</v>
      </c>
      <c r="U1566">
        <v>-0.17720578100000001</v>
      </c>
    </row>
    <row r="1567" spans="1:21" x14ac:dyDescent="0.2">
      <c r="A1567" t="s">
        <v>1335</v>
      </c>
      <c r="B1567">
        <v>630160</v>
      </c>
      <c r="C1567" t="s">
        <v>6906</v>
      </c>
      <c r="D1567" t="s">
        <v>1335</v>
      </c>
      <c r="E1567" t="s">
        <v>6915</v>
      </c>
      <c r="F1567">
        <v>12</v>
      </c>
      <c r="G1567">
        <v>13</v>
      </c>
      <c r="H1567" t="s">
        <v>10095</v>
      </c>
      <c r="J1567" t="s">
        <v>10096</v>
      </c>
      <c r="M1567" t="s">
        <v>10097</v>
      </c>
      <c r="N1567">
        <v>1.813871112</v>
      </c>
      <c r="O1567">
        <v>2.6633694910000001</v>
      </c>
      <c r="P1567">
        <v>-0.29586356800000002</v>
      </c>
      <c r="Q1567">
        <v>-0.59018158399999998</v>
      </c>
      <c r="S1567" s="13">
        <v>-1.314492964</v>
      </c>
      <c r="T1567">
        <v>0.181159236</v>
      </c>
      <c r="U1567">
        <v>-0.14968563800000001</v>
      </c>
    </row>
    <row r="1568" spans="1:21" x14ac:dyDescent="0.2">
      <c r="A1568" t="s">
        <v>956</v>
      </c>
      <c r="B1568">
        <v>576760</v>
      </c>
      <c r="C1568" t="s">
        <v>6931</v>
      </c>
      <c r="D1568" t="s">
        <v>956</v>
      </c>
      <c r="E1568" t="s">
        <v>6974</v>
      </c>
      <c r="F1568">
        <v>15</v>
      </c>
      <c r="G1568">
        <v>15</v>
      </c>
      <c r="H1568" t="s">
        <v>10098</v>
      </c>
      <c r="N1568">
        <v>1.9323965059999999</v>
      </c>
      <c r="O1568">
        <v>3.0528020530000002</v>
      </c>
      <c r="P1568">
        <v>2.6493138999999999E-2</v>
      </c>
      <c r="Q1568">
        <v>-0.38692188</v>
      </c>
      <c r="S1568" s="13">
        <v>-1.314657381</v>
      </c>
      <c r="T1568">
        <v>0.18044077</v>
      </c>
      <c r="U1568">
        <v>-0.108651237</v>
      </c>
    </row>
    <row r="1569" spans="1:21" x14ac:dyDescent="0.2">
      <c r="A1569" t="s">
        <v>202</v>
      </c>
      <c r="B1569">
        <v>533200</v>
      </c>
      <c r="C1569" t="s">
        <v>6945</v>
      </c>
      <c r="D1569" t="s">
        <v>202</v>
      </c>
      <c r="E1569" t="s">
        <v>6907</v>
      </c>
      <c r="F1569">
        <v>14</v>
      </c>
      <c r="G1569">
        <v>4</v>
      </c>
      <c r="H1569" t="s">
        <v>10099</v>
      </c>
      <c r="J1569" t="s">
        <v>3756</v>
      </c>
      <c r="M1569" t="s">
        <v>10100</v>
      </c>
      <c r="N1569">
        <v>2.2220813349999999</v>
      </c>
      <c r="O1569">
        <v>6.5440947090000003</v>
      </c>
      <c r="P1569">
        <v>0.58228215500000002</v>
      </c>
      <c r="Q1569">
        <v>0.35188233000000002</v>
      </c>
      <c r="S1569" s="13">
        <v>-1.3153426779999999</v>
      </c>
      <c r="T1569">
        <v>0.17744618100000001</v>
      </c>
      <c r="U1569">
        <v>-0.201349167</v>
      </c>
    </row>
    <row r="1570" spans="1:21" x14ac:dyDescent="0.2">
      <c r="A1570" t="s">
        <v>1431</v>
      </c>
      <c r="B1570">
        <v>613200</v>
      </c>
      <c r="C1570" t="s">
        <v>6942</v>
      </c>
      <c r="D1570" t="s">
        <v>1431</v>
      </c>
      <c r="E1570" t="s">
        <v>7115</v>
      </c>
      <c r="F1570">
        <v>11</v>
      </c>
      <c r="G1570">
        <v>10</v>
      </c>
      <c r="H1570" t="s">
        <v>10101</v>
      </c>
      <c r="J1570" t="s">
        <v>1433</v>
      </c>
      <c r="M1570" t="s">
        <v>10102</v>
      </c>
      <c r="N1570">
        <v>2.0902262079999998</v>
      </c>
      <c r="O1570">
        <v>4.2704203920000001</v>
      </c>
      <c r="P1570">
        <v>0.23425843900000001</v>
      </c>
      <c r="Q1570">
        <v>1.6181978999999999E-2</v>
      </c>
      <c r="S1570" s="13">
        <v>-1.315391712</v>
      </c>
      <c r="T1570">
        <v>0.17723191099999999</v>
      </c>
      <c r="U1570">
        <v>-0.19450448200000001</v>
      </c>
    </row>
    <row r="1571" spans="1:21" x14ac:dyDescent="0.2">
      <c r="A1571" t="s">
        <v>681</v>
      </c>
      <c r="B1571">
        <v>741880</v>
      </c>
      <c r="C1571" t="s">
        <v>6953</v>
      </c>
      <c r="D1571" t="s">
        <v>682</v>
      </c>
      <c r="E1571" t="s">
        <v>6907</v>
      </c>
      <c r="F1571">
        <v>5</v>
      </c>
      <c r="G1571">
        <v>4</v>
      </c>
      <c r="H1571" t="s">
        <v>10103</v>
      </c>
      <c r="J1571" t="s">
        <v>2072</v>
      </c>
      <c r="M1571" t="s">
        <v>10104</v>
      </c>
      <c r="N1571">
        <v>1.921480887</v>
      </c>
      <c r="O1571">
        <v>3.0856645180000002</v>
      </c>
      <c r="P1571">
        <v>0.44706724399999997</v>
      </c>
      <c r="Q1571">
        <v>-0.354940863</v>
      </c>
      <c r="S1571" s="13">
        <v>-1.315417021</v>
      </c>
      <c r="T1571">
        <v>0.177121317</v>
      </c>
      <c r="U1571">
        <v>-0.116027215</v>
      </c>
    </row>
    <row r="1572" spans="1:21" x14ac:dyDescent="0.2">
      <c r="A1572" t="s">
        <v>1897</v>
      </c>
      <c r="B1572">
        <v>533120</v>
      </c>
      <c r="C1572" t="s">
        <v>6945</v>
      </c>
      <c r="D1572" t="s">
        <v>1897</v>
      </c>
      <c r="E1572" t="s">
        <v>7085</v>
      </c>
      <c r="F1572">
        <v>14</v>
      </c>
      <c r="G1572">
        <v>9</v>
      </c>
      <c r="H1572" t="s">
        <v>10105</v>
      </c>
      <c r="J1572" t="s">
        <v>1899</v>
      </c>
      <c r="M1572" t="s">
        <v>10106</v>
      </c>
      <c r="N1572">
        <v>2.2220813349999999</v>
      </c>
      <c r="O1572">
        <v>6.5440947090000003</v>
      </c>
      <c r="P1572">
        <v>0.58228215500000002</v>
      </c>
      <c r="Q1572">
        <v>0.35188233000000002</v>
      </c>
      <c r="S1572" s="13">
        <v>-1.315418137</v>
      </c>
      <c r="T1572">
        <v>0.17711644300000001</v>
      </c>
      <c r="U1572">
        <v>-0.20140903199999999</v>
      </c>
    </row>
    <row r="1573" spans="1:21" x14ac:dyDescent="0.2">
      <c r="A1573" t="s">
        <v>111</v>
      </c>
      <c r="B1573">
        <v>613160</v>
      </c>
      <c r="C1573" t="s">
        <v>6942</v>
      </c>
      <c r="D1573" t="s">
        <v>112</v>
      </c>
      <c r="E1573" t="s">
        <v>6970</v>
      </c>
      <c r="F1573">
        <v>2</v>
      </c>
      <c r="G1573">
        <v>14</v>
      </c>
      <c r="H1573" t="s">
        <v>10107</v>
      </c>
      <c r="J1573" t="s">
        <v>1554</v>
      </c>
      <c r="M1573" t="s">
        <v>10108</v>
      </c>
      <c r="N1573">
        <v>2.0902262079999998</v>
      </c>
      <c r="O1573">
        <v>4.2704203920000001</v>
      </c>
      <c r="P1573">
        <v>0.23425843900000001</v>
      </c>
      <c r="Q1573">
        <v>1.6181978999999999E-2</v>
      </c>
      <c r="S1573" s="13">
        <v>-1.3154309719999999</v>
      </c>
      <c r="T1573">
        <v>0.177060355</v>
      </c>
      <c r="U1573">
        <v>-0.19453394500000001</v>
      </c>
    </row>
    <row r="1574" spans="1:21" x14ac:dyDescent="0.2">
      <c r="A1574" t="s">
        <v>1484</v>
      </c>
      <c r="B1574">
        <v>613120</v>
      </c>
      <c r="C1574" t="s">
        <v>6942</v>
      </c>
      <c r="D1574" t="s">
        <v>1484</v>
      </c>
      <c r="E1574" t="s">
        <v>6977</v>
      </c>
      <c r="F1574">
        <v>16</v>
      </c>
      <c r="G1574">
        <v>5</v>
      </c>
      <c r="H1574" t="s">
        <v>10109</v>
      </c>
      <c r="J1574" t="s">
        <v>2376</v>
      </c>
      <c r="M1574" t="s">
        <v>10110</v>
      </c>
      <c r="N1574">
        <v>2.0902262079999998</v>
      </c>
      <c r="O1574">
        <v>4.2704203920000001</v>
      </c>
      <c r="P1574">
        <v>0.23425843900000001</v>
      </c>
      <c r="Q1574">
        <v>1.6181978999999999E-2</v>
      </c>
      <c r="S1574" s="13">
        <v>-1.3154702309999999</v>
      </c>
      <c r="T1574">
        <v>0.17688880000000001</v>
      </c>
      <c r="U1574">
        <v>-0.19456340999999999</v>
      </c>
    </row>
    <row r="1575" spans="1:21" x14ac:dyDescent="0.2">
      <c r="A1575" t="s">
        <v>2080</v>
      </c>
      <c r="B1575">
        <v>629280</v>
      </c>
      <c r="C1575" t="s">
        <v>6906</v>
      </c>
      <c r="D1575" t="s">
        <v>2080</v>
      </c>
      <c r="E1575" t="s">
        <v>6970</v>
      </c>
      <c r="F1575">
        <v>12</v>
      </c>
      <c r="G1575">
        <v>14</v>
      </c>
      <c r="H1575" t="s">
        <v>10111</v>
      </c>
      <c r="J1575" t="s">
        <v>10112</v>
      </c>
      <c r="M1575" t="s">
        <v>10113</v>
      </c>
      <c r="N1575">
        <v>1.813871112</v>
      </c>
      <c r="O1575">
        <v>2.6633694910000001</v>
      </c>
      <c r="P1575">
        <v>-0.29586356800000002</v>
      </c>
      <c r="Q1575">
        <v>-0.59018158399999998</v>
      </c>
      <c r="S1575" s="13">
        <v>-1.3157696210000001</v>
      </c>
      <c r="T1575">
        <v>0.17558053500000001</v>
      </c>
      <c r="U1575">
        <v>-0.15027064500000001</v>
      </c>
    </row>
    <row r="1576" spans="1:21" x14ac:dyDescent="0.2">
      <c r="A1576" t="s">
        <v>195</v>
      </c>
      <c r="B1576">
        <v>749160</v>
      </c>
      <c r="C1576" t="s">
        <v>6914</v>
      </c>
      <c r="D1576" t="s">
        <v>195</v>
      </c>
      <c r="E1576" t="s">
        <v>6907</v>
      </c>
      <c r="F1576">
        <v>24</v>
      </c>
      <c r="G1576">
        <v>4</v>
      </c>
      <c r="H1576" t="s">
        <v>10114</v>
      </c>
      <c r="J1576" t="s">
        <v>6789</v>
      </c>
      <c r="M1576" t="s">
        <v>10115</v>
      </c>
      <c r="N1576">
        <v>1.8217074179999999</v>
      </c>
      <c r="O1576">
        <v>4.1700741289999996</v>
      </c>
      <c r="P1576">
        <v>0.189705977</v>
      </c>
      <c r="Q1576">
        <v>-1.7194070999999998E-2</v>
      </c>
      <c r="S1576" s="13">
        <v>-1.315917346</v>
      </c>
      <c r="T1576">
        <v>0.174935011</v>
      </c>
      <c r="U1576">
        <v>-0.17472146999999999</v>
      </c>
    </row>
    <row r="1577" spans="1:21" x14ac:dyDescent="0.2">
      <c r="A1577" t="s">
        <v>116</v>
      </c>
      <c r="B1577">
        <v>676320</v>
      </c>
      <c r="C1577" t="s">
        <v>6927</v>
      </c>
      <c r="D1577" t="s">
        <v>117</v>
      </c>
      <c r="E1577" t="s">
        <v>6921</v>
      </c>
      <c r="F1577">
        <v>3</v>
      </c>
      <c r="G1577">
        <v>8</v>
      </c>
      <c r="H1577" t="s">
        <v>10116</v>
      </c>
      <c r="J1577" t="s">
        <v>10117</v>
      </c>
      <c r="M1577" t="s">
        <v>10118</v>
      </c>
      <c r="N1577">
        <v>1.982575982</v>
      </c>
      <c r="O1577">
        <v>3.4571926419999999</v>
      </c>
      <c r="P1577">
        <v>-0.114791479</v>
      </c>
      <c r="Q1577">
        <v>1.868949E-3</v>
      </c>
      <c r="S1577" s="13">
        <v>-1.3159669620000001</v>
      </c>
      <c r="T1577">
        <v>0.17471820099999999</v>
      </c>
      <c r="U1577">
        <v>-0.16961420399999999</v>
      </c>
    </row>
    <row r="1578" spans="1:21" x14ac:dyDescent="0.2">
      <c r="A1578" t="s">
        <v>352</v>
      </c>
      <c r="B1578">
        <v>697480</v>
      </c>
      <c r="C1578" t="s">
        <v>6938</v>
      </c>
      <c r="D1578" t="s">
        <v>352</v>
      </c>
      <c r="E1578" t="s">
        <v>6928</v>
      </c>
      <c r="F1578">
        <v>17</v>
      </c>
      <c r="G1578">
        <v>16</v>
      </c>
      <c r="H1578" t="s">
        <v>10119</v>
      </c>
      <c r="J1578" t="s">
        <v>1117</v>
      </c>
      <c r="M1578" t="s">
        <v>10120</v>
      </c>
      <c r="N1578">
        <v>2.092758737</v>
      </c>
      <c r="O1578">
        <v>5.3323610669999999</v>
      </c>
      <c r="P1578">
        <v>0.70420098600000003</v>
      </c>
      <c r="Q1578">
        <v>0.41355372699999998</v>
      </c>
      <c r="S1578" s="13">
        <v>-1.3161113019999999</v>
      </c>
      <c r="T1578">
        <v>0.174087468</v>
      </c>
      <c r="U1578">
        <v>-0.17876572299999999</v>
      </c>
    </row>
    <row r="1579" spans="1:21" x14ac:dyDescent="0.2">
      <c r="A1579" t="s">
        <v>289</v>
      </c>
      <c r="B1579">
        <v>676120</v>
      </c>
      <c r="C1579" t="s">
        <v>6927</v>
      </c>
      <c r="D1579" t="s">
        <v>290</v>
      </c>
      <c r="E1579" t="s">
        <v>6977</v>
      </c>
      <c r="F1579">
        <v>5</v>
      </c>
      <c r="G1579">
        <v>5</v>
      </c>
      <c r="H1579" t="s">
        <v>10121</v>
      </c>
      <c r="J1579" t="s">
        <v>10122</v>
      </c>
      <c r="M1579" t="s">
        <v>10123</v>
      </c>
      <c r="N1579">
        <v>1.982575982</v>
      </c>
      <c r="O1579">
        <v>3.4571926419999999</v>
      </c>
      <c r="P1579">
        <v>-0.114791479</v>
      </c>
      <c r="Q1579">
        <v>1.868949E-3</v>
      </c>
      <c r="S1579" s="13">
        <v>-1.3161744870000001</v>
      </c>
      <c r="T1579">
        <v>0.173811365</v>
      </c>
      <c r="U1579">
        <v>-0.16975333200000001</v>
      </c>
    </row>
    <row r="1580" spans="1:21" x14ac:dyDescent="0.2">
      <c r="A1580" t="s">
        <v>1783</v>
      </c>
      <c r="B1580">
        <v>575520</v>
      </c>
      <c r="C1580" t="s">
        <v>6931</v>
      </c>
      <c r="D1580" t="s">
        <v>1783</v>
      </c>
      <c r="E1580" t="s">
        <v>6915</v>
      </c>
      <c r="F1580">
        <v>11</v>
      </c>
      <c r="G1580">
        <v>13</v>
      </c>
      <c r="H1580" t="s">
        <v>10124</v>
      </c>
      <c r="N1580">
        <v>1.9323965059999999</v>
      </c>
      <c r="O1580">
        <v>3.0528020530000002</v>
      </c>
      <c r="P1580">
        <v>2.6493138999999999E-2</v>
      </c>
      <c r="Q1580">
        <v>-0.38692188</v>
      </c>
      <c r="S1580" s="13">
        <v>-1.3162867090000001</v>
      </c>
      <c r="T1580">
        <v>0.17332097899999999</v>
      </c>
      <c r="U1580">
        <v>-0.109401387</v>
      </c>
    </row>
    <row r="1581" spans="1:21" x14ac:dyDescent="0.2">
      <c r="A1581" t="s">
        <v>924</v>
      </c>
      <c r="B1581">
        <v>612280</v>
      </c>
      <c r="C1581" t="s">
        <v>6942</v>
      </c>
      <c r="D1581" t="s">
        <v>924</v>
      </c>
      <c r="E1581" t="s">
        <v>7115</v>
      </c>
      <c r="F1581">
        <v>17</v>
      </c>
      <c r="G1581">
        <v>10</v>
      </c>
      <c r="H1581" t="s">
        <v>10125</v>
      </c>
      <c r="J1581" t="s">
        <v>1953</v>
      </c>
      <c r="M1581" t="s">
        <v>10126</v>
      </c>
      <c r="N1581">
        <v>2.0902262079999998</v>
      </c>
      <c r="O1581">
        <v>4.2704203920000001</v>
      </c>
      <c r="P1581">
        <v>0.23425843900000001</v>
      </c>
      <c r="Q1581">
        <v>1.6181978999999999E-2</v>
      </c>
      <c r="S1581" s="13">
        <v>-1.3162946820000001</v>
      </c>
      <c r="T1581">
        <v>0.17328613800000001</v>
      </c>
      <c r="U1581">
        <v>-0.19518264099999999</v>
      </c>
    </row>
    <row r="1582" spans="1:21" x14ac:dyDescent="0.2">
      <c r="A1582" t="s">
        <v>839</v>
      </c>
      <c r="B1582">
        <v>697040</v>
      </c>
      <c r="C1582" t="s">
        <v>6938</v>
      </c>
      <c r="D1582" t="s">
        <v>840</v>
      </c>
      <c r="E1582" t="s">
        <v>6928</v>
      </c>
      <c r="F1582">
        <v>5</v>
      </c>
      <c r="G1582">
        <v>16</v>
      </c>
      <c r="H1582" t="s">
        <v>10127</v>
      </c>
      <c r="J1582" t="s">
        <v>1832</v>
      </c>
      <c r="M1582" t="s">
        <v>10128</v>
      </c>
      <c r="N1582">
        <v>2.092758737</v>
      </c>
      <c r="O1582">
        <v>5.3323610669999999</v>
      </c>
      <c r="P1582">
        <v>0.70420098600000003</v>
      </c>
      <c r="Q1582">
        <v>0.41355372699999998</v>
      </c>
      <c r="S1582" s="13">
        <v>-1.316489179</v>
      </c>
      <c r="T1582">
        <v>0.17243623199999999</v>
      </c>
      <c r="U1582">
        <v>-0.17907838500000001</v>
      </c>
    </row>
    <row r="1583" spans="1:21" x14ac:dyDescent="0.2">
      <c r="A1583" t="s">
        <v>1349</v>
      </c>
      <c r="B1583">
        <v>696800</v>
      </c>
      <c r="C1583" t="s">
        <v>6938</v>
      </c>
      <c r="D1583" t="s">
        <v>1350</v>
      </c>
      <c r="E1583" t="s">
        <v>6939</v>
      </c>
      <c r="F1583">
        <v>6</v>
      </c>
      <c r="G1583">
        <v>2</v>
      </c>
      <c r="H1583" t="s">
        <v>10129</v>
      </c>
      <c r="J1583" t="s">
        <v>1695</v>
      </c>
      <c r="M1583" t="s">
        <v>10130</v>
      </c>
      <c r="N1583">
        <v>2.092758737</v>
      </c>
      <c r="O1583">
        <v>5.3323610669999999</v>
      </c>
      <c r="P1583">
        <v>0.70420098600000003</v>
      </c>
      <c r="Q1583">
        <v>0.41355372699999998</v>
      </c>
      <c r="S1583" s="13">
        <v>-1.3166952940000001</v>
      </c>
      <c r="T1583">
        <v>0.171535558</v>
      </c>
      <c r="U1583">
        <v>-0.17924902300000001</v>
      </c>
    </row>
    <row r="1584" spans="1:21" x14ac:dyDescent="0.2">
      <c r="A1584" t="s">
        <v>2080</v>
      </c>
      <c r="B1584">
        <v>646800</v>
      </c>
      <c r="C1584" t="s">
        <v>6910</v>
      </c>
      <c r="D1584" t="s">
        <v>2080</v>
      </c>
      <c r="E1584" t="s">
        <v>6970</v>
      </c>
      <c r="F1584">
        <v>12</v>
      </c>
      <c r="G1584">
        <v>14</v>
      </c>
      <c r="H1584" t="s">
        <v>10131</v>
      </c>
      <c r="J1584" t="s">
        <v>4944</v>
      </c>
      <c r="M1584" t="s">
        <v>10132</v>
      </c>
      <c r="N1584">
        <v>1.9874741039999999</v>
      </c>
      <c r="O1584">
        <v>3.7453511220000002</v>
      </c>
      <c r="P1584">
        <v>0.451009722</v>
      </c>
      <c r="Q1584">
        <v>-0.102386592</v>
      </c>
      <c r="S1584" s="13">
        <v>-1.31679685</v>
      </c>
      <c r="T1584">
        <v>0.171091781</v>
      </c>
      <c r="U1584">
        <v>-0.11358721500000001</v>
      </c>
    </row>
    <row r="1585" spans="1:21" x14ac:dyDescent="0.2">
      <c r="A1585" t="s">
        <v>111</v>
      </c>
      <c r="B1585">
        <v>696680</v>
      </c>
      <c r="C1585" t="s">
        <v>6938</v>
      </c>
      <c r="D1585" t="s">
        <v>112</v>
      </c>
      <c r="E1585" t="s">
        <v>6970</v>
      </c>
      <c r="F1585">
        <v>2</v>
      </c>
      <c r="G1585">
        <v>14</v>
      </c>
      <c r="H1585" t="s">
        <v>10133</v>
      </c>
      <c r="J1585" t="s">
        <v>2172</v>
      </c>
      <c r="M1585" t="s">
        <v>10134</v>
      </c>
      <c r="N1585">
        <v>2.092758737</v>
      </c>
      <c r="O1585">
        <v>5.3323610669999999</v>
      </c>
      <c r="P1585">
        <v>0.70420098600000003</v>
      </c>
      <c r="Q1585">
        <v>0.41355372699999998</v>
      </c>
      <c r="S1585" s="13">
        <v>-1.3167983510000001</v>
      </c>
      <c r="T1585">
        <v>0.17108522100000001</v>
      </c>
      <c r="U1585">
        <v>-0.17933436699999999</v>
      </c>
    </row>
    <row r="1586" spans="1:21" x14ac:dyDescent="0.2">
      <c r="A1586" t="s">
        <v>507</v>
      </c>
      <c r="B1586">
        <v>575000</v>
      </c>
      <c r="C1586" t="s">
        <v>6931</v>
      </c>
      <c r="D1586" t="s">
        <v>508</v>
      </c>
      <c r="E1586" t="s">
        <v>6918</v>
      </c>
      <c r="F1586">
        <v>5</v>
      </c>
      <c r="G1586">
        <v>1</v>
      </c>
      <c r="H1586" t="s">
        <v>10135</v>
      </c>
      <c r="N1586">
        <v>1.9323965059999999</v>
      </c>
      <c r="O1586">
        <v>3.0528020530000002</v>
      </c>
      <c r="P1586">
        <v>2.6493138999999999E-2</v>
      </c>
      <c r="Q1586">
        <v>-0.38692188</v>
      </c>
      <c r="S1586" s="13">
        <v>-1.316969976</v>
      </c>
      <c r="T1586">
        <v>0.17033525999999999</v>
      </c>
      <c r="U1586">
        <v>-0.109716352</v>
      </c>
    </row>
    <row r="1587" spans="1:21" x14ac:dyDescent="0.2">
      <c r="A1587" t="s">
        <v>1010</v>
      </c>
      <c r="B1587">
        <v>646600</v>
      </c>
      <c r="C1587" t="s">
        <v>6910</v>
      </c>
      <c r="D1587" t="s">
        <v>1010</v>
      </c>
      <c r="E1587" t="s">
        <v>6970</v>
      </c>
      <c r="F1587">
        <v>19</v>
      </c>
      <c r="G1587">
        <v>14</v>
      </c>
      <c r="H1587" t="s">
        <v>10136</v>
      </c>
      <c r="J1587" t="s">
        <v>3523</v>
      </c>
      <c r="M1587" t="s">
        <v>10137</v>
      </c>
      <c r="N1587">
        <v>1.9874741039999999</v>
      </c>
      <c r="O1587">
        <v>3.7453511220000002</v>
      </c>
      <c r="P1587">
        <v>0.451009722</v>
      </c>
      <c r="Q1587">
        <v>-0.102386592</v>
      </c>
      <c r="S1587" s="13">
        <v>-1.3170120279999999</v>
      </c>
      <c r="T1587">
        <v>0.17015149900000001</v>
      </c>
      <c r="U1587">
        <v>-0.113709501</v>
      </c>
    </row>
    <row r="1588" spans="1:21" x14ac:dyDescent="0.2">
      <c r="A1588" t="s">
        <v>221</v>
      </c>
      <c r="B1588">
        <v>696360</v>
      </c>
      <c r="C1588" t="s">
        <v>6938</v>
      </c>
      <c r="D1588" t="s">
        <v>221</v>
      </c>
      <c r="E1588" t="s">
        <v>6928</v>
      </c>
      <c r="F1588">
        <v>12</v>
      </c>
      <c r="G1588">
        <v>16</v>
      </c>
      <c r="H1588" t="s">
        <v>10138</v>
      </c>
      <c r="J1588" t="s">
        <v>3191</v>
      </c>
      <c r="M1588" t="s">
        <v>10139</v>
      </c>
      <c r="N1588">
        <v>2.092758737</v>
      </c>
      <c r="O1588">
        <v>5.3323610669999999</v>
      </c>
      <c r="P1588">
        <v>0.70420098600000003</v>
      </c>
      <c r="Q1588">
        <v>0.41355372699999998</v>
      </c>
      <c r="S1588" s="13">
        <v>-1.3170731710000001</v>
      </c>
      <c r="T1588">
        <v>0.169884322</v>
      </c>
      <c r="U1588">
        <v>-0.17956203300000001</v>
      </c>
    </row>
    <row r="1589" spans="1:21" x14ac:dyDescent="0.2">
      <c r="A1589" t="s">
        <v>765</v>
      </c>
      <c r="B1589">
        <v>696280</v>
      </c>
      <c r="C1589" t="s">
        <v>6938</v>
      </c>
      <c r="D1589" t="s">
        <v>766</v>
      </c>
      <c r="E1589" t="s">
        <v>7006</v>
      </c>
      <c r="F1589">
        <v>4</v>
      </c>
      <c r="G1589">
        <v>3</v>
      </c>
      <c r="H1589" t="s">
        <v>10140</v>
      </c>
      <c r="J1589" t="s">
        <v>5537</v>
      </c>
      <c r="M1589" t="s">
        <v>10141</v>
      </c>
      <c r="N1589">
        <v>2.092758737</v>
      </c>
      <c r="O1589">
        <v>5.3323610669999999</v>
      </c>
      <c r="P1589">
        <v>0.70420098600000003</v>
      </c>
      <c r="Q1589">
        <v>0.41355372699999998</v>
      </c>
      <c r="S1589" s="13">
        <v>-1.317141876</v>
      </c>
      <c r="T1589">
        <v>0.16958409699999999</v>
      </c>
      <c r="U1589">
        <v>-0.17961896799999999</v>
      </c>
    </row>
    <row r="1590" spans="1:21" x14ac:dyDescent="0.2">
      <c r="A1590" t="s">
        <v>541</v>
      </c>
      <c r="B1590">
        <v>531280</v>
      </c>
      <c r="C1590" t="s">
        <v>6945</v>
      </c>
      <c r="D1590" t="s">
        <v>542</v>
      </c>
      <c r="E1590" t="s">
        <v>6974</v>
      </c>
      <c r="F1590">
        <v>1</v>
      </c>
      <c r="G1590">
        <v>15</v>
      </c>
      <c r="H1590" t="s">
        <v>10142</v>
      </c>
      <c r="J1590" t="s">
        <v>6183</v>
      </c>
      <c r="M1590" t="s">
        <v>10143</v>
      </c>
      <c r="N1590">
        <v>2.2220813349999999</v>
      </c>
      <c r="O1590">
        <v>6.5440947090000003</v>
      </c>
      <c r="P1590">
        <v>0.58228215500000002</v>
      </c>
      <c r="Q1590">
        <v>0.35188233000000002</v>
      </c>
      <c r="S1590" s="13">
        <v>-1.3171536909999999</v>
      </c>
      <c r="T1590">
        <v>0.16953246699999999</v>
      </c>
      <c r="U1590">
        <v>-0.202788198</v>
      </c>
    </row>
    <row r="1591" spans="1:21" x14ac:dyDescent="0.2">
      <c r="A1591" t="s">
        <v>1140</v>
      </c>
      <c r="B1591">
        <v>574760</v>
      </c>
      <c r="C1591" t="s">
        <v>6931</v>
      </c>
      <c r="D1591" t="s">
        <v>1141</v>
      </c>
      <c r="E1591" t="s">
        <v>7085</v>
      </c>
      <c r="F1591">
        <v>4</v>
      </c>
      <c r="G1591">
        <v>9</v>
      </c>
      <c r="H1591" t="s">
        <v>10144</v>
      </c>
      <c r="N1591">
        <v>1.9323965059999999</v>
      </c>
      <c r="O1591">
        <v>3.0528020530000002</v>
      </c>
      <c r="P1591">
        <v>2.6493138999999999E-2</v>
      </c>
      <c r="Q1591">
        <v>-0.38692188</v>
      </c>
      <c r="S1591" s="13">
        <v>-1.3172853289999999</v>
      </c>
      <c r="T1591">
        <v>0.16895723600000001</v>
      </c>
      <c r="U1591">
        <v>-0.109861798</v>
      </c>
    </row>
    <row r="1592" spans="1:21" x14ac:dyDescent="0.2">
      <c r="A1592" t="s">
        <v>610</v>
      </c>
      <c r="B1592">
        <v>646120</v>
      </c>
      <c r="C1592" t="s">
        <v>6910</v>
      </c>
      <c r="D1592" t="s">
        <v>611</v>
      </c>
      <c r="E1592" t="s">
        <v>6974</v>
      </c>
      <c r="F1592">
        <v>9</v>
      </c>
      <c r="G1592">
        <v>15</v>
      </c>
      <c r="H1592" t="s">
        <v>10145</v>
      </c>
      <c r="J1592" t="s">
        <v>613</v>
      </c>
      <c r="M1592" t="s">
        <v>10146</v>
      </c>
      <c r="N1592">
        <v>1.9874741039999999</v>
      </c>
      <c r="O1592">
        <v>3.7453511220000002</v>
      </c>
      <c r="P1592">
        <v>0.451009722</v>
      </c>
      <c r="Q1592">
        <v>-0.102386592</v>
      </c>
      <c r="S1592" s="13">
        <v>-1.3175284570000001</v>
      </c>
      <c r="T1592">
        <v>0.167894823</v>
      </c>
      <c r="U1592">
        <v>-0.11400312899999999</v>
      </c>
    </row>
    <row r="1593" spans="1:21" x14ac:dyDescent="0.2">
      <c r="A1593" t="s">
        <v>853</v>
      </c>
      <c r="B1593">
        <v>628040</v>
      </c>
      <c r="C1593" t="s">
        <v>6906</v>
      </c>
      <c r="D1593" t="s">
        <v>854</v>
      </c>
      <c r="E1593" t="s">
        <v>6946</v>
      </c>
      <c r="F1593">
        <v>5</v>
      </c>
      <c r="G1593">
        <v>11</v>
      </c>
      <c r="H1593" t="s">
        <v>10147</v>
      </c>
      <c r="J1593" t="s">
        <v>856</v>
      </c>
      <c r="M1593" t="s">
        <v>10148</v>
      </c>
      <c r="N1593">
        <v>1.813871112</v>
      </c>
      <c r="O1593">
        <v>2.6633694910000001</v>
      </c>
      <c r="P1593">
        <v>-0.29586356800000002</v>
      </c>
      <c r="Q1593">
        <v>-0.59018158399999998</v>
      </c>
      <c r="S1593" s="13">
        <v>-1.3175685479999999</v>
      </c>
      <c r="T1593">
        <v>0.167719637</v>
      </c>
      <c r="U1593">
        <v>-0.15109631300000001</v>
      </c>
    </row>
    <row r="1594" spans="1:21" x14ac:dyDescent="0.2">
      <c r="A1594" t="s">
        <v>1365</v>
      </c>
      <c r="B1594">
        <v>695600</v>
      </c>
      <c r="C1594" t="s">
        <v>6938</v>
      </c>
      <c r="D1594" t="s">
        <v>1365</v>
      </c>
      <c r="E1594" t="s">
        <v>6970</v>
      </c>
      <c r="F1594">
        <v>21</v>
      </c>
      <c r="G1594">
        <v>14</v>
      </c>
      <c r="H1594" t="s">
        <v>10149</v>
      </c>
      <c r="J1594" t="s">
        <v>3141</v>
      </c>
      <c r="M1594" t="s">
        <v>10150</v>
      </c>
      <c r="N1594">
        <v>2.092758737</v>
      </c>
      <c r="O1594">
        <v>5.3323610669999999</v>
      </c>
      <c r="P1594">
        <v>0.70420098600000003</v>
      </c>
      <c r="Q1594">
        <v>0.41355372699999998</v>
      </c>
      <c r="S1594" s="13">
        <v>-1.3177258670000001</v>
      </c>
      <c r="T1594">
        <v>0.167032186</v>
      </c>
      <c r="U1594">
        <v>-0.18010321900000001</v>
      </c>
    </row>
    <row r="1595" spans="1:21" x14ac:dyDescent="0.2">
      <c r="A1595" t="s">
        <v>465</v>
      </c>
      <c r="B1595">
        <v>574000</v>
      </c>
      <c r="C1595" t="s">
        <v>6931</v>
      </c>
      <c r="D1595" t="s">
        <v>466</v>
      </c>
      <c r="E1595" t="s">
        <v>6939</v>
      </c>
      <c r="F1595">
        <v>8</v>
      </c>
      <c r="G1595">
        <v>2</v>
      </c>
      <c r="H1595" t="s">
        <v>10151</v>
      </c>
      <c r="N1595">
        <v>1.9323965059999999</v>
      </c>
      <c r="O1595">
        <v>3.0528020530000002</v>
      </c>
      <c r="P1595">
        <v>2.6493138999999999E-2</v>
      </c>
      <c r="Q1595">
        <v>-0.38692188</v>
      </c>
      <c r="S1595" s="13">
        <v>-1.3182839500000001</v>
      </c>
      <c r="T1595">
        <v>0.16459349400000001</v>
      </c>
      <c r="U1595">
        <v>-0.110322697</v>
      </c>
    </row>
    <row r="1596" spans="1:21" x14ac:dyDescent="0.2">
      <c r="A1596" t="s">
        <v>267</v>
      </c>
      <c r="B1596">
        <v>694920</v>
      </c>
      <c r="C1596" t="s">
        <v>6938</v>
      </c>
      <c r="D1596" t="s">
        <v>268</v>
      </c>
      <c r="E1596" t="s">
        <v>6911</v>
      </c>
      <c r="F1596">
        <v>2</v>
      </c>
      <c r="G1596">
        <v>12</v>
      </c>
      <c r="H1596" t="s">
        <v>10152</v>
      </c>
      <c r="J1596" t="s">
        <v>3182</v>
      </c>
      <c r="M1596" t="s">
        <v>10153</v>
      </c>
      <c r="N1596">
        <v>2.092758737</v>
      </c>
      <c r="O1596">
        <v>5.3323610669999999</v>
      </c>
      <c r="P1596">
        <v>0.70420098600000003</v>
      </c>
      <c r="Q1596">
        <v>0.41355372699999998</v>
      </c>
      <c r="S1596" s="13">
        <v>-1.318309859</v>
      </c>
      <c r="T1596">
        <v>0.16448027600000001</v>
      </c>
      <c r="U1596">
        <v>-0.18058800999999999</v>
      </c>
    </row>
    <row r="1597" spans="1:21" x14ac:dyDescent="0.2">
      <c r="A1597" t="s">
        <v>2230</v>
      </c>
      <c r="B1597">
        <v>747080</v>
      </c>
      <c r="C1597" t="s">
        <v>6914</v>
      </c>
      <c r="D1597" t="s">
        <v>2231</v>
      </c>
      <c r="E1597" t="s">
        <v>7115</v>
      </c>
      <c r="F1597">
        <v>2</v>
      </c>
      <c r="G1597">
        <v>10</v>
      </c>
      <c r="H1597" t="s">
        <v>10154</v>
      </c>
      <c r="J1597" t="s">
        <v>3422</v>
      </c>
      <c r="M1597" t="s">
        <v>10155</v>
      </c>
      <c r="N1597">
        <v>1.8217074179999999</v>
      </c>
      <c r="O1597">
        <v>4.1700741289999996</v>
      </c>
      <c r="P1597">
        <v>0.189705977</v>
      </c>
      <c r="Q1597">
        <v>-1.7194070999999998E-2</v>
      </c>
      <c r="S1597" s="13">
        <v>-1.3184190899999999</v>
      </c>
      <c r="T1597">
        <v>0.164002961</v>
      </c>
      <c r="U1597">
        <v>-0.176187754</v>
      </c>
    </row>
    <row r="1598" spans="1:21" x14ac:dyDescent="0.2">
      <c r="A1598" t="s">
        <v>1343</v>
      </c>
      <c r="B1598">
        <v>529920</v>
      </c>
      <c r="C1598" t="s">
        <v>6945</v>
      </c>
      <c r="D1598" t="s">
        <v>1344</v>
      </c>
      <c r="E1598" t="s">
        <v>7085</v>
      </c>
      <c r="F1598">
        <v>7</v>
      </c>
      <c r="G1598">
        <v>9</v>
      </c>
      <c r="H1598" t="s">
        <v>10156</v>
      </c>
      <c r="J1598" t="s">
        <v>3673</v>
      </c>
      <c r="M1598" t="s">
        <v>10157</v>
      </c>
      <c r="N1598">
        <v>2.2220813349999999</v>
      </c>
      <c r="O1598">
        <v>6.5440947090000003</v>
      </c>
      <c r="P1598">
        <v>0.58228215500000002</v>
      </c>
      <c r="Q1598">
        <v>0.35188233000000002</v>
      </c>
      <c r="S1598" s="13">
        <v>-1.318436492</v>
      </c>
      <c r="T1598">
        <v>0.16392692</v>
      </c>
      <c r="U1598">
        <v>-0.203810404</v>
      </c>
    </row>
    <row r="1599" spans="1:21" x14ac:dyDescent="0.2">
      <c r="A1599" t="s">
        <v>283</v>
      </c>
      <c r="B1599">
        <v>694760</v>
      </c>
      <c r="C1599" t="s">
        <v>6938</v>
      </c>
      <c r="D1599" t="s">
        <v>284</v>
      </c>
      <c r="E1599" t="s">
        <v>6928</v>
      </c>
      <c r="F1599">
        <v>6</v>
      </c>
      <c r="G1599">
        <v>16</v>
      </c>
      <c r="H1599" t="s">
        <v>10158</v>
      </c>
      <c r="J1599" t="s">
        <v>1451</v>
      </c>
      <c r="M1599" t="s">
        <v>10159</v>
      </c>
      <c r="N1599">
        <v>2.092758737</v>
      </c>
      <c r="O1599">
        <v>5.3323610669999999</v>
      </c>
      <c r="P1599">
        <v>0.70420098600000003</v>
      </c>
      <c r="Q1599">
        <v>0.41355372699999998</v>
      </c>
      <c r="S1599" s="13">
        <v>-1.318447269</v>
      </c>
      <c r="T1599">
        <v>0.16387982600000001</v>
      </c>
      <c r="U1599">
        <v>-0.180702157</v>
      </c>
    </row>
    <row r="1600" spans="1:21" x14ac:dyDescent="0.2">
      <c r="A1600" t="s">
        <v>2764</v>
      </c>
      <c r="B1600">
        <v>673800</v>
      </c>
      <c r="C1600" t="s">
        <v>6927</v>
      </c>
      <c r="D1600" t="s">
        <v>2764</v>
      </c>
      <c r="E1600" t="s">
        <v>6921</v>
      </c>
      <c r="F1600">
        <v>12</v>
      </c>
      <c r="G1600">
        <v>8</v>
      </c>
      <c r="H1600" t="s">
        <v>10160</v>
      </c>
      <c r="J1600" t="s">
        <v>10161</v>
      </c>
      <c r="M1600" t="s">
        <v>10162</v>
      </c>
      <c r="N1600">
        <v>1.982575982</v>
      </c>
      <c r="O1600">
        <v>3.4571926419999999</v>
      </c>
      <c r="P1600">
        <v>-0.114791479</v>
      </c>
      <c r="Q1600">
        <v>1.868949E-3</v>
      </c>
      <c r="S1600" s="13">
        <v>-1.318581775</v>
      </c>
      <c r="T1600">
        <v>0.16329206499999999</v>
      </c>
      <c r="U1600">
        <v>-0.17137047999999999</v>
      </c>
    </row>
    <row r="1601" spans="1:21" x14ac:dyDescent="0.2">
      <c r="A1601" t="s">
        <v>364</v>
      </c>
      <c r="B1601">
        <v>673640</v>
      </c>
      <c r="C1601" t="s">
        <v>6927</v>
      </c>
      <c r="D1601" t="s">
        <v>364</v>
      </c>
      <c r="E1601" t="s">
        <v>6970</v>
      </c>
      <c r="F1601">
        <v>23</v>
      </c>
      <c r="G1601">
        <v>14</v>
      </c>
      <c r="H1601" t="s">
        <v>10163</v>
      </c>
      <c r="J1601" t="s">
        <v>10164</v>
      </c>
      <c r="M1601" t="s">
        <v>10165</v>
      </c>
      <c r="N1601">
        <v>1.982575982</v>
      </c>
      <c r="O1601">
        <v>3.4571926419999999</v>
      </c>
      <c r="P1601">
        <v>-0.114791479</v>
      </c>
      <c r="Q1601">
        <v>1.868949E-3</v>
      </c>
      <c r="S1601" s="13">
        <v>-1.3187477949999999</v>
      </c>
      <c r="T1601">
        <v>0.16256659600000001</v>
      </c>
      <c r="U1601">
        <v>-0.17148223000000001</v>
      </c>
    </row>
    <row r="1602" spans="1:21" x14ac:dyDescent="0.2">
      <c r="A1602" t="s">
        <v>1511</v>
      </c>
      <c r="B1602">
        <v>573280</v>
      </c>
      <c r="C1602" t="s">
        <v>6931</v>
      </c>
      <c r="D1602" t="s">
        <v>1512</v>
      </c>
      <c r="E1602" t="s">
        <v>6970</v>
      </c>
      <c r="F1602">
        <v>4</v>
      </c>
      <c r="G1602">
        <v>14</v>
      </c>
      <c r="H1602" t="s">
        <v>10166</v>
      </c>
      <c r="N1602">
        <v>1.9323965059999999</v>
      </c>
      <c r="O1602">
        <v>3.0528020530000002</v>
      </c>
      <c r="P1602">
        <v>2.6493138999999999E-2</v>
      </c>
      <c r="Q1602">
        <v>-0.38692188</v>
      </c>
      <c r="S1602" s="13">
        <v>-1.3192300109999999</v>
      </c>
      <c r="T1602">
        <v>0.16045942199999999</v>
      </c>
      <c r="U1602">
        <v>-0.11075979</v>
      </c>
    </row>
    <row r="1603" spans="1:21" x14ac:dyDescent="0.2">
      <c r="A1603" t="s">
        <v>1683</v>
      </c>
      <c r="B1603">
        <v>328880</v>
      </c>
      <c r="C1603" t="s">
        <v>6961</v>
      </c>
      <c r="D1603" t="s">
        <v>1683</v>
      </c>
      <c r="E1603" t="s">
        <v>6915</v>
      </c>
      <c r="F1603">
        <v>16</v>
      </c>
      <c r="G1603">
        <v>13</v>
      </c>
      <c r="H1603" t="s">
        <v>10167</v>
      </c>
      <c r="J1603" t="s">
        <v>6205</v>
      </c>
      <c r="M1603" t="s">
        <v>10168</v>
      </c>
      <c r="N1603">
        <v>2.7247480949999998</v>
      </c>
      <c r="O1603">
        <v>7.0822175119999997</v>
      </c>
      <c r="P1603">
        <v>0.61298291999999999</v>
      </c>
      <c r="Q1603">
        <v>0.48262032500000002</v>
      </c>
      <c r="S1603" s="13">
        <v>-1.319448403</v>
      </c>
      <c r="T1603">
        <v>0.15950510200000001</v>
      </c>
      <c r="U1603">
        <v>-0.23505316000000001</v>
      </c>
    </row>
    <row r="1604" spans="1:21" x14ac:dyDescent="0.2">
      <c r="A1604" t="s">
        <v>935</v>
      </c>
      <c r="B1604">
        <v>693440</v>
      </c>
      <c r="C1604" t="s">
        <v>6938</v>
      </c>
      <c r="D1604" t="s">
        <v>935</v>
      </c>
      <c r="E1604" t="s">
        <v>6921</v>
      </c>
      <c r="F1604">
        <v>18</v>
      </c>
      <c r="G1604">
        <v>8</v>
      </c>
      <c r="H1604" t="s">
        <v>10169</v>
      </c>
      <c r="J1604" t="s">
        <v>1306</v>
      </c>
      <c r="M1604" t="s">
        <v>10170</v>
      </c>
      <c r="N1604">
        <v>2.092758737</v>
      </c>
      <c r="O1604">
        <v>5.3323610669999999</v>
      </c>
      <c r="P1604">
        <v>0.70420098600000003</v>
      </c>
      <c r="Q1604">
        <v>0.41355372699999998</v>
      </c>
      <c r="S1604" s="13">
        <v>-1.3195809000000001</v>
      </c>
      <c r="T1604">
        <v>0.15892611800000001</v>
      </c>
      <c r="U1604">
        <v>-0.18164501799999999</v>
      </c>
    </row>
    <row r="1605" spans="1:21" x14ac:dyDescent="0.2">
      <c r="A1605" t="s">
        <v>598</v>
      </c>
      <c r="B1605">
        <v>328600</v>
      </c>
      <c r="C1605" t="s">
        <v>6961</v>
      </c>
      <c r="D1605" t="s">
        <v>598</v>
      </c>
      <c r="E1605" t="s">
        <v>7006</v>
      </c>
      <c r="F1605">
        <v>22</v>
      </c>
      <c r="G1605">
        <v>3</v>
      </c>
      <c r="H1605" t="s">
        <v>10171</v>
      </c>
      <c r="J1605" t="s">
        <v>5947</v>
      </c>
      <c r="M1605" t="s">
        <v>10172</v>
      </c>
      <c r="N1605">
        <v>2.7247480949999998</v>
      </c>
      <c r="O1605">
        <v>7.0822175119999997</v>
      </c>
      <c r="P1605">
        <v>0.61298291999999999</v>
      </c>
      <c r="Q1605">
        <v>0.48262032500000002</v>
      </c>
      <c r="S1605" s="13">
        <v>-1.319670055</v>
      </c>
      <c r="T1605">
        <v>0.15853653200000001</v>
      </c>
      <c r="U1605">
        <v>-0.23527963700000001</v>
      </c>
    </row>
    <row r="1606" spans="1:21" x14ac:dyDescent="0.2">
      <c r="A1606" t="s">
        <v>1260</v>
      </c>
      <c r="B1606">
        <v>737720</v>
      </c>
      <c r="C1606" t="s">
        <v>6953</v>
      </c>
      <c r="D1606" t="s">
        <v>1260</v>
      </c>
      <c r="E1606" t="s">
        <v>6915</v>
      </c>
      <c r="F1606">
        <v>19</v>
      </c>
      <c r="G1606">
        <v>13</v>
      </c>
      <c r="H1606" t="s">
        <v>10173</v>
      </c>
      <c r="J1606" t="s">
        <v>1931</v>
      </c>
      <c r="M1606" t="s">
        <v>10174</v>
      </c>
      <c r="N1606">
        <v>1.921480887</v>
      </c>
      <c r="O1606">
        <v>3.0856645180000002</v>
      </c>
      <c r="P1606">
        <v>0.44706724399999997</v>
      </c>
      <c r="Q1606">
        <v>-0.354940863</v>
      </c>
      <c r="S1606" s="13">
        <v>-1.3197335379999999</v>
      </c>
      <c r="T1606">
        <v>0.158259125</v>
      </c>
      <c r="U1606">
        <v>-0.11859230599999999</v>
      </c>
    </row>
    <row r="1607" spans="1:21" x14ac:dyDescent="0.2">
      <c r="A1607" t="s">
        <v>1544</v>
      </c>
      <c r="B1607">
        <v>693200</v>
      </c>
      <c r="C1607" t="s">
        <v>6938</v>
      </c>
      <c r="D1607" t="s">
        <v>1545</v>
      </c>
      <c r="E1607" t="s">
        <v>6924</v>
      </c>
      <c r="F1607">
        <v>6</v>
      </c>
      <c r="G1607">
        <v>6</v>
      </c>
      <c r="H1607" t="s">
        <v>10175</v>
      </c>
      <c r="J1607" t="s">
        <v>4978</v>
      </c>
      <c r="M1607" t="s">
        <v>10176</v>
      </c>
      <c r="N1607">
        <v>2.092758737</v>
      </c>
      <c r="O1607">
        <v>5.3323610669999999</v>
      </c>
      <c r="P1607">
        <v>0.70420098600000003</v>
      </c>
      <c r="Q1607">
        <v>0.41355372699999998</v>
      </c>
      <c r="S1607" s="13">
        <v>-1.319787015</v>
      </c>
      <c r="T1607">
        <v>0.15802544399999999</v>
      </c>
      <c r="U1607">
        <v>-0.18181666699999999</v>
      </c>
    </row>
    <row r="1608" spans="1:21" x14ac:dyDescent="0.2">
      <c r="A1608" t="s">
        <v>537</v>
      </c>
      <c r="B1608">
        <v>745680</v>
      </c>
      <c r="C1608" t="s">
        <v>6914</v>
      </c>
      <c r="D1608" t="s">
        <v>538</v>
      </c>
      <c r="E1608" t="s">
        <v>6928</v>
      </c>
      <c r="F1608">
        <v>8</v>
      </c>
      <c r="G1608">
        <v>16</v>
      </c>
      <c r="H1608" t="s">
        <v>10177</v>
      </c>
      <c r="J1608" t="s">
        <v>3637</v>
      </c>
      <c r="M1608" t="s">
        <v>10178</v>
      </c>
      <c r="N1608">
        <v>1.8217074179999999</v>
      </c>
      <c r="O1608">
        <v>4.1700741289999996</v>
      </c>
      <c r="P1608">
        <v>0.189705977</v>
      </c>
      <c r="Q1608">
        <v>-1.7194070999999998E-2</v>
      </c>
      <c r="S1608" s="13">
        <v>-1.3201029559999999</v>
      </c>
      <c r="T1608">
        <v>0.156644851</v>
      </c>
      <c r="U1608">
        <v>-0.17717747</v>
      </c>
    </row>
    <row r="1609" spans="1:21" x14ac:dyDescent="0.2">
      <c r="A1609" t="s">
        <v>1373</v>
      </c>
      <c r="B1609">
        <v>608320</v>
      </c>
      <c r="C1609" t="s">
        <v>6942</v>
      </c>
      <c r="D1609" t="s">
        <v>1373</v>
      </c>
      <c r="E1609" t="s">
        <v>6977</v>
      </c>
      <c r="F1609">
        <v>10</v>
      </c>
      <c r="G1609">
        <v>5</v>
      </c>
      <c r="H1609" t="s">
        <v>10179</v>
      </c>
      <c r="J1609" t="s">
        <v>1375</v>
      </c>
      <c r="M1609" t="s">
        <v>10180</v>
      </c>
      <c r="N1609">
        <v>2.0902262079999998</v>
      </c>
      <c r="O1609">
        <v>4.2704203920000001</v>
      </c>
      <c r="P1609">
        <v>0.23425843900000001</v>
      </c>
      <c r="Q1609">
        <v>1.6181978999999999E-2</v>
      </c>
      <c r="S1609" s="13">
        <v>-1.3201813790000001</v>
      </c>
      <c r="T1609">
        <v>0.156302161</v>
      </c>
      <c r="U1609">
        <v>-0.19811382299999999</v>
      </c>
    </row>
    <row r="1610" spans="1:21" x14ac:dyDescent="0.2">
      <c r="A1610" t="s">
        <v>2270</v>
      </c>
      <c r="B1610">
        <v>608240</v>
      </c>
      <c r="C1610" t="s">
        <v>6942</v>
      </c>
      <c r="D1610" t="s">
        <v>2271</v>
      </c>
      <c r="E1610" t="s">
        <v>6921</v>
      </c>
      <c r="F1610">
        <v>8</v>
      </c>
      <c r="G1610">
        <v>8</v>
      </c>
      <c r="H1610" t="s">
        <v>10181</v>
      </c>
      <c r="J1610" t="s">
        <v>2692</v>
      </c>
      <c r="M1610" t="s">
        <v>10182</v>
      </c>
      <c r="N1610">
        <v>2.0902262079999998</v>
      </c>
      <c r="O1610">
        <v>4.2704203920000001</v>
      </c>
      <c r="P1610">
        <v>0.23425843900000001</v>
      </c>
      <c r="Q1610">
        <v>1.6181978999999999E-2</v>
      </c>
      <c r="S1610" s="13">
        <v>-1.320259898</v>
      </c>
      <c r="T1610">
        <v>0.15595905099999999</v>
      </c>
      <c r="U1610">
        <v>-0.198173244</v>
      </c>
    </row>
    <row r="1611" spans="1:21" x14ac:dyDescent="0.2">
      <c r="A1611" t="s">
        <v>1778</v>
      </c>
      <c r="B1611">
        <v>745480</v>
      </c>
      <c r="C1611" t="s">
        <v>6914</v>
      </c>
      <c r="D1611" t="s">
        <v>1778</v>
      </c>
      <c r="E1611" t="s">
        <v>6974</v>
      </c>
      <c r="F1611">
        <v>21</v>
      </c>
      <c r="G1611">
        <v>15</v>
      </c>
      <c r="H1611" t="s">
        <v>10183</v>
      </c>
      <c r="J1611" t="s">
        <v>6295</v>
      </c>
      <c r="M1611" t="s">
        <v>10184</v>
      </c>
      <c r="N1611">
        <v>1.8217074179999999</v>
      </c>
      <c r="O1611">
        <v>4.1700741289999996</v>
      </c>
      <c r="P1611">
        <v>0.189705977</v>
      </c>
      <c r="Q1611">
        <v>-1.7194070999999998E-2</v>
      </c>
      <c r="S1611" s="13">
        <v>-1.320343509</v>
      </c>
      <c r="T1611">
        <v>0.15559369200000001</v>
      </c>
      <c r="U1611">
        <v>-0.17731904200000001</v>
      </c>
    </row>
    <row r="1612" spans="1:21" x14ac:dyDescent="0.2">
      <c r="A1612" t="s">
        <v>637</v>
      </c>
      <c r="B1612">
        <v>643240</v>
      </c>
      <c r="C1612" t="s">
        <v>6910</v>
      </c>
      <c r="D1612" t="s">
        <v>637</v>
      </c>
      <c r="E1612" t="s">
        <v>6977</v>
      </c>
      <c r="F1612">
        <v>19</v>
      </c>
      <c r="G1612">
        <v>5</v>
      </c>
      <c r="H1612" t="s">
        <v>10185</v>
      </c>
      <c r="J1612" t="s">
        <v>2559</v>
      </c>
      <c r="M1612" t="s">
        <v>10186</v>
      </c>
      <c r="N1612">
        <v>1.9874741039999999</v>
      </c>
      <c r="O1612">
        <v>3.7453511220000002</v>
      </c>
      <c r="P1612">
        <v>0.451009722</v>
      </c>
      <c r="Q1612">
        <v>-0.102386592</v>
      </c>
      <c r="S1612" s="13">
        <v>-1.3206270309999999</v>
      </c>
      <c r="T1612">
        <v>0.154354766</v>
      </c>
      <c r="U1612">
        <v>-0.11576908</v>
      </c>
    </row>
    <row r="1613" spans="1:21" x14ac:dyDescent="0.2">
      <c r="A1613" t="s">
        <v>2499</v>
      </c>
      <c r="B1613">
        <v>642920</v>
      </c>
      <c r="C1613" t="s">
        <v>6910</v>
      </c>
      <c r="D1613" t="s">
        <v>2500</v>
      </c>
      <c r="E1613" t="s">
        <v>6977</v>
      </c>
      <c r="F1613">
        <v>9</v>
      </c>
      <c r="G1613">
        <v>5</v>
      </c>
      <c r="H1613" t="s">
        <v>10187</v>
      </c>
      <c r="J1613" t="s">
        <v>2502</v>
      </c>
      <c r="M1613" t="s">
        <v>10188</v>
      </c>
      <c r="N1613">
        <v>1.9874741039999999</v>
      </c>
      <c r="O1613">
        <v>3.7453511220000002</v>
      </c>
      <c r="P1613">
        <v>0.451009722</v>
      </c>
      <c r="Q1613">
        <v>-0.102386592</v>
      </c>
      <c r="S1613" s="13">
        <v>-1.3209713169999999</v>
      </c>
      <c r="T1613">
        <v>0.15285031499999999</v>
      </c>
      <c r="U1613">
        <v>-0.115965741</v>
      </c>
    </row>
    <row r="1614" spans="1:21" x14ac:dyDescent="0.2">
      <c r="A1614" t="s">
        <v>175</v>
      </c>
      <c r="B1614">
        <v>691760</v>
      </c>
      <c r="C1614" t="s">
        <v>6938</v>
      </c>
      <c r="D1614" t="s">
        <v>175</v>
      </c>
      <c r="E1614" t="s">
        <v>7006</v>
      </c>
      <c r="F1614">
        <v>15</v>
      </c>
      <c r="G1614">
        <v>3</v>
      </c>
      <c r="H1614" t="s">
        <v>10189</v>
      </c>
      <c r="J1614" t="s">
        <v>2916</v>
      </c>
      <c r="M1614" t="s">
        <v>10190</v>
      </c>
      <c r="N1614">
        <v>2.092758737</v>
      </c>
      <c r="O1614">
        <v>5.3323610669999999</v>
      </c>
      <c r="P1614">
        <v>0.70420098600000003</v>
      </c>
      <c r="Q1614">
        <v>0.41355372699999998</v>
      </c>
      <c r="S1614" s="13">
        <v>-1.321023703</v>
      </c>
      <c r="T1614">
        <v>0.15262139799999999</v>
      </c>
      <c r="U1614">
        <v>-0.18284799099999999</v>
      </c>
    </row>
    <row r="1615" spans="1:21" x14ac:dyDescent="0.2">
      <c r="A1615" t="s">
        <v>892</v>
      </c>
      <c r="B1615">
        <v>526920</v>
      </c>
      <c r="C1615" t="s">
        <v>6945</v>
      </c>
      <c r="D1615" t="s">
        <v>892</v>
      </c>
      <c r="E1615" t="s">
        <v>6977</v>
      </c>
      <c r="F1615">
        <v>21</v>
      </c>
      <c r="G1615">
        <v>5</v>
      </c>
      <c r="H1615" t="s">
        <v>10191</v>
      </c>
      <c r="J1615" t="s">
        <v>5941</v>
      </c>
      <c r="M1615" t="s">
        <v>10192</v>
      </c>
      <c r="N1615">
        <v>2.2220813349999999</v>
      </c>
      <c r="O1615">
        <v>6.5440947090000003</v>
      </c>
      <c r="P1615">
        <v>0.58228215500000002</v>
      </c>
      <c r="Q1615">
        <v>0.35188233000000002</v>
      </c>
      <c r="S1615" s="13">
        <v>-1.3212661999999999</v>
      </c>
      <c r="T1615">
        <v>0.151561742</v>
      </c>
      <c r="U1615">
        <v>-0.20607381299999999</v>
      </c>
    </row>
    <row r="1616" spans="1:21" x14ac:dyDescent="0.2">
      <c r="A1616" t="s">
        <v>405</v>
      </c>
      <c r="B1616">
        <v>736240</v>
      </c>
      <c r="C1616" t="s">
        <v>6953</v>
      </c>
      <c r="D1616" t="s">
        <v>405</v>
      </c>
      <c r="E1616" t="s">
        <v>6946</v>
      </c>
      <c r="F1616">
        <v>23</v>
      </c>
      <c r="G1616">
        <v>11</v>
      </c>
      <c r="H1616" t="s">
        <v>10193</v>
      </c>
      <c r="J1616" t="s">
        <v>591</v>
      </c>
      <c r="M1616" t="s">
        <v>10194</v>
      </c>
      <c r="N1616">
        <v>1.921480887</v>
      </c>
      <c r="O1616">
        <v>3.0856645180000002</v>
      </c>
      <c r="P1616">
        <v>0.44706724399999997</v>
      </c>
      <c r="Q1616">
        <v>-0.354940863</v>
      </c>
      <c r="S1616" s="13">
        <v>-1.321269222</v>
      </c>
      <c r="T1616">
        <v>0.15154853700000001</v>
      </c>
      <c r="U1616">
        <v>-0.119508552</v>
      </c>
    </row>
    <row r="1617" spans="1:21" x14ac:dyDescent="0.2">
      <c r="A1617" t="s">
        <v>1598</v>
      </c>
      <c r="B1617">
        <v>642560</v>
      </c>
      <c r="C1617" t="s">
        <v>6910</v>
      </c>
      <c r="D1617" t="s">
        <v>1598</v>
      </c>
      <c r="E1617" t="s">
        <v>6970</v>
      </c>
      <c r="F1617">
        <v>17</v>
      </c>
      <c r="G1617">
        <v>14</v>
      </c>
      <c r="H1617" t="s">
        <v>10195</v>
      </c>
      <c r="J1617" t="s">
        <v>2951</v>
      </c>
      <c r="M1617" t="s">
        <v>10196</v>
      </c>
      <c r="N1617">
        <v>1.9874741039999999</v>
      </c>
      <c r="O1617">
        <v>3.7453511220000002</v>
      </c>
      <c r="P1617">
        <v>0.451009722</v>
      </c>
      <c r="Q1617">
        <v>-0.102386592</v>
      </c>
      <c r="S1617" s="13">
        <v>-1.321358638</v>
      </c>
      <c r="T1617">
        <v>0.151157808</v>
      </c>
      <c r="U1617">
        <v>-0.11618709000000001</v>
      </c>
    </row>
    <row r="1618" spans="1:21" x14ac:dyDescent="0.2">
      <c r="A1618" t="s">
        <v>1108</v>
      </c>
      <c r="B1618">
        <v>606960</v>
      </c>
      <c r="C1618" t="s">
        <v>6942</v>
      </c>
      <c r="D1618" t="s">
        <v>1109</v>
      </c>
      <c r="E1618" t="s">
        <v>6977</v>
      </c>
      <c r="F1618">
        <v>3</v>
      </c>
      <c r="G1618">
        <v>5</v>
      </c>
      <c r="H1618" t="s">
        <v>10197</v>
      </c>
      <c r="J1618" t="s">
        <v>3042</v>
      </c>
      <c r="M1618" t="s">
        <v>10198</v>
      </c>
      <c r="N1618">
        <v>2.0902262079999998</v>
      </c>
      <c r="O1618">
        <v>4.2704203920000001</v>
      </c>
      <c r="P1618">
        <v>0.23425843900000001</v>
      </c>
      <c r="Q1618">
        <v>1.6181978999999999E-2</v>
      </c>
      <c r="S1618" s="13">
        <v>-1.3215162039999999</v>
      </c>
      <c r="T1618">
        <v>0.15046928000000001</v>
      </c>
      <c r="U1618">
        <v>-0.19912507300000001</v>
      </c>
    </row>
    <row r="1619" spans="1:21" x14ac:dyDescent="0.2">
      <c r="A1619" t="s">
        <v>2040</v>
      </c>
      <c r="B1619">
        <v>526560</v>
      </c>
      <c r="C1619" t="s">
        <v>6945</v>
      </c>
      <c r="D1619" t="s">
        <v>2040</v>
      </c>
      <c r="E1619" t="s">
        <v>6946</v>
      </c>
      <c r="F1619">
        <v>18</v>
      </c>
      <c r="G1619">
        <v>11</v>
      </c>
      <c r="H1619" t="s">
        <v>10199</v>
      </c>
      <c r="J1619" t="s">
        <v>2042</v>
      </c>
      <c r="M1619" t="s">
        <v>10200</v>
      </c>
      <c r="N1619">
        <v>2.2220813349999999</v>
      </c>
      <c r="O1619">
        <v>6.5440947090000003</v>
      </c>
      <c r="P1619">
        <v>0.58228215500000002</v>
      </c>
      <c r="Q1619">
        <v>0.35188233000000002</v>
      </c>
      <c r="S1619" s="13">
        <v>-1.3216057649999999</v>
      </c>
      <c r="T1619">
        <v>0.150077921</v>
      </c>
      <c r="U1619">
        <v>-0.206346217</v>
      </c>
    </row>
    <row r="1620" spans="1:21" x14ac:dyDescent="0.2">
      <c r="A1620" t="s">
        <v>1160</v>
      </c>
      <c r="B1620">
        <v>625200</v>
      </c>
      <c r="C1620" t="s">
        <v>6906</v>
      </c>
      <c r="D1620" t="s">
        <v>1160</v>
      </c>
      <c r="E1620" t="s">
        <v>6907</v>
      </c>
      <c r="F1620">
        <v>22</v>
      </c>
      <c r="G1620">
        <v>4</v>
      </c>
      <c r="H1620" t="s">
        <v>10201</v>
      </c>
      <c r="J1620" t="s">
        <v>3707</v>
      </c>
      <c r="M1620" t="s">
        <v>10202</v>
      </c>
      <c r="N1620">
        <v>1.813871112</v>
      </c>
      <c r="O1620">
        <v>2.6633694910000001</v>
      </c>
      <c r="P1620">
        <v>-0.29586356800000002</v>
      </c>
      <c r="Q1620">
        <v>-0.59018158399999998</v>
      </c>
      <c r="S1620" s="13">
        <v>-1.3216886699999999</v>
      </c>
      <c r="T1620">
        <v>0.14971564600000001</v>
      </c>
      <c r="U1620">
        <v>-0.152993295</v>
      </c>
    </row>
    <row r="1621" spans="1:21" x14ac:dyDescent="0.2">
      <c r="A1621" t="s">
        <v>637</v>
      </c>
      <c r="B1621">
        <v>606680</v>
      </c>
      <c r="C1621" t="s">
        <v>6942</v>
      </c>
      <c r="D1621" t="s">
        <v>637</v>
      </c>
      <c r="E1621" t="s">
        <v>6977</v>
      </c>
      <c r="F1621">
        <v>19</v>
      </c>
      <c r="G1621">
        <v>5</v>
      </c>
      <c r="H1621" t="s">
        <v>10203</v>
      </c>
      <c r="J1621" t="s">
        <v>1641</v>
      </c>
      <c r="M1621" t="s">
        <v>10204</v>
      </c>
      <c r="N1621">
        <v>2.0902262079999998</v>
      </c>
      <c r="O1621">
        <v>4.2704203920000001</v>
      </c>
      <c r="P1621">
        <v>0.23425843900000001</v>
      </c>
      <c r="Q1621">
        <v>1.6181978999999999E-2</v>
      </c>
      <c r="S1621" s="13">
        <v>-1.3217910209999999</v>
      </c>
      <c r="T1621">
        <v>0.149268393</v>
      </c>
      <c r="U1621">
        <v>-0.19933356399999999</v>
      </c>
    </row>
    <row r="1622" spans="1:21" x14ac:dyDescent="0.2">
      <c r="A1622" t="s">
        <v>998</v>
      </c>
      <c r="B1622">
        <v>526200</v>
      </c>
      <c r="C1622" t="s">
        <v>6945</v>
      </c>
      <c r="D1622" t="s">
        <v>998</v>
      </c>
      <c r="E1622" t="s">
        <v>6970</v>
      </c>
      <c r="F1622">
        <v>13</v>
      </c>
      <c r="G1622">
        <v>14</v>
      </c>
      <c r="H1622" t="s">
        <v>10205</v>
      </c>
      <c r="J1622" t="s">
        <v>3669</v>
      </c>
      <c r="M1622" t="s">
        <v>10206</v>
      </c>
      <c r="N1622">
        <v>2.2220813349999999</v>
      </c>
      <c r="O1622">
        <v>6.5440947090000003</v>
      </c>
      <c r="P1622">
        <v>0.58228215500000002</v>
      </c>
      <c r="Q1622">
        <v>0.35188233000000002</v>
      </c>
      <c r="S1622" s="13">
        <v>-1.3219453299999999</v>
      </c>
      <c r="T1622">
        <v>0.14859409900000001</v>
      </c>
      <c r="U1622">
        <v>-0.206618791</v>
      </c>
    </row>
    <row r="1623" spans="1:21" x14ac:dyDescent="0.2">
      <c r="A1623" t="s">
        <v>124</v>
      </c>
      <c r="B1623">
        <v>735400</v>
      </c>
      <c r="C1623" t="s">
        <v>6953</v>
      </c>
      <c r="D1623" t="s">
        <v>125</v>
      </c>
      <c r="E1623" t="s">
        <v>6918</v>
      </c>
      <c r="F1623">
        <v>7</v>
      </c>
      <c r="G1623">
        <v>1</v>
      </c>
      <c r="H1623" t="s">
        <v>10207</v>
      </c>
      <c r="J1623" t="s">
        <v>5547</v>
      </c>
      <c r="M1623" t="s">
        <v>10208</v>
      </c>
      <c r="N1623">
        <v>1.921480887</v>
      </c>
      <c r="O1623">
        <v>3.0856645180000002</v>
      </c>
      <c r="P1623">
        <v>0.44706724399999997</v>
      </c>
      <c r="Q1623">
        <v>-0.354940863</v>
      </c>
      <c r="S1623" s="13">
        <v>-1.322140826</v>
      </c>
      <c r="T1623">
        <v>0.14773982499999999</v>
      </c>
      <c r="U1623">
        <v>-0.120029445</v>
      </c>
    </row>
    <row r="1624" spans="1:21" x14ac:dyDescent="0.2">
      <c r="A1624" t="s">
        <v>1739</v>
      </c>
      <c r="B1624">
        <v>525880</v>
      </c>
      <c r="C1624" t="s">
        <v>6945</v>
      </c>
      <c r="D1624" t="s">
        <v>1739</v>
      </c>
      <c r="E1624" t="s">
        <v>7085</v>
      </c>
      <c r="F1624">
        <v>10</v>
      </c>
      <c r="G1624">
        <v>9</v>
      </c>
      <c r="H1624" t="s">
        <v>10209</v>
      </c>
      <c r="J1624" t="s">
        <v>5211</v>
      </c>
      <c r="M1624" t="s">
        <v>10210</v>
      </c>
      <c r="N1624">
        <v>2.2220813349999999</v>
      </c>
      <c r="O1624">
        <v>6.5440947090000003</v>
      </c>
      <c r="P1624">
        <v>0.58228215500000002</v>
      </c>
      <c r="Q1624">
        <v>0.35188233000000002</v>
      </c>
      <c r="S1624" s="13">
        <v>-1.3222471659999999</v>
      </c>
      <c r="T1624">
        <v>0.147275147</v>
      </c>
      <c r="U1624">
        <v>-0.20686122300000001</v>
      </c>
    </row>
    <row r="1625" spans="1:21" x14ac:dyDescent="0.2">
      <c r="A1625" t="s">
        <v>924</v>
      </c>
      <c r="B1625">
        <v>690160</v>
      </c>
      <c r="C1625" t="s">
        <v>6938</v>
      </c>
      <c r="D1625" t="s">
        <v>924</v>
      </c>
      <c r="E1625" t="s">
        <v>7115</v>
      </c>
      <c r="F1625">
        <v>17</v>
      </c>
      <c r="G1625">
        <v>10</v>
      </c>
      <c r="H1625" t="s">
        <v>10211</v>
      </c>
      <c r="J1625" t="s">
        <v>3567</v>
      </c>
      <c r="M1625" t="s">
        <v>10212</v>
      </c>
      <c r="N1625">
        <v>2.092758737</v>
      </c>
      <c r="O1625">
        <v>5.3323610669999999</v>
      </c>
      <c r="P1625">
        <v>0.70420098600000003</v>
      </c>
      <c r="Q1625">
        <v>0.41355372699999998</v>
      </c>
      <c r="S1625" s="13">
        <v>-1.3223978009999999</v>
      </c>
      <c r="T1625">
        <v>0.14661690299999999</v>
      </c>
      <c r="U1625">
        <v>-0.183996786</v>
      </c>
    </row>
    <row r="1626" spans="1:21" x14ac:dyDescent="0.2">
      <c r="A1626" t="s">
        <v>1409</v>
      </c>
      <c r="B1626">
        <v>690120</v>
      </c>
      <c r="C1626" t="s">
        <v>6938</v>
      </c>
      <c r="D1626" t="s">
        <v>1410</v>
      </c>
      <c r="E1626" t="s">
        <v>7115</v>
      </c>
      <c r="F1626">
        <v>6</v>
      </c>
      <c r="G1626">
        <v>10</v>
      </c>
      <c r="H1626" t="s">
        <v>10213</v>
      </c>
      <c r="J1626" t="s">
        <v>4229</v>
      </c>
      <c r="M1626" t="s">
        <v>10214</v>
      </c>
      <c r="N1626">
        <v>2.092758737</v>
      </c>
      <c r="O1626">
        <v>5.3323610669999999</v>
      </c>
      <c r="P1626">
        <v>0.70420098600000003</v>
      </c>
      <c r="Q1626">
        <v>0.41355372699999998</v>
      </c>
      <c r="S1626" s="13">
        <v>-1.3224321539999999</v>
      </c>
      <c r="T1626">
        <v>0.14646679000000001</v>
      </c>
      <c r="U1626">
        <v>-0.18402554500000001</v>
      </c>
    </row>
    <row r="1627" spans="1:21" x14ac:dyDescent="0.2">
      <c r="A1627" t="s">
        <v>1104</v>
      </c>
      <c r="B1627">
        <v>734960</v>
      </c>
      <c r="C1627" t="s">
        <v>6953</v>
      </c>
      <c r="D1627" t="s">
        <v>1105</v>
      </c>
      <c r="E1627" t="s">
        <v>6956</v>
      </c>
      <c r="F1627">
        <v>2</v>
      </c>
      <c r="G1627">
        <v>7</v>
      </c>
      <c r="H1627" t="s">
        <v>10215</v>
      </c>
      <c r="J1627" t="s">
        <v>1107</v>
      </c>
      <c r="M1627" t="s">
        <v>10216</v>
      </c>
      <c r="N1627">
        <v>1.921480887</v>
      </c>
      <c r="O1627">
        <v>3.0856645180000002</v>
      </c>
      <c r="P1627">
        <v>0.44706724399999997</v>
      </c>
      <c r="Q1627">
        <v>-0.354940863</v>
      </c>
      <c r="S1627" s="13">
        <v>-1.322597381</v>
      </c>
      <c r="T1627">
        <v>0.14574478499999999</v>
      </c>
      <c r="U1627">
        <v>-0.120302544</v>
      </c>
    </row>
    <row r="1628" spans="1:21" x14ac:dyDescent="0.2">
      <c r="A1628" t="s">
        <v>2348</v>
      </c>
      <c r="B1628">
        <v>734960</v>
      </c>
      <c r="C1628" t="s">
        <v>6953</v>
      </c>
      <c r="D1628" t="s">
        <v>2348</v>
      </c>
      <c r="E1628" t="s">
        <v>6911</v>
      </c>
      <c r="F1628">
        <v>11</v>
      </c>
      <c r="G1628">
        <v>12</v>
      </c>
      <c r="H1628" t="s">
        <v>10217</v>
      </c>
      <c r="J1628" t="s">
        <v>5028</v>
      </c>
      <c r="M1628" t="s">
        <v>10218</v>
      </c>
      <c r="N1628">
        <v>1.921480887</v>
      </c>
      <c r="O1628">
        <v>3.0856645180000002</v>
      </c>
      <c r="P1628">
        <v>0.44706724399999997</v>
      </c>
      <c r="Q1628">
        <v>-0.354940863</v>
      </c>
      <c r="S1628" s="13">
        <v>-1.322597381</v>
      </c>
      <c r="T1628">
        <v>0.14574478499999999</v>
      </c>
      <c r="U1628">
        <v>-0.120302544</v>
      </c>
    </row>
    <row r="1629" spans="1:21" x14ac:dyDescent="0.2">
      <c r="A1629" t="s">
        <v>1092</v>
      </c>
      <c r="B1629">
        <v>743520</v>
      </c>
      <c r="C1629" t="s">
        <v>6914</v>
      </c>
      <c r="D1629" t="s">
        <v>1092</v>
      </c>
      <c r="E1629" t="s">
        <v>6970</v>
      </c>
      <c r="F1629">
        <v>20</v>
      </c>
      <c r="G1629">
        <v>14</v>
      </c>
      <c r="H1629" t="s">
        <v>10219</v>
      </c>
      <c r="J1629" t="s">
        <v>5157</v>
      </c>
      <c r="M1629" t="s">
        <v>10220</v>
      </c>
      <c r="N1629">
        <v>1.8217074179999999</v>
      </c>
      <c r="O1629">
        <v>4.1700741289999996</v>
      </c>
      <c r="P1629">
        <v>0.189705977</v>
      </c>
      <c r="Q1629">
        <v>-1.7194070999999998E-2</v>
      </c>
      <c r="S1629" s="13">
        <v>-1.322700921</v>
      </c>
      <c r="T1629">
        <v>0.14529233799999999</v>
      </c>
      <c r="U1629">
        <v>-0.178708899</v>
      </c>
    </row>
    <row r="1630" spans="1:21" x14ac:dyDescent="0.2">
      <c r="A1630" t="s">
        <v>1140</v>
      </c>
      <c r="B1630">
        <v>743400</v>
      </c>
      <c r="C1630" t="s">
        <v>6914</v>
      </c>
      <c r="D1630" t="s">
        <v>1141</v>
      </c>
      <c r="E1630" t="s">
        <v>7085</v>
      </c>
      <c r="F1630">
        <v>4</v>
      </c>
      <c r="G1630">
        <v>9</v>
      </c>
      <c r="H1630" t="s">
        <v>10221</v>
      </c>
      <c r="J1630" t="s">
        <v>4980</v>
      </c>
      <c r="M1630" t="s">
        <v>10222</v>
      </c>
      <c r="N1630">
        <v>1.8217074179999999</v>
      </c>
      <c r="O1630">
        <v>4.1700741289999996</v>
      </c>
      <c r="P1630">
        <v>0.189705977</v>
      </c>
      <c r="Q1630">
        <v>-1.7194070999999998E-2</v>
      </c>
      <c r="S1630" s="13">
        <v>-1.3228452530000001</v>
      </c>
      <c r="T1630">
        <v>0.14466164300000001</v>
      </c>
      <c r="U1630">
        <v>-0.17879413699999999</v>
      </c>
    </row>
    <row r="1631" spans="1:21" x14ac:dyDescent="0.2">
      <c r="A1631" t="s">
        <v>243</v>
      </c>
      <c r="B1631">
        <v>641120</v>
      </c>
      <c r="C1631" t="s">
        <v>6910</v>
      </c>
      <c r="D1631" t="s">
        <v>243</v>
      </c>
      <c r="E1631" t="s">
        <v>6918</v>
      </c>
      <c r="F1631">
        <v>14</v>
      </c>
      <c r="G1631">
        <v>1</v>
      </c>
      <c r="H1631" t="s">
        <v>10223</v>
      </c>
      <c r="J1631" t="s">
        <v>6537</v>
      </c>
      <c r="M1631" t="s">
        <v>10224</v>
      </c>
      <c r="N1631">
        <v>1.9874741039999999</v>
      </c>
      <c r="O1631">
        <v>3.7453511220000002</v>
      </c>
      <c r="P1631">
        <v>0.451009722</v>
      </c>
      <c r="Q1631">
        <v>-0.102386592</v>
      </c>
      <c r="S1631" s="13">
        <v>-1.322907925</v>
      </c>
      <c r="T1631">
        <v>0.14438777899999999</v>
      </c>
      <c r="U1631">
        <v>-0.11707362</v>
      </c>
    </row>
    <row r="1632" spans="1:21" x14ac:dyDescent="0.2">
      <c r="A1632" t="s">
        <v>995</v>
      </c>
      <c r="B1632">
        <v>525120</v>
      </c>
      <c r="C1632" t="s">
        <v>6945</v>
      </c>
      <c r="D1632" t="s">
        <v>995</v>
      </c>
      <c r="E1632" t="s">
        <v>6907</v>
      </c>
      <c r="F1632">
        <v>20</v>
      </c>
      <c r="G1632">
        <v>4</v>
      </c>
      <c r="H1632" t="s">
        <v>10225</v>
      </c>
      <c r="J1632" t="s">
        <v>4000</v>
      </c>
      <c r="M1632" t="s">
        <v>10226</v>
      </c>
      <c r="N1632">
        <v>2.2220813349999999</v>
      </c>
      <c r="O1632">
        <v>6.5440947090000003</v>
      </c>
      <c r="P1632">
        <v>0.58228215500000002</v>
      </c>
      <c r="Q1632">
        <v>0.35188233000000002</v>
      </c>
      <c r="S1632" s="13">
        <v>-1.3229640250000001</v>
      </c>
      <c r="T1632">
        <v>0.14414263499999999</v>
      </c>
      <c r="U1632">
        <v>-0.207437543</v>
      </c>
    </row>
    <row r="1633" spans="1:21" x14ac:dyDescent="0.2">
      <c r="A1633" t="s">
        <v>1055</v>
      </c>
      <c r="B1633">
        <v>641000</v>
      </c>
      <c r="C1633" t="s">
        <v>6910</v>
      </c>
      <c r="D1633" t="s">
        <v>1055</v>
      </c>
      <c r="E1633" t="s">
        <v>6970</v>
      </c>
      <c r="F1633">
        <v>11</v>
      </c>
      <c r="G1633">
        <v>14</v>
      </c>
      <c r="H1633" t="s">
        <v>10227</v>
      </c>
      <c r="J1633" t="s">
        <v>3317</v>
      </c>
      <c r="M1633" t="s">
        <v>10228</v>
      </c>
      <c r="N1633">
        <v>1.9874741039999999</v>
      </c>
      <c r="O1633">
        <v>3.7453511220000002</v>
      </c>
      <c r="P1633">
        <v>0.451009722</v>
      </c>
      <c r="Q1633">
        <v>-0.102386592</v>
      </c>
      <c r="S1633" s="13">
        <v>-1.323037032</v>
      </c>
      <c r="T1633">
        <v>0.14382360999999999</v>
      </c>
      <c r="U1633">
        <v>-0.117147579</v>
      </c>
    </row>
    <row r="1634" spans="1:21" x14ac:dyDescent="0.2">
      <c r="A1634" t="s">
        <v>218</v>
      </c>
      <c r="B1634">
        <v>640960</v>
      </c>
      <c r="C1634" t="s">
        <v>6910</v>
      </c>
      <c r="D1634" t="s">
        <v>218</v>
      </c>
      <c r="E1634" t="s">
        <v>6918</v>
      </c>
      <c r="F1634">
        <v>22</v>
      </c>
      <c r="G1634">
        <v>1</v>
      </c>
      <c r="H1634" t="s">
        <v>10229</v>
      </c>
      <c r="J1634" t="s">
        <v>1354</v>
      </c>
      <c r="M1634" t="s">
        <v>10230</v>
      </c>
      <c r="N1634">
        <v>1.9874741039999999</v>
      </c>
      <c r="O1634">
        <v>3.7453511220000002</v>
      </c>
      <c r="P1634">
        <v>0.451009722</v>
      </c>
      <c r="Q1634">
        <v>-0.102386592</v>
      </c>
      <c r="S1634" s="13">
        <v>-1.3230800680000001</v>
      </c>
      <c r="T1634">
        <v>0.143635554</v>
      </c>
      <c r="U1634">
        <v>-0.117172235</v>
      </c>
    </row>
    <row r="1635" spans="1:21" x14ac:dyDescent="0.2">
      <c r="A1635" t="s">
        <v>529</v>
      </c>
      <c r="B1635">
        <v>640720</v>
      </c>
      <c r="C1635" t="s">
        <v>6910</v>
      </c>
      <c r="D1635" t="s">
        <v>529</v>
      </c>
      <c r="E1635" t="s">
        <v>6956</v>
      </c>
      <c r="F1635">
        <v>22</v>
      </c>
      <c r="G1635">
        <v>7</v>
      </c>
      <c r="H1635" t="s">
        <v>10231</v>
      </c>
      <c r="J1635" t="s">
        <v>3209</v>
      </c>
      <c r="M1635" t="s">
        <v>10232</v>
      </c>
      <c r="N1635">
        <v>1.9874741039999999</v>
      </c>
      <c r="O1635">
        <v>3.7453511220000002</v>
      </c>
      <c r="P1635">
        <v>0.451009722</v>
      </c>
      <c r="Q1635">
        <v>-0.102386592</v>
      </c>
      <c r="S1635" s="13">
        <v>-1.3233382819999999</v>
      </c>
      <c r="T1635">
        <v>0.14250721599999999</v>
      </c>
      <c r="U1635">
        <v>-0.117320199</v>
      </c>
    </row>
    <row r="1636" spans="1:21" x14ac:dyDescent="0.2">
      <c r="A1636" t="s">
        <v>574</v>
      </c>
      <c r="B1636">
        <v>669160</v>
      </c>
      <c r="C1636" t="s">
        <v>6927</v>
      </c>
      <c r="D1636" t="s">
        <v>574</v>
      </c>
      <c r="E1636" t="s">
        <v>6977</v>
      </c>
      <c r="F1636">
        <v>20</v>
      </c>
      <c r="G1636">
        <v>5</v>
      </c>
      <c r="H1636" t="s">
        <v>10233</v>
      </c>
      <c r="J1636" t="s">
        <v>10234</v>
      </c>
      <c r="M1636" t="s">
        <v>10235</v>
      </c>
      <c r="N1636">
        <v>1.982575982</v>
      </c>
      <c r="O1636">
        <v>3.4571926419999999</v>
      </c>
      <c r="P1636">
        <v>-0.114791479</v>
      </c>
      <c r="Q1636">
        <v>1.868949E-3</v>
      </c>
      <c r="S1636" s="13">
        <v>-1.3233963520000001</v>
      </c>
      <c r="T1636">
        <v>0.142253466</v>
      </c>
      <c r="U1636">
        <v>-0.174622955</v>
      </c>
    </row>
    <row r="1637" spans="1:21" x14ac:dyDescent="0.2">
      <c r="A1637" t="s">
        <v>415</v>
      </c>
      <c r="B1637">
        <v>734120</v>
      </c>
      <c r="C1637" t="s">
        <v>6953</v>
      </c>
      <c r="D1637" t="s">
        <v>415</v>
      </c>
      <c r="E1637" t="s">
        <v>6924</v>
      </c>
      <c r="F1637">
        <v>19</v>
      </c>
      <c r="G1637">
        <v>6</v>
      </c>
      <c r="H1637" t="s">
        <v>10236</v>
      </c>
      <c r="J1637" t="s">
        <v>2650</v>
      </c>
      <c r="M1637" t="s">
        <v>10237</v>
      </c>
      <c r="N1637">
        <v>1.921480887</v>
      </c>
      <c r="O1637">
        <v>3.0856645180000002</v>
      </c>
      <c r="P1637">
        <v>0.44706724399999997</v>
      </c>
      <c r="Q1637">
        <v>-0.354940863</v>
      </c>
      <c r="S1637" s="13">
        <v>-1.3234689850000001</v>
      </c>
      <c r="T1637">
        <v>0.141936074</v>
      </c>
      <c r="U1637">
        <v>-0.12082439</v>
      </c>
    </row>
    <row r="1638" spans="1:21" x14ac:dyDescent="0.2">
      <c r="A1638" t="s">
        <v>198</v>
      </c>
      <c r="B1638">
        <v>570040</v>
      </c>
      <c r="C1638" t="s">
        <v>6931</v>
      </c>
      <c r="D1638" t="s">
        <v>199</v>
      </c>
      <c r="E1638" t="s">
        <v>6918</v>
      </c>
      <c r="F1638">
        <v>3</v>
      </c>
      <c r="G1638">
        <v>1</v>
      </c>
      <c r="H1638" t="s">
        <v>10238</v>
      </c>
      <c r="J1638" t="s">
        <v>201</v>
      </c>
      <c r="M1638" t="s">
        <v>10239</v>
      </c>
      <c r="N1638">
        <v>1.9323965059999999</v>
      </c>
      <c r="O1638">
        <v>3.0528020530000002</v>
      </c>
      <c r="P1638">
        <v>2.6493138999999999E-2</v>
      </c>
      <c r="Q1638">
        <v>-0.38692188</v>
      </c>
      <c r="S1638" s="13">
        <v>-1.3234872870000001</v>
      </c>
      <c r="T1638">
        <v>0.14185609900000001</v>
      </c>
      <c r="U1638">
        <v>-0.11273217200000001</v>
      </c>
    </row>
    <row r="1639" spans="1:21" x14ac:dyDescent="0.2">
      <c r="A1639" t="s">
        <v>2341</v>
      </c>
      <c r="B1639">
        <v>604920</v>
      </c>
      <c r="C1639" t="s">
        <v>6942</v>
      </c>
      <c r="D1639" t="s">
        <v>2341</v>
      </c>
      <c r="E1639" t="s">
        <v>6921</v>
      </c>
      <c r="F1639">
        <v>14</v>
      </c>
      <c r="G1639">
        <v>8</v>
      </c>
      <c r="H1639" t="s">
        <v>10240</v>
      </c>
      <c r="J1639" t="s">
        <v>4836</v>
      </c>
      <c r="M1639" t="s">
        <v>10241</v>
      </c>
      <c r="N1639">
        <v>2.0902262079999998</v>
      </c>
      <c r="O1639">
        <v>4.2704203920000001</v>
      </c>
      <c r="P1639">
        <v>0.23425843900000001</v>
      </c>
      <c r="Q1639">
        <v>1.6181978999999999E-2</v>
      </c>
      <c r="S1639" s="13">
        <v>-1.3235184419999999</v>
      </c>
      <c r="T1639">
        <v>0.14171995900000001</v>
      </c>
      <c r="U1639">
        <v>-0.20064637699999999</v>
      </c>
    </row>
    <row r="1640" spans="1:21" x14ac:dyDescent="0.2">
      <c r="A1640" t="s">
        <v>1055</v>
      </c>
      <c r="B1640">
        <v>569840</v>
      </c>
      <c r="C1640" t="s">
        <v>6931</v>
      </c>
      <c r="D1640" t="s">
        <v>1055</v>
      </c>
      <c r="E1640" t="s">
        <v>6970</v>
      </c>
      <c r="F1640">
        <v>11</v>
      </c>
      <c r="G1640">
        <v>14</v>
      </c>
      <c r="H1640" t="s">
        <v>10242</v>
      </c>
      <c r="N1640">
        <v>1.9323965059999999</v>
      </c>
      <c r="O1640">
        <v>3.0528020530000002</v>
      </c>
      <c r="P1640">
        <v>2.6493138999999999E-2</v>
      </c>
      <c r="Q1640">
        <v>-0.38692188</v>
      </c>
      <c r="S1640" s="13">
        <v>-1.3237500820000001</v>
      </c>
      <c r="T1640">
        <v>0.140707745</v>
      </c>
      <c r="U1640">
        <v>-0.11285421800000001</v>
      </c>
    </row>
    <row r="1641" spans="1:21" x14ac:dyDescent="0.2">
      <c r="A1641" t="s">
        <v>2657</v>
      </c>
      <c r="B1641">
        <v>569800</v>
      </c>
      <c r="C1641" t="s">
        <v>6931</v>
      </c>
      <c r="D1641" t="s">
        <v>2658</v>
      </c>
      <c r="E1641" t="s">
        <v>6977</v>
      </c>
      <c r="F1641">
        <v>8</v>
      </c>
      <c r="G1641">
        <v>5</v>
      </c>
      <c r="H1641" t="s">
        <v>10243</v>
      </c>
      <c r="N1641">
        <v>1.9323965059999999</v>
      </c>
      <c r="O1641">
        <v>3.0528020530000002</v>
      </c>
      <c r="P1641">
        <v>2.6493138999999999E-2</v>
      </c>
      <c r="Q1641">
        <v>-0.38692188</v>
      </c>
      <c r="S1641" s="13">
        <v>-1.3238026409999999</v>
      </c>
      <c r="T1641">
        <v>0.14047807500000001</v>
      </c>
      <c r="U1641">
        <v>-0.11287863099999999</v>
      </c>
    </row>
    <row r="1642" spans="1:21" x14ac:dyDescent="0.2">
      <c r="A1642" t="s">
        <v>1295</v>
      </c>
      <c r="B1642">
        <v>742560</v>
      </c>
      <c r="C1642" t="s">
        <v>6914</v>
      </c>
      <c r="D1642" t="s">
        <v>1296</v>
      </c>
      <c r="E1642" t="s">
        <v>6921</v>
      </c>
      <c r="F1642">
        <v>5</v>
      </c>
      <c r="G1642">
        <v>8</v>
      </c>
      <c r="H1642" t="s">
        <v>10244</v>
      </c>
      <c r="J1642" t="s">
        <v>6725</v>
      </c>
      <c r="M1642" t="s">
        <v>10245</v>
      </c>
      <c r="N1642">
        <v>1.8217074179999999</v>
      </c>
      <c r="O1642">
        <v>4.1700741289999996</v>
      </c>
      <c r="P1642">
        <v>0.189705977</v>
      </c>
      <c r="Q1642">
        <v>-1.7194070999999998E-2</v>
      </c>
      <c r="S1642" s="13">
        <v>-1.323855572</v>
      </c>
      <c r="T1642">
        <v>0.14024677699999999</v>
      </c>
      <c r="U1642">
        <v>-0.17939127199999999</v>
      </c>
    </row>
    <row r="1643" spans="1:21" x14ac:dyDescent="0.2">
      <c r="A1643" t="s">
        <v>263</v>
      </c>
      <c r="B1643">
        <v>688040</v>
      </c>
      <c r="C1643" t="s">
        <v>6938</v>
      </c>
      <c r="D1643" t="s">
        <v>264</v>
      </c>
      <c r="E1643" t="s">
        <v>6974</v>
      </c>
      <c r="F1643">
        <v>5</v>
      </c>
      <c r="G1643">
        <v>15</v>
      </c>
      <c r="H1643" t="s">
        <v>10246</v>
      </c>
      <c r="J1643" t="s">
        <v>4532</v>
      </c>
      <c r="M1643" t="s">
        <v>10247</v>
      </c>
      <c r="N1643">
        <v>2.092758737</v>
      </c>
      <c r="O1643">
        <v>5.3323610669999999</v>
      </c>
      <c r="P1643">
        <v>0.70420098600000003</v>
      </c>
      <c r="Q1643">
        <v>0.41355372699999998</v>
      </c>
      <c r="S1643" s="13">
        <v>-1.324218482</v>
      </c>
      <c r="T1643">
        <v>0.13866094700000001</v>
      </c>
      <c r="U1643">
        <v>-0.18552363499999999</v>
      </c>
    </row>
    <row r="1644" spans="1:21" x14ac:dyDescent="0.2">
      <c r="A1644" t="s">
        <v>1269</v>
      </c>
      <c r="B1644">
        <v>523680</v>
      </c>
      <c r="C1644" t="s">
        <v>6945</v>
      </c>
      <c r="D1644" t="s">
        <v>1269</v>
      </c>
      <c r="E1644" t="s">
        <v>6924</v>
      </c>
      <c r="F1644">
        <v>11</v>
      </c>
      <c r="G1644">
        <v>6</v>
      </c>
      <c r="H1644" t="s">
        <v>10248</v>
      </c>
      <c r="J1644" t="s">
        <v>4376</v>
      </c>
      <c r="M1644" t="s">
        <v>10249</v>
      </c>
      <c r="N1644">
        <v>2.2220813349999999</v>
      </c>
      <c r="O1644">
        <v>6.5440947090000003</v>
      </c>
      <c r="P1644">
        <v>0.58228215500000002</v>
      </c>
      <c r="Q1644">
        <v>0.35188233000000002</v>
      </c>
      <c r="S1644" s="13">
        <v>-1.324322285</v>
      </c>
      <c r="T1644">
        <v>0.13820735000000001</v>
      </c>
      <c r="U1644">
        <v>-0.208531618</v>
      </c>
    </row>
    <row r="1645" spans="1:21" x14ac:dyDescent="0.2">
      <c r="A1645" t="s">
        <v>2960</v>
      </c>
      <c r="B1645">
        <v>668040</v>
      </c>
      <c r="C1645" t="s">
        <v>6927</v>
      </c>
      <c r="D1645" t="s">
        <v>2961</v>
      </c>
      <c r="E1645" t="s">
        <v>6939</v>
      </c>
      <c r="F1645">
        <v>7</v>
      </c>
      <c r="G1645">
        <v>2</v>
      </c>
      <c r="H1645" t="s">
        <v>10250</v>
      </c>
      <c r="J1645" t="s">
        <v>10251</v>
      </c>
      <c r="M1645" t="s">
        <v>10252</v>
      </c>
      <c r="N1645">
        <v>1.982575982</v>
      </c>
      <c r="O1645">
        <v>3.4571926419999999</v>
      </c>
      <c r="P1645">
        <v>-0.114791479</v>
      </c>
      <c r="Q1645">
        <v>1.868949E-3</v>
      </c>
      <c r="S1645" s="13">
        <v>-1.3245584909999999</v>
      </c>
      <c r="T1645">
        <v>0.13717518400000001</v>
      </c>
      <c r="U1645">
        <v>-0.175411698</v>
      </c>
    </row>
    <row r="1646" spans="1:21" x14ac:dyDescent="0.2">
      <c r="A1646" t="s">
        <v>736</v>
      </c>
      <c r="B1646">
        <v>623080</v>
      </c>
      <c r="C1646" t="s">
        <v>6906</v>
      </c>
      <c r="D1646" t="s">
        <v>736</v>
      </c>
      <c r="E1646" t="s">
        <v>6939</v>
      </c>
      <c r="F1646">
        <v>15</v>
      </c>
      <c r="G1646">
        <v>2</v>
      </c>
      <c r="H1646" t="s">
        <v>10253</v>
      </c>
      <c r="J1646" t="s">
        <v>2218</v>
      </c>
      <c r="M1646" t="s">
        <v>10254</v>
      </c>
      <c r="N1646">
        <v>1.813871112</v>
      </c>
      <c r="O1646">
        <v>2.6633694910000001</v>
      </c>
      <c r="P1646">
        <v>-0.29586356800000002</v>
      </c>
      <c r="Q1646">
        <v>-0.59018158399999998</v>
      </c>
      <c r="S1646" s="13">
        <v>-1.324764254</v>
      </c>
      <c r="T1646">
        <v>0.13627604800000001</v>
      </c>
      <c r="U1646">
        <v>-0.15441477200000001</v>
      </c>
    </row>
    <row r="1647" spans="1:21" x14ac:dyDescent="0.2">
      <c r="A1647" t="s">
        <v>1222</v>
      </c>
      <c r="B1647">
        <v>667840</v>
      </c>
      <c r="C1647" t="s">
        <v>6927</v>
      </c>
      <c r="D1647" t="s">
        <v>1223</v>
      </c>
      <c r="E1647" t="s">
        <v>6907</v>
      </c>
      <c r="F1647">
        <v>3</v>
      </c>
      <c r="G1647">
        <v>4</v>
      </c>
      <c r="H1647" t="s">
        <v>10255</v>
      </c>
      <c r="J1647" t="s">
        <v>10256</v>
      </c>
      <c r="M1647" t="s">
        <v>10257</v>
      </c>
      <c r="N1647">
        <v>1.982575982</v>
      </c>
      <c r="O1647">
        <v>3.4571926419999999</v>
      </c>
      <c r="P1647">
        <v>-0.114791479</v>
      </c>
      <c r="Q1647">
        <v>1.868949E-3</v>
      </c>
      <c r="S1647" s="13">
        <v>-1.3247660160000001</v>
      </c>
      <c r="T1647">
        <v>0.13626834800000001</v>
      </c>
      <c r="U1647">
        <v>-0.17555269600000001</v>
      </c>
    </row>
    <row r="1648" spans="1:21" x14ac:dyDescent="0.2">
      <c r="A1648" t="s">
        <v>846</v>
      </c>
      <c r="B1648">
        <v>569000</v>
      </c>
      <c r="C1648" t="s">
        <v>6931</v>
      </c>
      <c r="D1648" t="s">
        <v>847</v>
      </c>
      <c r="E1648" t="s">
        <v>6911</v>
      </c>
      <c r="F1648">
        <v>9</v>
      </c>
      <c r="G1648">
        <v>12</v>
      </c>
      <c r="H1648" t="s">
        <v>10258</v>
      </c>
      <c r="N1648">
        <v>1.9323965059999999</v>
      </c>
      <c r="O1648">
        <v>3.0528020530000002</v>
      </c>
      <c r="P1648">
        <v>2.6493138999999999E-2</v>
      </c>
      <c r="Q1648">
        <v>-0.38692188</v>
      </c>
      <c r="S1648" s="13">
        <v>-1.32485382</v>
      </c>
      <c r="T1648">
        <v>0.13588466099999999</v>
      </c>
      <c r="U1648">
        <v>-0.11336718599999999</v>
      </c>
    </row>
    <row r="1649" spans="1:21" x14ac:dyDescent="0.2">
      <c r="A1649" t="s">
        <v>361</v>
      </c>
      <c r="B1649">
        <v>686920</v>
      </c>
      <c r="C1649" t="s">
        <v>6938</v>
      </c>
      <c r="D1649" t="s">
        <v>361</v>
      </c>
      <c r="E1649" t="s">
        <v>6921</v>
      </c>
      <c r="F1649">
        <v>21</v>
      </c>
      <c r="G1649">
        <v>8</v>
      </c>
      <c r="H1649" t="s">
        <v>10259</v>
      </c>
      <c r="J1649" t="s">
        <v>4437</v>
      </c>
      <c r="M1649" t="s">
        <v>10260</v>
      </c>
      <c r="N1649">
        <v>2.092758737</v>
      </c>
      <c r="O1649">
        <v>5.3323610669999999</v>
      </c>
      <c r="P1649">
        <v>0.70420098600000003</v>
      </c>
      <c r="Q1649">
        <v>0.41355372699999998</v>
      </c>
      <c r="S1649" s="13">
        <v>-1.3251803499999999</v>
      </c>
      <c r="T1649">
        <v>0.13445779999999999</v>
      </c>
      <c r="U1649">
        <v>-0.18633244500000001</v>
      </c>
    </row>
    <row r="1650" spans="1:21" x14ac:dyDescent="0.2">
      <c r="A1650" t="s">
        <v>52</v>
      </c>
      <c r="B1650">
        <v>732280</v>
      </c>
      <c r="C1650" t="s">
        <v>6953</v>
      </c>
      <c r="D1650" t="s">
        <v>53</v>
      </c>
      <c r="E1650" t="s">
        <v>6918</v>
      </c>
      <c r="F1650">
        <v>2</v>
      </c>
      <c r="G1650">
        <v>1</v>
      </c>
      <c r="H1650" t="s">
        <v>10261</v>
      </c>
      <c r="J1650" t="s">
        <v>939</v>
      </c>
      <c r="M1650" t="s">
        <v>10262</v>
      </c>
      <c r="N1650">
        <v>1.921480887</v>
      </c>
      <c r="O1650">
        <v>3.0856645180000002</v>
      </c>
      <c r="P1650">
        <v>0.44706724399999997</v>
      </c>
      <c r="Q1650">
        <v>-0.354940863</v>
      </c>
      <c r="S1650" s="13">
        <v>-1.3253782140000001</v>
      </c>
      <c r="T1650">
        <v>0.13359318100000001</v>
      </c>
      <c r="U1650">
        <v>-0.121969679</v>
      </c>
    </row>
    <row r="1651" spans="1:21" x14ac:dyDescent="0.2">
      <c r="A1651" t="s">
        <v>1082</v>
      </c>
      <c r="B1651">
        <v>732240</v>
      </c>
      <c r="C1651" t="s">
        <v>6953</v>
      </c>
      <c r="D1651" t="s">
        <v>1082</v>
      </c>
      <c r="E1651" t="s">
        <v>7115</v>
      </c>
      <c r="F1651">
        <v>21</v>
      </c>
      <c r="G1651">
        <v>10</v>
      </c>
      <c r="H1651" t="s">
        <v>10263</v>
      </c>
      <c r="J1651" t="s">
        <v>2050</v>
      </c>
      <c r="M1651" t="s">
        <v>10264</v>
      </c>
      <c r="N1651">
        <v>1.921480887</v>
      </c>
      <c r="O1651">
        <v>3.0856645180000002</v>
      </c>
      <c r="P1651">
        <v>0.44706724399999997</v>
      </c>
      <c r="Q1651">
        <v>-0.354940863</v>
      </c>
      <c r="S1651" s="13">
        <v>-1.3254197190000001</v>
      </c>
      <c r="T1651">
        <v>0.13341181399999999</v>
      </c>
      <c r="U1651">
        <v>-0.12199461</v>
      </c>
    </row>
    <row r="1652" spans="1:21" x14ac:dyDescent="0.2">
      <c r="A1652" t="s">
        <v>218</v>
      </c>
      <c r="B1652">
        <v>732040</v>
      </c>
      <c r="C1652" t="s">
        <v>6953</v>
      </c>
      <c r="D1652" t="s">
        <v>218</v>
      </c>
      <c r="E1652" t="s">
        <v>6918</v>
      </c>
      <c r="F1652">
        <v>22</v>
      </c>
      <c r="G1652">
        <v>1</v>
      </c>
      <c r="H1652" t="s">
        <v>10265</v>
      </c>
      <c r="J1652" t="s">
        <v>220</v>
      </c>
      <c r="M1652" t="s">
        <v>10266</v>
      </c>
      <c r="N1652">
        <v>1.921480887</v>
      </c>
      <c r="O1652">
        <v>3.0856645180000002</v>
      </c>
      <c r="P1652">
        <v>0.44706724399999997</v>
      </c>
      <c r="Q1652">
        <v>-0.354940863</v>
      </c>
      <c r="S1652" s="13">
        <v>-1.3256272440000001</v>
      </c>
      <c r="T1652">
        <v>0.132504978</v>
      </c>
      <c r="U1652">
        <v>-0.12211928800000001</v>
      </c>
    </row>
    <row r="1653" spans="1:21" x14ac:dyDescent="0.2">
      <c r="A1653" t="s">
        <v>1073</v>
      </c>
      <c r="B1653">
        <v>686240</v>
      </c>
      <c r="C1653" t="s">
        <v>6938</v>
      </c>
      <c r="D1653" t="s">
        <v>1073</v>
      </c>
      <c r="E1653" t="s">
        <v>7115</v>
      </c>
      <c r="F1653">
        <v>18</v>
      </c>
      <c r="G1653">
        <v>10</v>
      </c>
      <c r="H1653" t="s">
        <v>10267</v>
      </c>
      <c r="J1653" t="s">
        <v>5543</v>
      </c>
      <c r="M1653" t="s">
        <v>10268</v>
      </c>
      <c r="N1653">
        <v>2.092758737</v>
      </c>
      <c r="O1653">
        <v>5.3323610669999999</v>
      </c>
      <c r="P1653">
        <v>0.70420098600000003</v>
      </c>
      <c r="Q1653">
        <v>0.41355372699999998</v>
      </c>
      <c r="S1653" s="13">
        <v>-1.325764342</v>
      </c>
      <c r="T1653">
        <v>0.131905889</v>
      </c>
      <c r="U1653">
        <v>-0.186824243</v>
      </c>
    </row>
    <row r="1654" spans="1:21" x14ac:dyDescent="0.2">
      <c r="A1654" t="s">
        <v>178</v>
      </c>
      <c r="B1654">
        <v>740960</v>
      </c>
      <c r="C1654" t="s">
        <v>6914</v>
      </c>
      <c r="D1654" t="s">
        <v>178</v>
      </c>
      <c r="E1654" t="s">
        <v>6970</v>
      </c>
      <c r="F1654">
        <v>14</v>
      </c>
      <c r="G1654">
        <v>14</v>
      </c>
      <c r="H1654" t="s">
        <v>10269</v>
      </c>
      <c r="J1654" t="s">
        <v>2536</v>
      </c>
      <c r="M1654" t="s">
        <v>10270</v>
      </c>
      <c r="N1654">
        <v>1.8217074179999999</v>
      </c>
      <c r="O1654">
        <v>4.1700741289999996</v>
      </c>
      <c r="P1654">
        <v>0.189705977</v>
      </c>
      <c r="Q1654">
        <v>-1.7194070999999998E-2</v>
      </c>
      <c r="S1654" s="13">
        <v>-1.3257799910000001</v>
      </c>
      <c r="T1654">
        <v>0.13183750799999999</v>
      </c>
      <c r="U1654">
        <v>-0.180530947</v>
      </c>
    </row>
    <row r="1655" spans="1:21" x14ac:dyDescent="0.2">
      <c r="A1655" t="s">
        <v>3235</v>
      </c>
      <c r="B1655">
        <v>740920</v>
      </c>
      <c r="C1655" t="s">
        <v>6914</v>
      </c>
      <c r="D1655" t="s">
        <v>3236</v>
      </c>
      <c r="E1655" t="s">
        <v>6946</v>
      </c>
      <c r="F1655">
        <v>2</v>
      </c>
      <c r="G1655">
        <v>11</v>
      </c>
      <c r="H1655" t="s">
        <v>10271</v>
      </c>
      <c r="J1655" t="s">
        <v>6609</v>
      </c>
      <c r="M1655" t="s">
        <v>10272</v>
      </c>
      <c r="N1655">
        <v>1.8217074179999999</v>
      </c>
      <c r="O1655">
        <v>4.1700741289999996</v>
      </c>
      <c r="P1655">
        <v>0.189705977</v>
      </c>
      <c r="Q1655">
        <v>-1.7194070999999998E-2</v>
      </c>
      <c r="S1655" s="13">
        <v>-1.3258281009999999</v>
      </c>
      <c r="T1655">
        <v>0.13162727599999999</v>
      </c>
      <c r="U1655">
        <v>-0.180559478</v>
      </c>
    </row>
    <row r="1656" spans="1:21" x14ac:dyDescent="0.2">
      <c r="A1656" t="s">
        <v>333</v>
      </c>
      <c r="B1656">
        <v>638400</v>
      </c>
      <c r="C1656" t="s">
        <v>6910</v>
      </c>
      <c r="D1656" t="s">
        <v>334</v>
      </c>
      <c r="E1656" t="s">
        <v>6915</v>
      </c>
      <c r="F1656">
        <v>2</v>
      </c>
      <c r="G1656">
        <v>13</v>
      </c>
      <c r="H1656" t="s">
        <v>10273</v>
      </c>
      <c r="J1656" t="s">
        <v>1246</v>
      </c>
      <c r="M1656" t="s">
        <v>10274</v>
      </c>
      <c r="N1656">
        <v>1.9874741039999999</v>
      </c>
      <c r="O1656">
        <v>3.7453511220000002</v>
      </c>
      <c r="P1656">
        <v>0.451009722</v>
      </c>
      <c r="Q1656">
        <v>-0.102386592</v>
      </c>
      <c r="S1656" s="13">
        <v>-1.325834355</v>
      </c>
      <c r="T1656">
        <v>0.13159994699999999</v>
      </c>
      <c r="U1656">
        <v>-0.118753128</v>
      </c>
    </row>
    <row r="1657" spans="1:21" x14ac:dyDescent="0.2">
      <c r="A1657" t="s">
        <v>1055</v>
      </c>
      <c r="B1657">
        <v>685640</v>
      </c>
      <c r="C1657" t="s">
        <v>6938</v>
      </c>
      <c r="D1657" t="s">
        <v>1055</v>
      </c>
      <c r="E1657" t="s">
        <v>6970</v>
      </c>
      <c r="F1657">
        <v>11</v>
      </c>
      <c r="G1657">
        <v>14</v>
      </c>
      <c r="H1657" t="s">
        <v>10275</v>
      </c>
      <c r="J1657" t="s">
        <v>5325</v>
      </c>
      <c r="M1657" t="s">
        <v>10276</v>
      </c>
      <c r="N1657">
        <v>2.092758737</v>
      </c>
      <c r="O1657">
        <v>5.3323610669999999</v>
      </c>
      <c r="P1657">
        <v>0.70420098600000003</v>
      </c>
      <c r="Q1657">
        <v>0.41355372699999998</v>
      </c>
      <c r="S1657" s="13">
        <v>-1.3262796290000001</v>
      </c>
      <c r="T1657">
        <v>0.129654204</v>
      </c>
      <c r="U1657">
        <v>-0.187258647</v>
      </c>
    </row>
    <row r="1658" spans="1:21" x14ac:dyDescent="0.2">
      <c r="A1658" t="s">
        <v>1426</v>
      </c>
      <c r="B1658">
        <v>740520</v>
      </c>
      <c r="C1658" t="s">
        <v>6914</v>
      </c>
      <c r="D1658" t="s">
        <v>1426</v>
      </c>
      <c r="E1658" t="s">
        <v>6907</v>
      </c>
      <c r="F1658">
        <v>15</v>
      </c>
      <c r="G1658">
        <v>4</v>
      </c>
      <c r="H1658" t="s">
        <v>10277</v>
      </c>
      <c r="J1658" t="s">
        <v>6777</v>
      </c>
      <c r="M1658" t="s">
        <v>10278</v>
      </c>
      <c r="N1658">
        <v>1.8217074179999999</v>
      </c>
      <c r="O1658">
        <v>4.1700741289999996</v>
      </c>
      <c r="P1658">
        <v>0.189705977</v>
      </c>
      <c r="Q1658">
        <v>-1.7194070999999998E-2</v>
      </c>
      <c r="S1658" s="13">
        <v>-1.3263092059999999</v>
      </c>
      <c r="T1658">
        <v>0.129524959</v>
      </c>
      <c r="U1658">
        <v>-0.18084488300000001</v>
      </c>
    </row>
    <row r="1659" spans="1:21" x14ac:dyDescent="0.2">
      <c r="A1659" t="s">
        <v>1101</v>
      </c>
      <c r="B1659">
        <v>602040</v>
      </c>
      <c r="C1659" t="s">
        <v>6942</v>
      </c>
      <c r="D1659" t="s">
        <v>1101</v>
      </c>
      <c r="E1659" t="s">
        <v>6911</v>
      </c>
      <c r="F1659">
        <v>14</v>
      </c>
      <c r="G1659">
        <v>12</v>
      </c>
      <c r="H1659" t="s">
        <v>10279</v>
      </c>
      <c r="J1659" t="s">
        <v>2654</v>
      </c>
      <c r="M1659" t="s">
        <v>10280</v>
      </c>
      <c r="N1659">
        <v>2.0902262079999998</v>
      </c>
      <c r="O1659">
        <v>4.2704203920000001</v>
      </c>
      <c r="P1659">
        <v>0.23425843900000001</v>
      </c>
      <c r="Q1659">
        <v>1.6181978999999999E-2</v>
      </c>
      <c r="S1659" s="13">
        <v>-1.3263451310000001</v>
      </c>
      <c r="T1659">
        <v>0.129367976</v>
      </c>
      <c r="U1659">
        <v>-0.20280321300000001</v>
      </c>
    </row>
    <row r="1660" spans="1:21" x14ac:dyDescent="0.2">
      <c r="A1660" t="s">
        <v>190</v>
      </c>
      <c r="B1660">
        <v>521480</v>
      </c>
      <c r="C1660" t="s">
        <v>6945</v>
      </c>
      <c r="D1660" t="s">
        <v>190</v>
      </c>
      <c r="E1660" t="s">
        <v>6946</v>
      </c>
      <c r="F1660">
        <v>10</v>
      </c>
      <c r="G1660">
        <v>11</v>
      </c>
      <c r="H1660" t="s">
        <v>10281</v>
      </c>
      <c r="J1660" t="s">
        <v>5815</v>
      </c>
      <c r="M1660" t="s">
        <v>10282</v>
      </c>
      <c r="N1660">
        <v>2.2220813349999999</v>
      </c>
      <c r="O1660">
        <v>6.5440947090000003</v>
      </c>
      <c r="P1660">
        <v>0.58228215500000002</v>
      </c>
      <c r="Q1660">
        <v>0.35188233000000002</v>
      </c>
      <c r="S1660" s="13">
        <v>-1.3263974039999999</v>
      </c>
      <c r="T1660">
        <v>0.12913955299999999</v>
      </c>
      <c r="U1660">
        <v>-0.21020846200000001</v>
      </c>
    </row>
    <row r="1661" spans="1:21" x14ac:dyDescent="0.2">
      <c r="A1661" t="s">
        <v>1076</v>
      </c>
      <c r="B1661">
        <v>621840</v>
      </c>
      <c r="C1661" t="s">
        <v>6906</v>
      </c>
      <c r="D1661" t="s">
        <v>1077</v>
      </c>
      <c r="E1661" t="s">
        <v>6977</v>
      </c>
      <c r="F1661">
        <v>7</v>
      </c>
      <c r="G1661">
        <v>5</v>
      </c>
      <c r="H1661" t="s">
        <v>10283</v>
      </c>
      <c r="J1661" t="s">
        <v>1079</v>
      </c>
      <c r="M1661" t="s">
        <v>10284</v>
      </c>
      <c r="N1661">
        <v>1.813871112</v>
      </c>
      <c r="O1661">
        <v>2.6633694910000001</v>
      </c>
      <c r="P1661">
        <v>-0.29586356800000002</v>
      </c>
      <c r="Q1661">
        <v>-0.59018158399999998</v>
      </c>
      <c r="S1661" s="13">
        <v>-1.32656318</v>
      </c>
      <c r="T1661">
        <v>0.12841515000000001</v>
      </c>
      <c r="U1661">
        <v>-0.155248364</v>
      </c>
    </row>
    <row r="1662" spans="1:21" x14ac:dyDescent="0.2">
      <c r="A1662" t="s">
        <v>458</v>
      </c>
      <c r="B1662">
        <v>637680</v>
      </c>
      <c r="C1662" t="s">
        <v>6910</v>
      </c>
      <c r="D1662" t="s">
        <v>459</v>
      </c>
      <c r="E1662" t="s">
        <v>6921</v>
      </c>
      <c r="F1662">
        <v>4</v>
      </c>
      <c r="G1662">
        <v>8</v>
      </c>
      <c r="H1662" t="s">
        <v>10285</v>
      </c>
      <c r="J1662" t="s">
        <v>5551</v>
      </c>
      <c r="M1662" t="s">
        <v>10286</v>
      </c>
      <c r="N1662">
        <v>1.9874741039999999</v>
      </c>
      <c r="O1662">
        <v>3.7453511220000002</v>
      </c>
      <c r="P1662">
        <v>0.451009722</v>
      </c>
      <c r="Q1662">
        <v>-0.102386592</v>
      </c>
      <c r="S1662" s="13">
        <v>-1.3266089990000001</v>
      </c>
      <c r="T1662">
        <v>0.128214933</v>
      </c>
      <c r="U1662">
        <v>-0.119198793</v>
      </c>
    </row>
    <row r="1663" spans="1:21" x14ac:dyDescent="0.2">
      <c r="A1663" t="s">
        <v>236</v>
      </c>
      <c r="B1663">
        <v>601320</v>
      </c>
      <c r="C1663" t="s">
        <v>6942</v>
      </c>
      <c r="D1663" t="s">
        <v>236</v>
      </c>
      <c r="E1663" t="s">
        <v>7006</v>
      </c>
      <c r="F1663">
        <v>17</v>
      </c>
      <c r="G1663">
        <v>3</v>
      </c>
      <c r="H1663" t="s">
        <v>10287</v>
      </c>
      <c r="J1663" t="s">
        <v>1242</v>
      </c>
      <c r="M1663" t="s">
        <v>10288</v>
      </c>
      <c r="N1663">
        <v>2.0902262079999998</v>
      </c>
      <c r="O1663">
        <v>4.2704203920000001</v>
      </c>
      <c r="P1663">
        <v>0.23425843900000001</v>
      </c>
      <c r="Q1663">
        <v>1.6181978999999999E-2</v>
      </c>
      <c r="S1663" s="13">
        <v>-1.327051803</v>
      </c>
      <c r="T1663">
        <v>0.12627998000000001</v>
      </c>
      <c r="U1663">
        <v>-0.2033441</v>
      </c>
    </row>
    <row r="1664" spans="1:21" x14ac:dyDescent="0.2">
      <c r="A1664" t="s">
        <v>465</v>
      </c>
      <c r="B1664">
        <v>730320</v>
      </c>
      <c r="C1664" t="s">
        <v>6953</v>
      </c>
      <c r="D1664" t="s">
        <v>466</v>
      </c>
      <c r="E1664" t="s">
        <v>6939</v>
      </c>
      <c r="F1664">
        <v>8</v>
      </c>
      <c r="G1664">
        <v>2</v>
      </c>
      <c r="H1664" t="s">
        <v>10289</v>
      </c>
      <c r="J1664" t="s">
        <v>4463</v>
      </c>
      <c r="M1664" t="s">
        <v>10290</v>
      </c>
      <c r="N1664">
        <v>1.921480887</v>
      </c>
      <c r="O1664">
        <v>3.0856645180000002</v>
      </c>
      <c r="P1664">
        <v>0.44706724399999997</v>
      </c>
      <c r="Q1664">
        <v>-0.354940863</v>
      </c>
      <c r="S1664" s="13">
        <v>-1.3274119579999999</v>
      </c>
      <c r="T1664">
        <v>0.124706187</v>
      </c>
      <c r="U1664">
        <v>-0.123192992</v>
      </c>
    </row>
    <row r="1665" spans="1:21" x14ac:dyDescent="0.2">
      <c r="A1665" t="s">
        <v>2188</v>
      </c>
      <c r="B1665">
        <v>665160</v>
      </c>
      <c r="C1665" t="s">
        <v>6927</v>
      </c>
      <c r="D1665" t="s">
        <v>2188</v>
      </c>
      <c r="E1665" t="s">
        <v>6907</v>
      </c>
      <c r="F1665">
        <v>11</v>
      </c>
      <c r="G1665">
        <v>4</v>
      </c>
      <c r="H1665" t="s">
        <v>10291</v>
      </c>
      <c r="J1665" t="s">
        <v>10292</v>
      </c>
      <c r="M1665" t="s">
        <v>10293</v>
      </c>
      <c r="N1665">
        <v>1.982575982</v>
      </c>
      <c r="O1665">
        <v>3.4571926419999999</v>
      </c>
      <c r="P1665">
        <v>-0.114791479</v>
      </c>
      <c r="Q1665">
        <v>1.868949E-3</v>
      </c>
      <c r="S1665" s="13">
        <v>-1.327546849</v>
      </c>
      <c r="T1665">
        <v>0.124116743</v>
      </c>
      <c r="U1665">
        <v>-0.17744649700000001</v>
      </c>
    </row>
    <row r="1666" spans="1:21" x14ac:dyDescent="0.2">
      <c r="A1666" t="s">
        <v>67</v>
      </c>
      <c r="B1666">
        <v>520240</v>
      </c>
      <c r="C1666" t="s">
        <v>6945</v>
      </c>
      <c r="D1666" t="s">
        <v>69</v>
      </c>
      <c r="E1666" t="s">
        <v>6974</v>
      </c>
      <c r="F1666">
        <v>2</v>
      </c>
      <c r="G1666">
        <v>15</v>
      </c>
      <c r="H1666" t="s">
        <v>10294</v>
      </c>
      <c r="J1666" t="s">
        <v>4838</v>
      </c>
      <c r="M1666" t="s">
        <v>10295</v>
      </c>
      <c r="N1666">
        <v>2.2220813349999999</v>
      </c>
      <c r="O1666">
        <v>6.5440947090000003</v>
      </c>
      <c r="P1666">
        <v>0.58228215500000002</v>
      </c>
      <c r="Q1666">
        <v>0.35188233000000002</v>
      </c>
      <c r="S1666" s="13">
        <v>-1.327567017</v>
      </c>
      <c r="T1666">
        <v>0.124028613</v>
      </c>
      <c r="U1666">
        <v>-0.21115645399999999</v>
      </c>
    </row>
    <row r="1667" spans="1:21" x14ac:dyDescent="0.2">
      <c r="A1667" t="s">
        <v>2885</v>
      </c>
      <c r="B1667">
        <v>566920</v>
      </c>
      <c r="C1667" t="s">
        <v>6931</v>
      </c>
      <c r="D1667" t="s">
        <v>2885</v>
      </c>
      <c r="E1667" t="s">
        <v>7085</v>
      </c>
      <c r="F1667">
        <v>11</v>
      </c>
      <c r="G1667">
        <v>9</v>
      </c>
      <c r="H1667" t="s">
        <v>10296</v>
      </c>
      <c r="N1667">
        <v>1.9323965059999999</v>
      </c>
      <c r="O1667">
        <v>3.0528020530000002</v>
      </c>
      <c r="P1667">
        <v>2.6493138999999999E-2</v>
      </c>
      <c r="Q1667">
        <v>-0.38692188</v>
      </c>
      <c r="S1667" s="13">
        <v>-1.327586887</v>
      </c>
      <c r="T1667">
        <v>0.123941787</v>
      </c>
      <c r="U1667">
        <v>-0.114640006</v>
      </c>
    </row>
    <row r="1668" spans="1:21" x14ac:dyDescent="0.2">
      <c r="A1668" t="s">
        <v>537</v>
      </c>
      <c r="B1668">
        <v>684000</v>
      </c>
      <c r="C1668" t="s">
        <v>6938</v>
      </c>
      <c r="D1668" t="s">
        <v>538</v>
      </c>
      <c r="E1668" t="s">
        <v>6928</v>
      </c>
      <c r="F1668">
        <v>8</v>
      </c>
      <c r="G1668">
        <v>16</v>
      </c>
      <c r="H1668" t="s">
        <v>10297</v>
      </c>
      <c r="J1668" t="s">
        <v>2847</v>
      </c>
      <c r="M1668" t="s">
        <v>10298</v>
      </c>
      <c r="N1668">
        <v>2.092758737</v>
      </c>
      <c r="O1668">
        <v>5.3323610669999999</v>
      </c>
      <c r="P1668">
        <v>0.70420098600000003</v>
      </c>
      <c r="Q1668">
        <v>0.41355372699999998</v>
      </c>
      <c r="S1668" s="13">
        <v>-1.3276880799999999</v>
      </c>
      <c r="T1668">
        <v>0.123499596</v>
      </c>
      <c r="U1668">
        <v>-0.18844823699999999</v>
      </c>
    </row>
    <row r="1669" spans="1:21" x14ac:dyDescent="0.2">
      <c r="A1669" t="s">
        <v>736</v>
      </c>
      <c r="B1669">
        <v>664560</v>
      </c>
      <c r="C1669" t="s">
        <v>6927</v>
      </c>
      <c r="D1669" t="s">
        <v>736</v>
      </c>
      <c r="E1669" t="s">
        <v>6939</v>
      </c>
      <c r="F1669">
        <v>15</v>
      </c>
      <c r="G1669">
        <v>2</v>
      </c>
      <c r="H1669" t="s">
        <v>10299</v>
      </c>
      <c r="J1669" t="s">
        <v>10300</v>
      </c>
      <c r="M1669" t="s">
        <v>10301</v>
      </c>
      <c r="N1669">
        <v>1.982575982</v>
      </c>
      <c r="O1669">
        <v>3.4571926419999999</v>
      </c>
      <c r="P1669">
        <v>-0.114791479</v>
      </c>
      <c r="Q1669">
        <v>1.868949E-3</v>
      </c>
      <c r="S1669" s="13">
        <v>-1.3281694230000001</v>
      </c>
      <c r="T1669">
        <v>0.12139623500000001</v>
      </c>
      <c r="U1669">
        <v>-0.17787161600000001</v>
      </c>
    </row>
    <row r="1670" spans="1:21" x14ac:dyDescent="0.2">
      <c r="A1670" t="s">
        <v>951</v>
      </c>
      <c r="B1670">
        <v>600040</v>
      </c>
      <c r="C1670" t="s">
        <v>6942</v>
      </c>
      <c r="D1670" t="s">
        <v>951</v>
      </c>
      <c r="E1670" t="s">
        <v>6970</v>
      </c>
      <c r="F1670">
        <v>16</v>
      </c>
      <c r="G1670">
        <v>14</v>
      </c>
      <c r="H1670" t="s">
        <v>10302</v>
      </c>
      <c r="J1670" t="s">
        <v>953</v>
      </c>
      <c r="M1670" t="s">
        <v>10303</v>
      </c>
      <c r="N1670">
        <v>2.0902262079999998</v>
      </c>
      <c r="O1670">
        <v>4.2704203920000001</v>
      </c>
      <c r="P1670">
        <v>0.23425843900000001</v>
      </c>
      <c r="Q1670">
        <v>1.6181978999999999E-2</v>
      </c>
      <c r="S1670" s="13">
        <v>-1.328308109</v>
      </c>
      <c r="T1670">
        <v>0.120790209</v>
      </c>
      <c r="U1670">
        <v>-0.204307343</v>
      </c>
    </row>
    <row r="1671" spans="1:21" x14ac:dyDescent="0.2">
      <c r="A1671" t="s">
        <v>788</v>
      </c>
      <c r="B1671">
        <v>664400</v>
      </c>
      <c r="C1671" t="s">
        <v>6927</v>
      </c>
      <c r="D1671" t="s">
        <v>788</v>
      </c>
      <c r="E1671" t="s">
        <v>6921</v>
      </c>
      <c r="F1671">
        <v>13</v>
      </c>
      <c r="G1671">
        <v>8</v>
      </c>
      <c r="H1671" t="s">
        <v>10304</v>
      </c>
      <c r="J1671" t="s">
        <v>10305</v>
      </c>
      <c r="M1671" t="s">
        <v>10306</v>
      </c>
      <c r="N1671">
        <v>1.982575982</v>
      </c>
      <c r="O1671">
        <v>3.4571926419999999</v>
      </c>
      <c r="P1671">
        <v>-0.114791479</v>
      </c>
      <c r="Q1671">
        <v>1.868949E-3</v>
      </c>
      <c r="S1671" s="13">
        <v>-1.3283354430000001</v>
      </c>
      <c r="T1671">
        <v>0.120670766</v>
      </c>
      <c r="U1671">
        <v>-0.17798505100000001</v>
      </c>
    </row>
    <row r="1672" spans="1:21" x14ac:dyDescent="0.2">
      <c r="A1672" t="s">
        <v>1052</v>
      </c>
      <c r="B1672">
        <v>600000</v>
      </c>
      <c r="C1672" t="s">
        <v>6942</v>
      </c>
      <c r="D1672" t="s">
        <v>1052</v>
      </c>
      <c r="E1672" t="s">
        <v>7085</v>
      </c>
      <c r="F1672">
        <v>19</v>
      </c>
      <c r="G1672">
        <v>9</v>
      </c>
      <c r="H1672" t="s">
        <v>10307</v>
      </c>
      <c r="J1672" t="s">
        <v>2312</v>
      </c>
      <c r="M1672" t="s">
        <v>10308</v>
      </c>
      <c r="N1672">
        <v>2.0902262079999998</v>
      </c>
      <c r="O1672">
        <v>4.2704203920000001</v>
      </c>
      <c r="P1672">
        <v>0.23425843900000001</v>
      </c>
      <c r="Q1672">
        <v>1.6181978999999999E-2</v>
      </c>
      <c r="S1672" s="13">
        <v>-1.3283473690000001</v>
      </c>
      <c r="T1672">
        <v>0.12061865400000001</v>
      </c>
      <c r="U1672">
        <v>-0.20433747899999999</v>
      </c>
    </row>
    <row r="1673" spans="1:21" x14ac:dyDescent="0.2">
      <c r="A1673" t="s">
        <v>1747</v>
      </c>
      <c r="B1673">
        <v>519200</v>
      </c>
      <c r="C1673" t="s">
        <v>6945</v>
      </c>
      <c r="D1673" t="s">
        <v>1747</v>
      </c>
      <c r="E1673" t="s">
        <v>6911</v>
      </c>
      <c r="F1673">
        <v>13</v>
      </c>
      <c r="G1673">
        <v>12</v>
      </c>
      <c r="H1673" t="s">
        <v>10309</v>
      </c>
      <c r="J1673" t="s">
        <v>3667</v>
      </c>
      <c r="M1673" t="s">
        <v>10310</v>
      </c>
      <c r="N1673">
        <v>2.2220813349999999</v>
      </c>
      <c r="O1673">
        <v>6.5440947090000003</v>
      </c>
      <c r="P1673">
        <v>0.58228215500000002</v>
      </c>
      <c r="Q1673">
        <v>0.35188233000000002</v>
      </c>
      <c r="S1673" s="13">
        <v>-1.3285479819999999</v>
      </c>
      <c r="T1673">
        <v>0.11974201800000001</v>
      </c>
      <c r="U1673">
        <v>-0.21195314200000001</v>
      </c>
    </row>
    <row r="1674" spans="1:21" x14ac:dyDescent="0.2">
      <c r="A1674" t="s">
        <v>807</v>
      </c>
      <c r="B1674">
        <v>518600</v>
      </c>
      <c r="C1674" t="s">
        <v>6945</v>
      </c>
      <c r="D1674" t="s">
        <v>807</v>
      </c>
      <c r="E1674" t="s">
        <v>6977</v>
      </c>
      <c r="F1674">
        <v>14</v>
      </c>
      <c r="G1674">
        <v>5</v>
      </c>
      <c r="H1674" t="s">
        <v>10311</v>
      </c>
      <c r="J1674" t="s">
        <v>4150</v>
      </c>
      <c r="M1674" t="s">
        <v>10312</v>
      </c>
      <c r="N1674">
        <v>2.2220813349999999</v>
      </c>
      <c r="O1674">
        <v>6.5440947090000003</v>
      </c>
      <c r="P1674">
        <v>0.58228215500000002</v>
      </c>
      <c r="Q1674">
        <v>0.35188233000000002</v>
      </c>
      <c r="S1674" s="13">
        <v>-1.3291139240000001</v>
      </c>
      <c r="T1674">
        <v>0.11726898199999999</v>
      </c>
      <c r="U1674">
        <v>-0.21241343500000001</v>
      </c>
    </row>
    <row r="1675" spans="1:21" x14ac:dyDescent="0.2">
      <c r="A1675" t="s">
        <v>1659</v>
      </c>
      <c r="B1675">
        <v>682320</v>
      </c>
      <c r="C1675" t="s">
        <v>6938</v>
      </c>
      <c r="D1675" t="s">
        <v>1660</v>
      </c>
      <c r="E1675" t="s">
        <v>6946</v>
      </c>
      <c r="F1675">
        <v>8</v>
      </c>
      <c r="G1675">
        <v>11</v>
      </c>
      <c r="H1675" t="s">
        <v>10313</v>
      </c>
      <c r="J1675" t="s">
        <v>3483</v>
      </c>
      <c r="M1675" t="s">
        <v>10314</v>
      </c>
      <c r="N1675">
        <v>2.092758737</v>
      </c>
      <c r="O1675">
        <v>5.3323610669999999</v>
      </c>
      <c r="P1675">
        <v>0.70420098600000003</v>
      </c>
      <c r="Q1675">
        <v>0.41355372699999998</v>
      </c>
      <c r="S1675" s="13">
        <v>-1.3291308829999999</v>
      </c>
      <c r="T1675">
        <v>0.117194876</v>
      </c>
      <c r="U1675">
        <v>-0.18967023</v>
      </c>
    </row>
    <row r="1676" spans="1:21" x14ac:dyDescent="0.2">
      <c r="A1676" t="s">
        <v>1675</v>
      </c>
      <c r="B1676">
        <v>565520</v>
      </c>
      <c r="C1676" t="s">
        <v>6931</v>
      </c>
      <c r="D1676" t="s">
        <v>1675</v>
      </c>
      <c r="E1676" t="s">
        <v>6915</v>
      </c>
      <c r="F1676">
        <v>21</v>
      </c>
      <c r="G1676">
        <v>13</v>
      </c>
      <c r="H1676" t="s">
        <v>10315</v>
      </c>
      <c r="N1676">
        <v>1.9323965059999999</v>
      </c>
      <c r="O1676">
        <v>3.0528020530000002</v>
      </c>
      <c r="P1676">
        <v>2.6493138999999999E-2</v>
      </c>
      <c r="Q1676">
        <v>-0.38692188</v>
      </c>
      <c r="S1676" s="13">
        <v>-1.3294264499999999</v>
      </c>
      <c r="T1676">
        <v>0.11590331399999999</v>
      </c>
      <c r="U1676">
        <v>-0.115498817</v>
      </c>
    </row>
    <row r="1677" spans="1:21" x14ac:dyDescent="0.2">
      <c r="A1677" t="s">
        <v>572</v>
      </c>
      <c r="B1677">
        <v>518200</v>
      </c>
      <c r="C1677" t="s">
        <v>6945</v>
      </c>
      <c r="D1677" t="s">
        <v>572</v>
      </c>
      <c r="E1677" t="s">
        <v>7006</v>
      </c>
      <c r="F1677">
        <v>13</v>
      </c>
      <c r="G1677">
        <v>3</v>
      </c>
      <c r="H1677" t="s">
        <v>10316</v>
      </c>
      <c r="J1677" t="s">
        <v>4752</v>
      </c>
      <c r="M1677" t="s">
        <v>10317</v>
      </c>
      <c r="N1677">
        <v>2.2220813349999999</v>
      </c>
      <c r="O1677">
        <v>6.5440947090000003</v>
      </c>
      <c r="P1677">
        <v>0.58228215500000002</v>
      </c>
      <c r="Q1677">
        <v>0.35188233000000002</v>
      </c>
      <c r="S1677" s="13">
        <v>-1.329491218</v>
      </c>
      <c r="T1677">
        <v>0.115620292</v>
      </c>
      <c r="U1677">
        <v>-0.212720569</v>
      </c>
    </row>
    <row r="1678" spans="1:21" x14ac:dyDescent="0.2">
      <c r="A1678" t="s">
        <v>397</v>
      </c>
      <c r="B1678">
        <v>681400</v>
      </c>
      <c r="C1678" t="s">
        <v>6938</v>
      </c>
      <c r="D1678" t="s">
        <v>397</v>
      </c>
      <c r="E1678" t="s">
        <v>7006</v>
      </c>
      <c r="F1678">
        <v>10</v>
      </c>
      <c r="G1678">
        <v>3</v>
      </c>
      <c r="H1678" t="s">
        <v>10318</v>
      </c>
      <c r="J1678" t="s">
        <v>3767</v>
      </c>
      <c r="M1678" t="s">
        <v>10319</v>
      </c>
      <c r="N1678">
        <v>2.092758737</v>
      </c>
      <c r="O1678">
        <v>5.3323610669999999</v>
      </c>
      <c r="P1678">
        <v>0.70420098600000003</v>
      </c>
      <c r="Q1678">
        <v>0.41355372699999998</v>
      </c>
      <c r="S1678" s="13">
        <v>-1.3299209890000001</v>
      </c>
      <c r="T1678">
        <v>0.113742291</v>
      </c>
      <c r="U1678">
        <v>-0.19034087599999999</v>
      </c>
    </row>
    <row r="1679" spans="1:21" x14ac:dyDescent="0.2">
      <c r="A1679" t="s">
        <v>889</v>
      </c>
      <c r="B1679">
        <v>634360</v>
      </c>
      <c r="C1679" t="s">
        <v>6910</v>
      </c>
      <c r="D1679" t="s">
        <v>889</v>
      </c>
      <c r="E1679" t="s">
        <v>6921</v>
      </c>
      <c r="F1679">
        <v>16</v>
      </c>
      <c r="G1679">
        <v>8</v>
      </c>
      <c r="H1679" t="s">
        <v>10320</v>
      </c>
      <c r="J1679" t="s">
        <v>5127</v>
      </c>
      <c r="M1679" t="s">
        <v>10321</v>
      </c>
      <c r="N1679">
        <v>1.9874741039999999</v>
      </c>
      <c r="O1679">
        <v>3.7453511220000002</v>
      </c>
      <c r="P1679">
        <v>0.451009722</v>
      </c>
      <c r="Q1679">
        <v>-0.102386592</v>
      </c>
      <c r="S1679" s="13">
        <v>-1.330180965</v>
      </c>
      <c r="T1679">
        <v>0.112606256</v>
      </c>
      <c r="U1679">
        <v>-0.121259742</v>
      </c>
    </row>
    <row r="1680" spans="1:21" x14ac:dyDescent="0.2">
      <c r="A1680" t="s">
        <v>730</v>
      </c>
      <c r="B1680">
        <v>634120</v>
      </c>
      <c r="C1680" t="s">
        <v>6910</v>
      </c>
      <c r="D1680" t="s">
        <v>731</v>
      </c>
      <c r="E1680" t="s">
        <v>6946</v>
      </c>
      <c r="F1680">
        <v>4</v>
      </c>
      <c r="G1680">
        <v>11</v>
      </c>
      <c r="H1680" t="s">
        <v>10322</v>
      </c>
      <c r="J1680" t="s">
        <v>2894</v>
      </c>
      <c r="M1680" t="s">
        <v>10323</v>
      </c>
      <c r="N1680">
        <v>1.9874741039999999</v>
      </c>
      <c r="O1680">
        <v>3.7453511220000002</v>
      </c>
      <c r="P1680">
        <v>0.451009722</v>
      </c>
      <c r="Q1680">
        <v>-0.102386592</v>
      </c>
      <c r="S1680" s="13">
        <v>-1.3304391799999999</v>
      </c>
      <c r="T1680">
        <v>0.111477918</v>
      </c>
      <c r="U1680">
        <v>-0.121409106</v>
      </c>
    </row>
    <row r="1681" spans="1:21" x14ac:dyDescent="0.2">
      <c r="A1681" t="s">
        <v>470</v>
      </c>
      <c r="B1681">
        <v>597840</v>
      </c>
      <c r="C1681" t="s">
        <v>6942</v>
      </c>
      <c r="D1681" t="s">
        <v>470</v>
      </c>
      <c r="E1681" t="s">
        <v>6970</v>
      </c>
      <c r="F1681">
        <v>22</v>
      </c>
      <c r="G1681">
        <v>14</v>
      </c>
      <c r="H1681" t="s">
        <v>10324</v>
      </c>
      <c r="J1681" t="s">
        <v>1044</v>
      </c>
      <c r="M1681" t="s">
        <v>10325</v>
      </c>
      <c r="N1681">
        <v>2.0902262079999998</v>
      </c>
      <c r="O1681">
        <v>4.2704203920000001</v>
      </c>
      <c r="P1681">
        <v>0.23425843900000001</v>
      </c>
      <c r="Q1681">
        <v>1.6181978999999999E-2</v>
      </c>
      <c r="S1681" s="13">
        <v>-1.3304673849999999</v>
      </c>
      <c r="T1681">
        <v>0.111354667</v>
      </c>
      <c r="U1681">
        <v>-0.205967925</v>
      </c>
    </row>
    <row r="1682" spans="1:21" x14ac:dyDescent="0.2">
      <c r="A1682" t="s">
        <v>1362</v>
      </c>
      <c r="B1682">
        <v>662080</v>
      </c>
      <c r="C1682" t="s">
        <v>6927</v>
      </c>
      <c r="D1682" t="s">
        <v>1362</v>
      </c>
      <c r="E1682" t="s">
        <v>7115</v>
      </c>
      <c r="F1682">
        <v>22</v>
      </c>
      <c r="G1682">
        <v>10</v>
      </c>
      <c r="H1682" t="s">
        <v>10326</v>
      </c>
      <c r="J1682" t="s">
        <v>10327</v>
      </c>
      <c r="M1682" t="s">
        <v>10328</v>
      </c>
      <c r="N1682">
        <v>1.982575982</v>
      </c>
      <c r="O1682">
        <v>3.4571926419999999</v>
      </c>
      <c r="P1682">
        <v>-0.114791479</v>
      </c>
      <c r="Q1682">
        <v>1.868949E-3</v>
      </c>
      <c r="S1682" s="13">
        <v>-1.330742731</v>
      </c>
      <c r="T1682">
        <v>0.110151466</v>
      </c>
      <c r="U1682">
        <v>-0.17963320299999999</v>
      </c>
    </row>
    <row r="1683" spans="1:21" x14ac:dyDescent="0.2">
      <c r="A1683" t="s">
        <v>1321</v>
      </c>
      <c r="B1683">
        <v>564440</v>
      </c>
      <c r="C1683" t="s">
        <v>6931</v>
      </c>
      <c r="D1683" t="s">
        <v>1321</v>
      </c>
      <c r="E1683" t="s">
        <v>7115</v>
      </c>
      <c r="F1683">
        <v>15</v>
      </c>
      <c r="G1683">
        <v>10</v>
      </c>
      <c r="H1683" t="s">
        <v>10329</v>
      </c>
      <c r="N1683">
        <v>1.9323965059999999</v>
      </c>
      <c r="O1683">
        <v>3.0528020530000002</v>
      </c>
      <c r="P1683">
        <v>2.6493138999999999E-2</v>
      </c>
      <c r="Q1683">
        <v>-0.38692188</v>
      </c>
      <c r="S1683" s="13">
        <v>-1.330845542</v>
      </c>
      <c r="T1683">
        <v>0.109702206</v>
      </c>
      <c r="U1683">
        <v>-0.11616248999999999</v>
      </c>
    </row>
    <row r="1684" spans="1:21" x14ac:dyDescent="0.2">
      <c r="A1684" t="s">
        <v>804</v>
      </c>
      <c r="B1684">
        <v>618880</v>
      </c>
      <c r="C1684" t="s">
        <v>6906</v>
      </c>
      <c r="D1684" t="s">
        <v>804</v>
      </c>
      <c r="E1684" t="s">
        <v>6918</v>
      </c>
      <c r="F1684">
        <v>18</v>
      </c>
      <c r="G1684">
        <v>1</v>
      </c>
      <c r="H1684" t="s">
        <v>10330</v>
      </c>
      <c r="J1684" t="s">
        <v>1130</v>
      </c>
      <c r="M1684" t="s">
        <v>10331</v>
      </c>
      <c r="N1684">
        <v>1.813871112</v>
      </c>
      <c r="O1684">
        <v>2.6633694910000001</v>
      </c>
      <c r="P1684">
        <v>-0.29586356800000002</v>
      </c>
      <c r="Q1684">
        <v>-0.59018158399999998</v>
      </c>
      <c r="S1684" s="13">
        <v>-1.330857392</v>
      </c>
      <c r="T1684">
        <v>0.10965042799999999</v>
      </c>
      <c r="U1684">
        <v>-0.15724472</v>
      </c>
    </row>
    <row r="1685" spans="1:21" x14ac:dyDescent="0.2">
      <c r="A1685" t="s">
        <v>801</v>
      </c>
      <c r="B1685">
        <v>564320</v>
      </c>
      <c r="C1685" t="s">
        <v>6931</v>
      </c>
      <c r="D1685" t="s">
        <v>801</v>
      </c>
      <c r="E1685" t="s">
        <v>6911</v>
      </c>
      <c r="F1685">
        <v>23</v>
      </c>
      <c r="G1685">
        <v>12</v>
      </c>
      <c r="H1685" t="s">
        <v>10332</v>
      </c>
      <c r="N1685">
        <v>1.9323965059999999</v>
      </c>
      <c r="O1685">
        <v>3.0528020530000002</v>
      </c>
      <c r="P1685">
        <v>2.6493138999999999E-2</v>
      </c>
      <c r="Q1685">
        <v>-0.38692188</v>
      </c>
      <c r="S1685" s="13">
        <v>-1.3310032190000001</v>
      </c>
      <c r="T1685">
        <v>0.10901319399999999</v>
      </c>
      <c r="U1685">
        <v>-0.116236295</v>
      </c>
    </row>
    <row r="1686" spans="1:21" x14ac:dyDescent="0.2">
      <c r="A1686" t="s">
        <v>458</v>
      </c>
      <c r="B1686">
        <v>680040</v>
      </c>
      <c r="C1686" t="s">
        <v>6938</v>
      </c>
      <c r="D1686" t="s">
        <v>459</v>
      </c>
      <c r="E1686" t="s">
        <v>6921</v>
      </c>
      <c r="F1686">
        <v>4</v>
      </c>
      <c r="G1686">
        <v>8</v>
      </c>
      <c r="H1686" t="s">
        <v>10333</v>
      </c>
      <c r="J1686" t="s">
        <v>5713</v>
      </c>
      <c r="M1686" t="s">
        <v>10334</v>
      </c>
      <c r="N1686">
        <v>2.092758737</v>
      </c>
      <c r="O1686">
        <v>5.3323610669999999</v>
      </c>
      <c r="P1686">
        <v>0.70420098600000003</v>
      </c>
      <c r="Q1686">
        <v>0.41355372699999998</v>
      </c>
      <c r="S1686" s="13">
        <v>-1.331088973</v>
      </c>
      <c r="T1686">
        <v>0.10863847</v>
      </c>
      <c r="U1686">
        <v>-0.191334167</v>
      </c>
    </row>
    <row r="1687" spans="1:21" x14ac:dyDescent="0.2">
      <c r="A1687" t="s">
        <v>932</v>
      </c>
      <c r="B1687">
        <v>596760</v>
      </c>
      <c r="C1687" t="s">
        <v>6942</v>
      </c>
      <c r="D1687" t="s">
        <v>932</v>
      </c>
      <c r="E1687" t="s">
        <v>7006</v>
      </c>
      <c r="F1687">
        <v>12</v>
      </c>
      <c r="G1687">
        <v>3</v>
      </c>
      <c r="H1687" t="s">
        <v>10335</v>
      </c>
      <c r="J1687" t="s">
        <v>1903</v>
      </c>
      <c r="M1687" t="s">
        <v>10336</v>
      </c>
      <c r="N1687">
        <v>2.0902262079999998</v>
      </c>
      <c r="O1687">
        <v>4.2704203920000001</v>
      </c>
      <c r="P1687">
        <v>0.23425843900000001</v>
      </c>
      <c r="Q1687">
        <v>1.6181978999999999E-2</v>
      </c>
      <c r="S1687" s="13">
        <v>-1.331527393</v>
      </c>
      <c r="T1687">
        <v>0.106722673</v>
      </c>
      <c r="U1687">
        <v>-0.20678544900000001</v>
      </c>
    </row>
    <row r="1688" spans="1:21" x14ac:dyDescent="0.2">
      <c r="A1688" t="s">
        <v>516</v>
      </c>
      <c r="B1688">
        <v>633080</v>
      </c>
      <c r="C1688" t="s">
        <v>6910</v>
      </c>
      <c r="D1688" t="s">
        <v>516</v>
      </c>
      <c r="E1688" t="s">
        <v>6939</v>
      </c>
      <c r="F1688">
        <v>13</v>
      </c>
      <c r="G1688">
        <v>2</v>
      </c>
      <c r="H1688" t="s">
        <v>10337</v>
      </c>
      <c r="J1688" t="s">
        <v>4426</v>
      </c>
      <c r="M1688" t="s">
        <v>10338</v>
      </c>
      <c r="N1688">
        <v>1.9874741039999999</v>
      </c>
      <c r="O1688">
        <v>3.7453511220000002</v>
      </c>
      <c r="P1688">
        <v>0.451009722</v>
      </c>
      <c r="Q1688">
        <v>-0.102386592</v>
      </c>
      <c r="S1688" s="13">
        <v>-1.3315581089999999</v>
      </c>
      <c r="T1688">
        <v>0.106588453</v>
      </c>
      <c r="U1688">
        <v>-0.122056945</v>
      </c>
    </row>
    <row r="1689" spans="1:21" x14ac:dyDescent="0.2">
      <c r="A1689" t="s">
        <v>522</v>
      </c>
      <c r="B1689">
        <v>516000</v>
      </c>
      <c r="C1689" t="s">
        <v>6945</v>
      </c>
      <c r="D1689" t="s">
        <v>522</v>
      </c>
      <c r="E1689" t="s">
        <v>6977</v>
      </c>
      <c r="F1689">
        <v>15</v>
      </c>
      <c r="G1689">
        <v>5</v>
      </c>
      <c r="H1689" t="s">
        <v>10339</v>
      </c>
      <c r="J1689" t="s">
        <v>5261</v>
      </c>
      <c r="M1689" t="s">
        <v>10340</v>
      </c>
      <c r="N1689">
        <v>2.2220813349999999</v>
      </c>
      <c r="O1689">
        <v>6.5440947090000003</v>
      </c>
      <c r="P1689">
        <v>0.58228215500000002</v>
      </c>
      <c r="Q1689">
        <v>0.35188233000000002</v>
      </c>
      <c r="S1689" s="13">
        <v>-1.331566338</v>
      </c>
      <c r="T1689">
        <v>0.106552495</v>
      </c>
      <c r="U1689">
        <v>-0.21441369699999999</v>
      </c>
    </row>
    <row r="1690" spans="1:21" x14ac:dyDescent="0.2">
      <c r="A1690" t="s">
        <v>1736</v>
      </c>
      <c r="B1690">
        <v>736080</v>
      </c>
      <c r="C1690" t="s">
        <v>6914</v>
      </c>
      <c r="D1690" t="s">
        <v>1736</v>
      </c>
      <c r="E1690" t="s">
        <v>6924</v>
      </c>
      <c r="F1690">
        <v>16</v>
      </c>
      <c r="G1690">
        <v>6</v>
      </c>
      <c r="H1690" t="s">
        <v>10341</v>
      </c>
      <c r="J1690" t="s">
        <v>6817</v>
      </c>
      <c r="M1690" t="s">
        <v>10342</v>
      </c>
      <c r="N1690">
        <v>1.8217074179999999</v>
      </c>
      <c r="O1690">
        <v>4.1700741289999996</v>
      </c>
      <c r="P1690">
        <v>0.189705977</v>
      </c>
      <c r="Q1690">
        <v>-1.7194070999999998E-2</v>
      </c>
      <c r="S1690" s="13">
        <v>-1.3316494670000001</v>
      </c>
      <c r="T1690">
        <v>0.10618923800000001</v>
      </c>
      <c r="U1690">
        <v>-0.18402554500000001</v>
      </c>
    </row>
    <row r="1691" spans="1:21" x14ac:dyDescent="0.2">
      <c r="A1691" t="s">
        <v>1675</v>
      </c>
      <c r="B1691">
        <v>596600</v>
      </c>
      <c r="C1691" t="s">
        <v>6942</v>
      </c>
      <c r="D1691" t="s">
        <v>1675</v>
      </c>
      <c r="E1691" t="s">
        <v>6915</v>
      </c>
      <c r="F1691">
        <v>21</v>
      </c>
      <c r="G1691">
        <v>13</v>
      </c>
      <c r="H1691" t="s">
        <v>10343</v>
      </c>
      <c r="J1691" t="s">
        <v>1677</v>
      </c>
      <c r="M1691" t="s">
        <v>10344</v>
      </c>
      <c r="N1691">
        <v>2.0902262079999998</v>
      </c>
      <c r="O1691">
        <v>4.2704203920000001</v>
      </c>
      <c r="P1691">
        <v>0.23425843900000001</v>
      </c>
      <c r="Q1691">
        <v>1.6181978999999999E-2</v>
      </c>
      <c r="S1691" s="13">
        <v>-1.3316844320000001</v>
      </c>
      <c r="T1691">
        <v>0.106036452</v>
      </c>
      <c r="U1691">
        <v>-0.206906695</v>
      </c>
    </row>
    <row r="1692" spans="1:21" x14ac:dyDescent="0.2">
      <c r="A1692" t="s">
        <v>749</v>
      </c>
      <c r="B1692">
        <v>563200</v>
      </c>
      <c r="C1692" t="s">
        <v>6931</v>
      </c>
      <c r="D1692" t="s">
        <v>749</v>
      </c>
      <c r="E1692" t="s">
        <v>6946</v>
      </c>
      <c r="F1692">
        <v>13</v>
      </c>
      <c r="G1692">
        <v>11</v>
      </c>
      <c r="H1692" t="s">
        <v>10345</v>
      </c>
      <c r="N1692">
        <v>1.9323965059999999</v>
      </c>
      <c r="O1692">
        <v>3.0528020530000002</v>
      </c>
      <c r="P1692">
        <v>2.6493138999999999E-2</v>
      </c>
      <c r="Q1692">
        <v>-0.38692188</v>
      </c>
      <c r="S1692" s="13">
        <v>-1.33247487</v>
      </c>
      <c r="T1692">
        <v>0.102582416</v>
      </c>
      <c r="U1692">
        <v>-0.116925739</v>
      </c>
    </row>
    <row r="1693" spans="1:21" x14ac:dyDescent="0.2">
      <c r="A1693" t="s">
        <v>1773</v>
      </c>
      <c r="B1693">
        <v>563080</v>
      </c>
      <c r="C1693" t="s">
        <v>6931</v>
      </c>
      <c r="D1693" t="s">
        <v>1773</v>
      </c>
      <c r="E1693" t="s">
        <v>6970</v>
      </c>
      <c r="F1693">
        <v>15</v>
      </c>
      <c r="G1693">
        <v>14</v>
      </c>
      <c r="H1693" t="s">
        <v>10346</v>
      </c>
      <c r="N1693">
        <v>1.9323965059999999</v>
      </c>
      <c r="O1693">
        <v>3.0528020530000002</v>
      </c>
      <c r="P1693">
        <v>2.6493138999999999E-2</v>
      </c>
      <c r="Q1693">
        <v>-0.38692188</v>
      </c>
      <c r="S1693" s="13">
        <v>-1.332632547</v>
      </c>
      <c r="T1693">
        <v>0.10189340400000001</v>
      </c>
      <c r="U1693">
        <v>-0.116999673</v>
      </c>
    </row>
    <row r="1694" spans="1:21" x14ac:dyDescent="0.2">
      <c r="A1694" t="s">
        <v>1857</v>
      </c>
      <c r="B1694">
        <v>734680</v>
      </c>
      <c r="C1694" t="s">
        <v>6914</v>
      </c>
      <c r="D1694" t="s">
        <v>1858</v>
      </c>
      <c r="E1694" t="s">
        <v>6974</v>
      </c>
      <c r="F1694">
        <v>6</v>
      </c>
      <c r="G1694">
        <v>15</v>
      </c>
      <c r="H1694" t="s">
        <v>10347</v>
      </c>
      <c r="J1694" t="s">
        <v>4594</v>
      </c>
      <c r="M1694" t="s">
        <v>10348</v>
      </c>
      <c r="N1694">
        <v>1.8217074179999999</v>
      </c>
      <c r="O1694">
        <v>4.1700741289999996</v>
      </c>
      <c r="P1694">
        <v>0.189705977</v>
      </c>
      <c r="Q1694">
        <v>-1.7194070999999998E-2</v>
      </c>
      <c r="S1694" s="13">
        <v>-1.3333333329999999</v>
      </c>
      <c r="T1694">
        <v>9.8831128000000004E-2</v>
      </c>
      <c r="U1694">
        <v>-0.18503330600000001</v>
      </c>
    </row>
    <row r="1695" spans="1:21" x14ac:dyDescent="0.2">
      <c r="A1695" t="s">
        <v>1089</v>
      </c>
      <c r="B1695">
        <v>311280</v>
      </c>
      <c r="C1695" t="s">
        <v>6961</v>
      </c>
      <c r="D1695" t="s">
        <v>1089</v>
      </c>
      <c r="E1695" t="s">
        <v>6946</v>
      </c>
      <c r="F1695">
        <v>21</v>
      </c>
      <c r="G1695">
        <v>11</v>
      </c>
      <c r="H1695" t="s">
        <v>10349</v>
      </c>
      <c r="J1695" t="s">
        <v>6387</v>
      </c>
      <c r="M1695" t="s">
        <v>10350</v>
      </c>
      <c r="N1695">
        <v>2.7247480949999998</v>
      </c>
      <c r="O1695">
        <v>7.0822175119999997</v>
      </c>
      <c r="P1695">
        <v>0.61298291999999999</v>
      </c>
      <c r="Q1695">
        <v>0.48262032500000002</v>
      </c>
      <c r="S1695" s="13">
        <v>-1.3333808300000001</v>
      </c>
      <c r="T1695">
        <v>9.8623577000000004E-2</v>
      </c>
      <c r="U1695">
        <v>-0.24952358199999999</v>
      </c>
    </row>
    <row r="1696" spans="1:21" x14ac:dyDescent="0.2">
      <c r="A1696" t="s">
        <v>2885</v>
      </c>
      <c r="B1696">
        <v>659480</v>
      </c>
      <c r="C1696" t="s">
        <v>6927</v>
      </c>
      <c r="D1696" t="s">
        <v>2885</v>
      </c>
      <c r="E1696" t="s">
        <v>7085</v>
      </c>
      <c r="F1696">
        <v>11</v>
      </c>
      <c r="G1696">
        <v>9</v>
      </c>
      <c r="H1696" t="s">
        <v>10351</v>
      </c>
      <c r="J1696" t="s">
        <v>10352</v>
      </c>
      <c r="M1696" t="s">
        <v>10353</v>
      </c>
      <c r="N1696">
        <v>1.982575982</v>
      </c>
      <c r="O1696">
        <v>3.4571926419999999</v>
      </c>
      <c r="P1696">
        <v>-0.114791479</v>
      </c>
      <c r="Q1696">
        <v>1.868949E-3</v>
      </c>
      <c r="S1696" s="13">
        <v>-1.3334405549999999</v>
      </c>
      <c r="T1696">
        <v>9.8362595999999997E-2</v>
      </c>
      <c r="U1696">
        <v>-0.18148773200000001</v>
      </c>
    </row>
    <row r="1697" spans="1:21" x14ac:dyDescent="0.2">
      <c r="A1697" t="s">
        <v>352</v>
      </c>
      <c r="B1697">
        <v>659320</v>
      </c>
      <c r="C1697" t="s">
        <v>6927</v>
      </c>
      <c r="D1697" t="s">
        <v>352</v>
      </c>
      <c r="E1697" t="s">
        <v>6928</v>
      </c>
      <c r="F1697">
        <v>17</v>
      </c>
      <c r="G1697">
        <v>16</v>
      </c>
      <c r="H1697" t="s">
        <v>10354</v>
      </c>
      <c r="J1697" t="s">
        <v>10355</v>
      </c>
      <c r="M1697" t="s">
        <v>10356</v>
      </c>
      <c r="N1697">
        <v>1.982575982</v>
      </c>
      <c r="O1697">
        <v>3.4571926419999999</v>
      </c>
      <c r="P1697">
        <v>-0.114791479</v>
      </c>
      <c r="Q1697">
        <v>1.868949E-3</v>
      </c>
      <c r="S1697" s="13">
        <v>-1.333606574</v>
      </c>
      <c r="T1697">
        <v>9.7637127000000004E-2</v>
      </c>
      <c r="U1697">
        <v>-0.18160211600000001</v>
      </c>
    </row>
    <row r="1698" spans="1:21" x14ac:dyDescent="0.2">
      <c r="A1698" t="s">
        <v>1617</v>
      </c>
      <c r="B1698">
        <v>594600</v>
      </c>
      <c r="C1698" t="s">
        <v>6942</v>
      </c>
      <c r="D1698" t="s">
        <v>1617</v>
      </c>
      <c r="E1698" t="s">
        <v>7115</v>
      </c>
      <c r="F1698">
        <v>16</v>
      </c>
      <c r="G1698">
        <v>10</v>
      </c>
      <c r="H1698" t="s">
        <v>10357</v>
      </c>
      <c r="J1698" t="s">
        <v>1619</v>
      </c>
      <c r="M1698" t="s">
        <v>10358</v>
      </c>
      <c r="N1698">
        <v>2.0902262079999998</v>
      </c>
      <c r="O1698">
        <v>4.2704203920000001</v>
      </c>
      <c r="P1698">
        <v>0.23425843900000001</v>
      </c>
      <c r="Q1698">
        <v>1.6181978999999999E-2</v>
      </c>
      <c r="S1698" s="13">
        <v>-1.33364741</v>
      </c>
      <c r="T1698">
        <v>9.7458686000000003E-2</v>
      </c>
      <c r="U1698">
        <v>-0.20842512899999999</v>
      </c>
    </row>
    <row r="1699" spans="1:21" x14ac:dyDescent="0.2">
      <c r="A1699" t="s">
        <v>2341</v>
      </c>
      <c r="B1699">
        <v>562080</v>
      </c>
      <c r="C1699" t="s">
        <v>6931</v>
      </c>
      <c r="D1699" t="s">
        <v>2341</v>
      </c>
      <c r="E1699" t="s">
        <v>6921</v>
      </c>
      <c r="F1699">
        <v>14</v>
      </c>
      <c r="G1699">
        <v>8</v>
      </c>
      <c r="H1699" t="s">
        <v>10359</v>
      </c>
      <c r="N1699">
        <v>1.9323965059999999</v>
      </c>
      <c r="O1699">
        <v>3.0528020530000002</v>
      </c>
      <c r="P1699">
        <v>2.6493138999999999E-2</v>
      </c>
      <c r="Q1699">
        <v>-0.38692188</v>
      </c>
      <c r="S1699" s="13">
        <v>-1.3339465210000001</v>
      </c>
      <c r="T1699">
        <v>9.6151636999999998E-2</v>
      </c>
      <c r="U1699">
        <v>-0.11761628</v>
      </c>
    </row>
    <row r="1700" spans="1:21" x14ac:dyDescent="0.2">
      <c r="A1700" t="s">
        <v>67</v>
      </c>
      <c r="B1700">
        <v>562080</v>
      </c>
      <c r="C1700" t="s">
        <v>6931</v>
      </c>
      <c r="D1700" t="s">
        <v>69</v>
      </c>
      <c r="E1700" t="s">
        <v>6974</v>
      </c>
      <c r="F1700">
        <v>2</v>
      </c>
      <c r="G1700">
        <v>15</v>
      </c>
      <c r="H1700" t="s">
        <v>10360</v>
      </c>
      <c r="J1700" t="s">
        <v>250</v>
      </c>
      <c r="M1700" t="s">
        <v>10361</v>
      </c>
      <c r="N1700">
        <v>1.9323965059999999</v>
      </c>
      <c r="O1700">
        <v>3.0528020530000002</v>
      </c>
      <c r="P1700">
        <v>2.6493138999999999E-2</v>
      </c>
      <c r="Q1700">
        <v>-0.38692188</v>
      </c>
      <c r="S1700" s="13">
        <v>-1.3339465210000001</v>
      </c>
      <c r="T1700">
        <v>9.6151636999999998E-2</v>
      </c>
      <c r="U1700">
        <v>-0.11761628</v>
      </c>
    </row>
    <row r="1701" spans="1:21" x14ac:dyDescent="0.2">
      <c r="A1701" t="s">
        <v>293</v>
      </c>
      <c r="B1701">
        <v>733960</v>
      </c>
      <c r="C1701" t="s">
        <v>6914</v>
      </c>
      <c r="D1701" t="s">
        <v>293</v>
      </c>
      <c r="E1701" t="s">
        <v>6977</v>
      </c>
      <c r="F1701">
        <v>24</v>
      </c>
      <c r="G1701">
        <v>5</v>
      </c>
      <c r="H1701" t="s">
        <v>10362</v>
      </c>
      <c r="J1701" t="s">
        <v>6659</v>
      </c>
      <c r="M1701" t="s">
        <v>10363</v>
      </c>
      <c r="N1701">
        <v>1.8217074179999999</v>
      </c>
      <c r="O1701">
        <v>4.1700741289999996</v>
      </c>
      <c r="P1701">
        <v>0.189705977</v>
      </c>
      <c r="Q1701">
        <v>-1.7194070999999998E-2</v>
      </c>
      <c r="S1701" s="13">
        <v>-1.3341993219999999</v>
      </c>
      <c r="T1701">
        <v>9.5046957000000001E-2</v>
      </c>
      <c r="U1701">
        <v>-0.18555249500000001</v>
      </c>
    </row>
    <row r="1702" spans="1:21" x14ac:dyDescent="0.2">
      <c r="A1702" t="s">
        <v>405</v>
      </c>
      <c r="B1702">
        <v>616560</v>
      </c>
      <c r="C1702" t="s">
        <v>6906</v>
      </c>
      <c r="D1702" t="s">
        <v>405</v>
      </c>
      <c r="E1702" t="s">
        <v>6946</v>
      </c>
      <c r="F1702">
        <v>23</v>
      </c>
      <c r="G1702">
        <v>11</v>
      </c>
      <c r="H1702" t="s">
        <v>10364</v>
      </c>
      <c r="J1702" t="s">
        <v>3657</v>
      </c>
      <c r="M1702" t="s">
        <v>10365</v>
      </c>
      <c r="N1702">
        <v>1.813871112</v>
      </c>
      <c r="O1702">
        <v>2.6633694910000001</v>
      </c>
      <c r="P1702">
        <v>-0.29586356800000002</v>
      </c>
      <c r="Q1702">
        <v>-0.59018158399999998</v>
      </c>
      <c r="S1702" s="13">
        <v>-1.3342231250000001</v>
      </c>
      <c r="T1702">
        <v>9.4942942000000002E-2</v>
      </c>
      <c r="U1702">
        <v>-0.158815873</v>
      </c>
    </row>
    <row r="1703" spans="1:21" x14ac:dyDescent="0.2">
      <c r="A1703" t="s">
        <v>116</v>
      </c>
      <c r="B1703">
        <v>309640</v>
      </c>
      <c r="C1703" t="s">
        <v>6961</v>
      </c>
      <c r="D1703" t="s">
        <v>117</v>
      </c>
      <c r="E1703" t="s">
        <v>6921</v>
      </c>
      <c r="F1703">
        <v>3</v>
      </c>
      <c r="G1703">
        <v>8</v>
      </c>
      <c r="H1703" t="s">
        <v>10366</v>
      </c>
      <c r="J1703" t="s">
        <v>5911</v>
      </c>
      <c r="M1703" t="s">
        <v>10367</v>
      </c>
      <c r="N1703">
        <v>2.7247480949999998</v>
      </c>
      <c r="O1703">
        <v>7.0822175119999997</v>
      </c>
      <c r="P1703">
        <v>0.61298291999999999</v>
      </c>
      <c r="Q1703">
        <v>0.48262032500000002</v>
      </c>
      <c r="S1703" s="13">
        <v>-1.334679079</v>
      </c>
      <c r="T1703">
        <v>9.2950526000000006E-2</v>
      </c>
      <c r="U1703">
        <v>-0.25089684699999998</v>
      </c>
    </row>
    <row r="1704" spans="1:21" x14ac:dyDescent="0.2">
      <c r="A1704" t="s">
        <v>1123</v>
      </c>
      <c r="B1704">
        <v>723240</v>
      </c>
      <c r="C1704" t="s">
        <v>6953</v>
      </c>
      <c r="D1704" t="s">
        <v>1123</v>
      </c>
      <c r="E1704" t="s">
        <v>6946</v>
      </c>
      <c r="F1704">
        <v>16</v>
      </c>
      <c r="G1704">
        <v>11</v>
      </c>
      <c r="H1704" t="s">
        <v>10368</v>
      </c>
      <c r="J1704" t="s">
        <v>4487</v>
      </c>
      <c r="M1704" t="s">
        <v>10369</v>
      </c>
      <c r="N1704">
        <v>1.921480887</v>
      </c>
      <c r="O1704">
        <v>3.0856645180000002</v>
      </c>
      <c r="P1704">
        <v>0.44706724399999997</v>
      </c>
      <c r="Q1704">
        <v>-0.354940863</v>
      </c>
      <c r="S1704" s="13">
        <v>-1.334758337</v>
      </c>
      <c r="T1704">
        <v>9.2604187000000004E-2</v>
      </c>
      <c r="U1704">
        <v>-0.12764082600000001</v>
      </c>
    </row>
    <row r="1705" spans="1:21" x14ac:dyDescent="0.2">
      <c r="A1705" t="s">
        <v>868</v>
      </c>
      <c r="B1705">
        <v>512600</v>
      </c>
      <c r="C1705" t="s">
        <v>6945</v>
      </c>
      <c r="D1705" t="s">
        <v>869</v>
      </c>
      <c r="E1705" t="s">
        <v>7115</v>
      </c>
      <c r="F1705">
        <v>4</v>
      </c>
      <c r="G1705">
        <v>10</v>
      </c>
      <c r="H1705" t="s">
        <v>10370</v>
      </c>
      <c r="J1705" t="s">
        <v>4629</v>
      </c>
      <c r="M1705" t="s">
        <v>10371</v>
      </c>
      <c r="N1705">
        <v>2.2220813349999999</v>
      </c>
      <c r="O1705">
        <v>6.5440947090000003</v>
      </c>
      <c r="P1705">
        <v>0.58228215500000002</v>
      </c>
      <c r="Q1705">
        <v>0.35188233000000002</v>
      </c>
      <c r="S1705" s="13">
        <v>-1.3347733399999999</v>
      </c>
      <c r="T1705">
        <v>9.2538626999999998E-2</v>
      </c>
      <c r="U1705">
        <v>-0.217043402</v>
      </c>
    </row>
    <row r="1706" spans="1:21" x14ac:dyDescent="0.2">
      <c r="A1706" t="s">
        <v>202</v>
      </c>
      <c r="B1706">
        <v>561400</v>
      </c>
      <c r="C1706" t="s">
        <v>6931</v>
      </c>
      <c r="D1706" t="s">
        <v>202</v>
      </c>
      <c r="E1706" t="s">
        <v>6907</v>
      </c>
      <c r="F1706">
        <v>14</v>
      </c>
      <c r="G1706">
        <v>4</v>
      </c>
      <c r="H1706" t="s">
        <v>10372</v>
      </c>
      <c r="N1706">
        <v>1.9323965059999999</v>
      </c>
      <c r="O1706">
        <v>3.0528020530000002</v>
      </c>
      <c r="P1706">
        <v>2.6493138999999999E-2</v>
      </c>
      <c r="Q1706">
        <v>-0.38692188</v>
      </c>
      <c r="S1706" s="13">
        <v>-1.334840024</v>
      </c>
      <c r="T1706">
        <v>9.2247235999999996E-2</v>
      </c>
      <c r="U1706">
        <v>-0.11803607300000001</v>
      </c>
    </row>
    <row r="1707" spans="1:21" x14ac:dyDescent="0.2">
      <c r="A1707" t="s">
        <v>134</v>
      </c>
      <c r="B1707">
        <v>723160</v>
      </c>
      <c r="C1707" t="s">
        <v>6953</v>
      </c>
      <c r="D1707" t="s">
        <v>135</v>
      </c>
      <c r="E1707" t="s">
        <v>6970</v>
      </c>
      <c r="F1707">
        <v>1</v>
      </c>
      <c r="G1707">
        <v>14</v>
      </c>
      <c r="H1707" t="s">
        <v>10373</v>
      </c>
      <c r="J1707" t="s">
        <v>726</v>
      </c>
      <c r="M1707" t="s">
        <v>10374</v>
      </c>
      <c r="N1707">
        <v>1.921480887</v>
      </c>
      <c r="O1707">
        <v>3.0856645180000002</v>
      </c>
      <c r="P1707">
        <v>0.44706724399999997</v>
      </c>
      <c r="Q1707">
        <v>-0.354940863</v>
      </c>
      <c r="S1707" s="13">
        <v>-1.334841347</v>
      </c>
      <c r="T1707">
        <v>9.2241452000000002E-2</v>
      </c>
      <c r="U1707">
        <v>-0.12769134500000001</v>
      </c>
    </row>
    <row r="1708" spans="1:21" x14ac:dyDescent="0.2">
      <c r="A1708" t="s">
        <v>3235</v>
      </c>
      <c r="B1708">
        <v>675120</v>
      </c>
      <c r="C1708" t="s">
        <v>6938</v>
      </c>
      <c r="D1708" t="s">
        <v>3236</v>
      </c>
      <c r="E1708" t="s">
        <v>6946</v>
      </c>
      <c r="F1708">
        <v>2</v>
      </c>
      <c r="G1708">
        <v>11</v>
      </c>
      <c r="H1708" t="s">
        <v>10375</v>
      </c>
      <c r="J1708" t="s">
        <v>3238</v>
      </c>
      <c r="M1708" t="s">
        <v>10376</v>
      </c>
      <c r="N1708">
        <v>2.092758737</v>
      </c>
      <c r="O1708">
        <v>5.3323610669999999</v>
      </c>
      <c r="P1708">
        <v>0.70420098600000003</v>
      </c>
      <c r="Q1708">
        <v>0.41355372699999998</v>
      </c>
      <c r="S1708" s="13">
        <v>-1.3353143249999999</v>
      </c>
      <c r="T1708">
        <v>9.0174647999999996E-2</v>
      </c>
      <c r="U1708">
        <v>-0.194946639</v>
      </c>
    </row>
    <row r="1709" spans="1:21" x14ac:dyDescent="0.2">
      <c r="A1709" t="s">
        <v>2040</v>
      </c>
      <c r="B1709">
        <v>308640</v>
      </c>
      <c r="C1709" t="s">
        <v>6961</v>
      </c>
      <c r="D1709" t="s">
        <v>2040</v>
      </c>
      <c r="E1709" t="s">
        <v>6946</v>
      </c>
      <c r="F1709">
        <v>18</v>
      </c>
      <c r="G1709">
        <v>11</v>
      </c>
      <c r="H1709" t="s">
        <v>10377</v>
      </c>
      <c r="J1709" t="s">
        <v>6491</v>
      </c>
      <c r="M1709" t="s">
        <v>10378</v>
      </c>
      <c r="N1709">
        <v>2.7247480949999998</v>
      </c>
      <c r="O1709">
        <v>7.0822175119999997</v>
      </c>
      <c r="P1709">
        <v>0.61298291999999999</v>
      </c>
      <c r="Q1709">
        <v>0.48262032500000002</v>
      </c>
      <c r="S1709" s="13">
        <v>-1.3354706940000001</v>
      </c>
      <c r="T1709">
        <v>8.9491348999999998E-2</v>
      </c>
      <c r="U1709">
        <v>-0.25173633899999998</v>
      </c>
    </row>
    <row r="1710" spans="1:21" x14ac:dyDescent="0.2">
      <c r="A1710" t="s">
        <v>839</v>
      </c>
      <c r="B1710">
        <v>560600</v>
      </c>
      <c r="C1710" t="s">
        <v>6931</v>
      </c>
      <c r="D1710" t="s">
        <v>840</v>
      </c>
      <c r="E1710" t="s">
        <v>6928</v>
      </c>
      <c r="F1710">
        <v>5</v>
      </c>
      <c r="G1710">
        <v>16</v>
      </c>
      <c r="H1710" t="s">
        <v>10379</v>
      </c>
      <c r="N1710">
        <v>1.9323965059999999</v>
      </c>
      <c r="O1710">
        <v>3.0528020530000002</v>
      </c>
      <c r="P1710">
        <v>2.6493138999999999E-2</v>
      </c>
      <c r="Q1710">
        <v>-0.38692188</v>
      </c>
      <c r="S1710" s="13">
        <v>-1.3358912030000001</v>
      </c>
      <c r="T1710">
        <v>8.7653823000000006E-2</v>
      </c>
      <c r="U1710">
        <v>-0.118530467</v>
      </c>
    </row>
    <row r="1711" spans="1:21" x14ac:dyDescent="0.2">
      <c r="A1711" t="s">
        <v>178</v>
      </c>
      <c r="B1711">
        <v>615280</v>
      </c>
      <c r="C1711" t="s">
        <v>6906</v>
      </c>
      <c r="D1711" t="s">
        <v>178</v>
      </c>
      <c r="E1711" t="s">
        <v>6970</v>
      </c>
      <c r="F1711">
        <v>14</v>
      </c>
      <c r="G1711">
        <v>14</v>
      </c>
      <c r="H1711" t="s">
        <v>10380</v>
      </c>
      <c r="J1711" t="s">
        <v>180</v>
      </c>
      <c r="M1711" t="s">
        <v>10381</v>
      </c>
      <c r="N1711">
        <v>1.813871112</v>
      </c>
      <c r="O1711">
        <v>2.6633694910000001</v>
      </c>
      <c r="P1711">
        <v>-0.29586356800000002</v>
      </c>
      <c r="Q1711">
        <v>-0.59018158399999998</v>
      </c>
      <c r="S1711" s="13">
        <v>-1.336080081</v>
      </c>
      <c r="T1711">
        <v>8.6828468000000006E-2</v>
      </c>
      <c r="U1711">
        <v>-0.159685155</v>
      </c>
    </row>
    <row r="1712" spans="1:21" x14ac:dyDescent="0.2">
      <c r="A1712" t="s">
        <v>172</v>
      </c>
      <c r="B1712">
        <v>511080</v>
      </c>
      <c r="C1712" t="s">
        <v>6945</v>
      </c>
      <c r="D1712" t="s">
        <v>172</v>
      </c>
      <c r="E1712" t="s">
        <v>7006</v>
      </c>
      <c r="F1712">
        <v>11</v>
      </c>
      <c r="G1712">
        <v>3</v>
      </c>
      <c r="H1712" t="s">
        <v>10382</v>
      </c>
      <c r="J1712" t="s">
        <v>2910</v>
      </c>
      <c r="M1712" t="s">
        <v>10383</v>
      </c>
      <c r="N1712">
        <v>2.2220813349999999</v>
      </c>
      <c r="O1712">
        <v>6.5440947090000003</v>
      </c>
      <c r="P1712">
        <v>0.58228215500000002</v>
      </c>
      <c r="Q1712">
        <v>0.35188233000000002</v>
      </c>
      <c r="S1712" s="13">
        <v>-1.3362070589999999</v>
      </c>
      <c r="T1712">
        <v>8.6273603000000004E-2</v>
      </c>
      <c r="U1712">
        <v>-0.218224205</v>
      </c>
    </row>
    <row r="1713" spans="1:21" x14ac:dyDescent="0.2">
      <c r="A1713" t="s">
        <v>438</v>
      </c>
      <c r="B1713">
        <v>731960</v>
      </c>
      <c r="C1713" t="s">
        <v>6914</v>
      </c>
      <c r="D1713" t="s">
        <v>438</v>
      </c>
      <c r="E1713" t="s">
        <v>6956</v>
      </c>
      <c r="F1713">
        <v>11</v>
      </c>
      <c r="G1713">
        <v>7</v>
      </c>
      <c r="H1713" t="s">
        <v>10384</v>
      </c>
      <c r="J1713" t="s">
        <v>6681</v>
      </c>
      <c r="M1713" t="s">
        <v>10385</v>
      </c>
      <c r="N1713">
        <v>1.8217074179999999</v>
      </c>
      <c r="O1713">
        <v>4.1700741289999996</v>
      </c>
      <c r="P1713">
        <v>0.189705977</v>
      </c>
      <c r="Q1713">
        <v>-1.7194070999999998E-2</v>
      </c>
      <c r="S1713" s="13">
        <v>-1.3366048450000001</v>
      </c>
      <c r="T1713">
        <v>8.4535370999999998E-2</v>
      </c>
      <c r="U1713">
        <v>-0.18699795299999999</v>
      </c>
    </row>
    <row r="1714" spans="1:21" x14ac:dyDescent="0.2">
      <c r="A1714" t="s">
        <v>1362</v>
      </c>
      <c r="B1714">
        <v>731920</v>
      </c>
      <c r="C1714" t="s">
        <v>6914</v>
      </c>
      <c r="D1714" t="s">
        <v>1362</v>
      </c>
      <c r="E1714" t="s">
        <v>7115</v>
      </c>
      <c r="F1714">
        <v>22</v>
      </c>
      <c r="G1714">
        <v>10</v>
      </c>
      <c r="H1714" t="s">
        <v>10386</v>
      </c>
      <c r="J1714" t="s">
        <v>2581</v>
      </c>
      <c r="M1714" t="s">
        <v>10387</v>
      </c>
      <c r="N1714">
        <v>1.8217074179999999</v>
      </c>
      <c r="O1714">
        <v>4.1700741289999996</v>
      </c>
      <c r="P1714">
        <v>0.189705977</v>
      </c>
      <c r="Q1714">
        <v>-1.7194070999999998E-2</v>
      </c>
      <c r="S1714" s="13">
        <v>-1.3366529549999999</v>
      </c>
      <c r="T1714">
        <v>8.4325138999999993E-2</v>
      </c>
      <c r="U1714">
        <v>-0.18702691099999999</v>
      </c>
    </row>
    <row r="1715" spans="1:21" x14ac:dyDescent="0.2">
      <c r="A1715" t="s">
        <v>1263</v>
      </c>
      <c r="B1715">
        <v>614880</v>
      </c>
      <c r="C1715" t="s">
        <v>6906</v>
      </c>
      <c r="D1715" t="s">
        <v>1264</v>
      </c>
      <c r="E1715" t="s">
        <v>6911</v>
      </c>
      <c r="F1715">
        <v>7</v>
      </c>
      <c r="G1715">
        <v>12</v>
      </c>
      <c r="H1715" t="s">
        <v>10388</v>
      </c>
      <c r="J1715" t="s">
        <v>2700</v>
      </c>
      <c r="M1715" t="s">
        <v>10389</v>
      </c>
      <c r="N1715">
        <v>1.813871112</v>
      </c>
      <c r="O1715">
        <v>2.6633694910000001</v>
      </c>
      <c r="P1715">
        <v>-0.29586356800000002</v>
      </c>
      <c r="Q1715">
        <v>-0.59018158399999998</v>
      </c>
      <c r="S1715" s="13">
        <v>-1.3366603800000001</v>
      </c>
      <c r="T1715">
        <v>8.4292694000000001E-2</v>
      </c>
      <c r="U1715">
        <v>-0.15995716300000001</v>
      </c>
    </row>
    <row r="1716" spans="1:21" x14ac:dyDescent="0.2">
      <c r="A1716" t="s">
        <v>2031</v>
      </c>
      <c r="B1716">
        <v>673520</v>
      </c>
      <c r="C1716" t="s">
        <v>6938</v>
      </c>
      <c r="D1716" t="s">
        <v>2032</v>
      </c>
      <c r="E1716" t="s">
        <v>6924</v>
      </c>
      <c r="F1716">
        <v>3</v>
      </c>
      <c r="G1716">
        <v>6</v>
      </c>
      <c r="H1716" t="s">
        <v>10390</v>
      </c>
      <c r="J1716" t="s">
        <v>2034</v>
      </c>
      <c r="M1716" t="s">
        <v>10391</v>
      </c>
      <c r="N1716">
        <v>2.092758737</v>
      </c>
      <c r="O1716">
        <v>5.3323610669999999</v>
      </c>
      <c r="P1716">
        <v>0.70420098600000003</v>
      </c>
      <c r="Q1716">
        <v>0.41355372699999998</v>
      </c>
      <c r="S1716" s="13">
        <v>-1.336688423</v>
      </c>
      <c r="T1716">
        <v>8.4170151999999998E-2</v>
      </c>
      <c r="U1716">
        <v>-0.196127932</v>
      </c>
    </row>
    <row r="1717" spans="1:21" x14ac:dyDescent="0.2">
      <c r="A1717" t="s">
        <v>985</v>
      </c>
      <c r="B1717">
        <v>591440</v>
      </c>
      <c r="C1717" t="s">
        <v>6942</v>
      </c>
      <c r="D1717" t="s">
        <v>985</v>
      </c>
      <c r="E1717" t="s">
        <v>6907</v>
      </c>
      <c r="F1717">
        <v>12</v>
      </c>
      <c r="G1717">
        <v>4</v>
      </c>
      <c r="H1717" t="s">
        <v>10392</v>
      </c>
      <c r="J1717" t="s">
        <v>3095</v>
      </c>
      <c r="M1717" t="s">
        <v>10393</v>
      </c>
      <c r="N1717">
        <v>2.0902262079999998</v>
      </c>
      <c r="O1717">
        <v>4.2704203920000001</v>
      </c>
      <c r="P1717">
        <v>0.23425843900000001</v>
      </c>
      <c r="Q1717">
        <v>1.6181978999999999E-2</v>
      </c>
      <c r="S1717" s="13">
        <v>-1.336748915</v>
      </c>
      <c r="T1717">
        <v>8.3905814999999995E-2</v>
      </c>
      <c r="U1717">
        <v>-0.21083512800000001</v>
      </c>
    </row>
    <row r="1718" spans="1:21" x14ac:dyDescent="0.2">
      <c r="A1718" t="s">
        <v>2077</v>
      </c>
      <c r="B1718">
        <v>628160</v>
      </c>
      <c r="C1718" t="s">
        <v>6910</v>
      </c>
      <c r="D1718" t="s">
        <v>2077</v>
      </c>
      <c r="E1718" t="s">
        <v>6915</v>
      </c>
      <c r="F1718">
        <v>20</v>
      </c>
      <c r="G1718">
        <v>13</v>
      </c>
      <c r="H1718" t="s">
        <v>10394</v>
      </c>
      <c r="J1718" t="s">
        <v>6199</v>
      </c>
      <c r="M1718" t="s">
        <v>10395</v>
      </c>
      <c r="N1718">
        <v>1.9874741039999999</v>
      </c>
      <c r="O1718">
        <v>3.7453511220000002</v>
      </c>
      <c r="P1718">
        <v>0.451009722</v>
      </c>
      <c r="Q1718">
        <v>-0.102386592</v>
      </c>
      <c r="S1718" s="13">
        <v>-1.3368515050000001</v>
      </c>
      <c r="T1718">
        <v>8.3457521000000007E-2</v>
      </c>
      <c r="U1718">
        <v>-0.125134886</v>
      </c>
    </row>
    <row r="1719" spans="1:21" x14ac:dyDescent="0.2">
      <c r="A1719" t="s">
        <v>438</v>
      </c>
      <c r="B1719">
        <v>510200</v>
      </c>
      <c r="C1719" t="s">
        <v>6945</v>
      </c>
      <c r="D1719" t="s">
        <v>438</v>
      </c>
      <c r="E1719" t="s">
        <v>6956</v>
      </c>
      <c r="F1719">
        <v>11</v>
      </c>
      <c r="G1719">
        <v>7</v>
      </c>
      <c r="H1719" t="s">
        <v>10396</v>
      </c>
      <c r="J1719" t="s">
        <v>5855</v>
      </c>
      <c r="M1719" t="s">
        <v>10397</v>
      </c>
      <c r="N1719">
        <v>2.2220813349999999</v>
      </c>
      <c r="O1719">
        <v>6.5440947090000003</v>
      </c>
      <c r="P1719">
        <v>0.58228215500000002</v>
      </c>
      <c r="Q1719">
        <v>0.35188233000000002</v>
      </c>
      <c r="S1719" s="13">
        <v>-1.337037107</v>
      </c>
      <c r="T1719">
        <v>8.2646484000000006E-2</v>
      </c>
      <c r="U1719">
        <v>-0.218909298</v>
      </c>
    </row>
    <row r="1720" spans="1:21" x14ac:dyDescent="0.2">
      <c r="A1720" t="s">
        <v>718</v>
      </c>
      <c r="B1720">
        <v>731600</v>
      </c>
      <c r="C1720" t="s">
        <v>6914</v>
      </c>
      <c r="D1720" t="s">
        <v>718</v>
      </c>
      <c r="E1720" t="s">
        <v>6924</v>
      </c>
      <c r="F1720">
        <v>14</v>
      </c>
      <c r="G1720">
        <v>6</v>
      </c>
      <c r="H1720" t="s">
        <v>10398</v>
      </c>
      <c r="J1720" t="s">
        <v>1983</v>
      </c>
      <c r="M1720" t="s">
        <v>10399</v>
      </c>
      <c r="N1720">
        <v>1.8217074179999999</v>
      </c>
      <c r="O1720">
        <v>4.1700741289999996</v>
      </c>
      <c r="P1720">
        <v>0.189705977</v>
      </c>
      <c r="Q1720">
        <v>-1.7194070999999998E-2</v>
      </c>
      <c r="S1720" s="13">
        <v>-1.337037839</v>
      </c>
      <c r="T1720">
        <v>8.2643285999999996E-2</v>
      </c>
      <c r="U1720">
        <v>-0.187258647</v>
      </c>
    </row>
    <row r="1721" spans="1:21" x14ac:dyDescent="0.2">
      <c r="A1721" t="s">
        <v>1101</v>
      </c>
      <c r="B1721">
        <v>306600</v>
      </c>
      <c r="C1721" t="s">
        <v>6961</v>
      </c>
      <c r="D1721" t="s">
        <v>1101</v>
      </c>
      <c r="E1721" t="s">
        <v>6911</v>
      </c>
      <c r="F1721">
        <v>14</v>
      </c>
      <c r="G1721">
        <v>12</v>
      </c>
      <c r="H1721" t="s">
        <v>10400</v>
      </c>
      <c r="J1721" t="s">
        <v>6031</v>
      </c>
      <c r="M1721" t="s">
        <v>10401</v>
      </c>
      <c r="N1721">
        <v>2.7247480949999998</v>
      </c>
      <c r="O1721">
        <v>7.0822175119999997</v>
      </c>
      <c r="P1721">
        <v>0.61298291999999999</v>
      </c>
      <c r="Q1721">
        <v>0.48262032500000002</v>
      </c>
      <c r="S1721" s="13">
        <v>-1.337085589</v>
      </c>
      <c r="T1721">
        <v>8.2434626999999996E-2</v>
      </c>
      <c r="U1721">
        <v>-0.25345395199999998</v>
      </c>
    </row>
    <row r="1722" spans="1:21" x14ac:dyDescent="0.2">
      <c r="A1722" t="s">
        <v>880</v>
      </c>
      <c r="B1722">
        <v>590760</v>
      </c>
      <c r="C1722" t="s">
        <v>6942</v>
      </c>
      <c r="D1722" t="s">
        <v>880</v>
      </c>
      <c r="E1722" t="s">
        <v>6939</v>
      </c>
      <c r="F1722">
        <v>19</v>
      </c>
      <c r="G1722">
        <v>2</v>
      </c>
      <c r="H1722" t="s">
        <v>10402</v>
      </c>
      <c r="J1722" t="s">
        <v>4445</v>
      </c>
      <c r="M1722" t="s">
        <v>10403</v>
      </c>
      <c r="N1722">
        <v>2.0902262079999998</v>
      </c>
      <c r="O1722">
        <v>4.2704203920000001</v>
      </c>
      <c r="P1722">
        <v>0.23425843900000001</v>
      </c>
      <c r="Q1722">
        <v>1.6181978999999999E-2</v>
      </c>
      <c r="S1722" s="13">
        <v>-1.337416328</v>
      </c>
      <c r="T1722">
        <v>8.0989375000000002E-2</v>
      </c>
      <c r="U1722">
        <v>-0.21135548900000001</v>
      </c>
    </row>
    <row r="1723" spans="1:21" x14ac:dyDescent="0.2">
      <c r="A1723" t="s">
        <v>529</v>
      </c>
      <c r="B1723">
        <v>590720</v>
      </c>
      <c r="C1723" t="s">
        <v>6942</v>
      </c>
      <c r="D1723" t="s">
        <v>529</v>
      </c>
      <c r="E1723" t="s">
        <v>6956</v>
      </c>
      <c r="F1723">
        <v>22</v>
      </c>
      <c r="G1723">
        <v>7</v>
      </c>
      <c r="H1723" t="s">
        <v>10404</v>
      </c>
      <c r="J1723" t="s">
        <v>1005</v>
      </c>
      <c r="M1723" t="s">
        <v>10405</v>
      </c>
      <c r="N1723">
        <v>2.0902262079999998</v>
      </c>
      <c r="O1723">
        <v>4.2704203920000001</v>
      </c>
      <c r="P1723">
        <v>0.23425843900000001</v>
      </c>
      <c r="Q1723">
        <v>1.6181978999999999E-2</v>
      </c>
      <c r="S1723" s="13">
        <v>-1.3374555880000001</v>
      </c>
      <c r="T1723">
        <v>8.0817818999999999E-2</v>
      </c>
      <c r="U1723">
        <v>-0.21138611700000001</v>
      </c>
    </row>
    <row r="1724" spans="1:21" x14ac:dyDescent="0.2">
      <c r="A1724" t="s">
        <v>408</v>
      </c>
      <c r="B1724">
        <v>731000</v>
      </c>
      <c r="C1724" t="s">
        <v>6914</v>
      </c>
      <c r="D1724" t="s">
        <v>408</v>
      </c>
      <c r="E1724" t="s">
        <v>6918</v>
      </c>
      <c r="F1724">
        <v>10</v>
      </c>
      <c r="G1724">
        <v>1</v>
      </c>
      <c r="H1724" t="s">
        <v>10406</v>
      </c>
      <c r="J1724" t="s">
        <v>6743</v>
      </c>
      <c r="M1724" t="s">
        <v>10407</v>
      </c>
      <c r="N1724">
        <v>1.8217074179999999</v>
      </c>
      <c r="O1724">
        <v>4.1700741289999996</v>
      </c>
      <c r="P1724">
        <v>0.189705977</v>
      </c>
      <c r="Q1724">
        <v>-1.7194070999999998E-2</v>
      </c>
      <c r="S1724" s="13">
        <v>-1.3377594960000001</v>
      </c>
      <c r="T1724">
        <v>7.9489809999999994E-2</v>
      </c>
      <c r="U1724">
        <v>-0.18769348499999999</v>
      </c>
    </row>
    <row r="1725" spans="1:21" x14ac:dyDescent="0.2">
      <c r="A1725" t="s">
        <v>375</v>
      </c>
      <c r="B1725">
        <v>730960</v>
      </c>
      <c r="C1725" t="s">
        <v>6914</v>
      </c>
      <c r="D1725" t="s">
        <v>375</v>
      </c>
      <c r="E1725" t="s">
        <v>6977</v>
      </c>
      <c r="F1725">
        <v>12</v>
      </c>
      <c r="G1725">
        <v>5</v>
      </c>
      <c r="H1725" t="s">
        <v>10408</v>
      </c>
      <c r="J1725" t="s">
        <v>5891</v>
      </c>
      <c r="M1725" t="s">
        <v>10409</v>
      </c>
      <c r="N1725">
        <v>1.8217074179999999</v>
      </c>
      <c r="O1725">
        <v>4.1700741289999996</v>
      </c>
      <c r="P1725">
        <v>0.189705977</v>
      </c>
      <c r="Q1725">
        <v>-1.7194070999999998E-2</v>
      </c>
      <c r="S1725" s="13">
        <v>-1.3378076059999999</v>
      </c>
      <c r="T1725">
        <v>7.9279578000000003E-2</v>
      </c>
      <c r="U1725">
        <v>-0.18772248899999999</v>
      </c>
    </row>
    <row r="1726" spans="1:21" x14ac:dyDescent="0.2">
      <c r="A1726" t="s">
        <v>1082</v>
      </c>
      <c r="B1726">
        <v>559080</v>
      </c>
      <c r="C1726" t="s">
        <v>6931</v>
      </c>
      <c r="D1726" t="s">
        <v>1082</v>
      </c>
      <c r="E1726" t="s">
        <v>7115</v>
      </c>
      <c r="F1726">
        <v>21</v>
      </c>
      <c r="G1726">
        <v>10</v>
      </c>
      <c r="H1726" t="s">
        <v>10410</v>
      </c>
      <c r="N1726">
        <v>1.9323965059999999</v>
      </c>
      <c r="O1726">
        <v>3.0528020530000002</v>
      </c>
      <c r="P1726">
        <v>2.6493138999999999E-2</v>
      </c>
      <c r="Q1726">
        <v>-0.38692188</v>
      </c>
      <c r="S1726" s="13">
        <v>-1.3378884440000001</v>
      </c>
      <c r="T1726">
        <v>7.8926337999999999E-2</v>
      </c>
      <c r="U1726">
        <v>-0.11947136999999999</v>
      </c>
    </row>
    <row r="1727" spans="1:21" x14ac:dyDescent="0.2">
      <c r="A1727" t="s">
        <v>516</v>
      </c>
      <c r="B1727">
        <v>558840</v>
      </c>
      <c r="C1727" t="s">
        <v>6931</v>
      </c>
      <c r="D1727" t="s">
        <v>516</v>
      </c>
      <c r="E1727" t="s">
        <v>6939</v>
      </c>
      <c r="F1727">
        <v>13</v>
      </c>
      <c r="G1727">
        <v>2</v>
      </c>
      <c r="H1727" t="s">
        <v>10411</v>
      </c>
      <c r="N1727">
        <v>1.9323965059999999</v>
      </c>
      <c r="O1727">
        <v>3.0528020530000002</v>
      </c>
      <c r="P1727">
        <v>2.6493138999999999E-2</v>
      </c>
      <c r="Q1727">
        <v>-0.38692188</v>
      </c>
      <c r="S1727" s="13">
        <v>-1.338203797</v>
      </c>
      <c r="T1727">
        <v>7.7548313999999993E-2</v>
      </c>
      <c r="U1727">
        <v>-0.11962012</v>
      </c>
    </row>
    <row r="1728" spans="1:21" x14ac:dyDescent="0.2">
      <c r="A1728" t="s">
        <v>1535</v>
      </c>
      <c r="B1728">
        <v>589920</v>
      </c>
      <c r="C1728" t="s">
        <v>6942</v>
      </c>
      <c r="D1728" t="s">
        <v>1535</v>
      </c>
      <c r="E1728" t="s">
        <v>6907</v>
      </c>
      <c r="F1728">
        <v>19</v>
      </c>
      <c r="G1728">
        <v>4</v>
      </c>
      <c r="H1728" t="s">
        <v>10412</v>
      </c>
      <c r="J1728" t="s">
        <v>2187</v>
      </c>
      <c r="M1728" t="s">
        <v>10413</v>
      </c>
      <c r="N1728">
        <v>2.0902262079999998</v>
      </c>
      <c r="O1728">
        <v>4.2704203920000001</v>
      </c>
      <c r="P1728">
        <v>0.23425843900000001</v>
      </c>
      <c r="Q1728">
        <v>1.6181978999999999E-2</v>
      </c>
      <c r="S1728" s="13">
        <v>-1.3382407789999999</v>
      </c>
      <c r="T1728">
        <v>7.7386712999999996E-2</v>
      </c>
      <c r="U1728">
        <v>-0.211999149</v>
      </c>
    </row>
    <row r="1729" spans="1:21" x14ac:dyDescent="0.2">
      <c r="A1729" t="s">
        <v>519</v>
      </c>
      <c r="B1729">
        <v>626600</v>
      </c>
      <c r="C1729" t="s">
        <v>6910</v>
      </c>
      <c r="D1729" t="s">
        <v>519</v>
      </c>
      <c r="E1729" t="s">
        <v>6956</v>
      </c>
      <c r="F1729">
        <v>18</v>
      </c>
      <c r="G1729">
        <v>7</v>
      </c>
      <c r="H1729" t="s">
        <v>10414</v>
      </c>
      <c r="J1729" t="s">
        <v>3790</v>
      </c>
      <c r="M1729" t="s">
        <v>10415</v>
      </c>
      <c r="N1729">
        <v>1.9874741039999999</v>
      </c>
      <c r="O1729">
        <v>3.7453511220000002</v>
      </c>
      <c r="P1729">
        <v>0.451009722</v>
      </c>
      <c r="Q1729">
        <v>-0.102386592</v>
      </c>
      <c r="S1729" s="13">
        <v>-1.3385298990000001</v>
      </c>
      <c r="T1729">
        <v>7.6123324000000006E-2</v>
      </c>
      <c r="U1729">
        <v>-0.12611539099999999</v>
      </c>
    </row>
    <row r="1730" spans="1:21" x14ac:dyDescent="0.2">
      <c r="A1730" t="s">
        <v>438</v>
      </c>
      <c r="B1730">
        <v>589600</v>
      </c>
      <c r="C1730" t="s">
        <v>6942</v>
      </c>
      <c r="D1730" t="s">
        <v>438</v>
      </c>
      <c r="E1730" t="s">
        <v>6956</v>
      </c>
      <c r="F1730">
        <v>11</v>
      </c>
      <c r="G1730">
        <v>7</v>
      </c>
      <c r="H1730" t="s">
        <v>10416</v>
      </c>
      <c r="J1730" t="s">
        <v>440</v>
      </c>
      <c r="M1730" t="s">
        <v>10417</v>
      </c>
      <c r="N1730">
        <v>2.0902262079999998</v>
      </c>
      <c r="O1730">
        <v>4.2704203920000001</v>
      </c>
      <c r="P1730">
        <v>0.23425843900000001</v>
      </c>
      <c r="Q1730">
        <v>1.6181978999999999E-2</v>
      </c>
      <c r="S1730" s="13">
        <v>-1.3385548549999999</v>
      </c>
      <c r="T1730">
        <v>7.6014269999999995E-2</v>
      </c>
      <c r="U1730">
        <v>-0.212244604</v>
      </c>
    </row>
    <row r="1731" spans="1:21" x14ac:dyDescent="0.2">
      <c r="A1731" t="s">
        <v>1897</v>
      </c>
      <c r="B1731">
        <v>558440</v>
      </c>
      <c r="C1731" t="s">
        <v>6931</v>
      </c>
      <c r="D1731" t="s">
        <v>1897</v>
      </c>
      <c r="E1731" t="s">
        <v>7085</v>
      </c>
      <c r="F1731">
        <v>14</v>
      </c>
      <c r="G1731">
        <v>9</v>
      </c>
      <c r="H1731" t="s">
        <v>10418</v>
      </c>
      <c r="N1731">
        <v>1.9323965059999999</v>
      </c>
      <c r="O1731">
        <v>3.0528020530000002</v>
      </c>
      <c r="P1731">
        <v>2.6493138999999999E-2</v>
      </c>
      <c r="Q1731">
        <v>-0.38692188</v>
      </c>
      <c r="S1731" s="13">
        <v>-1.3387293870000001</v>
      </c>
      <c r="T1731">
        <v>7.5251606999999998E-2</v>
      </c>
      <c r="U1731">
        <v>-0.11986815000000001</v>
      </c>
    </row>
    <row r="1732" spans="1:21" x14ac:dyDescent="0.2">
      <c r="A1732" t="s">
        <v>687</v>
      </c>
      <c r="B1732">
        <v>671080</v>
      </c>
      <c r="C1732" t="s">
        <v>6938</v>
      </c>
      <c r="D1732" t="s">
        <v>688</v>
      </c>
      <c r="E1732" t="s">
        <v>6970</v>
      </c>
      <c r="F1732">
        <v>9</v>
      </c>
      <c r="G1732">
        <v>14</v>
      </c>
      <c r="H1732" t="s">
        <v>10419</v>
      </c>
      <c r="J1732" t="s">
        <v>4374</v>
      </c>
      <c r="M1732" t="s">
        <v>10420</v>
      </c>
      <c r="N1732">
        <v>2.092758737</v>
      </c>
      <c r="O1732">
        <v>5.3323610669999999</v>
      </c>
      <c r="P1732">
        <v>0.70420098600000003</v>
      </c>
      <c r="Q1732">
        <v>0.41355372699999998</v>
      </c>
      <c r="S1732" s="13">
        <v>-1.338783923</v>
      </c>
      <c r="T1732">
        <v>7.5013297000000007E-2</v>
      </c>
      <c r="U1732">
        <v>-0.19793561200000001</v>
      </c>
    </row>
    <row r="1733" spans="1:21" x14ac:dyDescent="0.2">
      <c r="A1733" t="s">
        <v>1783</v>
      </c>
      <c r="B1733">
        <v>654120</v>
      </c>
      <c r="C1733" t="s">
        <v>6927</v>
      </c>
      <c r="D1733" t="s">
        <v>1783</v>
      </c>
      <c r="E1733" t="s">
        <v>6915</v>
      </c>
      <c r="F1733">
        <v>11</v>
      </c>
      <c r="G1733">
        <v>13</v>
      </c>
      <c r="H1733" t="s">
        <v>10421</v>
      </c>
      <c r="J1733" t="s">
        <v>10422</v>
      </c>
      <c r="M1733" t="s">
        <v>10423</v>
      </c>
      <c r="N1733">
        <v>1.982575982</v>
      </c>
      <c r="O1733">
        <v>3.4571926419999999</v>
      </c>
      <c r="P1733">
        <v>-0.114791479</v>
      </c>
      <c r="Q1733">
        <v>1.868949E-3</v>
      </c>
      <c r="S1733" s="13">
        <v>-1.3390022210000001</v>
      </c>
      <c r="T1733">
        <v>7.4059387000000004E-2</v>
      </c>
      <c r="U1733">
        <v>-0.18533609100000001</v>
      </c>
    </row>
    <row r="1734" spans="1:21" x14ac:dyDescent="0.2">
      <c r="A1734" t="s">
        <v>124</v>
      </c>
      <c r="B1734">
        <v>558160</v>
      </c>
      <c r="C1734" t="s">
        <v>6931</v>
      </c>
      <c r="D1734" t="s">
        <v>125</v>
      </c>
      <c r="E1734" t="s">
        <v>6918</v>
      </c>
      <c r="F1734">
        <v>7</v>
      </c>
      <c r="G1734">
        <v>1</v>
      </c>
      <c r="H1734" t="s">
        <v>10424</v>
      </c>
      <c r="N1734">
        <v>1.9323965059999999</v>
      </c>
      <c r="O1734">
        <v>3.0528020530000002</v>
      </c>
      <c r="P1734">
        <v>2.6493138999999999E-2</v>
      </c>
      <c r="Q1734">
        <v>-0.38692188</v>
      </c>
      <c r="S1734" s="13">
        <v>-1.3390972999999999</v>
      </c>
      <c r="T1734">
        <v>7.3643912000000006E-2</v>
      </c>
      <c r="U1734">
        <v>-0.120041855</v>
      </c>
    </row>
    <row r="1735" spans="1:21" x14ac:dyDescent="0.2">
      <c r="A1735" t="s">
        <v>2252</v>
      </c>
      <c r="B1735">
        <v>508000</v>
      </c>
      <c r="C1735" t="s">
        <v>6945</v>
      </c>
      <c r="D1735" t="s">
        <v>2253</v>
      </c>
      <c r="E1735" t="s">
        <v>6924</v>
      </c>
      <c r="F1735">
        <v>4</v>
      </c>
      <c r="G1735">
        <v>6</v>
      </c>
      <c r="H1735" t="s">
        <v>10425</v>
      </c>
      <c r="J1735" t="s">
        <v>3735</v>
      </c>
      <c r="M1735" t="s">
        <v>10426</v>
      </c>
      <c r="N1735">
        <v>2.2220813349999999</v>
      </c>
      <c r="O1735">
        <v>6.5440947090000003</v>
      </c>
      <c r="P1735">
        <v>0.58228215500000002</v>
      </c>
      <c r="Q1735">
        <v>0.35188233000000002</v>
      </c>
      <c r="S1735" s="13">
        <v>-1.3391122259999999</v>
      </c>
      <c r="T1735">
        <v>7.3578687000000004E-2</v>
      </c>
      <c r="U1735">
        <v>-0.220626774</v>
      </c>
    </row>
    <row r="1736" spans="1:21" x14ac:dyDescent="0.2">
      <c r="A1736" t="s">
        <v>988</v>
      </c>
      <c r="B1736">
        <v>557920</v>
      </c>
      <c r="C1736" t="s">
        <v>6931</v>
      </c>
      <c r="D1736" t="s">
        <v>988</v>
      </c>
      <c r="E1736" t="s">
        <v>6974</v>
      </c>
      <c r="F1736">
        <v>16</v>
      </c>
      <c r="G1736">
        <v>15</v>
      </c>
      <c r="H1736" t="s">
        <v>10427</v>
      </c>
      <c r="N1736">
        <v>1.9323965059999999</v>
      </c>
      <c r="O1736">
        <v>3.0528020530000002</v>
      </c>
      <c r="P1736">
        <v>2.6493138999999999E-2</v>
      </c>
      <c r="Q1736">
        <v>-0.38692188</v>
      </c>
      <c r="S1736" s="13">
        <v>-1.339412654</v>
      </c>
      <c r="T1736">
        <v>7.2265888E-2</v>
      </c>
      <c r="U1736">
        <v>-0.120190801</v>
      </c>
    </row>
    <row r="1737" spans="1:21" x14ac:dyDescent="0.2">
      <c r="A1737" t="s">
        <v>1031</v>
      </c>
      <c r="B1737">
        <v>625720</v>
      </c>
      <c r="C1737" t="s">
        <v>6910</v>
      </c>
      <c r="D1737" t="s">
        <v>1031</v>
      </c>
      <c r="E1737" t="s">
        <v>6956</v>
      </c>
      <c r="F1737">
        <v>13</v>
      </c>
      <c r="G1737">
        <v>7</v>
      </c>
      <c r="H1737" t="s">
        <v>10428</v>
      </c>
      <c r="J1737" t="s">
        <v>5831</v>
      </c>
      <c r="M1737" t="s">
        <v>10429</v>
      </c>
      <c r="N1737">
        <v>1.9874741039999999</v>
      </c>
      <c r="O1737">
        <v>3.7453511220000002</v>
      </c>
      <c r="P1737">
        <v>0.451009722</v>
      </c>
      <c r="Q1737">
        <v>-0.102386592</v>
      </c>
      <c r="S1737" s="13">
        <v>-1.3394766849999999</v>
      </c>
      <c r="T1737">
        <v>7.1986084000000006E-2</v>
      </c>
      <c r="U1737">
        <v>-0.126669475</v>
      </c>
    </row>
    <row r="1738" spans="1:21" x14ac:dyDescent="0.2">
      <c r="A1738" t="s">
        <v>1747</v>
      </c>
      <c r="B1738">
        <v>588600</v>
      </c>
      <c r="C1738" t="s">
        <v>6942</v>
      </c>
      <c r="D1738" t="s">
        <v>1747</v>
      </c>
      <c r="E1738" t="s">
        <v>6911</v>
      </c>
      <c r="F1738">
        <v>13</v>
      </c>
      <c r="G1738">
        <v>12</v>
      </c>
      <c r="H1738" t="s">
        <v>10430</v>
      </c>
      <c r="J1738" t="s">
        <v>1749</v>
      </c>
      <c r="M1738" t="s">
        <v>10431</v>
      </c>
      <c r="N1738">
        <v>2.0902262079999998</v>
      </c>
      <c r="O1738">
        <v>4.2704203920000001</v>
      </c>
      <c r="P1738">
        <v>0.23425843900000001</v>
      </c>
      <c r="Q1738">
        <v>1.6181978999999999E-2</v>
      </c>
      <c r="S1738" s="13">
        <v>-1.339536345</v>
      </c>
      <c r="T1738">
        <v>7.1725387000000002E-2</v>
      </c>
      <c r="U1738">
        <v>-0.213012547</v>
      </c>
    </row>
    <row r="1739" spans="1:21" x14ac:dyDescent="0.2">
      <c r="A1739" t="s">
        <v>727</v>
      </c>
      <c r="B1739">
        <v>612840</v>
      </c>
      <c r="C1739" t="s">
        <v>6906</v>
      </c>
      <c r="D1739" t="s">
        <v>727</v>
      </c>
      <c r="E1739" t="s">
        <v>7115</v>
      </c>
      <c r="F1739">
        <v>23</v>
      </c>
      <c r="G1739">
        <v>10</v>
      </c>
      <c r="H1739" t="s">
        <v>10432</v>
      </c>
      <c r="J1739" t="s">
        <v>898</v>
      </c>
      <c r="M1739" t="s">
        <v>10433</v>
      </c>
      <c r="N1739">
        <v>1.813871112</v>
      </c>
      <c r="O1739">
        <v>2.6633694910000001</v>
      </c>
      <c r="P1739">
        <v>-0.29586356800000002</v>
      </c>
      <c r="Q1739">
        <v>-0.59018158399999998</v>
      </c>
      <c r="S1739" s="13">
        <v>-1.3396199040000001</v>
      </c>
      <c r="T1739">
        <v>7.136025E-2</v>
      </c>
      <c r="U1739">
        <v>-0.16134705899999999</v>
      </c>
    </row>
    <row r="1740" spans="1:21" x14ac:dyDescent="0.2">
      <c r="A1740" t="s">
        <v>2108</v>
      </c>
      <c r="B1740">
        <v>718480</v>
      </c>
      <c r="C1740" t="s">
        <v>6953</v>
      </c>
      <c r="D1740" t="s">
        <v>2108</v>
      </c>
      <c r="E1740" t="s">
        <v>6956</v>
      </c>
      <c r="F1740">
        <v>17</v>
      </c>
      <c r="G1740">
        <v>7</v>
      </c>
      <c r="H1740" t="s">
        <v>10434</v>
      </c>
      <c r="J1740" t="s">
        <v>2592</v>
      </c>
      <c r="M1740" t="s">
        <v>10435</v>
      </c>
      <c r="N1740">
        <v>1.921480887</v>
      </c>
      <c r="O1740">
        <v>3.0856645180000002</v>
      </c>
      <c r="P1740">
        <v>0.44706724399999997</v>
      </c>
      <c r="Q1740">
        <v>-0.354940863</v>
      </c>
      <c r="S1740" s="13">
        <v>-1.3396974290000001</v>
      </c>
      <c r="T1740">
        <v>7.1021485999999995E-2</v>
      </c>
      <c r="U1740">
        <v>-0.130656992</v>
      </c>
    </row>
    <row r="1741" spans="1:21" x14ac:dyDescent="0.2">
      <c r="A1741" t="s">
        <v>1076</v>
      </c>
      <c r="B1741">
        <v>669960</v>
      </c>
      <c r="C1741" t="s">
        <v>6938</v>
      </c>
      <c r="D1741" t="s">
        <v>1077</v>
      </c>
      <c r="E1741" t="s">
        <v>6977</v>
      </c>
      <c r="F1741">
        <v>7</v>
      </c>
      <c r="G1741">
        <v>5</v>
      </c>
      <c r="H1741" t="s">
        <v>10436</v>
      </c>
      <c r="J1741" t="s">
        <v>1995</v>
      </c>
      <c r="M1741" t="s">
        <v>10437</v>
      </c>
      <c r="N1741">
        <v>2.092758737</v>
      </c>
      <c r="O1741">
        <v>5.3323610669999999</v>
      </c>
      <c r="P1741">
        <v>0.70420098600000003</v>
      </c>
      <c r="Q1741">
        <v>0.41355372699999998</v>
      </c>
      <c r="S1741" s="13">
        <v>-1.339745792</v>
      </c>
      <c r="T1741">
        <v>7.0810150000000002E-2</v>
      </c>
      <c r="U1741">
        <v>-0.198767893</v>
      </c>
    </row>
    <row r="1742" spans="1:21" x14ac:dyDescent="0.2">
      <c r="A1742" t="s">
        <v>1491</v>
      </c>
      <c r="B1742">
        <v>653400</v>
      </c>
      <c r="C1742" t="s">
        <v>6927</v>
      </c>
      <c r="D1742" t="s">
        <v>1491</v>
      </c>
      <c r="E1742" t="s">
        <v>6928</v>
      </c>
      <c r="F1742">
        <v>15</v>
      </c>
      <c r="G1742">
        <v>16</v>
      </c>
      <c r="H1742" t="s">
        <v>10438</v>
      </c>
      <c r="J1742" t="s">
        <v>10439</v>
      </c>
      <c r="M1742" t="s">
        <v>10440</v>
      </c>
      <c r="N1742">
        <v>1.982575982</v>
      </c>
      <c r="O1742">
        <v>3.4571926419999999</v>
      </c>
      <c r="P1742">
        <v>-0.114791479</v>
      </c>
      <c r="Q1742">
        <v>1.868949E-3</v>
      </c>
      <c r="S1742" s="13">
        <v>-1.33974931</v>
      </c>
      <c r="T1742">
        <v>7.0794777000000003E-2</v>
      </c>
      <c r="U1742">
        <v>-0.18585564199999999</v>
      </c>
    </row>
    <row r="1743" spans="1:21" x14ac:dyDescent="0.2">
      <c r="A1743" t="s">
        <v>668</v>
      </c>
      <c r="B1743">
        <v>507120</v>
      </c>
      <c r="C1743" t="s">
        <v>6945</v>
      </c>
      <c r="D1743" t="s">
        <v>668</v>
      </c>
      <c r="E1743" t="s">
        <v>6956</v>
      </c>
      <c r="F1743">
        <v>21</v>
      </c>
      <c r="G1743">
        <v>7</v>
      </c>
      <c r="H1743" t="s">
        <v>10441</v>
      </c>
      <c r="J1743" t="s">
        <v>3504</v>
      </c>
      <c r="M1743" t="s">
        <v>10442</v>
      </c>
      <c r="N1743">
        <v>2.2220813349999999</v>
      </c>
      <c r="O1743">
        <v>6.5440947090000003</v>
      </c>
      <c r="P1743">
        <v>0.58228215500000002</v>
      </c>
      <c r="Q1743">
        <v>0.35188233000000002</v>
      </c>
      <c r="S1743" s="13">
        <v>-1.339942274</v>
      </c>
      <c r="T1743">
        <v>6.9951568000000006E-2</v>
      </c>
      <c r="U1743">
        <v>-0.22131567099999999</v>
      </c>
    </row>
    <row r="1744" spans="1:21" x14ac:dyDescent="0.2">
      <c r="A1744" t="s">
        <v>458</v>
      </c>
      <c r="B1744">
        <v>653200</v>
      </c>
      <c r="C1744" t="s">
        <v>6927</v>
      </c>
      <c r="D1744" t="s">
        <v>459</v>
      </c>
      <c r="E1744" t="s">
        <v>6921</v>
      </c>
      <c r="F1744">
        <v>4</v>
      </c>
      <c r="G1744">
        <v>8</v>
      </c>
      <c r="H1744" t="s">
        <v>10443</v>
      </c>
      <c r="J1744" t="s">
        <v>10444</v>
      </c>
      <c r="M1744" t="s">
        <v>10445</v>
      </c>
      <c r="N1744">
        <v>1.982575982</v>
      </c>
      <c r="O1744">
        <v>3.4571926419999999</v>
      </c>
      <c r="P1744">
        <v>-0.114791479</v>
      </c>
      <c r="Q1744">
        <v>1.868949E-3</v>
      </c>
      <c r="S1744" s="13">
        <v>-1.339956835</v>
      </c>
      <c r="T1744">
        <v>6.9887940999999995E-2</v>
      </c>
      <c r="U1744">
        <v>-0.18600007299999999</v>
      </c>
    </row>
    <row r="1745" spans="1:21" x14ac:dyDescent="0.2">
      <c r="A1745" t="s">
        <v>13</v>
      </c>
      <c r="B1745">
        <v>652840</v>
      </c>
      <c r="C1745" t="s">
        <v>6927</v>
      </c>
      <c r="D1745" t="s">
        <v>13</v>
      </c>
      <c r="E1745" t="s">
        <v>6921</v>
      </c>
      <c r="F1745">
        <v>22</v>
      </c>
      <c r="G1745">
        <v>8</v>
      </c>
      <c r="H1745" t="s">
        <v>10446</v>
      </c>
      <c r="J1745" t="s">
        <v>10447</v>
      </c>
      <c r="M1745" t="s">
        <v>10448</v>
      </c>
      <c r="N1745">
        <v>1.982575982</v>
      </c>
      <c r="O1745">
        <v>3.4571926419999999</v>
      </c>
      <c r="P1745">
        <v>-0.114791479</v>
      </c>
      <c r="Q1745">
        <v>1.868949E-3</v>
      </c>
      <c r="S1745" s="13">
        <v>-1.3403303799999999</v>
      </c>
      <c r="T1745">
        <v>6.8255635999999995E-2</v>
      </c>
      <c r="U1745">
        <v>-0.186260168</v>
      </c>
    </row>
    <row r="1746" spans="1:21" x14ac:dyDescent="0.2">
      <c r="A1746" t="s">
        <v>444</v>
      </c>
      <c r="B1746">
        <v>652760</v>
      </c>
      <c r="C1746" t="s">
        <v>6927</v>
      </c>
      <c r="D1746" t="s">
        <v>445</v>
      </c>
      <c r="E1746" t="s">
        <v>7006</v>
      </c>
      <c r="F1746">
        <v>2</v>
      </c>
      <c r="G1746">
        <v>3</v>
      </c>
      <c r="H1746" t="s">
        <v>10449</v>
      </c>
      <c r="J1746" t="s">
        <v>10450</v>
      </c>
      <c r="M1746" t="s">
        <v>10451</v>
      </c>
      <c r="N1746">
        <v>1.982575982</v>
      </c>
      <c r="O1746">
        <v>3.4571926419999999</v>
      </c>
      <c r="P1746">
        <v>-0.114791479</v>
      </c>
      <c r="Q1746">
        <v>1.868949E-3</v>
      </c>
      <c r="S1746" s="13">
        <v>-1.3404133899999999</v>
      </c>
      <c r="T1746">
        <v>6.7892901000000005E-2</v>
      </c>
      <c r="U1746">
        <v>-0.18631798799999999</v>
      </c>
    </row>
    <row r="1747" spans="1:21" x14ac:dyDescent="0.2">
      <c r="A1747" t="s">
        <v>1582</v>
      </c>
      <c r="B1747">
        <v>612080</v>
      </c>
      <c r="C1747" t="s">
        <v>6906</v>
      </c>
      <c r="D1747" t="s">
        <v>1583</v>
      </c>
      <c r="E1747" t="s">
        <v>7006</v>
      </c>
      <c r="F1747">
        <v>9</v>
      </c>
      <c r="G1747">
        <v>3</v>
      </c>
      <c r="H1747" t="s">
        <v>10452</v>
      </c>
      <c r="J1747" t="s">
        <v>1585</v>
      </c>
      <c r="M1747" t="s">
        <v>10453</v>
      </c>
      <c r="N1747">
        <v>1.813871112</v>
      </c>
      <c r="O1747">
        <v>2.6633694910000001</v>
      </c>
      <c r="P1747">
        <v>-0.29586356800000002</v>
      </c>
      <c r="Q1747">
        <v>-0.59018158399999998</v>
      </c>
      <c r="S1747" s="13">
        <v>-1.3407224719999999</v>
      </c>
      <c r="T1747">
        <v>6.6542280999999995E-2</v>
      </c>
      <c r="U1747">
        <v>-0.16186600300000001</v>
      </c>
    </row>
    <row r="1748" spans="1:21" x14ac:dyDescent="0.2">
      <c r="A1748" t="s">
        <v>2139</v>
      </c>
      <c r="B1748">
        <v>717400</v>
      </c>
      <c r="C1748" t="s">
        <v>6953</v>
      </c>
      <c r="D1748" t="s">
        <v>2140</v>
      </c>
      <c r="E1748" t="s">
        <v>6924</v>
      </c>
      <c r="F1748">
        <v>1</v>
      </c>
      <c r="G1748">
        <v>6</v>
      </c>
      <c r="H1748" t="s">
        <v>10454</v>
      </c>
      <c r="J1748" t="s">
        <v>2942</v>
      </c>
      <c r="M1748" t="s">
        <v>10455</v>
      </c>
      <c r="N1748">
        <v>1.921480887</v>
      </c>
      <c r="O1748">
        <v>3.0856645180000002</v>
      </c>
      <c r="P1748">
        <v>0.44706724399999997</v>
      </c>
      <c r="Q1748">
        <v>-0.354940863</v>
      </c>
      <c r="S1748" s="13">
        <v>-1.3408180629999999</v>
      </c>
      <c r="T1748">
        <v>6.6124570999999993E-2</v>
      </c>
      <c r="U1748">
        <v>-0.13134425699999999</v>
      </c>
    </row>
    <row r="1749" spans="1:21" x14ac:dyDescent="0.2">
      <c r="A1749" t="s">
        <v>1062</v>
      </c>
      <c r="B1749">
        <v>624320</v>
      </c>
      <c r="C1749" t="s">
        <v>6910</v>
      </c>
      <c r="D1749" t="s">
        <v>1062</v>
      </c>
      <c r="E1749" t="s">
        <v>6924</v>
      </c>
      <c r="F1749">
        <v>17</v>
      </c>
      <c r="G1749">
        <v>6</v>
      </c>
      <c r="H1749" t="s">
        <v>10456</v>
      </c>
      <c r="J1749" t="s">
        <v>4590</v>
      </c>
      <c r="M1749" t="s">
        <v>10457</v>
      </c>
      <c r="N1749">
        <v>1.9874741039999999</v>
      </c>
      <c r="O1749">
        <v>3.7453511220000002</v>
      </c>
      <c r="P1749">
        <v>0.451009722</v>
      </c>
      <c r="Q1749">
        <v>-0.102386592</v>
      </c>
      <c r="S1749" s="13">
        <v>-1.3409829360000001</v>
      </c>
      <c r="T1749">
        <v>6.5404112E-2</v>
      </c>
      <c r="U1749">
        <v>-0.12755243099999999</v>
      </c>
    </row>
    <row r="1750" spans="1:21" x14ac:dyDescent="0.2">
      <c r="A1750" t="s">
        <v>1321</v>
      </c>
      <c r="B1750">
        <v>505640</v>
      </c>
      <c r="C1750" t="s">
        <v>6945</v>
      </c>
      <c r="D1750" t="s">
        <v>1321</v>
      </c>
      <c r="E1750" t="s">
        <v>7115</v>
      </c>
      <c r="F1750">
        <v>15</v>
      </c>
      <c r="G1750">
        <v>10</v>
      </c>
      <c r="H1750" t="s">
        <v>10458</v>
      </c>
      <c r="J1750" t="s">
        <v>2767</v>
      </c>
      <c r="M1750" t="s">
        <v>10459</v>
      </c>
      <c r="N1750">
        <v>2.2220813349999999</v>
      </c>
      <c r="O1750">
        <v>6.5440947090000003</v>
      </c>
      <c r="P1750">
        <v>0.58228215500000002</v>
      </c>
      <c r="Q1750">
        <v>0.35188233000000002</v>
      </c>
      <c r="S1750" s="13">
        <v>-1.3413382629999999</v>
      </c>
      <c r="T1750">
        <v>6.3851413999999995E-2</v>
      </c>
      <c r="U1750">
        <v>-0.22247674000000001</v>
      </c>
    </row>
    <row r="1751" spans="1:21" x14ac:dyDescent="0.2">
      <c r="A1751" t="s">
        <v>779</v>
      </c>
      <c r="B1751">
        <v>556200</v>
      </c>
      <c r="C1751" t="s">
        <v>6931</v>
      </c>
      <c r="D1751" t="s">
        <v>780</v>
      </c>
      <c r="E1751" t="s">
        <v>7006</v>
      </c>
      <c r="F1751">
        <v>8</v>
      </c>
      <c r="G1751">
        <v>3</v>
      </c>
      <c r="H1751" t="s">
        <v>10460</v>
      </c>
      <c r="N1751">
        <v>1.9323965059999999</v>
      </c>
      <c r="O1751">
        <v>3.0528020530000002</v>
      </c>
      <c r="P1751">
        <v>2.6493138999999999E-2</v>
      </c>
      <c r="Q1751">
        <v>-0.38692188</v>
      </c>
      <c r="S1751" s="13">
        <v>-1.3416726889999999</v>
      </c>
      <c r="T1751">
        <v>6.2390050000000002E-2</v>
      </c>
      <c r="U1751">
        <v>-0.121259742</v>
      </c>
    </row>
    <row r="1752" spans="1:21" x14ac:dyDescent="0.2">
      <c r="A1752" t="s">
        <v>1788</v>
      </c>
      <c r="B1752">
        <v>667320</v>
      </c>
      <c r="C1752" t="s">
        <v>6938</v>
      </c>
      <c r="D1752" t="s">
        <v>1788</v>
      </c>
      <c r="E1752" t="s">
        <v>6956</v>
      </c>
      <c r="F1752">
        <v>10</v>
      </c>
      <c r="G1752">
        <v>7</v>
      </c>
      <c r="H1752" t="s">
        <v>10461</v>
      </c>
      <c r="J1752" t="s">
        <v>5059</v>
      </c>
      <c r="M1752" t="s">
        <v>10462</v>
      </c>
      <c r="N1752">
        <v>2.092758737</v>
      </c>
      <c r="O1752">
        <v>5.3323610669999999</v>
      </c>
      <c r="P1752">
        <v>0.70420098600000003</v>
      </c>
      <c r="Q1752">
        <v>0.41355372699999998</v>
      </c>
      <c r="S1752" s="13">
        <v>-1.3420130539999999</v>
      </c>
      <c r="T1752">
        <v>6.0902733000000001E-2</v>
      </c>
      <c r="U1752">
        <v>-0.20073603200000001</v>
      </c>
    </row>
    <row r="1753" spans="1:21" x14ac:dyDescent="0.2">
      <c r="A1753" t="s">
        <v>1208</v>
      </c>
      <c r="B1753">
        <v>716240</v>
      </c>
      <c r="C1753" t="s">
        <v>6953</v>
      </c>
      <c r="D1753" t="s">
        <v>1208</v>
      </c>
      <c r="E1753" t="s">
        <v>6921</v>
      </c>
      <c r="F1753">
        <v>15</v>
      </c>
      <c r="G1753">
        <v>8</v>
      </c>
      <c r="H1753" t="s">
        <v>10463</v>
      </c>
      <c r="J1753" t="s">
        <v>1210</v>
      </c>
      <c r="M1753" t="s">
        <v>10464</v>
      </c>
      <c r="N1753">
        <v>1.921480887</v>
      </c>
      <c r="O1753">
        <v>3.0856645180000002</v>
      </c>
      <c r="P1753">
        <v>0.44706724399999997</v>
      </c>
      <c r="Q1753">
        <v>-0.354940863</v>
      </c>
      <c r="S1753" s="13">
        <v>-1.342021707</v>
      </c>
      <c r="T1753">
        <v>6.0864921000000002E-2</v>
      </c>
      <c r="U1753">
        <v>-0.132083645</v>
      </c>
    </row>
    <row r="1754" spans="1:21" x14ac:dyDescent="0.2">
      <c r="A1754" t="s">
        <v>637</v>
      </c>
      <c r="B1754">
        <v>727400</v>
      </c>
      <c r="C1754" t="s">
        <v>6914</v>
      </c>
      <c r="D1754" t="s">
        <v>637</v>
      </c>
      <c r="E1754" t="s">
        <v>6977</v>
      </c>
      <c r="F1754">
        <v>19</v>
      </c>
      <c r="G1754">
        <v>5</v>
      </c>
      <c r="H1754" t="s">
        <v>10465</v>
      </c>
      <c r="J1754" t="s">
        <v>4052</v>
      </c>
      <c r="M1754" t="s">
        <v>10466</v>
      </c>
      <c r="N1754">
        <v>1.8217074179999999</v>
      </c>
      <c r="O1754">
        <v>4.1700741289999996</v>
      </c>
      <c r="P1754">
        <v>0.189705977</v>
      </c>
      <c r="Q1754">
        <v>-1.7194070999999998E-2</v>
      </c>
      <c r="S1754" s="13">
        <v>-1.3420894370000001</v>
      </c>
      <c r="T1754">
        <v>6.0568955000000001E-2</v>
      </c>
      <c r="U1754">
        <v>-0.190311696</v>
      </c>
    </row>
    <row r="1755" spans="1:21" x14ac:dyDescent="0.2">
      <c r="A1755" t="s">
        <v>519</v>
      </c>
      <c r="B1755">
        <v>667080</v>
      </c>
      <c r="C1755" t="s">
        <v>6938</v>
      </c>
      <c r="D1755" t="s">
        <v>519</v>
      </c>
      <c r="E1755" t="s">
        <v>6956</v>
      </c>
      <c r="F1755">
        <v>18</v>
      </c>
      <c r="G1755">
        <v>7</v>
      </c>
      <c r="H1755" t="s">
        <v>10467</v>
      </c>
      <c r="J1755" t="s">
        <v>4762</v>
      </c>
      <c r="M1755" t="s">
        <v>10468</v>
      </c>
      <c r="N1755">
        <v>2.092758737</v>
      </c>
      <c r="O1755">
        <v>5.3323610669999999</v>
      </c>
      <c r="P1755">
        <v>0.70420098600000003</v>
      </c>
      <c r="Q1755">
        <v>0.41355372699999998</v>
      </c>
      <c r="S1755" s="13">
        <v>-1.342219169</v>
      </c>
      <c r="T1755">
        <v>6.0002059000000003E-2</v>
      </c>
      <c r="U1755">
        <v>-0.200915396</v>
      </c>
    </row>
    <row r="1756" spans="1:21" x14ac:dyDescent="0.2">
      <c r="A1756" t="s">
        <v>1484</v>
      </c>
      <c r="B1756">
        <v>623120</v>
      </c>
      <c r="C1756" t="s">
        <v>6910</v>
      </c>
      <c r="D1756" t="s">
        <v>1484</v>
      </c>
      <c r="E1756" t="s">
        <v>6977</v>
      </c>
      <c r="F1756">
        <v>16</v>
      </c>
      <c r="G1756">
        <v>5</v>
      </c>
      <c r="H1756" t="s">
        <v>10469</v>
      </c>
      <c r="J1756" t="s">
        <v>3537</v>
      </c>
      <c r="M1756" t="s">
        <v>10470</v>
      </c>
      <c r="N1756">
        <v>1.9874741039999999</v>
      </c>
      <c r="O1756">
        <v>3.7453511220000002</v>
      </c>
      <c r="P1756">
        <v>0.451009722</v>
      </c>
      <c r="Q1756">
        <v>-0.102386592</v>
      </c>
      <c r="S1756" s="13">
        <v>-1.342274009</v>
      </c>
      <c r="T1756">
        <v>5.9762421000000003E-2</v>
      </c>
      <c r="U1756">
        <v>-0.12831068200000001</v>
      </c>
    </row>
    <row r="1757" spans="1:21" x14ac:dyDescent="0.2">
      <c r="A1757" t="s">
        <v>1155</v>
      </c>
      <c r="B1757">
        <v>585720</v>
      </c>
      <c r="C1757" t="s">
        <v>6942</v>
      </c>
      <c r="D1757" t="s">
        <v>1156</v>
      </c>
      <c r="E1757" t="s">
        <v>6970</v>
      </c>
      <c r="F1757">
        <v>8</v>
      </c>
      <c r="G1757">
        <v>14</v>
      </c>
      <c r="H1757" t="s">
        <v>10471</v>
      </c>
      <c r="J1757" t="s">
        <v>1697</v>
      </c>
      <c r="M1757" t="s">
        <v>10472</v>
      </c>
      <c r="N1757">
        <v>2.0902262079999998</v>
      </c>
      <c r="O1757">
        <v>4.2704203920000001</v>
      </c>
      <c r="P1757">
        <v>0.23425843900000001</v>
      </c>
      <c r="Q1757">
        <v>1.6181978999999999E-2</v>
      </c>
      <c r="S1757" s="13">
        <v>-1.342363033</v>
      </c>
      <c r="T1757">
        <v>5.9373403999999998E-2</v>
      </c>
      <c r="U1757">
        <v>-0.21523183900000001</v>
      </c>
    </row>
    <row r="1758" spans="1:21" x14ac:dyDescent="0.2">
      <c r="A1758" t="s">
        <v>1436</v>
      </c>
      <c r="B1758">
        <v>666480</v>
      </c>
      <c r="C1758" t="s">
        <v>6938</v>
      </c>
      <c r="D1758" t="s">
        <v>1437</v>
      </c>
      <c r="E1758" t="s">
        <v>6907</v>
      </c>
      <c r="F1758">
        <v>6</v>
      </c>
      <c r="G1758">
        <v>4</v>
      </c>
      <c r="H1758" t="s">
        <v>10473</v>
      </c>
      <c r="J1758" t="s">
        <v>2569</v>
      </c>
      <c r="M1758" t="s">
        <v>10474</v>
      </c>
      <c r="N1758">
        <v>2.092758737</v>
      </c>
      <c r="O1758">
        <v>5.3323610669999999</v>
      </c>
      <c r="P1758">
        <v>0.70420098600000003</v>
      </c>
      <c r="Q1758">
        <v>0.41355372699999998</v>
      </c>
      <c r="S1758" s="13">
        <v>-1.3427344560000001</v>
      </c>
      <c r="T1758">
        <v>5.7750373000000001E-2</v>
      </c>
      <c r="U1758">
        <v>-0.201364133</v>
      </c>
    </row>
    <row r="1759" spans="1:21" x14ac:dyDescent="0.2">
      <c r="A1759" t="s">
        <v>909</v>
      </c>
      <c r="B1759">
        <v>650400</v>
      </c>
      <c r="C1759" t="s">
        <v>6927</v>
      </c>
      <c r="D1759" t="s">
        <v>909</v>
      </c>
      <c r="E1759" t="s">
        <v>6974</v>
      </c>
      <c r="F1759">
        <v>10</v>
      </c>
      <c r="G1759">
        <v>15</v>
      </c>
      <c r="H1759" t="s">
        <v>10475</v>
      </c>
      <c r="J1759" t="s">
        <v>10476</v>
      </c>
      <c r="M1759" t="s">
        <v>10477</v>
      </c>
      <c r="N1759">
        <v>1.982575982</v>
      </c>
      <c r="O1759">
        <v>3.4571926419999999</v>
      </c>
      <c r="P1759">
        <v>-0.114791479</v>
      </c>
      <c r="Q1759">
        <v>1.868949E-3</v>
      </c>
      <c r="S1759" s="13">
        <v>-1.342862183</v>
      </c>
      <c r="T1759">
        <v>5.7192234000000002E-2</v>
      </c>
      <c r="U1759">
        <v>-0.188027156</v>
      </c>
    </row>
    <row r="1760" spans="1:21" x14ac:dyDescent="0.2">
      <c r="A1760" t="s">
        <v>681</v>
      </c>
      <c r="B1760">
        <v>622560</v>
      </c>
      <c r="C1760" t="s">
        <v>6910</v>
      </c>
      <c r="D1760" t="s">
        <v>682</v>
      </c>
      <c r="E1760" t="s">
        <v>6907</v>
      </c>
      <c r="F1760">
        <v>5</v>
      </c>
      <c r="G1760">
        <v>4</v>
      </c>
      <c r="H1760" t="s">
        <v>10478</v>
      </c>
      <c r="J1760" t="s">
        <v>2648</v>
      </c>
      <c r="M1760" t="s">
        <v>10479</v>
      </c>
      <c r="N1760">
        <v>1.9874741039999999</v>
      </c>
      <c r="O1760">
        <v>3.7453511220000002</v>
      </c>
      <c r="P1760">
        <v>0.451009722</v>
      </c>
      <c r="Q1760">
        <v>-0.102386592</v>
      </c>
      <c r="S1760" s="13">
        <v>-1.3428765090000001</v>
      </c>
      <c r="T1760">
        <v>5.7129632E-2</v>
      </c>
      <c r="U1760">
        <v>-0.12866498600000001</v>
      </c>
    </row>
    <row r="1761" spans="1:21" x14ac:dyDescent="0.2">
      <c r="A1761" t="s">
        <v>116</v>
      </c>
      <c r="B1761">
        <v>622520</v>
      </c>
      <c r="C1761" t="s">
        <v>6910</v>
      </c>
      <c r="D1761" t="s">
        <v>117</v>
      </c>
      <c r="E1761" t="s">
        <v>6921</v>
      </c>
      <c r="F1761">
        <v>3</v>
      </c>
      <c r="G1761">
        <v>8</v>
      </c>
      <c r="H1761" t="s">
        <v>10480</v>
      </c>
      <c r="J1761" t="s">
        <v>5195</v>
      </c>
      <c r="M1761" t="s">
        <v>10481</v>
      </c>
      <c r="N1761">
        <v>1.9874741039999999</v>
      </c>
      <c r="O1761">
        <v>3.7453511220000002</v>
      </c>
      <c r="P1761">
        <v>0.451009722</v>
      </c>
      <c r="Q1761">
        <v>-0.102386592</v>
      </c>
      <c r="S1761" s="13">
        <v>-1.342919545</v>
      </c>
      <c r="T1761">
        <v>5.6941576000000001E-2</v>
      </c>
      <c r="U1761">
        <v>-0.128690305</v>
      </c>
    </row>
    <row r="1762" spans="1:21" x14ac:dyDescent="0.2">
      <c r="A1762" t="s">
        <v>804</v>
      </c>
      <c r="B1762">
        <v>622200</v>
      </c>
      <c r="C1762" t="s">
        <v>6910</v>
      </c>
      <c r="D1762" t="s">
        <v>804</v>
      </c>
      <c r="E1762" t="s">
        <v>6918</v>
      </c>
      <c r="F1762">
        <v>18</v>
      </c>
      <c r="G1762">
        <v>1</v>
      </c>
      <c r="H1762" t="s">
        <v>10482</v>
      </c>
      <c r="J1762" t="s">
        <v>6465</v>
      </c>
      <c r="M1762" t="s">
        <v>10483</v>
      </c>
      <c r="N1762">
        <v>1.9874741039999999</v>
      </c>
      <c r="O1762">
        <v>3.7453511220000002</v>
      </c>
      <c r="P1762">
        <v>0.451009722</v>
      </c>
      <c r="Q1762">
        <v>-0.102386592</v>
      </c>
      <c r="S1762" s="13">
        <v>-1.343263831</v>
      </c>
      <c r="T1762">
        <v>5.5437124999999997E-2</v>
      </c>
      <c r="U1762">
        <v>-0.128892906</v>
      </c>
    </row>
    <row r="1763" spans="1:21" x14ac:dyDescent="0.2">
      <c r="A1763" t="s">
        <v>2054</v>
      </c>
      <c r="B1763">
        <v>649880</v>
      </c>
      <c r="C1763" t="s">
        <v>6927</v>
      </c>
      <c r="D1763" t="s">
        <v>2054</v>
      </c>
      <c r="E1763" t="s">
        <v>6911</v>
      </c>
      <c r="F1763">
        <v>15</v>
      </c>
      <c r="G1763">
        <v>12</v>
      </c>
      <c r="H1763" t="s">
        <v>10484</v>
      </c>
      <c r="J1763" t="s">
        <v>10485</v>
      </c>
      <c r="M1763" t="s">
        <v>10486</v>
      </c>
      <c r="N1763">
        <v>1.982575982</v>
      </c>
      <c r="O1763">
        <v>3.4571926419999999</v>
      </c>
      <c r="P1763">
        <v>-0.114791479</v>
      </c>
      <c r="Q1763">
        <v>1.868949E-3</v>
      </c>
      <c r="S1763" s="13">
        <v>-1.3434017469999999</v>
      </c>
      <c r="T1763">
        <v>5.4834460000000002E-2</v>
      </c>
      <c r="U1763">
        <v>-0.188404658</v>
      </c>
    </row>
    <row r="1764" spans="1:21" x14ac:dyDescent="0.2">
      <c r="A1764" t="s">
        <v>333</v>
      </c>
      <c r="B1764">
        <v>584480</v>
      </c>
      <c r="C1764" t="s">
        <v>6942</v>
      </c>
      <c r="D1764" t="s">
        <v>334</v>
      </c>
      <c r="E1764" t="s">
        <v>6915</v>
      </c>
      <c r="F1764">
        <v>2</v>
      </c>
      <c r="G1764">
        <v>13</v>
      </c>
      <c r="H1764" t="s">
        <v>10487</v>
      </c>
      <c r="J1764" t="s">
        <v>2214</v>
      </c>
      <c r="M1764" t="s">
        <v>10488</v>
      </c>
      <c r="N1764">
        <v>2.0902262079999998</v>
      </c>
      <c r="O1764">
        <v>4.2704203920000001</v>
      </c>
      <c r="P1764">
        <v>0.23425843900000001</v>
      </c>
      <c r="Q1764">
        <v>1.6181978999999999E-2</v>
      </c>
      <c r="S1764" s="13">
        <v>-1.34358008</v>
      </c>
      <c r="T1764">
        <v>5.4055188999999997E-2</v>
      </c>
      <c r="U1764">
        <v>-0.21619087100000001</v>
      </c>
    </row>
    <row r="1765" spans="1:21" x14ac:dyDescent="0.2">
      <c r="A1765" t="s">
        <v>1049</v>
      </c>
      <c r="B1765">
        <v>726120</v>
      </c>
      <c r="C1765" t="s">
        <v>6914</v>
      </c>
      <c r="D1765" t="s">
        <v>1049</v>
      </c>
      <c r="E1765" t="s">
        <v>6928</v>
      </c>
      <c r="F1765">
        <v>23</v>
      </c>
      <c r="G1765">
        <v>16</v>
      </c>
      <c r="H1765" t="s">
        <v>10489</v>
      </c>
      <c r="J1765" t="s">
        <v>6701</v>
      </c>
      <c r="M1765" t="s">
        <v>10490</v>
      </c>
      <c r="N1765">
        <v>1.8217074179999999</v>
      </c>
      <c r="O1765">
        <v>4.1700741289999996</v>
      </c>
      <c r="P1765">
        <v>0.189705977</v>
      </c>
      <c r="Q1765">
        <v>-1.7194070999999998E-2</v>
      </c>
      <c r="S1765" s="13">
        <v>-1.3436289720000001</v>
      </c>
      <c r="T1765">
        <v>5.384154E-2</v>
      </c>
      <c r="U1765">
        <v>-0.19124643199999999</v>
      </c>
    </row>
    <row r="1766" spans="1:21" x14ac:dyDescent="0.2">
      <c r="A1766" t="s">
        <v>637</v>
      </c>
      <c r="B1766">
        <v>554680</v>
      </c>
      <c r="C1766" t="s">
        <v>6931</v>
      </c>
      <c r="D1766" t="s">
        <v>637</v>
      </c>
      <c r="E1766" t="s">
        <v>6977</v>
      </c>
      <c r="F1766">
        <v>19</v>
      </c>
      <c r="G1766">
        <v>5</v>
      </c>
      <c r="H1766" t="s">
        <v>10491</v>
      </c>
      <c r="N1766">
        <v>1.9323965059999999</v>
      </c>
      <c r="O1766">
        <v>3.0528020530000002</v>
      </c>
      <c r="P1766">
        <v>2.6493138999999999E-2</v>
      </c>
      <c r="Q1766">
        <v>-0.38692188</v>
      </c>
      <c r="S1766" s="13">
        <v>-1.3436699299999999</v>
      </c>
      <c r="T1766">
        <v>5.3662565000000002E-2</v>
      </c>
      <c r="U1766">
        <v>-0.12220658299999999</v>
      </c>
    </row>
    <row r="1767" spans="1:21" x14ac:dyDescent="0.2">
      <c r="A1767" t="s">
        <v>963</v>
      </c>
      <c r="B1767">
        <v>649600</v>
      </c>
      <c r="C1767" t="s">
        <v>6927</v>
      </c>
      <c r="D1767" t="s">
        <v>963</v>
      </c>
      <c r="E1767" t="s">
        <v>6939</v>
      </c>
      <c r="F1767">
        <v>20</v>
      </c>
      <c r="G1767">
        <v>2</v>
      </c>
      <c r="H1767" t="s">
        <v>10492</v>
      </c>
      <c r="J1767" t="s">
        <v>10493</v>
      </c>
      <c r="M1767" t="s">
        <v>10494</v>
      </c>
      <c r="N1767">
        <v>1.982575982</v>
      </c>
      <c r="O1767">
        <v>3.4571926419999999</v>
      </c>
      <c r="P1767">
        <v>-0.114791479</v>
      </c>
      <c r="Q1767">
        <v>1.868949E-3</v>
      </c>
      <c r="S1767" s="13">
        <v>-1.3436922819999999</v>
      </c>
      <c r="T1767">
        <v>5.3564889999999997E-2</v>
      </c>
      <c r="U1767">
        <v>-0.18860806399999999</v>
      </c>
    </row>
    <row r="1768" spans="1:21" x14ac:dyDescent="0.2">
      <c r="A1768" t="s">
        <v>400</v>
      </c>
      <c r="B1768">
        <v>621800</v>
      </c>
      <c r="C1768" t="s">
        <v>6910</v>
      </c>
      <c r="D1768" t="s">
        <v>400</v>
      </c>
      <c r="E1768" t="s">
        <v>6939</v>
      </c>
      <c r="F1768">
        <v>11</v>
      </c>
      <c r="G1768">
        <v>2</v>
      </c>
      <c r="H1768" t="s">
        <v>10495</v>
      </c>
      <c r="J1768" t="s">
        <v>3977</v>
      </c>
      <c r="M1768" t="s">
        <v>10496</v>
      </c>
      <c r="N1768">
        <v>1.9874741039999999</v>
      </c>
      <c r="O1768">
        <v>3.7453511220000002</v>
      </c>
      <c r="P1768">
        <v>0.451009722</v>
      </c>
      <c r="Q1768">
        <v>-0.102386592</v>
      </c>
      <c r="S1768" s="13">
        <v>-1.343694188</v>
      </c>
      <c r="T1768">
        <v>5.3556562000000002E-2</v>
      </c>
      <c r="U1768">
        <v>-0.12914629</v>
      </c>
    </row>
    <row r="1769" spans="1:21" x14ac:dyDescent="0.2">
      <c r="A1769" t="s">
        <v>263</v>
      </c>
      <c r="B1769">
        <v>609920</v>
      </c>
      <c r="C1769" t="s">
        <v>6906</v>
      </c>
      <c r="D1769" t="s">
        <v>264</v>
      </c>
      <c r="E1769" t="s">
        <v>6974</v>
      </c>
      <c r="F1769">
        <v>5</v>
      </c>
      <c r="G1769">
        <v>15</v>
      </c>
      <c r="H1769" t="s">
        <v>10497</v>
      </c>
      <c r="J1769" t="s">
        <v>825</v>
      </c>
      <c r="M1769" t="s">
        <v>10498</v>
      </c>
      <c r="N1769">
        <v>1.813871112</v>
      </c>
      <c r="O1769">
        <v>2.6633694910000001</v>
      </c>
      <c r="P1769">
        <v>-0.29586356800000002</v>
      </c>
      <c r="Q1769">
        <v>-0.59018158399999998</v>
      </c>
      <c r="S1769" s="13">
        <v>-1.3438560859999999</v>
      </c>
      <c r="T1769">
        <v>5.2849105E-2</v>
      </c>
      <c r="U1769">
        <v>-0.16334429</v>
      </c>
    </row>
    <row r="1770" spans="1:21" x14ac:dyDescent="0.2">
      <c r="A1770" t="s">
        <v>1058</v>
      </c>
      <c r="B1770">
        <v>609760</v>
      </c>
      <c r="C1770" t="s">
        <v>6906</v>
      </c>
      <c r="D1770" t="s">
        <v>1059</v>
      </c>
      <c r="E1770" t="s">
        <v>6911</v>
      </c>
      <c r="F1770">
        <v>6</v>
      </c>
      <c r="G1770">
        <v>12</v>
      </c>
      <c r="H1770" t="s">
        <v>10499</v>
      </c>
      <c r="J1770" t="s">
        <v>1207</v>
      </c>
      <c r="M1770" t="s">
        <v>10500</v>
      </c>
      <c r="N1770">
        <v>1.813871112</v>
      </c>
      <c r="O1770">
        <v>2.6633694910000001</v>
      </c>
      <c r="P1770">
        <v>-0.29586356800000002</v>
      </c>
      <c r="Q1770">
        <v>-0.59018158399999998</v>
      </c>
      <c r="S1770" s="13">
        <v>-1.344088205</v>
      </c>
      <c r="T1770">
        <v>5.1834796000000002E-2</v>
      </c>
      <c r="U1770">
        <v>-0.16345399299999999</v>
      </c>
    </row>
    <row r="1771" spans="1:21" x14ac:dyDescent="0.2">
      <c r="A1771" t="s">
        <v>807</v>
      </c>
      <c r="B1771">
        <v>664760</v>
      </c>
      <c r="C1771" t="s">
        <v>6938</v>
      </c>
      <c r="D1771" t="s">
        <v>807</v>
      </c>
      <c r="E1771" t="s">
        <v>6977</v>
      </c>
      <c r="F1771">
        <v>14</v>
      </c>
      <c r="G1771">
        <v>5</v>
      </c>
      <c r="H1771" t="s">
        <v>10501</v>
      </c>
      <c r="J1771" t="s">
        <v>3679</v>
      </c>
      <c r="M1771" t="s">
        <v>10502</v>
      </c>
      <c r="N1771">
        <v>2.092758737</v>
      </c>
      <c r="O1771">
        <v>5.3323610669999999</v>
      </c>
      <c r="P1771">
        <v>0.70420098600000003</v>
      </c>
      <c r="Q1771">
        <v>0.41355372699999998</v>
      </c>
      <c r="S1771" s="13">
        <v>-1.344211611</v>
      </c>
      <c r="T1771">
        <v>5.1295541E-2</v>
      </c>
      <c r="U1771">
        <v>-0.20265308600000001</v>
      </c>
    </row>
    <row r="1772" spans="1:21" x14ac:dyDescent="0.2">
      <c r="A1772" t="s">
        <v>1343</v>
      </c>
      <c r="B1772">
        <v>664600</v>
      </c>
      <c r="C1772" t="s">
        <v>6938</v>
      </c>
      <c r="D1772" t="s">
        <v>1344</v>
      </c>
      <c r="E1772" t="s">
        <v>7085</v>
      </c>
      <c r="F1772">
        <v>7</v>
      </c>
      <c r="G1772">
        <v>9</v>
      </c>
      <c r="H1772" t="s">
        <v>10503</v>
      </c>
      <c r="J1772" t="s">
        <v>4459</v>
      </c>
      <c r="M1772" t="s">
        <v>10504</v>
      </c>
      <c r="N1772">
        <v>2.092758737</v>
      </c>
      <c r="O1772">
        <v>5.3323610669999999</v>
      </c>
      <c r="P1772">
        <v>0.70420098600000003</v>
      </c>
      <c r="Q1772">
        <v>0.41355372699999998</v>
      </c>
      <c r="S1772" s="13">
        <v>-1.344349021</v>
      </c>
      <c r="T1772">
        <v>5.0695090999999998E-2</v>
      </c>
      <c r="U1772">
        <v>-0.202773183</v>
      </c>
    </row>
    <row r="1773" spans="1:21" x14ac:dyDescent="0.2">
      <c r="A1773" t="s">
        <v>687</v>
      </c>
      <c r="B1773">
        <v>583640</v>
      </c>
      <c r="C1773" t="s">
        <v>6942</v>
      </c>
      <c r="D1773" t="s">
        <v>688</v>
      </c>
      <c r="E1773" t="s">
        <v>6970</v>
      </c>
      <c r="F1773">
        <v>9</v>
      </c>
      <c r="G1773">
        <v>14</v>
      </c>
      <c r="H1773" t="s">
        <v>10505</v>
      </c>
      <c r="J1773" t="s">
        <v>4643</v>
      </c>
      <c r="M1773" t="s">
        <v>10506</v>
      </c>
      <c r="N1773">
        <v>2.0902262079999998</v>
      </c>
      <c r="O1773">
        <v>4.2704203920000001</v>
      </c>
      <c r="P1773">
        <v>0.23425843900000001</v>
      </c>
      <c r="Q1773">
        <v>1.6181978999999999E-2</v>
      </c>
      <c r="S1773" s="13">
        <v>-1.3444045309999999</v>
      </c>
      <c r="T1773">
        <v>5.0452526999999997E-2</v>
      </c>
      <c r="U1773">
        <v>-0.216841743</v>
      </c>
    </row>
    <row r="1774" spans="1:21" x14ac:dyDescent="0.2">
      <c r="A1774" t="s">
        <v>788</v>
      </c>
      <c r="B1774">
        <v>620760</v>
      </c>
      <c r="C1774" t="s">
        <v>6910</v>
      </c>
      <c r="D1774" t="s">
        <v>788</v>
      </c>
      <c r="E1774" t="s">
        <v>6921</v>
      </c>
      <c r="F1774">
        <v>13</v>
      </c>
      <c r="G1774">
        <v>8</v>
      </c>
      <c r="H1774" t="s">
        <v>10507</v>
      </c>
      <c r="J1774" t="s">
        <v>1691</v>
      </c>
      <c r="M1774" t="s">
        <v>10508</v>
      </c>
      <c r="N1774">
        <v>1.9874741039999999</v>
      </c>
      <c r="O1774">
        <v>3.7453511220000002</v>
      </c>
      <c r="P1774">
        <v>0.451009722</v>
      </c>
      <c r="Q1774">
        <v>-0.102386592</v>
      </c>
      <c r="S1774" s="13">
        <v>-1.3448131169999999</v>
      </c>
      <c r="T1774">
        <v>4.8667096E-2</v>
      </c>
      <c r="U1774">
        <v>-0.12980578200000001</v>
      </c>
    </row>
    <row r="1775" spans="1:21" x14ac:dyDescent="0.2">
      <c r="A1775" t="s">
        <v>511</v>
      </c>
      <c r="B1775">
        <v>620720</v>
      </c>
      <c r="C1775" t="s">
        <v>6910</v>
      </c>
      <c r="D1775" t="s">
        <v>511</v>
      </c>
      <c r="E1775" t="s">
        <v>6911</v>
      </c>
      <c r="F1775">
        <v>21</v>
      </c>
      <c r="G1775">
        <v>12</v>
      </c>
      <c r="H1775" t="s">
        <v>10509</v>
      </c>
      <c r="J1775" t="s">
        <v>5207</v>
      </c>
      <c r="M1775" t="s">
        <v>10510</v>
      </c>
      <c r="N1775">
        <v>1.9874741039999999</v>
      </c>
      <c r="O1775">
        <v>3.7453511220000002</v>
      </c>
      <c r="P1775">
        <v>0.451009722</v>
      </c>
      <c r="Q1775">
        <v>-0.102386592</v>
      </c>
      <c r="S1775" s="13">
        <v>-1.3448561530000001</v>
      </c>
      <c r="T1775">
        <v>4.8479040000000001E-2</v>
      </c>
      <c r="U1775">
        <v>-0.129831167</v>
      </c>
    </row>
    <row r="1776" spans="1:21" x14ac:dyDescent="0.2">
      <c r="A1776" t="s">
        <v>2077</v>
      </c>
      <c r="B1776">
        <v>725080</v>
      </c>
      <c r="C1776" t="s">
        <v>6914</v>
      </c>
      <c r="D1776" t="s">
        <v>2077</v>
      </c>
      <c r="E1776" t="s">
        <v>6915</v>
      </c>
      <c r="F1776">
        <v>20</v>
      </c>
      <c r="G1776">
        <v>13</v>
      </c>
      <c r="H1776" t="s">
        <v>10511</v>
      </c>
      <c r="J1776" t="s">
        <v>4834</v>
      </c>
      <c r="M1776" t="s">
        <v>10512</v>
      </c>
      <c r="N1776">
        <v>1.8217074179999999</v>
      </c>
      <c r="O1776">
        <v>4.1700741289999996</v>
      </c>
      <c r="P1776">
        <v>0.189705977</v>
      </c>
      <c r="Q1776">
        <v>-1.7194070999999998E-2</v>
      </c>
      <c r="S1776" s="13">
        <v>-1.344879844</v>
      </c>
      <c r="T1776">
        <v>4.8375515000000001E-2</v>
      </c>
      <c r="U1776">
        <v>-0.19200739</v>
      </c>
    </row>
    <row r="1777" spans="1:21" x14ac:dyDescent="0.2">
      <c r="A1777" t="s">
        <v>134</v>
      </c>
      <c r="B1777">
        <v>553720</v>
      </c>
      <c r="C1777" t="s">
        <v>6931</v>
      </c>
      <c r="D1777" t="s">
        <v>135</v>
      </c>
      <c r="E1777" t="s">
        <v>6970</v>
      </c>
      <c r="F1777">
        <v>1</v>
      </c>
      <c r="G1777">
        <v>14</v>
      </c>
      <c r="H1777" t="s">
        <v>10513</v>
      </c>
      <c r="J1777" t="s">
        <v>1890</v>
      </c>
      <c r="M1777" t="s">
        <v>10514</v>
      </c>
      <c r="N1777">
        <v>1.9323965059999999</v>
      </c>
      <c r="O1777">
        <v>3.0528020530000002</v>
      </c>
      <c r="P1777">
        <v>2.6493138999999999E-2</v>
      </c>
      <c r="Q1777">
        <v>-0.38692188</v>
      </c>
      <c r="S1777" s="13">
        <v>-1.344931345</v>
      </c>
      <c r="T1777">
        <v>4.8150469000000001E-2</v>
      </c>
      <c r="U1777">
        <v>-0.122805653</v>
      </c>
    </row>
    <row r="1778" spans="1:21" x14ac:dyDescent="0.2">
      <c r="A1778" t="s">
        <v>944</v>
      </c>
      <c r="B1778">
        <v>609080</v>
      </c>
      <c r="C1778" t="s">
        <v>6906</v>
      </c>
      <c r="D1778" t="s">
        <v>944</v>
      </c>
      <c r="E1778" t="s">
        <v>6924</v>
      </c>
      <c r="F1778">
        <v>12</v>
      </c>
      <c r="G1778">
        <v>6</v>
      </c>
      <c r="H1778" t="s">
        <v>10515</v>
      </c>
      <c r="J1778" t="s">
        <v>10516</v>
      </c>
      <c r="M1778" t="s">
        <v>10517</v>
      </c>
      <c r="N1778">
        <v>1.813871112</v>
      </c>
      <c r="O1778">
        <v>2.6633694910000001</v>
      </c>
      <c r="P1778">
        <v>-0.29586356800000002</v>
      </c>
      <c r="Q1778">
        <v>-0.59018158399999998</v>
      </c>
      <c r="S1778" s="13">
        <v>-1.345074713</v>
      </c>
      <c r="T1778">
        <v>4.7523981E-2</v>
      </c>
      <c r="U1778">
        <v>-0.163920541</v>
      </c>
    </row>
    <row r="1779" spans="1:21" x14ac:dyDescent="0.2">
      <c r="A1779" t="s">
        <v>1703</v>
      </c>
      <c r="B1779">
        <v>724800</v>
      </c>
      <c r="C1779" t="s">
        <v>6914</v>
      </c>
      <c r="D1779" t="s">
        <v>1703</v>
      </c>
      <c r="E1779" t="s">
        <v>6928</v>
      </c>
      <c r="F1779">
        <v>21</v>
      </c>
      <c r="G1779">
        <v>16</v>
      </c>
      <c r="H1779" t="s">
        <v>10518</v>
      </c>
      <c r="J1779" t="s">
        <v>6645</v>
      </c>
      <c r="M1779" t="s">
        <v>10519</v>
      </c>
      <c r="N1779">
        <v>1.8217074179999999</v>
      </c>
      <c r="O1779">
        <v>4.1700741289999996</v>
      </c>
      <c r="P1779">
        <v>0.189705977</v>
      </c>
      <c r="Q1779">
        <v>-1.7194070999999998E-2</v>
      </c>
      <c r="S1779" s="13">
        <v>-1.3452166169999999</v>
      </c>
      <c r="T1779">
        <v>4.6903893000000002E-2</v>
      </c>
      <c r="U1779">
        <v>-0.19221249100000001</v>
      </c>
    </row>
    <row r="1780" spans="1:21" x14ac:dyDescent="0.2">
      <c r="A1780" t="s">
        <v>1675</v>
      </c>
      <c r="B1780">
        <v>713080</v>
      </c>
      <c r="C1780" t="s">
        <v>6953</v>
      </c>
      <c r="D1780" t="s">
        <v>1675</v>
      </c>
      <c r="E1780" t="s">
        <v>6915</v>
      </c>
      <c r="F1780">
        <v>21</v>
      </c>
      <c r="G1780">
        <v>13</v>
      </c>
      <c r="H1780" t="s">
        <v>10520</v>
      </c>
      <c r="J1780" t="s">
        <v>2641</v>
      </c>
      <c r="M1780" t="s">
        <v>10521</v>
      </c>
      <c r="N1780">
        <v>1.921480887</v>
      </c>
      <c r="O1780">
        <v>3.0856645180000002</v>
      </c>
      <c r="P1780">
        <v>0.44706724399999997</v>
      </c>
      <c r="Q1780">
        <v>-0.354940863</v>
      </c>
      <c r="S1780" s="13">
        <v>-1.3453006000000001</v>
      </c>
      <c r="T1780">
        <v>4.6536910000000001E-2</v>
      </c>
      <c r="U1780">
        <v>-0.13410424700000001</v>
      </c>
    </row>
    <row r="1781" spans="1:21" x14ac:dyDescent="0.2">
      <c r="A1781" t="s">
        <v>491</v>
      </c>
      <c r="B1781">
        <v>663440</v>
      </c>
      <c r="C1781" t="s">
        <v>6938</v>
      </c>
      <c r="D1781" t="s">
        <v>491</v>
      </c>
      <c r="E1781" t="s">
        <v>6924</v>
      </c>
      <c r="F1781">
        <v>15</v>
      </c>
      <c r="G1781">
        <v>6</v>
      </c>
      <c r="H1781" t="s">
        <v>10522</v>
      </c>
      <c r="J1781" t="s">
        <v>1650</v>
      </c>
      <c r="M1781" t="s">
        <v>10523</v>
      </c>
      <c r="N1781">
        <v>2.092758737</v>
      </c>
      <c r="O1781">
        <v>5.3323610669999999</v>
      </c>
      <c r="P1781">
        <v>0.70420098600000003</v>
      </c>
      <c r="Q1781">
        <v>0.41355372699999998</v>
      </c>
      <c r="S1781" s="13">
        <v>-1.3453452420000001</v>
      </c>
      <c r="T1781">
        <v>4.6341831999999999E-2</v>
      </c>
      <c r="U1781">
        <v>-0.203644884</v>
      </c>
    </row>
    <row r="1782" spans="1:21" x14ac:dyDescent="0.2">
      <c r="A1782" t="s">
        <v>792</v>
      </c>
      <c r="B1782">
        <v>620000</v>
      </c>
      <c r="C1782" t="s">
        <v>6910</v>
      </c>
      <c r="D1782" t="s">
        <v>793</v>
      </c>
      <c r="E1782" t="s">
        <v>6924</v>
      </c>
      <c r="F1782">
        <v>5</v>
      </c>
      <c r="G1782">
        <v>6</v>
      </c>
      <c r="H1782" t="s">
        <v>10524</v>
      </c>
      <c r="J1782" t="s">
        <v>3188</v>
      </c>
      <c r="M1782" t="s">
        <v>10525</v>
      </c>
      <c r="N1782">
        <v>1.9874741039999999</v>
      </c>
      <c r="O1782">
        <v>3.7453511220000002</v>
      </c>
      <c r="P1782">
        <v>0.451009722</v>
      </c>
      <c r="Q1782">
        <v>-0.102386592</v>
      </c>
      <c r="S1782" s="13">
        <v>-1.345630796</v>
      </c>
      <c r="T1782">
        <v>4.5094026000000002E-2</v>
      </c>
      <c r="U1782">
        <v>-0.130288353</v>
      </c>
    </row>
    <row r="1783" spans="1:21" x14ac:dyDescent="0.2">
      <c r="A1783" t="s">
        <v>1144</v>
      </c>
      <c r="B1783">
        <v>712440</v>
      </c>
      <c r="C1783" t="s">
        <v>6953</v>
      </c>
      <c r="D1783" t="s">
        <v>1145</v>
      </c>
      <c r="E1783" t="s">
        <v>6974</v>
      </c>
      <c r="F1783">
        <v>7</v>
      </c>
      <c r="G1783">
        <v>15</v>
      </c>
      <c r="H1783" t="s">
        <v>10526</v>
      </c>
      <c r="J1783" t="s">
        <v>5089</v>
      </c>
      <c r="M1783" t="s">
        <v>10527</v>
      </c>
      <c r="N1783">
        <v>1.921480887</v>
      </c>
      <c r="O1783">
        <v>3.0856645180000002</v>
      </c>
      <c r="P1783">
        <v>0.44706724399999997</v>
      </c>
      <c r="Q1783">
        <v>-0.354940863</v>
      </c>
      <c r="S1783" s="13">
        <v>-1.3459646789999999</v>
      </c>
      <c r="T1783">
        <v>4.3635034000000003E-2</v>
      </c>
      <c r="U1783">
        <v>-0.134514631</v>
      </c>
    </row>
    <row r="1784" spans="1:21" x14ac:dyDescent="0.2">
      <c r="A1784" t="s">
        <v>907</v>
      </c>
      <c r="B1784">
        <v>662360</v>
      </c>
      <c r="C1784" t="s">
        <v>6938</v>
      </c>
      <c r="D1784" t="s">
        <v>907</v>
      </c>
      <c r="E1784" t="s">
        <v>6946</v>
      </c>
      <c r="F1784">
        <v>19</v>
      </c>
      <c r="G1784">
        <v>11</v>
      </c>
      <c r="H1784" t="s">
        <v>10528</v>
      </c>
      <c r="J1784" t="s">
        <v>3347</v>
      </c>
      <c r="M1784" t="s">
        <v>10529</v>
      </c>
      <c r="N1784">
        <v>2.092758737</v>
      </c>
      <c r="O1784">
        <v>5.3323610669999999</v>
      </c>
      <c r="P1784">
        <v>0.70420098600000003</v>
      </c>
      <c r="Q1784">
        <v>0.41355372699999998</v>
      </c>
      <c r="S1784" s="13">
        <v>-1.3462727590000001</v>
      </c>
      <c r="T1784">
        <v>4.2288798000000002E-2</v>
      </c>
      <c r="U1784">
        <v>-0.20445804300000001</v>
      </c>
    </row>
    <row r="1785" spans="1:21" x14ac:dyDescent="0.2">
      <c r="A1785" t="s">
        <v>2421</v>
      </c>
      <c r="B1785">
        <v>619240</v>
      </c>
      <c r="C1785" t="s">
        <v>6910</v>
      </c>
      <c r="D1785" t="s">
        <v>2422</v>
      </c>
      <c r="E1785" t="s">
        <v>7085</v>
      </c>
      <c r="F1785">
        <v>8</v>
      </c>
      <c r="G1785">
        <v>9</v>
      </c>
      <c r="H1785" t="s">
        <v>10530</v>
      </c>
      <c r="J1785" t="s">
        <v>4020</v>
      </c>
      <c r="M1785" t="s">
        <v>10531</v>
      </c>
      <c r="N1785">
        <v>1.9874741039999999</v>
      </c>
      <c r="O1785">
        <v>3.7453511220000002</v>
      </c>
      <c r="P1785">
        <v>0.451009722</v>
      </c>
      <c r="Q1785">
        <v>-0.102386592</v>
      </c>
      <c r="S1785" s="13">
        <v>-1.3464484750000001</v>
      </c>
      <c r="T1785">
        <v>4.1520954999999998E-2</v>
      </c>
      <c r="U1785">
        <v>-0.13077146000000001</v>
      </c>
    </row>
    <row r="1786" spans="1:21" x14ac:dyDescent="0.2">
      <c r="A1786" t="s">
        <v>369</v>
      </c>
      <c r="B1786">
        <v>294760</v>
      </c>
      <c r="C1786" t="s">
        <v>6961</v>
      </c>
      <c r="D1786" t="s">
        <v>369</v>
      </c>
      <c r="E1786" t="s">
        <v>6939</v>
      </c>
      <c r="F1786">
        <v>23</v>
      </c>
      <c r="G1786">
        <v>2</v>
      </c>
      <c r="H1786" t="s">
        <v>10532</v>
      </c>
      <c r="J1786" t="s">
        <v>553</v>
      </c>
      <c r="M1786" t="s">
        <v>10533</v>
      </c>
      <c r="N1786">
        <v>2.7247480949999998</v>
      </c>
      <c r="O1786">
        <v>7.0822175119999997</v>
      </c>
      <c r="P1786">
        <v>0.61298291999999999</v>
      </c>
      <c r="Q1786">
        <v>0.48262032500000002</v>
      </c>
      <c r="S1786" s="13">
        <v>-1.3464583139999999</v>
      </c>
      <c r="T1786">
        <v>4.1477964999999999E-2</v>
      </c>
      <c r="U1786">
        <v>-0.263559241</v>
      </c>
    </row>
    <row r="1787" spans="1:21" x14ac:dyDescent="0.2">
      <c r="A1787" t="s">
        <v>2035</v>
      </c>
      <c r="B1787">
        <v>552200</v>
      </c>
      <c r="C1787" t="s">
        <v>6931</v>
      </c>
      <c r="D1787" t="s">
        <v>2035</v>
      </c>
      <c r="E1787" t="s">
        <v>7115</v>
      </c>
      <c r="F1787">
        <v>14</v>
      </c>
      <c r="G1787">
        <v>10</v>
      </c>
      <c r="H1787" t="s">
        <v>10534</v>
      </c>
      <c r="N1787">
        <v>1.9323965059999999</v>
      </c>
      <c r="O1787">
        <v>3.0528020530000002</v>
      </c>
      <c r="P1787">
        <v>2.6493138999999999E-2</v>
      </c>
      <c r="Q1787">
        <v>-0.38692188</v>
      </c>
      <c r="S1787" s="13">
        <v>-1.346928586</v>
      </c>
      <c r="T1787">
        <v>3.9422984000000001E-2</v>
      </c>
      <c r="U1787">
        <v>-0.123755874</v>
      </c>
    </row>
    <row r="1788" spans="1:21" x14ac:dyDescent="0.2">
      <c r="A1788" t="s">
        <v>263</v>
      </c>
      <c r="B1788">
        <v>552200</v>
      </c>
      <c r="C1788" t="s">
        <v>6931</v>
      </c>
      <c r="D1788" t="s">
        <v>264</v>
      </c>
      <c r="E1788" t="s">
        <v>6974</v>
      </c>
      <c r="F1788">
        <v>5</v>
      </c>
      <c r="G1788">
        <v>15</v>
      </c>
      <c r="H1788" t="s">
        <v>10535</v>
      </c>
      <c r="N1788">
        <v>1.9323965059999999</v>
      </c>
      <c r="O1788">
        <v>3.0528020530000002</v>
      </c>
      <c r="P1788">
        <v>2.6493138999999999E-2</v>
      </c>
      <c r="Q1788">
        <v>-0.38692188</v>
      </c>
      <c r="S1788" s="13">
        <v>-1.346928586</v>
      </c>
      <c r="T1788">
        <v>3.9422984000000001E-2</v>
      </c>
      <c r="U1788">
        <v>-0.123755874</v>
      </c>
    </row>
    <row r="1789" spans="1:21" x14ac:dyDescent="0.2">
      <c r="A1789" t="s">
        <v>1318</v>
      </c>
      <c r="B1789">
        <v>618720</v>
      </c>
      <c r="C1789" t="s">
        <v>6910</v>
      </c>
      <c r="D1789" t="s">
        <v>1318</v>
      </c>
      <c r="E1789" t="s">
        <v>6946</v>
      </c>
      <c r="F1789">
        <v>20</v>
      </c>
      <c r="G1789">
        <v>11</v>
      </c>
      <c r="H1789" t="s">
        <v>10536</v>
      </c>
      <c r="J1789" t="s">
        <v>2599</v>
      </c>
      <c r="M1789" t="s">
        <v>10537</v>
      </c>
      <c r="N1789">
        <v>1.9874741039999999</v>
      </c>
      <c r="O1789">
        <v>3.7453511220000002</v>
      </c>
      <c r="P1789">
        <v>0.451009722</v>
      </c>
      <c r="Q1789">
        <v>-0.102386592</v>
      </c>
      <c r="S1789" s="13">
        <v>-1.3470079399999999</v>
      </c>
      <c r="T1789">
        <v>3.9076223E-2</v>
      </c>
      <c r="U1789">
        <v>-0.131102317</v>
      </c>
    </row>
    <row r="1790" spans="1:21" x14ac:dyDescent="0.2">
      <c r="A1790" t="s">
        <v>919</v>
      </c>
      <c r="B1790">
        <v>723160</v>
      </c>
      <c r="C1790" t="s">
        <v>6914</v>
      </c>
      <c r="D1790" t="s">
        <v>919</v>
      </c>
      <c r="E1790" t="s">
        <v>6946</v>
      </c>
      <c r="F1790">
        <v>22</v>
      </c>
      <c r="G1790">
        <v>11</v>
      </c>
      <c r="H1790" t="s">
        <v>10538</v>
      </c>
      <c r="J1790" t="s">
        <v>6641</v>
      </c>
      <c r="M1790" t="s">
        <v>10539</v>
      </c>
      <c r="N1790">
        <v>1.8217074179999999</v>
      </c>
      <c r="O1790">
        <v>4.1700741289999996</v>
      </c>
      <c r="P1790">
        <v>0.189705977</v>
      </c>
      <c r="Q1790">
        <v>-1.7194070999999998E-2</v>
      </c>
      <c r="S1790" s="13">
        <v>-1.3471891460000001</v>
      </c>
      <c r="T1790">
        <v>3.8284393E-2</v>
      </c>
      <c r="U1790">
        <v>-0.193415747</v>
      </c>
    </row>
    <row r="1791" spans="1:21" x14ac:dyDescent="0.2">
      <c r="A1791" t="s">
        <v>650</v>
      </c>
      <c r="B1791">
        <v>618520</v>
      </c>
      <c r="C1791" t="s">
        <v>6910</v>
      </c>
      <c r="D1791" t="s">
        <v>651</v>
      </c>
      <c r="E1791" t="s">
        <v>7085</v>
      </c>
      <c r="F1791">
        <v>9</v>
      </c>
      <c r="G1791">
        <v>9</v>
      </c>
      <c r="H1791" t="s">
        <v>10540</v>
      </c>
      <c r="J1791" t="s">
        <v>3512</v>
      </c>
      <c r="M1791" t="s">
        <v>10541</v>
      </c>
      <c r="N1791">
        <v>1.9874741039999999</v>
      </c>
      <c r="O1791">
        <v>3.7453511220000002</v>
      </c>
      <c r="P1791">
        <v>0.451009722</v>
      </c>
      <c r="Q1791">
        <v>-0.102386592</v>
      </c>
      <c r="S1791" s="13">
        <v>-1.3472231189999999</v>
      </c>
      <c r="T1791">
        <v>3.8135941E-2</v>
      </c>
      <c r="U1791">
        <v>-0.13122963700000001</v>
      </c>
    </row>
    <row r="1792" spans="1:21" x14ac:dyDescent="0.2">
      <c r="A1792" t="s">
        <v>2385</v>
      </c>
      <c r="B1792">
        <v>580760</v>
      </c>
      <c r="C1792" t="s">
        <v>6942</v>
      </c>
      <c r="D1792" t="s">
        <v>2385</v>
      </c>
      <c r="E1792" t="s">
        <v>6911</v>
      </c>
      <c r="F1792">
        <v>19</v>
      </c>
      <c r="G1792">
        <v>12</v>
      </c>
      <c r="H1792" t="s">
        <v>10542</v>
      </c>
      <c r="J1792" t="s">
        <v>2387</v>
      </c>
      <c r="M1792" t="s">
        <v>10543</v>
      </c>
      <c r="N1792">
        <v>2.0902262079999998</v>
      </c>
      <c r="O1792">
        <v>4.2704203920000001</v>
      </c>
      <c r="P1792">
        <v>0.23425843900000001</v>
      </c>
      <c r="Q1792">
        <v>1.6181978999999999E-2</v>
      </c>
      <c r="S1792" s="13">
        <v>-1.347231219</v>
      </c>
      <c r="T1792">
        <v>3.8100544E-2</v>
      </c>
      <c r="U1792">
        <v>-0.21908074</v>
      </c>
    </row>
    <row r="1793" spans="1:21" x14ac:dyDescent="0.2">
      <c r="A1793" t="s">
        <v>1256</v>
      </c>
      <c r="B1793">
        <v>646160</v>
      </c>
      <c r="C1793" t="s">
        <v>6927</v>
      </c>
      <c r="D1793" t="s">
        <v>1257</v>
      </c>
      <c r="E1793" t="s">
        <v>6946</v>
      </c>
      <c r="F1793">
        <v>7</v>
      </c>
      <c r="G1793">
        <v>11</v>
      </c>
      <c r="H1793" t="s">
        <v>10544</v>
      </c>
      <c r="J1793" t="s">
        <v>10545</v>
      </c>
      <c r="M1793" t="s">
        <v>10546</v>
      </c>
      <c r="N1793">
        <v>1.982575982</v>
      </c>
      <c r="O1793">
        <v>3.4571926419999999</v>
      </c>
      <c r="P1793">
        <v>-0.114791479</v>
      </c>
      <c r="Q1793">
        <v>1.868949E-3</v>
      </c>
      <c r="S1793" s="13">
        <v>-1.3472617099999999</v>
      </c>
      <c r="T1793">
        <v>3.7967307999999998E-2</v>
      </c>
      <c r="U1793">
        <v>-0.191114863</v>
      </c>
    </row>
    <row r="1794" spans="1:21" x14ac:dyDescent="0.2">
      <c r="A1794" t="s">
        <v>577</v>
      </c>
      <c r="B1794">
        <v>710960</v>
      </c>
      <c r="C1794" t="s">
        <v>6953</v>
      </c>
      <c r="D1794" t="s">
        <v>578</v>
      </c>
      <c r="E1794" t="s">
        <v>7115</v>
      </c>
      <c r="F1794">
        <v>1</v>
      </c>
      <c r="G1794">
        <v>10</v>
      </c>
      <c r="H1794" t="s">
        <v>10547</v>
      </c>
      <c r="J1794" t="s">
        <v>1637</v>
      </c>
      <c r="M1794" t="s">
        <v>10548</v>
      </c>
      <c r="N1794">
        <v>1.921480887</v>
      </c>
      <c r="O1794">
        <v>3.0856645180000002</v>
      </c>
      <c r="P1794">
        <v>0.44706724399999997</v>
      </c>
      <c r="Q1794">
        <v>-0.354940863</v>
      </c>
      <c r="S1794" s="13">
        <v>-1.347500363</v>
      </c>
      <c r="T1794">
        <v>3.6924446E-2</v>
      </c>
      <c r="U1794">
        <v>-0.13546512999999999</v>
      </c>
    </row>
    <row r="1795" spans="1:21" x14ac:dyDescent="0.2">
      <c r="A1795" t="s">
        <v>853</v>
      </c>
      <c r="B1795">
        <v>660760</v>
      </c>
      <c r="C1795" t="s">
        <v>6938</v>
      </c>
      <c r="D1795" t="s">
        <v>854</v>
      </c>
      <c r="E1795" t="s">
        <v>6946</v>
      </c>
      <c r="F1795">
        <v>5</v>
      </c>
      <c r="G1795">
        <v>11</v>
      </c>
      <c r="H1795" t="s">
        <v>10549</v>
      </c>
      <c r="J1795" t="s">
        <v>5763</v>
      </c>
      <c r="M1795" t="s">
        <v>10550</v>
      </c>
      <c r="N1795">
        <v>2.092758737</v>
      </c>
      <c r="O1795">
        <v>5.3323610669999999</v>
      </c>
      <c r="P1795">
        <v>0.70420098600000003</v>
      </c>
      <c r="Q1795">
        <v>0.41355372699999998</v>
      </c>
      <c r="S1795" s="13">
        <v>-1.347646857</v>
      </c>
      <c r="T1795">
        <v>3.6284302999999997E-2</v>
      </c>
      <c r="U1795">
        <v>-0.20566552799999999</v>
      </c>
    </row>
    <row r="1796" spans="1:21" x14ac:dyDescent="0.2">
      <c r="A1796" t="s">
        <v>537</v>
      </c>
      <c r="B1796">
        <v>607280</v>
      </c>
      <c r="C1796" t="s">
        <v>6906</v>
      </c>
      <c r="D1796" t="s">
        <v>538</v>
      </c>
      <c r="E1796" t="s">
        <v>6928</v>
      </c>
      <c r="F1796">
        <v>8</v>
      </c>
      <c r="G1796">
        <v>16</v>
      </c>
      <c r="H1796" t="s">
        <v>10551</v>
      </c>
      <c r="J1796" t="s">
        <v>540</v>
      </c>
      <c r="M1796" t="s">
        <v>10552</v>
      </c>
      <c r="N1796">
        <v>1.813871112</v>
      </c>
      <c r="O1796">
        <v>2.6633694910000001</v>
      </c>
      <c r="P1796">
        <v>-0.29586356800000002</v>
      </c>
      <c r="Q1796">
        <v>-0.59018158399999998</v>
      </c>
      <c r="S1796" s="13">
        <v>-1.3476860580000001</v>
      </c>
      <c r="T1796">
        <v>3.6113000999999999E-2</v>
      </c>
      <c r="U1796">
        <v>-0.165157946</v>
      </c>
    </row>
    <row r="1797" spans="1:21" x14ac:dyDescent="0.2">
      <c r="A1797" t="s">
        <v>375</v>
      </c>
      <c r="B1797">
        <v>580240</v>
      </c>
      <c r="C1797" t="s">
        <v>6942</v>
      </c>
      <c r="D1797" t="s">
        <v>375</v>
      </c>
      <c r="E1797" t="s">
        <v>6977</v>
      </c>
      <c r="F1797">
        <v>12</v>
      </c>
      <c r="G1797">
        <v>5</v>
      </c>
      <c r="H1797" t="s">
        <v>10553</v>
      </c>
      <c r="J1797" t="s">
        <v>377</v>
      </c>
      <c r="M1797" t="s">
        <v>10554</v>
      </c>
      <c r="N1797">
        <v>2.0902262079999998</v>
      </c>
      <c r="O1797">
        <v>4.2704203920000001</v>
      </c>
      <c r="P1797">
        <v>0.23425843900000001</v>
      </c>
      <c r="Q1797">
        <v>1.6181978999999999E-2</v>
      </c>
      <c r="S1797" s="13">
        <v>-1.3477415939999999</v>
      </c>
      <c r="T1797">
        <v>3.5870325000000002E-2</v>
      </c>
      <c r="U1797">
        <v>-0.219486237</v>
      </c>
    </row>
    <row r="1798" spans="1:21" x14ac:dyDescent="0.2">
      <c r="A1798" t="s">
        <v>1260</v>
      </c>
      <c r="B1798">
        <v>607160</v>
      </c>
      <c r="C1798" t="s">
        <v>6906</v>
      </c>
      <c r="D1798" t="s">
        <v>1260</v>
      </c>
      <c r="E1798" t="s">
        <v>6915</v>
      </c>
      <c r="F1798">
        <v>19</v>
      </c>
      <c r="G1798">
        <v>13</v>
      </c>
      <c r="H1798" t="s">
        <v>10555</v>
      </c>
      <c r="J1798" t="s">
        <v>1460</v>
      </c>
      <c r="M1798" t="s">
        <v>10556</v>
      </c>
      <c r="N1798">
        <v>1.813871112</v>
      </c>
      <c r="O1798">
        <v>2.6633694910000001</v>
      </c>
      <c r="P1798">
        <v>-0.29586356800000002</v>
      </c>
      <c r="Q1798">
        <v>-0.59018158399999998</v>
      </c>
      <c r="S1798" s="13">
        <v>-1.3478601480000001</v>
      </c>
      <c r="T1798">
        <v>3.5352268999999999E-2</v>
      </c>
      <c r="U1798">
        <v>-0.16524056600000001</v>
      </c>
    </row>
    <row r="1799" spans="1:21" x14ac:dyDescent="0.2">
      <c r="A1799" t="s">
        <v>671</v>
      </c>
      <c r="B1799">
        <v>551440</v>
      </c>
      <c r="C1799" t="s">
        <v>6931</v>
      </c>
      <c r="D1799" t="s">
        <v>672</v>
      </c>
      <c r="E1799" t="s">
        <v>6970</v>
      </c>
      <c r="F1799">
        <v>6</v>
      </c>
      <c r="G1799">
        <v>14</v>
      </c>
      <c r="H1799" t="s">
        <v>10557</v>
      </c>
      <c r="N1799">
        <v>1.9323965059999999</v>
      </c>
      <c r="O1799">
        <v>3.0528020530000002</v>
      </c>
      <c r="P1799">
        <v>2.6493138999999999E-2</v>
      </c>
      <c r="Q1799">
        <v>-0.38692188</v>
      </c>
      <c r="S1799" s="13">
        <v>-1.347927206</v>
      </c>
      <c r="T1799">
        <v>3.5059240999999998E-2</v>
      </c>
      <c r="U1799">
        <v>-0.12423176499999999</v>
      </c>
    </row>
    <row r="1800" spans="1:21" x14ac:dyDescent="0.2">
      <c r="A1800" t="s">
        <v>968</v>
      </c>
      <c r="B1800">
        <v>617280</v>
      </c>
      <c r="C1800" t="s">
        <v>6910</v>
      </c>
      <c r="D1800" t="s">
        <v>969</v>
      </c>
      <c r="E1800" t="s">
        <v>6970</v>
      </c>
      <c r="F1800">
        <v>7</v>
      </c>
      <c r="G1800">
        <v>14</v>
      </c>
      <c r="H1800" t="s">
        <v>10558</v>
      </c>
      <c r="J1800" t="s">
        <v>1755</v>
      </c>
      <c r="M1800" t="s">
        <v>10559</v>
      </c>
      <c r="N1800">
        <v>1.9874741039999999</v>
      </c>
      <c r="O1800">
        <v>3.7453511220000002</v>
      </c>
      <c r="P1800">
        <v>0.451009722</v>
      </c>
      <c r="Q1800">
        <v>-0.102386592</v>
      </c>
      <c r="S1800" s="13">
        <v>-1.3485572269999999</v>
      </c>
      <c r="T1800">
        <v>3.2306194000000003E-2</v>
      </c>
      <c r="U1800">
        <v>-0.13201985499999999</v>
      </c>
    </row>
    <row r="1801" spans="1:21" x14ac:dyDescent="0.2">
      <c r="A1801" t="s">
        <v>1426</v>
      </c>
      <c r="B1801">
        <v>709480</v>
      </c>
      <c r="C1801" t="s">
        <v>6953</v>
      </c>
      <c r="D1801" t="s">
        <v>1426</v>
      </c>
      <c r="E1801" t="s">
        <v>6907</v>
      </c>
      <c r="F1801">
        <v>15</v>
      </c>
      <c r="G1801">
        <v>4</v>
      </c>
      <c r="H1801" t="s">
        <v>10560</v>
      </c>
      <c r="J1801" t="s">
        <v>2370</v>
      </c>
      <c r="M1801" t="s">
        <v>10561</v>
      </c>
      <c r="N1801">
        <v>1.921480887</v>
      </c>
      <c r="O1801">
        <v>3.0856645180000002</v>
      </c>
      <c r="P1801">
        <v>0.44706724399999997</v>
      </c>
      <c r="Q1801">
        <v>-0.354940863</v>
      </c>
      <c r="S1801" s="13">
        <v>-1.349036047</v>
      </c>
      <c r="T1801">
        <v>3.0213858999999999E-2</v>
      </c>
      <c r="U1801">
        <v>-0.136417714</v>
      </c>
    </row>
    <row r="1802" spans="1:21" x14ac:dyDescent="0.2">
      <c r="A1802" t="s">
        <v>935</v>
      </c>
      <c r="B1802">
        <v>643800</v>
      </c>
      <c r="C1802" t="s">
        <v>6927</v>
      </c>
      <c r="D1802" t="s">
        <v>935</v>
      </c>
      <c r="E1802" t="s">
        <v>6921</v>
      </c>
      <c r="F1802">
        <v>18</v>
      </c>
      <c r="G1802">
        <v>8</v>
      </c>
      <c r="H1802" t="s">
        <v>10562</v>
      </c>
      <c r="J1802" t="s">
        <v>10563</v>
      </c>
      <c r="M1802" t="s">
        <v>10564</v>
      </c>
      <c r="N1802">
        <v>1.982575982</v>
      </c>
      <c r="O1802">
        <v>3.4571926419999999</v>
      </c>
      <c r="P1802">
        <v>-0.114791479</v>
      </c>
      <c r="Q1802">
        <v>1.868949E-3</v>
      </c>
      <c r="S1802" s="13">
        <v>-1.3497105030000001</v>
      </c>
      <c r="T1802">
        <v>2.7266641000000001E-2</v>
      </c>
      <c r="U1802">
        <v>-0.19284305099999999</v>
      </c>
    </row>
    <row r="1803" spans="1:21" x14ac:dyDescent="0.2">
      <c r="A1803" t="s">
        <v>1739</v>
      </c>
      <c r="B1803">
        <v>643800</v>
      </c>
      <c r="C1803" t="s">
        <v>6927</v>
      </c>
      <c r="D1803" t="s">
        <v>1739</v>
      </c>
      <c r="E1803" t="s">
        <v>7085</v>
      </c>
      <c r="F1803">
        <v>10</v>
      </c>
      <c r="G1803">
        <v>9</v>
      </c>
      <c r="H1803" t="s">
        <v>10565</v>
      </c>
      <c r="J1803" t="s">
        <v>10566</v>
      </c>
      <c r="M1803" t="s">
        <v>10567</v>
      </c>
      <c r="N1803">
        <v>1.982575982</v>
      </c>
      <c r="O1803">
        <v>3.4571926419999999</v>
      </c>
      <c r="P1803">
        <v>-0.114791479</v>
      </c>
      <c r="Q1803">
        <v>1.868949E-3</v>
      </c>
      <c r="S1803" s="13">
        <v>-1.3497105030000001</v>
      </c>
      <c r="T1803">
        <v>2.7266641000000001E-2</v>
      </c>
      <c r="U1803">
        <v>-0.19284305099999999</v>
      </c>
    </row>
    <row r="1804" spans="1:21" x14ac:dyDescent="0.2">
      <c r="A1804" t="s">
        <v>804</v>
      </c>
      <c r="B1804">
        <v>658320</v>
      </c>
      <c r="C1804" t="s">
        <v>6938</v>
      </c>
      <c r="D1804" t="s">
        <v>804</v>
      </c>
      <c r="E1804" t="s">
        <v>6918</v>
      </c>
      <c r="F1804">
        <v>18</v>
      </c>
      <c r="G1804">
        <v>1</v>
      </c>
      <c r="H1804" t="s">
        <v>10568</v>
      </c>
      <c r="J1804" t="s">
        <v>1488</v>
      </c>
      <c r="M1804" t="s">
        <v>10569</v>
      </c>
      <c r="N1804">
        <v>2.092758737</v>
      </c>
      <c r="O1804">
        <v>5.3323610669999999</v>
      </c>
      <c r="P1804">
        <v>0.70420098600000003</v>
      </c>
      <c r="Q1804">
        <v>0.41355372699999998</v>
      </c>
      <c r="S1804" s="13">
        <v>-1.349742357</v>
      </c>
      <c r="T1804">
        <v>2.7127447999999998E-2</v>
      </c>
      <c r="U1804">
        <v>-0.207513431</v>
      </c>
    </row>
    <row r="1805" spans="1:21" x14ac:dyDescent="0.2">
      <c r="A1805" t="s">
        <v>400</v>
      </c>
      <c r="B1805">
        <v>721000</v>
      </c>
      <c r="C1805" t="s">
        <v>6914</v>
      </c>
      <c r="D1805" t="s">
        <v>400</v>
      </c>
      <c r="E1805" t="s">
        <v>6939</v>
      </c>
      <c r="F1805">
        <v>11</v>
      </c>
      <c r="G1805">
        <v>2</v>
      </c>
      <c r="H1805" t="s">
        <v>10570</v>
      </c>
      <c r="J1805" t="s">
        <v>5793</v>
      </c>
      <c r="M1805" t="s">
        <v>10571</v>
      </c>
      <c r="N1805">
        <v>1.8217074179999999</v>
      </c>
      <c r="O1805">
        <v>4.1700741289999996</v>
      </c>
      <c r="P1805">
        <v>0.189705977</v>
      </c>
      <c r="Q1805">
        <v>-1.7194070999999998E-2</v>
      </c>
      <c r="S1805" s="13">
        <v>-1.3497871109999999</v>
      </c>
      <c r="T1805">
        <v>2.6931879999999998E-2</v>
      </c>
      <c r="U1805">
        <v>-0.19500562799999999</v>
      </c>
    </row>
    <row r="1806" spans="1:21" x14ac:dyDescent="0.2">
      <c r="A1806" t="s">
        <v>2270</v>
      </c>
      <c r="B1806">
        <v>496680</v>
      </c>
      <c r="C1806" t="s">
        <v>6945</v>
      </c>
      <c r="D1806" t="s">
        <v>2271</v>
      </c>
      <c r="E1806" t="s">
        <v>6921</v>
      </c>
      <c r="F1806">
        <v>8</v>
      </c>
      <c r="G1806">
        <v>8</v>
      </c>
      <c r="H1806" t="s">
        <v>10572</v>
      </c>
      <c r="J1806" t="s">
        <v>5789</v>
      </c>
      <c r="M1806" t="s">
        <v>10573</v>
      </c>
      <c r="N1806">
        <v>2.2220813349999999</v>
      </c>
      <c r="O1806">
        <v>6.5440947090000003</v>
      </c>
      <c r="P1806">
        <v>0.58228215500000002</v>
      </c>
      <c r="Q1806">
        <v>0.35188233000000002</v>
      </c>
      <c r="S1806" s="13">
        <v>-1.3497896579999999</v>
      </c>
      <c r="T1806">
        <v>2.692075E-2</v>
      </c>
      <c r="U1806">
        <v>-0.22957298000000001</v>
      </c>
    </row>
    <row r="1807" spans="1:21" x14ac:dyDescent="0.2">
      <c r="A1807" t="s">
        <v>2035</v>
      </c>
      <c r="B1807">
        <v>577960</v>
      </c>
      <c r="C1807" t="s">
        <v>6942</v>
      </c>
      <c r="D1807" t="s">
        <v>2035</v>
      </c>
      <c r="E1807" t="s">
        <v>7115</v>
      </c>
      <c r="F1807">
        <v>14</v>
      </c>
      <c r="G1807">
        <v>10</v>
      </c>
      <c r="H1807" t="s">
        <v>10574</v>
      </c>
      <c r="J1807" t="s">
        <v>2037</v>
      </c>
      <c r="M1807" t="s">
        <v>10575</v>
      </c>
      <c r="N1807">
        <v>2.0902262079999998</v>
      </c>
      <c r="O1807">
        <v>4.2704203920000001</v>
      </c>
      <c r="P1807">
        <v>0.23425843900000001</v>
      </c>
      <c r="Q1807">
        <v>1.6181978999999999E-2</v>
      </c>
      <c r="S1807" s="13">
        <v>-1.349979389</v>
      </c>
      <c r="T1807">
        <v>2.6091671E-2</v>
      </c>
      <c r="U1807">
        <v>-0.221268666</v>
      </c>
    </row>
    <row r="1808" spans="1:21" x14ac:dyDescent="0.2">
      <c r="A1808" t="s">
        <v>2657</v>
      </c>
      <c r="B1808">
        <v>708240</v>
      </c>
      <c r="C1808" t="s">
        <v>6953</v>
      </c>
      <c r="D1808" t="s">
        <v>2658</v>
      </c>
      <c r="E1808" t="s">
        <v>6977</v>
      </c>
      <c r="F1808">
        <v>8</v>
      </c>
      <c r="G1808">
        <v>5</v>
      </c>
      <c r="H1808" t="s">
        <v>10576</v>
      </c>
      <c r="J1808" t="s">
        <v>3139</v>
      </c>
      <c r="M1808" t="s">
        <v>10577</v>
      </c>
      <c r="N1808">
        <v>1.921480887</v>
      </c>
      <c r="O1808">
        <v>3.0856645180000002</v>
      </c>
      <c r="P1808">
        <v>0.44706724399999997</v>
      </c>
      <c r="Q1808">
        <v>-0.354940863</v>
      </c>
      <c r="S1808" s="13">
        <v>-1.3503227010000001</v>
      </c>
      <c r="T1808">
        <v>2.4591473999999999E-2</v>
      </c>
      <c r="U1808">
        <v>-0.137217437</v>
      </c>
    </row>
    <row r="1809" spans="1:21" x14ac:dyDescent="0.2">
      <c r="A1809" t="s">
        <v>583</v>
      </c>
      <c r="B1809">
        <v>605400</v>
      </c>
      <c r="C1809" t="s">
        <v>6906</v>
      </c>
      <c r="D1809" t="s">
        <v>583</v>
      </c>
      <c r="E1809" t="s">
        <v>6907</v>
      </c>
      <c r="F1809">
        <v>23</v>
      </c>
      <c r="G1809">
        <v>4</v>
      </c>
      <c r="H1809" t="s">
        <v>10578</v>
      </c>
      <c r="J1809" t="s">
        <v>585</v>
      </c>
      <c r="M1809" t="s">
        <v>10579</v>
      </c>
      <c r="N1809">
        <v>1.813871112</v>
      </c>
      <c r="O1809">
        <v>2.6633694910000001</v>
      </c>
      <c r="P1809">
        <v>-0.29586356800000002</v>
      </c>
      <c r="Q1809">
        <v>-0.59018158399999998</v>
      </c>
      <c r="S1809" s="13">
        <v>-1.350413463</v>
      </c>
      <c r="T1809">
        <v>2.4194865999999999E-2</v>
      </c>
      <c r="U1809">
        <v>-0.16645412200000001</v>
      </c>
    </row>
    <row r="1810" spans="1:21" x14ac:dyDescent="0.2">
      <c r="A1810" t="s">
        <v>765</v>
      </c>
      <c r="B1810">
        <v>720240</v>
      </c>
      <c r="C1810" t="s">
        <v>6914</v>
      </c>
      <c r="D1810" t="s">
        <v>766</v>
      </c>
      <c r="E1810" t="s">
        <v>7006</v>
      </c>
      <c r="F1810">
        <v>4</v>
      </c>
      <c r="G1810">
        <v>3</v>
      </c>
      <c r="H1810" t="s">
        <v>10580</v>
      </c>
      <c r="J1810" t="s">
        <v>6785</v>
      </c>
      <c r="M1810" t="s">
        <v>10581</v>
      </c>
      <c r="N1810">
        <v>1.8217074179999999</v>
      </c>
      <c r="O1810">
        <v>4.1700741289999996</v>
      </c>
      <c r="P1810">
        <v>0.189705977</v>
      </c>
      <c r="Q1810">
        <v>-1.7194070999999998E-2</v>
      </c>
      <c r="S1810" s="13">
        <v>-1.35070121</v>
      </c>
      <c r="T1810">
        <v>2.2937477000000001E-2</v>
      </c>
      <c r="U1810">
        <v>-0.19556641699999999</v>
      </c>
    </row>
    <row r="1811" spans="1:21" x14ac:dyDescent="0.2">
      <c r="A1811" t="s">
        <v>2224</v>
      </c>
      <c r="B1811">
        <v>719440</v>
      </c>
      <c r="C1811" t="s">
        <v>6914</v>
      </c>
      <c r="D1811" t="s">
        <v>2224</v>
      </c>
      <c r="E1811" t="s">
        <v>6974</v>
      </c>
      <c r="F1811">
        <v>18</v>
      </c>
      <c r="G1811">
        <v>15</v>
      </c>
      <c r="H1811" t="s">
        <v>10582</v>
      </c>
      <c r="J1811" t="s">
        <v>6639</v>
      </c>
      <c r="M1811" t="s">
        <v>10583</v>
      </c>
      <c r="N1811">
        <v>1.8217074179999999</v>
      </c>
      <c r="O1811">
        <v>4.1700741289999996</v>
      </c>
      <c r="P1811">
        <v>0.189705977</v>
      </c>
      <c r="Q1811">
        <v>-1.7194070999999998E-2</v>
      </c>
      <c r="S1811" s="13">
        <v>-1.3516634190000001</v>
      </c>
      <c r="T1811">
        <v>1.8732842999999999E-2</v>
      </c>
      <c r="U1811">
        <v>-0.19615750500000001</v>
      </c>
    </row>
    <row r="1812" spans="1:21" x14ac:dyDescent="0.2">
      <c r="A1812" t="s">
        <v>2239</v>
      </c>
      <c r="B1812">
        <v>494560</v>
      </c>
      <c r="C1812" t="s">
        <v>6945</v>
      </c>
      <c r="D1812" t="s">
        <v>2240</v>
      </c>
      <c r="E1812" t="s">
        <v>6924</v>
      </c>
      <c r="F1812">
        <v>9</v>
      </c>
      <c r="G1812">
        <v>6</v>
      </c>
      <c r="H1812" t="s">
        <v>10584</v>
      </c>
      <c r="J1812" t="s">
        <v>3987</v>
      </c>
      <c r="M1812" t="s">
        <v>10585</v>
      </c>
      <c r="N1812">
        <v>2.2220813349999999</v>
      </c>
      <c r="O1812">
        <v>6.5440947090000003</v>
      </c>
      <c r="P1812">
        <v>0.58228215500000002</v>
      </c>
      <c r="Q1812">
        <v>0.35188233000000002</v>
      </c>
      <c r="S1812" s="13">
        <v>-1.3517893190000001</v>
      </c>
      <c r="T1812">
        <v>1.8182691000000001E-2</v>
      </c>
      <c r="U1812">
        <v>-0.231269101</v>
      </c>
    </row>
    <row r="1813" spans="1:21" x14ac:dyDescent="0.2">
      <c r="A1813" t="s">
        <v>1511</v>
      </c>
      <c r="B1813">
        <v>641640</v>
      </c>
      <c r="C1813" t="s">
        <v>6927</v>
      </c>
      <c r="D1813" t="s">
        <v>1512</v>
      </c>
      <c r="E1813" t="s">
        <v>6970</v>
      </c>
      <c r="F1813">
        <v>4</v>
      </c>
      <c r="G1813">
        <v>14</v>
      </c>
      <c r="H1813" t="s">
        <v>10586</v>
      </c>
      <c r="J1813" t="s">
        <v>10587</v>
      </c>
      <c r="M1813" t="s">
        <v>10588</v>
      </c>
      <c r="N1813">
        <v>1.982575982</v>
      </c>
      <c r="O1813">
        <v>3.4571926419999999</v>
      </c>
      <c r="P1813">
        <v>-0.114791479</v>
      </c>
      <c r="Q1813">
        <v>1.868949E-3</v>
      </c>
      <c r="S1813" s="13">
        <v>-1.351951771</v>
      </c>
      <c r="T1813">
        <v>1.7472811000000001E-2</v>
      </c>
      <c r="U1813">
        <v>-0.194430833</v>
      </c>
    </row>
    <row r="1814" spans="1:21" x14ac:dyDescent="0.2">
      <c r="A1814" t="s">
        <v>1747</v>
      </c>
      <c r="B1814">
        <v>548360</v>
      </c>
      <c r="C1814" t="s">
        <v>6931</v>
      </c>
      <c r="D1814" t="s">
        <v>1747</v>
      </c>
      <c r="E1814" t="s">
        <v>6911</v>
      </c>
      <c r="F1814">
        <v>13</v>
      </c>
      <c r="G1814">
        <v>12</v>
      </c>
      <c r="H1814" t="s">
        <v>10589</v>
      </c>
      <c r="N1814">
        <v>1.9323965059999999</v>
      </c>
      <c r="O1814">
        <v>3.0528020530000002</v>
      </c>
      <c r="P1814">
        <v>2.6493138999999999E-2</v>
      </c>
      <c r="Q1814">
        <v>-0.38692188</v>
      </c>
      <c r="S1814" s="13">
        <v>-1.3519742459999999</v>
      </c>
      <c r="T1814">
        <v>1.7374601E-2</v>
      </c>
      <c r="U1814">
        <v>-0.126165733</v>
      </c>
    </row>
    <row r="1815" spans="1:21" x14ac:dyDescent="0.2">
      <c r="A1815" t="s">
        <v>2791</v>
      </c>
      <c r="B1815">
        <v>655600</v>
      </c>
      <c r="C1815" t="s">
        <v>6938</v>
      </c>
      <c r="D1815" t="s">
        <v>2792</v>
      </c>
      <c r="E1815" t="s">
        <v>6921</v>
      </c>
      <c r="F1815">
        <v>6</v>
      </c>
      <c r="G1815">
        <v>8</v>
      </c>
      <c r="H1815" t="s">
        <v>10590</v>
      </c>
      <c r="J1815" t="s">
        <v>5351</v>
      </c>
      <c r="M1815" t="s">
        <v>10591</v>
      </c>
      <c r="N1815">
        <v>2.092758737</v>
      </c>
      <c r="O1815">
        <v>5.3323610669999999</v>
      </c>
      <c r="P1815">
        <v>0.70420098600000003</v>
      </c>
      <c r="Q1815">
        <v>0.41355372699999998</v>
      </c>
      <c r="S1815" s="13">
        <v>-1.3520783240000001</v>
      </c>
      <c r="T1815">
        <v>1.6919805999999999E-2</v>
      </c>
      <c r="U1815">
        <v>-0.20958270000000001</v>
      </c>
    </row>
    <row r="1816" spans="1:21" x14ac:dyDescent="0.2">
      <c r="A1816" t="s">
        <v>2341</v>
      </c>
      <c r="B1816">
        <v>494000</v>
      </c>
      <c r="C1816" t="s">
        <v>6945</v>
      </c>
      <c r="D1816" t="s">
        <v>2341</v>
      </c>
      <c r="E1816" t="s">
        <v>6921</v>
      </c>
      <c r="F1816">
        <v>14</v>
      </c>
      <c r="G1816">
        <v>8</v>
      </c>
      <c r="H1816" t="s">
        <v>10592</v>
      </c>
      <c r="J1816" t="s">
        <v>4946</v>
      </c>
      <c r="M1816" t="s">
        <v>10593</v>
      </c>
      <c r="N1816">
        <v>2.2220813349999999</v>
      </c>
      <c r="O1816">
        <v>6.5440947090000003</v>
      </c>
      <c r="P1816">
        <v>0.58228215500000002</v>
      </c>
      <c r="Q1816">
        <v>0.35188233000000002</v>
      </c>
      <c r="S1816" s="13">
        <v>-1.352317531</v>
      </c>
      <c r="T1816">
        <v>1.5874524000000001E-2</v>
      </c>
      <c r="U1816">
        <v>-0.23171824099999999</v>
      </c>
    </row>
    <row r="1817" spans="1:21" x14ac:dyDescent="0.2">
      <c r="A1817" t="s">
        <v>52</v>
      </c>
      <c r="B1817">
        <v>604080</v>
      </c>
      <c r="C1817" t="s">
        <v>6906</v>
      </c>
      <c r="D1817" t="s">
        <v>53</v>
      </c>
      <c r="E1817" t="s">
        <v>6918</v>
      </c>
      <c r="F1817">
        <v>2</v>
      </c>
      <c r="G1817">
        <v>1</v>
      </c>
      <c r="H1817" t="s">
        <v>10594</v>
      </c>
      <c r="J1817" t="s">
        <v>229</v>
      </c>
      <c r="M1817" t="s">
        <v>10595</v>
      </c>
      <c r="N1817">
        <v>1.813871112</v>
      </c>
      <c r="O1817">
        <v>2.6633694910000001</v>
      </c>
      <c r="P1817">
        <v>-0.29586356800000002</v>
      </c>
      <c r="Q1817">
        <v>-0.59018158399999998</v>
      </c>
      <c r="S1817" s="13">
        <v>-1.352328449</v>
      </c>
      <c r="T1817">
        <v>1.5826814000000002E-2</v>
      </c>
      <c r="U1817">
        <v>-0.16736652099999999</v>
      </c>
    </row>
    <row r="1818" spans="1:21" x14ac:dyDescent="0.2">
      <c r="A1818" t="s">
        <v>820</v>
      </c>
      <c r="B1818">
        <v>655000</v>
      </c>
      <c r="C1818" t="s">
        <v>6938</v>
      </c>
      <c r="D1818" t="s">
        <v>820</v>
      </c>
      <c r="E1818" t="s">
        <v>6974</v>
      </c>
      <c r="F1818">
        <v>20</v>
      </c>
      <c r="G1818">
        <v>15</v>
      </c>
      <c r="H1818" t="s">
        <v>10596</v>
      </c>
      <c r="J1818" t="s">
        <v>2293</v>
      </c>
      <c r="M1818" t="s">
        <v>10597</v>
      </c>
      <c r="N1818">
        <v>2.092758737</v>
      </c>
      <c r="O1818">
        <v>5.3323610669999999</v>
      </c>
      <c r="P1818">
        <v>0.70420098600000003</v>
      </c>
      <c r="Q1818">
        <v>0.41355372699999998</v>
      </c>
      <c r="S1818" s="13">
        <v>-1.35259361</v>
      </c>
      <c r="T1818">
        <v>1.466812E-2</v>
      </c>
      <c r="U1818">
        <v>-0.210040486</v>
      </c>
    </row>
    <row r="1819" spans="1:21" x14ac:dyDescent="0.2">
      <c r="A1819" t="s">
        <v>148</v>
      </c>
      <c r="B1819">
        <v>493680</v>
      </c>
      <c r="C1819" t="s">
        <v>6945</v>
      </c>
      <c r="D1819" t="s">
        <v>148</v>
      </c>
      <c r="E1819" t="s">
        <v>6915</v>
      </c>
      <c r="F1819">
        <v>17</v>
      </c>
      <c r="G1819">
        <v>13</v>
      </c>
      <c r="H1819" t="s">
        <v>10598</v>
      </c>
      <c r="J1819" t="s">
        <v>5915</v>
      </c>
      <c r="M1819" t="s">
        <v>10599</v>
      </c>
      <c r="N1819">
        <v>2.2220813349999999</v>
      </c>
      <c r="O1819">
        <v>6.5440947090000003</v>
      </c>
      <c r="P1819">
        <v>0.58228215500000002</v>
      </c>
      <c r="Q1819">
        <v>0.35188233000000002</v>
      </c>
      <c r="S1819" s="13">
        <v>-1.352619367</v>
      </c>
      <c r="T1819">
        <v>1.4555571999999999E-2</v>
      </c>
      <c r="U1819">
        <v>-0.23197510199999999</v>
      </c>
    </row>
    <row r="1820" spans="1:21" x14ac:dyDescent="0.2">
      <c r="A1820" t="s">
        <v>1714</v>
      </c>
      <c r="B1820">
        <v>575240</v>
      </c>
      <c r="C1820" t="s">
        <v>6942</v>
      </c>
      <c r="D1820" t="s">
        <v>1715</v>
      </c>
      <c r="E1820" t="s">
        <v>6915</v>
      </c>
      <c r="F1820">
        <v>7</v>
      </c>
      <c r="G1820">
        <v>13</v>
      </c>
      <c r="H1820" t="s">
        <v>10600</v>
      </c>
      <c r="J1820" t="s">
        <v>1717</v>
      </c>
      <c r="M1820" t="s">
        <v>10601</v>
      </c>
      <c r="N1820">
        <v>2.0902262079999998</v>
      </c>
      <c r="O1820">
        <v>4.2704203920000001</v>
      </c>
      <c r="P1820">
        <v>0.23425843900000001</v>
      </c>
      <c r="Q1820">
        <v>1.6181978999999999E-2</v>
      </c>
      <c r="S1820" s="13">
        <v>-1.3526490390000001</v>
      </c>
      <c r="T1820">
        <v>1.4425909000000001E-2</v>
      </c>
      <c r="U1820">
        <v>-0.22340468599999999</v>
      </c>
    </row>
    <row r="1821" spans="1:21" x14ac:dyDescent="0.2">
      <c r="A1821" t="s">
        <v>253</v>
      </c>
      <c r="B1821">
        <v>603800</v>
      </c>
      <c r="C1821" t="s">
        <v>6906</v>
      </c>
      <c r="D1821" t="s">
        <v>254</v>
      </c>
      <c r="E1821" t="s">
        <v>6939</v>
      </c>
      <c r="F1821">
        <v>4</v>
      </c>
      <c r="G1821">
        <v>2</v>
      </c>
      <c r="H1821" t="s">
        <v>10602</v>
      </c>
      <c r="J1821" t="s">
        <v>2114</v>
      </c>
      <c r="M1821" t="s">
        <v>10603</v>
      </c>
      <c r="N1821">
        <v>1.813871112</v>
      </c>
      <c r="O1821">
        <v>2.6633694910000001</v>
      </c>
      <c r="P1821">
        <v>-0.29586356800000002</v>
      </c>
      <c r="Q1821">
        <v>-0.59018158399999998</v>
      </c>
      <c r="S1821" s="13">
        <v>-1.3527346579999999</v>
      </c>
      <c r="T1821">
        <v>1.4051773E-2</v>
      </c>
      <c r="U1821">
        <v>-0.16756030599999999</v>
      </c>
    </row>
    <row r="1822" spans="1:21" x14ac:dyDescent="0.2">
      <c r="A1822" t="s">
        <v>214</v>
      </c>
      <c r="B1822">
        <v>718400</v>
      </c>
      <c r="C1822" t="s">
        <v>6914</v>
      </c>
      <c r="D1822" t="s">
        <v>215</v>
      </c>
      <c r="E1822" t="s">
        <v>6939</v>
      </c>
      <c r="F1822">
        <v>9</v>
      </c>
      <c r="G1822">
        <v>2</v>
      </c>
      <c r="H1822" t="s">
        <v>10604</v>
      </c>
      <c r="J1822" t="s">
        <v>3915</v>
      </c>
      <c r="M1822" t="s">
        <v>10605</v>
      </c>
      <c r="N1822">
        <v>1.8217074179999999</v>
      </c>
      <c r="O1822">
        <v>4.1700741289999996</v>
      </c>
      <c r="P1822">
        <v>0.189705977</v>
      </c>
      <c r="Q1822">
        <v>-1.7194070999999998E-2</v>
      </c>
      <c r="S1822" s="13">
        <v>-1.352914291</v>
      </c>
      <c r="T1822">
        <v>1.3266818E-2</v>
      </c>
      <c r="U1822">
        <v>-0.19692712400000001</v>
      </c>
    </row>
    <row r="1823" spans="1:21" x14ac:dyDescent="0.2">
      <c r="A1823" t="s">
        <v>1198</v>
      </c>
      <c r="B1823">
        <v>640680</v>
      </c>
      <c r="C1823" t="s">
        <v>6927</v>
      </c>
      <c r="D1823" t="s">
        <v>1199</v>
      </c>
      <c r="E1823" t="s">
        <v>6924</v>
      </c>
      <c r="F1823">
        <v>2</v>
      </c>
      <c r="G1823">
        <v>6</v>
      </c>
      <c r="H1823" t="s">
        <v>10606</v>
      </c>
      <c r="J1823" t="s">
        <v>10607</v>
      </c>
      <c r="M1823" t="s">
        <v>10608</v>
      </c>
      <c r="N1823">
        <v>1.982575982</v>
      </c>
      <c r="O1823">
        <v>3.4571926419999999</v>
      </c>
      <c r="P1823">
        <v>-0.114791479</v>
      </c>
      <c r="Q1823">
        <v>1.868949E-3</v>
      </c>
      <c r="S1823" s="13">
        <v>-1.3529478909999999</v>
      </c>
      <c r="T1823">
        <v>1.3119997E-2</v>
      </c>
      <c r="U1823">
        <v>-0.195138381</v>
      </c>
    </row>
    <row r="1824" spans="1:21" x14ac:dyDescent="0.2">
      <c r="A1824" t="s">
        <v>687</v>
      </c>
      <c r="B1824">
        <v>718280</v>
      </c>
      <c r="C1824" t="s">
        <v>6914</v>
      </c>
      <c r="D1824" t="s">
        <v>688</v>
      </c>
      <c r="E1824" t="s">
        <v>6970</v>
      </c>
      <c r="F1824">
        <v>9</v>
      </c>
      <c r="G1824">
        <v>14</v>
      </c>
      <c r="H1824" t="s">
        <v>10609</v>
      </c>
      <c r="J1824" t="s">
        <v>1447</v>
      </c>
      <c r="M1824" t="s">
        <v>10610</v>
      </c>
      <c r="N1824">
        <v>1.8217074179999999</v>
      </c>
      <c r="O1824">
        <v>4.1700741289999996</v>
      </c>
      <c r="P1824">
        <v>0.189705977</v>
      </c>
      <c r="Q1824">
        <v>-1.7194070999999998E-2</v>
      </c>
      <c r="S1824" s="13">
        <v>-1.3530586229999999</v>
      </c>
      <c r="T1824">
        <v>1.2636123000000001E-2</v>
      </c>
      <c r="U1824">
        <v>-0.19701601399999999</v>
      </c>
    </row>
    <row r="1825" spans="1:21" x14ac:dyDescent="0.2">
      <c r="A1825" t="s">
        <v>1112</v>
      </c>
      <c r="B1825">
        <v>718040</v>
      </c>
      <c r="C1825" t="s">
        <v>6914</v>
      </c>
      <c r="D1825" t="s">
        <v>1112</v>
      </c>
      <c r="E1825" t="s">
        <v>6924</v>
      </c>
      <c r="F1825">
        <v>23</v>
      </c>
      <c r="G1825">
        <v>6</v>
      </c>
      <c r="H1825" t="s">
        <v>10611</v>
      </c>
      <c r="J1825" t="s">
        <v>6793</v>
      </c>
      <c r="M1825" t="s">
        <v>10612</v>
      </c>
      <c r="N1825">
        <v>1.8217074179999999</v>
      </c>
      <c r="O1825">
        <v>4.1700741289999996</v>
      </c>
      <c r="P1825">
        <v>0.189705977</v>
      </c>
      <c r="Q1825">
        <v>-1.7194070999999998E-2</v>
      </c>
      <c r="S1825" s="13">
        <v>-1.3533472849999999</v>
      </c>
      <c r="T1825">
        <v>1.1374733E-2</v>
      </c>
      <c r="U1825">
        <v>-0.197193849</v>
      </c>
    </row>
    <row r="1826" spans="1:21" x14ac:dyDescent="0.2">
      <c r="A1826" t="s">
        <v>619</v>
      </c>
      <c r="B1826">
        <v>717960</v>
      </c>
      <c r="C1826" t="s">
        <v>6914</v>
      </c>
      <c r="D1826" t="s">
        <v>619</v>
      </c>
      <c r="E1826" t="s">
        <v>6939</v>
      </c>
      <c r="F1826">
        <v>22</v>
      </c>
      <c r="G1826">
        <v>2</v>
      </c>
      <c r="H1826" t="s">
        <v>10613</v>
      </c>
      <c r="J1826" t="s">
        <v>3855</v>
      </c>
      <c r="M1826" t="s">
        <v>10614</v>
      </c>
      <c r="N1826">
        <v>1.8217074179999999</v>
      </c>
      <c r="O1826">
        <v>4.1700741289999996</v>
      </c>
      <c r="P1826">
        <v>0.189705977</v>
      </c>
      <c r="Q1826">
        <v>-1.7194070999999998E-2</v>
      </c>
      <c r="S1826" s="13">
        <v>-1.3534435060000001</v>
      </c>
      <c r="T1826">
        <v>1.0954269000000001E-2</v>
      </c>
      <c r="U1826">
        <v>-0.19725314299999999</v>
      </c>
    </row>
    <row r="1827" spans="1:21" x14ac:dyDescent="0.2">
      <c r="A1827" t="s">
        <v>2443</v>
      </c>
      <c r="B1827">
        <v>717880</v>
      </c>
      <c r="C1827" t="s">
        <v>6914</v>
      </c>
      <c r="D1827" t="s">
        <v>2444</v>
      </c>
      <c r="E1827" t="s">
        <v>7006</v>
      </c>
      <c r="F1827">
        <v>1</v>
      </c>
      <c r="G1827">
        <v>3</v>
      </c>
      <c r="H1827" t="s">
        <v>10615</v>
      </c>
      <c r="J1827" t="s">
        <v>2446</v>
      </c>
      <c r="M1827" t="s">
        <v>10616</v>
      </c>
      <c r="N1827">
        <v>1.8217074179999999</v>
      </c>
      <c r="O1827">
        <v>4.1700741289999996</v>
      </c>
      <c r="P1827">
        <v>0.189705977</v>
      </c>
      <c r="Q1827">
        <v>-1.7194070999999998E-2</v>
      </c>
      <c r="S1827" s="13">
        <v>-1.353539727</v>
      </c>
      <c r="T1827">
        <v>1.0533806E-2</v>
      </c>
      <c r="U1827">
        <v>-0.197312446</v>
      </c>
    </row>
    <row r="1828" spans="1:21" x14ac:dyDescent="0.2">
      <c r="A1828" t="s">
        <v>1747</v>
      </c>
      <c r="B1828">
        <v>612280</v>
      </c>
      <c r="C1828" t="s">
        <v>6910</v>
      </c>
      <c r="D1828" t="s">
        <v>1747</v>
      </c>
      <c r="E1828" t="s">
        <v>6911</v>
      </c>
      <c r="F1828">
        <v>13</v>
      </c>
      <c r="G1828">
        <v>12</v>
      </c>
      <c r="H1828" t="s">
        <v>10617</v>
      </c>
      <c r="J1828" t="s">
        <v>3206</v>
      </c>
      <c r="M1828" t="s">
        <v>10618</v>
      </c>
      <c r="N1828">
        <v>1.9874741039999999</v>
      </c>
      <c r="O1828">
        <v>3.7453511220000002</v>
      </c>
      <c r="P1828">
        <v>0.451009722</v>
      </c>
      <c r="Q1828">
        <v>-0.102386592</v>
      </c>
      <c r="S1828" s="13">
        <v>-1.3539366939999999</v>
      </c>
      <c r="T1828">
        <v>8.7991500000000004E-3</v>
      </c>
      <c r="U1828">
        <v>-0.13522088400000001</v>
      </c>
    </row>
    <row r="1829" spans="1:21" x14ac:dyDescent="0.2">
      <c r="A1829" t="s">
        <v>632</v>
      </c>
      <c r="B1829">
        <v>546720</v>
      </c>
      <c r="C1829" t="s">
        <v>6931</v>
      </c>
      <c r="D1829" t="s">
        <v>632</v>
      </c>
      <c r="E1829" t="s">
        <v>6924</v>
      </c>
      <c r="F1829">
        <v>18</v>
      </c>
      <c r="G1829">
        <v>6</v>
      </c>
      <c r="H1829" t="s">
        <v>10619</v>
      </c>
      <c r="N1829">
        <v>1.9323965059999999</v>
      </c>
      <c r="O1829">
        <v>3.0528020530000002</v>
      </c>
      <c r="P1829">
        <v>2.6493138999999999E-2</v>
      </c>
      <c r="Q1829">
        <v>-0.38692188</v>
      </c>
      <c r="S1829" s="13">
        <v>-1.3541291639999999</v>
      </c>
      <c r="T1829">
        <v>7.9581029999999994E-3</v>
      </c>
      <c r="U1829">
        <v>-0.12719903299999999</v>
      </c>
    </row>
    <row r="1830" spans="1:21" x14ac:dyDescent="0.2">
      <c r="A1830" t="s">
        <v>1343</v>
      </c>
      <c r="B1830">
        <v>639400</v>
      </c>
      <c r="C1830" t="s">
        <v>6927</v>
      </c>
      <c r="D1830" t="s">
        <v>1344</v>
      </c>
      <c r="E1830" t="s">
        <v>7085</v>
      </c>
      <c r="F1830">
        <v>7</v>
      </c>
      <c r="G1830">
        <v>9</v>
      </c>
      <c r="H1830" t="s">
        <v>10620</v>
      </c>
      <c r="J1830" t="s">
        <v>10621</v>
      </c>
      <c r="M1830" t="s">
        <v>10622</v>
      </c>
      <c r="N1830">
        <v>1.982575982</v>
      </c>
      <c r="O1830">
        <v>3.4571926419999999</v>
      </c>
      <c r="P1830">
        <v>-0.114791479</v>
      </c>
      <c r="Q1830">
        <v>1.868949E-3</v>
      </c>
      <c r="S1830" s="13">
        <v>-1.35427605</v>
      </c>
      <c r="T1830">
        <v>7.3162460000000002E-3</v>
      </c>
      <c r="U1830">
        <v>-0.19608357500000001</v>
      </c>
    </row>
    <row r="1831" spans="1:21" x14ac:dyDescent="0.2">
      <c r="A1831" t="s">
        <v>422</v>
      </c>
      <c r="B1831">
        <v>704360</v>
      </c>
      <c r="C1831" t="s">
        <v>6953</v>
      </c>
      <c r="D1831" t="s">
        <v>423</v>
      </c>
      <c r="E1831" t="s">
        <v>6974</v>
      </c>
      <c r="F1831">
        <v>3</v>
      </c>
      <c r="G1831">
        <v>15</v>
      </c>
      <c r="H1831" t="s">
        <v>10623</v>
      </c>
      <c r="J1831" t="s">
        <v>3263</v>
      </c>
      <c r="M1831" t="s">
        <v>10624</v>
      </c>
      <c r="N1831">
        <v>1.921480887</v>
      </c>
      <c r="O1831">
        <v>3.0856645180000002</v>
      </c>
      <c r="P1831">
        <v>0.44706724399999997</v>
      </c>
      <c r="Q1831">
        <v>-0.354940863</v>
      </c>
      <c r="S1831" s="13">
        <v>-1.354348683</v>
      </c>
      <c r="T1831">
        <v>6.9988530000000002E-3</v>
      </c>
      <c r="U1831">
        <v>-0.139729351</v>
      </c>
    </row>
    <row r="1832" spans="1:21" x14ac:dyDescent="0.2">
      <c r="A1832" t="s">
        <v>2657</v>
      </c>
      <c r="B1832">
        <v>639240</v>
      </c>
      <c r="C1832" t="s">
        <v>6927</v>
      </c>
      <c r="D1832" t="s">
        <v>2658</v>
      </c>
      <c r="E1832" t="s">
        <v>6977</v>
      </c>
      <c r="F1832">
        <v>8</v>
      </c>
      <c r="G1832">
        <v>5</v>
      </c>
      <c r="H1832" t="s">
        <v>10625</v>
      </c>
      <c r="J1832" t="s">
        <v>10626</v>
      </c>
      <c r="M1832" t="s">
        <v>10627</v>
      </c>
      <c r="N1832">
        <v>1.982575982</v>
      </c>
      <c r="O1832">
        <v>3.4571926419999999</v>
      </c>
      <c r="P1832">
        <v>-0.114791479</v>
      </c>
      <c r="Q1832">
        <v>1.868949E-3</v>
      </c>
      <c r="S1832" s="13">
        <v>-1.3544420690000001</v>
      </c>
      <c r="T1832">
        <v>6.5907769999999999E-3</v>
      </c>
      <c r="U1832">
        <v>-0.196201869</v>
      </c>
    </row>
    <row r="1833" spans="1:21" x14ac:dyDescent="0.2">
      <c r="A1833" t="s">
        <v>894</v>
      </c>
      <c r="B1833">
        <v>652840</v>
      </c>
      <c r="C1833" t="s">
        <v>6938</v>
      </c>
      <c r="D1833" t="s">
        <v>894</v>
      </c>
      <c r="E1833" t="s">
        <v>6939</v>
      </c>
      <c r="F1833">
        <v>18</v>
      </c>
      <c r="G1833">
        <v>2</v>
      </c>
      <c r="H1833" t="s">
        <v>10628</v>
      </c>
      <c r="J1833" t="s">
        <v>5583</v>
      </c>
      <c r="M1833" t="s">
        <v>10629</v>
      </c>
      <c r="N1833">
        <v>2.092758737</v>
      </c>
      <c r="O1833">
        <v>5.3323610669999999</v>
      </c>
      <c r="P1833">
        <v>0.70420098600000003</v>
      </c>
      <c r="Q1833">
        <v>0.41355372699999998</v>
      </c>
      <c r="S1833" s="13">
        <v>-1.354448643</v>
      </c>
      <c r="T1833">
        <v>6.5620510000000002E-3</v>
      </c>
      <c r="U1833">
        <v>-0.21169252499999999</v>
      </c>
    </row>
    <row r="1834" spans="1:21" x14ac:dyDescent="0.2">
      <c r="A1834" t="s">
        <v>2764</v>
      </c>
      <c r="B1834">
        <v>652560</v>
      </c>
      <c r="C1834" t="s">
        <v>6938</v>
      </c>
      <c r="D1834" t="s">
        <v>2764</v>
      </c>
      <c r="E1834" t="s">
        <v>6921</v>
      </c>
      <c r="F1834">
        <v>12</v>
      </c>
      <c r="G1834">
        <v>8</v>
      </c>
      <c r="H1834" t="s">
        <v>10630</v>
      </c>
      <c r="J1834" t="s">
        <v>5459</v>
      </c>
      <c r="M1834" t="s">
        <v>10631</v>
      </c>
      <c r="N1834">
        <v>2.092758737</v>
      </c>
      <c r="O1834">
        <v>5.3323610669999999</v>
      </c>
      <c r="P1834">
        <v>0.70420098600000003</v>
      </c>
      <c r="Q1834">
        <v>0.41355372699999998</v>
      </c>
      <c r="S1834" s="13">
        <v>-1.35468911</v>
      </c>
      <c r="T1834">
        <v>5.5112649999999996E-3</v>
      </c>
      <c r="U1834">
        <v>-0.21190713899999999</v>
      </c>
    </row>
    <row r="1835" spans="1:21" x14ac:dyDescent="0.2">
      <c r="A1835" t="s">
        <v>1321</v>
      </c>
      <c r="B1835">
        <v>284360</v>
      </c>
      <c r="C1835" t="s">
        <v>6961</v>
      </c>
      <c r="D1835" t="s">
        <v>1321</v>
      </c>
      <c r="E1835" t="s">
        <v>7115</v>
      </c>
      <c r="F1835">
        <v>15</v>
      </c>
      <c r="G1835">
        <v>10</v>
      </c>
      <c r="H1835" t="s">
        <v>10632</v>
      </c>
      <c r="J1835" t="s">
        <v>6413</v>
      </c>
      <c r="M1835" t="s">
        <v>10633</v>
      </c>
      <c r="N1835">
        <v>2.7247480949999998</v>
      </c>
      <c r="O1835">
        <v>7.0822175119999997</v>
      </c>
      <c r="P1835">
        <v>0.61298291999999999</v>
      </c>
      <c r="Q1835">
        <v>0.48262032500000002</v>
      </c>
      <c r="S1835" s="13">
        <v>-1.354691112</v>
      </c>
      <c r="T1835">
        <v>5.502519E-3</v>
      </c>
      <c r="U1835">
        <v>-0.27263373000000002</v>
      </c>
    </row>
    <row r="1836" spans="1:21" x14ac:dyDescent="0.2">
      <c r="A1836" t="s">
        <v>645</v>
      </c>
      <c r="B1836">
        <v>652480</v>
      </c>
      <c r="C1836" t="s">
        <v>6938</v>
      </c>
      <c r="D1836" t="s">
        <v>645</v>
      </c>
      <c r="E1836" t="s">
        <v>6974</v>
      </c>
      <c r="F1836">
        <v>12</v>
      </c>
      <c r="G1836">
        <v>15</v>
      </c>
      <c r="H1836" t="s">
        <v>10634</v>
      </c>
      <c r="J1836" t="s">
        <v>5487</v>
      </c>
      <c r="M1836" t="s">
        <v>10635</v>
      </c>
      <c r="N1836">
        <v>2.092758737</v>
      </c>
      <c r="O1836">
        <v>5.3323610669999999</v>
      </c>
      <c r="P1836">
        <v>0.70420098600000003</v>
      </c>
      <c r="Q1836">
        <v>0.41355372699999998</v>
      </c>
      <c r="S1836" s="13">
        <v>-1.3547578149999999</v>
      </c>
      <c r="T1836">
        <v>5.2110400000000001E-3</v>
      </c>
      <c r="U1836">
        <v>-0.21196847699999999</v>
      </c>
    </row>
    <row r="1837" spans="1:21" x14ac:dyDescent="0.2">
      <c r="A1837" t="s">
        <v>1076</v>
      </c>
      <c r="B1837">
        <v>545840</v>
      </c>
      <c r="C1837" t="s">
        <v>6931</v>
      </c>
      <c r="D1837" t="s">
        <v>1077</v>
      </c>
      <c r="E1837" t="s">
        <v>6977</v>
      </c>
      <c r="F1837">
        <v>7</v>
      </c>
      <c r="G1837">
        <v>5</v>
      </c>
      <c r="H1837" t="s">
        <v>10636</v>
      </c>
      <c r="N1837">
        <v>1.9323965059999999</v>
      </c>
      <c r="O1837">
        <v>3.0528020530000002</v>
      </c>
      <c r="P1837">
        <v>2.6493138999999999E-2</v>
      </c>
      <c r="Q1837">
        <v>-0.38692188</v>
      </c>
      <c r="S1837" s="13">
        <v>-1.355285461</v>
      </c>
      <c r="T1837">
        <v>2.9053490000000002E-3</v>
      </c>
      <c r="U1837">
        <v>-0.12775450199999999</v>
      </c>
    </row>
    <row r="1838" spans="1:21" x14ac:dyDescent="0.2">
      <c r="A1838" t="s">
        <v>444</v>
      </c>
      <c r="B1838">
        <v>610920</v>
      </c>
      <c r="C1838" t="s">
        <v>6910</v>
      </c>
      <c r="D1838" t="s">
        <v>445</v>
      </c>
      <c r="E1838" t="s">
        <v>7006</v>
      </c>
      <c r="F1838">
        <v>2</v>
      </c>
      <c r="G1838">
        <v>3</v>
      </c>
      <c r="H1838" t="s">
        <v>10637</v>
      </c>
      <c r="J1838" t="s">
        <v>6521</v>
      </c>
      <c r="M1838" t="s">
        <v>10638</v>
      </c>
      <c r="N1838">
        <v>1.9874741039999999</v>
      </c>
      <c r="O1838">
        <v>3.7453511220000002</v>
      </c>
      <c r="P1838">
        <v>0.451009722</v>
      </c>
      <c r="Q1838">
        <v>-0.102386592</v>
      </c>
      <c r="S1838" s="13">
        <v>-1.35539991</v>
      </c>
      <c r="T1838">
        <v>2.405234E-3</v>
      </c>
      <c r="U1838">
        <v>-0.13609566100000001</v>
      </c>
    </row>
    <row r="1839" spans="1:21" x14ac:dyDescent="0.2">
      <c r="A1839" t="s">
        <v>2230</v>
      </c>
      <c r="B1839">
        <v>651600</v>
      </c>
      <c r="C1839" t="s">
        <v>6938</v>
      </c>
      <c r="D1839" t="s">
        <v>2231</v>
      </c>
      <c r="E1839" t="s">
        <v>7115</v>
      </c>
      <c r="F1839">
        <v>2</v>
      </c>
      <c r="G1839">
        <v>10</v>
      </c>
      <c r="H1839" t="s">
        <v>10639</v>
      </c>
      <c r="J1839" t="s">
        <v>5123</v>
      </c>
      <c r="M1839" t="s">
        <v>10640</v>
      </c>
      <c r="N1839">
        <v>2.092758737</v>
      </c>
      <c r="O1839">
        <v>5.3323610669999999</v>
      </c>
      <c r="P1839">
        <v>0.70420098600000003</v>
      </c>
      <c r="Q1839">
        <v>0.41355372699999998</v>
      </c>
      <c r="S1839" s="13">
        <v>-1.355513569</v>
      </c>
      <c r="T1839">
        <v>1.908568E-3</v>
      </c>
      <c r="U1839">
        <v>-0.21264376500000001</v>
      </c>
    </row>
    <row r="1840" spans="1:21" x14ac:dyDescent="0.2">
      <c r="A1840" t="s">
        <v>438</v>
      </c>
      <c r="B1840">
        <v>638160</v>
      </c>
      <c r="C1840" t="s">
        <v>6927</v>
      </c>
      <c r="D1840" t="s">
        <v>438</v>
      </c>
      <c r="E1840" t="s">
        <v>6956</v>
      </c>
      <c r="F1840">
        <v>11</v>
      </c>
      <c r="G1840">
        <v>7</v>
      </c>
      <c r="H1840" t="s">
        <v>10641</v>
      </c>
      <c r="J1840" t="s">
        <v>6860</v>
      </c>
      <c r="M1840" t="s">
        <v>10642</v>
      </c>
      <c r="N1840">
        <v>1.982575982</v>
      </c>
      <c r="O1840">
        <v>3.4571926419999999</v>
      </c>
      <c r="P1840">
        <v>-0.114791479</v>
      </c>
      <c r="Q1840">
        <v>1.868949E-3</v>
      </c>
      <c r="S1840" s="13">
        <v>-1.355562704</v>
      </c>
      <c r="T1840">
        <v>1.6938610000000001E-3</v>
      </c>
      <c r="U1840">
        <v>-0.19700119799999999</v>
      </c>
    </row>
    <row r="1841" spans="1:21" x14ac:dyDescent="0.2">
      <c r="A1841" t="s">
        <v>2035</v>
      </c>
      <c r="B1841">
        <v>610440</v>
      </c>
      <c r="C1841" t="s">
        <v>6910</v>
      </c>
      <c r="D1841" t="s">
        <v>2035</v>
      </c>
      <c r="E1841" t="s">
        <v>7115</v>
      </c>
      <c r="F1841">
        <v>14</v>
      </c>
      <c r="G1841">
        <v>10</v>
      </c>
      <c r="H1841" t="s">
        <v>10643</v>
      </c>
      <c r="J1841" t="s">
        <v>3464</v>
      </c>
      <c r="M1841" t="s">
        <v>10644</v>
      </c>
      <c r="N1841">
        <v>1.9874741039999999</v>
      </c>
      <c r="O1841">
        <v>3.7453511220000002</v>
      </c>
      <c r="P1841">
        <v>0.451009722</v>
      </c>
      <c r="Q1841">
        <v>-0.102386592</v>
      </c>
      <c r="S1841" s="13">
        <v>-1.355916339</v>
      </c>
      <c r="T1841">
        <v>1.48558E-4</v>
      </c>
      <c r="U1841">
        <v>-0.13640482700000001</v>
      </c>
    </row>
    <row r="1842" spans="1:21" x14ac:dyDescent="0.2">
      <c r="A1842" t="s">
        <v>1133</v>
      </c>
      <c r="B1842">
        <v>601560</v>
      </c>
      <c r="C1842" t="s">
        <v>6906</v>
      </c>
      <c r="D1842" t="s">
        <v>1134</v>
      </c>
      <c r="E1842" t="s">
        <v>6907</v>
      </c>
      <c r="F1842">
        <v>8</v>
      </c>
      <c r="G1842">
        <v>4</v>
      </c>
      <c r="H1842" t="s">
        <v>10645</v>
      </c>
      <c r="J1842" t="s">
        <v>1136</v>
      </c>
      <c r="M1842" t="s">
        <v>10646</v>
      </c>
      <c r="N1842">
        <v>1.813871112</v>
      </c>
      <c r="O1842">
        <v>2.6633694910000001</v>
      </c>
      <c r="P1842">
        <v>-0.29586356800000002</v>
      </c>
      <c r="Q1842">
        <v>-0.59018158399999998</v>
      </c>
      <c r="S1842" s="13">
        <v>-1.355984332</v>
      </c>
      <c r="T1842">
        <v>-1.48558E-4</v>
      </c>
      <c r="U1842">
        <v>-0.169113713</v>
      </c>
    </row>
    <row r="1843" spans="1:21" x14ac:dyDescent="0.2">
      <c r="A1843" t="s">
        <v>267</v>
      </c>
      <c r="B1843">
        <v>637400</v>
      </c>
      <c r="C1843" t="s">
        <v>6927</v>
      </c>
      <c r="D1843" t="s">
        <v>268</v>
      </c>
      <c r="E1843" t="s">
        <v>6911</v>
      </c>
      <c r="F1843">
        <v>2</v>
      </c>
      <c r="G1843">
        <v>12</v>
      </c>
      <c r="H1843" t="s">
        <v>10647</v>
      </c>
      <c r="J1843" t="s">
        <v>10648</v>
      </c>
      <c r="M1843" t="s">
        <v>10649</v>
      </c>
      <c r="N1843">
        <v>1.982575982</v>
      </c>
      <c r="O1843">
        <v>3.4571926419999999</v>
      </c>
      <c r="P1843">
        <v>-0.114791479</v>
      </c>
      <c r="Q1843">
        <v>1.868949E-3</v>
      </c>
      <c r="S1843" s="13">
        <v>-1.3563512980000001</v>
      </c>
      <c r="T1843">
        <v>-1.752116E-3</v>
      </c>
      <c r="U1843">
        <v>-0.19756457199999999</v>
      </c>
    </row>
    <row r="1844" spans="1:21" x14ac:dyDescent="0.2">
      <c r="A1844" t="s">
        <v>1010</v>
      </c>
      <c r="B1844">
        <v>702320</v>
      </c>
      <c r="C1844" t="s">
        <v>6953</v>
      </c>
      <c r="D1844" t="s">
        <v>1010</v>
      </c>
      <c r="E1844" t="s">
        <v>6970</v>
      </c>
      <c r="F1844">
        <v>19</v>
      </c>
      <c r="G1844">
        <v>14</v>
      </c>
      <c r="H1844" t="s">
        <v>10650</v>
      </c>
      <c r="J1844" t="s">
        <v>4592</v>
      </c>
      <c r="M1844" t="s">
        <v>10651</v>
      </c>
      <c r="N1844">
        <v>1.921480887</v>
      </c>
      <c r="O1844">
        <v>3.0856645180000002</v>
      </c>
      <c r="P1844">
        <v>0.44706724399999997</v>
      </c>
      <c r="Q1844">
        <v>-0.354940863</v>
      </c>
      <c r="S1844" s="13">
        <v>-1.356465437</v>
      </c>
      <c r="T1844">
        <v>-2.2508760000000002E-3</v>
      </c>
      <c r="U1844">
        <v>-0.14105589800000001</v>
      </c>
    </row>
    <row r="1845" spans="1:21" x14ac:dyDescent="0.2">
      <c r="A1845" t="s">
        <v>796</v>
      </c>
      <c r="B1845">
        <v>489560</v>
      </c>
      <c r="C1845" t="s">
        <v>6945</v>
      </c>
      <c r="D1845" t="s">
        <v>796</v>
      </c>
      <c r="E1845" t="s">
        <v>6918</v>
      </c>
      <c r="F1845">
        <v>13</v>
      </c>
      <c r="G1845">
        <v>1</v>
      </c>
      <c r="H1845" t="s">
        <v>10652</v>
      </c>
      <c r="J1845" t="s">
        <v>5169</v>
      </c>
      <c r="M1845" t="s">
        <v>10653</v>
      </c>
      <c r="N1845">
        <v>2.2220813349999999</v>
      </c>
      <c r="O1845">
        <v>6.5440947090000003</v>
      </c>
      <c r="P1845">
        <v>0.58228215500000002</v>
      </c>
      <c r="Q1845">
        <v>0.35188233000000002</v>
      </c>
      <c r="S1845" s="13">
        <v>-1.3565054990000001</v>
      </c>
      <c r="T1845">
        <v>-2.4259389999999998E-3</v>
      </c>
      <c r="U1845">
        <v>-0.23529581899999999</v>
      </c>
    </row>
    <row r="1846" spans="1:21" x14ac:dyDescent="0.2">
      <c r="A1846" t="s">
        <v>185</v>
      </c>
      <c r="B1846">
        <v>701960</v>
      </c>
      <c r="C1846" t="s">
        <v>6953</v>
      </c>
      <c r="D1846" t="s">
        <v>185</v>
      </c>
      <c r="E1846" t="s">
        <v>6977</v>
      </c>
      <c r="F1846">
        <v>23</v>
      </c>
      <c r="G1846">
        <v>5</v>
      </c>
      <c r="H1846" t="s">
        <v>10654</v>
      </c>
      <c r="J1846" t="s">
        <v>187</v>
      </c>
      <c r="M1846" t="s">
        <v>10655</v>
      </c>
      <c r="N1846">
        <v>1.921480887</v>
      </c>
      <c r="O1846">
        <v>3.0856645180000002</v>
      </c>
      <c r="P1846">
        <v>0.44706724399999997</v>
      </c>
      <c r="Q1846">
        <v>-0.354940863</v>
      </c>
      <c r="S1846" s="13">
        <v>-1.3568389810000001</v>
      </c>
      <c r="T1846">
        <v>-3.8831809999999999E-3</v>
      </c>
      <c r="U1846">
        <v>-0.141290416</v>
      </c>
    </row>
    <row r="1847" spans="1:21" x14ac:dyDescent="0.2">
      <c r="A1847" t="s">
        <v>1309</v>
      </c>
      <c r="B1847">
        <v>544560</v>
      </c>
      <c r="C1847" t="s">
        <v>6931</v>
      </c>
      <c r="D1847" t="s">
        <v>1309</v>
      </c>
      <c r="E1847" t="s">
        <v>6921</v>
      </c>
      <c r="F1847">
        <v>20</v>
      </c>
      <c r="G1847">
        <v>8</v>
      </c>
      <c r="H1847" t="s">
        <v>10656</v>
      </c>
      <c r="N1847">
        <v>1.9323965059999999</v>
      </c>
      <c r="O1847">
        <v>3.0528020530000002</v>
      </c>
      <c r="P1847">
        <v>2.6493138999999999E-2</v>
      </c>
      <c r="Q1847">
        <v>-0.38692188</v>
      </c>
      <c r="S1847" s="13">
        <v>-1.356967348</v>
      </c>
      <c r="T1847">
        <v>-4.4441120000000001E-3</v>
      </c>
      <c r="U1847">
        <v>-0.12856372699999999</v>
      </c>
    </row>
    <row r="1848" spans="1:21" x14ac:dyDescent="0.2">
      <c r="A1848" t="s">
        <v>1491</v>
      </c>
      <c r="B1848">
        <v>488880</v>
      </c>
      <c r="C1848" t="s">
        <v>6945</v>
      </c>
      <c r="D1848" t="s">
        <v>1491</v>
      </c>
      <c r="E1848" t="s">
        <v>6928</v>
      </c>
      <c r="F1848">
        <v>15</v>
      </c>
      <c r="G1848">
        <v>16</v>
      </c>
      <c r="H1848" t="s">
        <v>10657</v>
      </c>
      <c r="J1848" t="s">
        <v>5587</v>
      </c>
      <c r="M1848" t="s">
        <v>10658</v>
      </c>
      <c r="N1848">
        <v>2.2220813349999999</v>
      </c>
      <c r="O1848">
        <v>6.5440947090000003</v>
      </c>
      <c r="P1848">
        <v>0.58228215500000002</v>
      </c>
      <c r="Q1848">
        <v>0.35188233000000002</v>
      </c>
      <c r="S1848" s="13">
        <v>-1.3571469</v>
      </c>
      <c r="T1848">
        <v>-5.2287130000000003E-3</v>
      </c>
      <c r="U1848">
        <v>-0.23584634800000001</v>
      </c>
    </row>
    <row r="1849" spans="1:21" x14ac:dyDescent="0.2">
      <c r="A1849" t="s">
        <v>1764</v>
      </c>
      <c r="B1849">
        <v>544400</v>
      </c>
      <c r="C1849" t="s">
        <v>6931</v>
      </c>
      <c r="D1849" t="s">
        <v>1764</v>
      </c>
      <c r="E1849" t="s">
        <v>7115</v>
      </c>
      <c r="F1849">
        <v>20</v>
      </c>
      <c r="G1849">
        <v>10</v>
      </c>
      <c r="H1849" t="s">
        <v>10659</v>
      </c>
      <c r="N1849">
        <v>1.9323965059999999</v>
      </c>
      <c r="O1849">
        <v>3.0528020530000002</v>
      </c>
      <c r="P1849">
        <v>2.6493138999999999E-2</v>
      </c>
      <c r="Q1849">
        <v>-0.38692188</v>
      </c>
      <c r="S1849" s="13">
        <v>-1.357177584</v>
      </c>
      <c r="T1849">
        <v>-5.3627950000000001E-3</v>
      </c>
      <c r="U1849">
        <v>-0.12866498600000001</v>
      </c>
    </row>
    <row r="1850" spans="1:21" x14ac:dyDescent="0.2">
      <c r="A1850" t="s">
        <v>74</v>
      </c>
      <c r="B1850">
        <v>636560</v>
      </c>
      <c r="C1850" t="s">
        <v>6927</v>
      </c>
      <c r="D1850" t="s">
        <v>75</v>
      </c>
      <c r="E1850" t="s">
        <v>6970</v>
      </c>
      <c r="F1850">
        <v>3</v>
      </c>
      <c r="G1850">
        <v>14</v>
      </c>
      <c r="H1850" t="s">
        <v>10660</v>
      </c>
      <c r="J1850" t="s">
        <v>10661</v>
      </c>
      <c r="M1850" t="s">
        <v>10662</v>
      </c>
      <c r="N1850">
        <v>1.982575982</v>
      </c>
      <c r="O1850">
        <v>3.4571926419999999</v>
      </c>
      <c r="P1850">
        <v>-0.114791479</v>
      </c>
      <c r="Q1850">
        <v>1.868949E-3</v>
      </c>
      <c r="S1850" s="13">
        <v>-1.357222902</v>
      </c>
      <c r="T1850">
        <v>-5.5608280000000003E-3</v>
      </c>
      <c r="U1850">
        <v>-0.19818810000000001</v>
      </c>
    </row>
    <row r="1851" spans="1:21" x14ac:dyDescent="0.2">
      <c r="A1851" t="s">
        <v>610</v>
      </c>
      <c r="B1851">
        <v>649560</v>
      </c>
      <c r="C1851" t="s">
        <v>6938</v>
      </c>
      <c r="D1851" t="s">
        <v>611</v>
      </c>
      <c r="E1851" t="s">
        <v>6974</v>
      </c>
      <c r="F1851">
        <v>9</v>
      </c>
      <c r="G1851">
        <v>15</v>
      </c>
      <c r="H1851" t="s">
        <v>10663</v>
      </c>
      <c r="J1851" t="s">
        <v>4664</v>
      </c>
      <c r="M1851" t="s">
        <v>10664</v>
      </c>
      <c r="N1851">
        <v>2.092758737</v>
      </c>
      <c r="O1851">
        <v>5.3323610669999999</v>
      </c>
      <c r="P1851">
        <v>0.70420098600000003</v>
      </c>
      <c r="Q1851">
        <v>0.41355372699999998</v>
      </c>
      <c r="S1851" s="13">
        <v>-1.3572655440000001</v>
      </c>
      <c r="T1851">
        <v>-5.7471639999999999E-3</v>
      </c>
      <c r="U1851">
        <v>-0.21421325499999999</v>
      </c>
    </row>
    <row r="1852" spans="1:21" x14ac:dyDescent="0.2">
      <c r="A1852" t="s">
        <v>1290</v>
      </c>
      <c r="B1852">
        <v>609160</v>
      </c>
      <c r="C1852" t="s">
        <v>6910</v>
      </c>
      <c r="D1852" t="s">
        <v>1291</v>
      </c>
      <c r="E1852" t="s">
        <v>6924</v>
      </c>
      <c r="F1852">
        <v>7</v>
      </c>
      <c r="G1852">
        <v>6</v>
      </c>
      <c r="H1852" t="s">
        <v>10665</v>
      </c>
      <c r="J1852" t="s">
        <v>1293</v>
      </c>
      <c r="M1852" t="s">
        <v>10666</v>
      </c>
      <c r="N1852">
        <v>1.9874741039999999</v>
      </c>
      <c r="O1852">
        <v>3.7453511220000002</v>
      </c>
      <c r="P1852">
        <v>0.451009722</v>
      </c>
      <c r="Q1852">
        <v>-0.102386592</v>
      </c>
      <c r="S1852" s="13">
        <v>-1.357293482</v>
      </c>
      <c r="T1852">
        <v>-5.8692450000000004E-3</v>
      </c>
      <c r="U1852">
        <v>-0.137230347</v>
      </c>
    </row>
    <row r="1853" spans="1:21" x14ac:dyDescent="0.2">
      <c r="A1853" t="s">
        <v>2167</v>
      </c>
      <c r="B1853">
        <v>636360</v>
      </c>
      <c r="C1853" t="s">
        <v>6927</v>
      </c>
      <c r="D1853" t="s">
        <v>2168</v>
      </c>
      <c r="E1853" t="s">
        <v>6956</v>
      </c>
      <c r="F1853">
        <v>8</v>
      </c>
      <c r="G1853">
        <v>7</v>
      </c>
      <c r="H1853" t="s">
        <v>10667</v>
      </c>
      <c r="J1853" t="s">
        <v>10668</v>
      </c>
      <c r="M1853" t="s">
        <v>10669</v>
      </c>
      <c r="N1853">
        <v>1.982575982</v>
      </c>
      <c r="O1853">
        <v>3.4571926419999999</v>
      </c>
      <c r="P1853">
        <v>-0.114791479</v>
      </c>
      <c r="Q1853">
        <v>1.868949E-3</v>
      </c>
      <c r="S1853" s="13">
        <v>-1.3574304269999999</v>
      </c>
      <c r="T1853">
        <v>-6.4676639999999997E-3</v>
      </c>
      <c r="U1853">
        <v>-0.19833669100000001</v>
      </c>
    </row>
    <row r="1854" spans="1:21" x14ac:dyDescent="0.2">
      <c r="A1854" t="s">
        <v>1095</v>
      </c>
      <c r="B1854">
        <v>570280</v>
      </c>
      <c r="C1854" t="s">
        <v>6942</v>
      </c>
      <c r="D1854" t="s">
        <v>1096</v>
      </c>
      <c r="E1854" t="s">
        <v>6977</v>
      </c>
      <c r="F1854">
        <v>4</v>
      </c>
      <c r="G1854">
        <v>5</v>
      </c>
      <c r="H1854" t="s">
        <v>10670</v>
      </c>
      <c r="J1854" t="s">
        <v>1098</v>
      </c>
      <c r="M1854" t="s">
        <v>10671</v>
      </c>
      <c r="N1854">
        <v>2.0902262079999998</v>
      </c>
      <c r="O1854">
        <v>4.2704203920000001</v>
      </c>
      <c r="P1854">
        <v>0.23425843900000001</v>
      </c>
      <c r="Q1854">
        <v>1.6181978999999999E-2</v>
      </c>
      <c r="S1854" s="13">
        <v>-1.357517225</v>
      </c>
      <c r="T1854">
        <v>-6.8469510000000004E-3</v>
      </c>
      <c r="U1854">
        <v>-0.22732703600000001</v>
      </c>
    </row>
    <row r="1855" spans="1:21" x14ac:dyDescent="0.2">
      <c r="A1855" t="s">
        <v>2257</v>
      </c>
      <c r="B1855">
        <v>600360</v>
      </c>
      <c r="C1855" t="s">
        <v>6906</v>
      </c>
      <c r="D1855" t="s">
        <v>2257</v>
      </c>
      <c r="E1855" t="s">
        <v>6911</v>
      </c>
      <c r="F1855">
        <v>16</v>
      </c>
      <c r="G1855">
        <v>12</v>
      </c>
      <c r="H1855" t="s">
        <v>10672</v>
      </c>
      <c r="J1855" t="s">
        <v>2487</v>
      </c>
      <c r="M1855" t="s">
        <v>10673</v>
      </c>
      <c r="N1855">
        <v>1.813871112</v>
      </c>
      <c r="O1855">
        <v>2.6633694910000001</v>
      </c>
      <c r="P1855">
        <v>-0.29586356800000002</v>
      </c>
      <c r="Q1855">
        <v>-0.59018158399999998</v>
      </c>
      <c r="S1855" s="13">
        <v>-1.3577252280000001</v>
      </c>
      <c r="T1855">
        <v>-7.7558779999999999E-3</v>
      </c>
      <c r="U1855">
        <v>-0.169948186</v>
      </c>
    </row>
    <row r="1856" spans="1:21" x14ac:dyDescent="0.2">
      <c r="A1856" t="s">
        <v>1857</v>
      </c>
      <c r="B1856">
        <v>600320</v>
      </c>
      <c r="C1856" t="s">
        <v>6906</v>
      </c>
      <c r="D1856" t="s">
        <v>1858</v>
      </c>
      <c r="E1856" t="s">
        <v>6974</v>
      </c>
      <c r="F1856">
        <v>6</v>
      </c>
      <c r="G1856">
        <v>15</v>
      </c>
      <c r="H1856" t="s">
        <v>10674</v>
      </c>
      <c r="J1856" t="s">
        <v>4223</v>
      </c>
      <c r="M1856" t="s">
        <v>10675</v>
      </c>
      <c r="N1856">
        <v>1.813871112</v>
      </c>
      <c r="O1856">
        <v>2.6633694910000001</v>
      </c>
      <c r="P1856">
        <v>-0.29586356800000002</v>
      </c>
      <c r="Q1856">
        <v>-0.59018158399999998</v>
      </c>
      <c r="S1856" s="13">
        <v>-1.357783258</v>
      </c>
      <c r="T1856">
        <v>-8.0094550000000004E-3</v>
      </c>
      <c r="U1856">
        <v>-0.169976029</v>
      </c>
    </row>
    <row r="1857" spans="1:21" x14ac:dyDescent="0.2">
      <c r="A1857" t="s">
        <v>178</v>
      </c>
      <c r="B1857">
        <v>636000</v>
      </c>
      <c r="C1857" t="s">
        <v>6927</v>
      </c>
      <c r="D1857" t="s">
        <v>178</v>
      </c>
      <c r="E1857" t="s">
        <v>6970</v>
      </c>
      <c r="F1857">
        <v>14</v>
      </c>
      <c r="G1857">
        <v>14</v>
      </c>
      <c r="H1857" t="s">
        <v>10676</v>
      </c>
      <c r="J1857" t="s">
        <v>10677</v>
      </c>
      <c r="M1857" t="s">
        <v>10678</v>
      </c>
      <c r="N1857">
        <v>1.982575982</v>
      </c>
      <c r="O1857">
        <v>3.4571926419999999</v>
      </c>
      <c r="P1857">
        <v>-0.114791479</v>
      </c>
      <c r="Q1857">
        <v>1.868949E-3</v>
      </c>
      <c r="S1857" s="13">
        <v>-1.3578039719999999</v>
      </c>
      <c r="T1857">
        <v>-8.0999690000000003E-3</v>
      </c>
      <c r="U1857">
        <v>-0.19860428299999999</v>
      </c>
    </row>
    <row r="1858" spans="1:21" x14ac:dyDescent="0.2">
      <c r="A1858" t="s">
        <v>574</v>
      </c>
      <c r="B1858">
        <v>608680</v>
      </c>
      <c r="C1858" t="s">
        <v>6910</v>
      </c>
      <c r="D1858" t="s">
        <v>574</v>
      </c>
      <c r="E1858" t="s">
        <v>6977</v>
      </c>
      <c r="F1858">
        <v>20</v>
      </c>
      <c r="G1858">
        <v>5</v>
      </c>
      <c r="H1858" t="s">
        <v>10679</v>
      </c>
      <c r="J1858" t="s">
        <v>2160</v>
      </c>
      <c r="M1858" t="s">
        <v>10680</v>
      </c>
      <c r="N1858">
        <v>1.9874741039999999</v>
      </c>
      <c r="O1858">
        <v>3.7453511220000002</v>
      </c>
      <c r="P1858">
        <v>0.451009722</v>
      </c>
      <c r="Q1858">
        <v>-0.102386592</v>
      </c>
      <c r="S1858" s="13">
        <v>-1.3578099109999999</v>
      </c>
      <c r="T1858">
        <v>-8.1259220000000007E-3</v>
      </c>
      <c r="U1858">
        <v>-0.13754032299999999</v>
      </c>
    </row>
    <row r="1859" spans="1:21" x14ac:dyDescent="0.2">
      <c r="A1859" t="s">
        <v>1133</v>
      </c>
      <c r="B1859">
        <v>487800</v>
      </c>
      <c r="C1859" t="s">
        <v>6945</v>
      </c>
      <c r="D1859" t="s">
        <v>1134</v>
      </c>
      <c r="E1859" t="s">
        <v>6907</v>
      </c>
      <c r="F1859">
        <v>8</v>
      </c>
      <c r="G1859">
        <v>4</v>
      </c>
      <c r="H1859" t="s">
        <v>10681</v>
      </c>
      <c r="J1859" t="s">
        <v>5329</v>
      </c>
      <c r="M1859" t="s">
        <v>10682</v>
      </c>
      <c r="N1859">
        <v>2.2220813349999999</v>
      </c>
      <c r="O1859">
        <v>6.5440947090000003</v>
      </c>
      <c r="P1859">
        <v>0.58228215500000002</v>
      </c>
      <c r="Q1859">
        <v>0.35188233000000002</v>
      </c>
      <c r="S1859" s="13">
        <v>-1.358165595</v>
      </c>
      <c r="T1859">
        <v>-9.6801769999999999E-3</v>
      </c>
      <c r="U1859">
        <v>-0.23672215399999999</v>
      </c>
    </row>
    <row r="1860" spans="1:21" x14ac:dyDescent="0.2">
      <c r="A1860" t="s">
        <v>2348</v>
      </c>
      <c r="B1860">
        <v>714000</v>
      </c>
      <c r="C1860" t="s">
        <v>6914</v>
      </c>
      <c r="D1860" t="s">
        <v>2348</v>
      </c>
      <c r="E1860" t="s">
        <v>6911</v>
      </c>
      <c r="F1860">
        <v>11</v>
      </c>
      <c r="G1860">
        <v>12</v>
      </c>
      <c r="H1860" t="s">
        <v>10683</v>
      </c>
      <c r="J1860" t="s">
        <v>3665</v>
      </c>
      <c r="M1860" t="s">
        <v>10684</v>
      </c>
      <c r="N1860">
        <v>1.8217074179999999</v>
      </c>
      <c r="O1860">
        <v>4.1700741289999996</v>
      </c>
      <c r="P1860">
        <v>0.189705977</v>
      </c>
      <c r="Q1860">
        <v>-1.7194070999999998E-2</v>
      </c>
      <c r="S1860" s="13">
        <v>-1.358206442</v>
      </c>
      <c r="T1860">
        <v>-9.8586709999999994E-3</v>
      </c>
      <c r="U1860">
        <v>-0.20019838100000001</v>
      </c>
    </row>
    <row r="1861" spans="1:21" x14ac:dyDescent="0.2">
      <c r="A1861" t="s">
        <v>300</v>
      </c>
      <c r="B1861">
        <v>635560</v>
      </c>
      <c r="C1861" t="s">
        <v>6927</v>
      </c>
      <c r="D1861" t="s">
        <v>300</v>
      </c>
      <c r="E1861" t="s">
        <v>7006</v>
      </c>
      <c r="F1861">
        <v>19</v>
      </c>
      <c r="G1861">
        <v>3</v>
      </c>
      <c r="H1861" t="s">
        <v>10685</v>
      </c>
      <c r="J1861" t="s">
        <v>10686</v>
      </c>
      <c r="M1861" t="s">
        <v>10687</v>
      </c>
      <c r="N1861">
        <v>1.982575982</v>
      </c>
      <c r="O1861">
        <v>3.4571926419999999</v>
      </c>
      <c r="P1861">
        <v>-0.114791479</v>
      </c>
      <c r="Q1861">
        <v>1.868949E-3</v>
      </c>
      <c r="S1861" s="13">
        <v>-1.3582605270000001</v>
      </c>
      <c r="T1861">
        <v>-1.0095009E-2</v>
      </c>
      <c r="U1861">
        <v>-0.19893156400000001</v>
      </c>
    </row>
    <row r="1862" spans="1:21" x14ac:dyDescent="0.2">
      <c r="A1862" t="s">
        <v>153</v>
      </c>
      <c r="B1862">
        <v>543560</v>
      </c>
      <c r="C1862" t="s">
        <v>6931</v>
      </c>
      <c r="D1862" t="s">
        <v>153</v>
      </c>
      <c r="E1862" t="s">
        <v>6928</v>
      </c>
      <c r="F1862">
        <v>14</v>
      </c>
      <c r="G1862">
        <v>16</v>
      </c>
      <c r="H1862" t="s">
        <v>10688</v>
      </c>
      <c r="N1862">
        <v>1.9323965059999999</v>
      </c>
      <c r="O1862">
        <v>3.0528020530000002</v>
      </c>
      <c r="P1862">
        <v>2.6493138999999999E-2</v>
      </c>
      <c r="Q1862">
        <v>-0.38692188</v>
      </c>
      <c r="S1862" s="13">
        <v>-1.3582813220000001</v>
      </c>
      <c r="T1862">
        <v>-1.0185879E-2</v>
      </c>
      <c r="U1862">
        <v>-0.12919698499999999</v>
      </c>
    </row>
    <row r="1863" spans="1:21" x14ac:dyDescent="0.2">
      <c r="A1863" t="s">
        <v>2457</v>
      </c>
      <c r="B1863">
        <v>635480</v>
      </c>
      <c r="C1863" t="s">
        <v>6927</v>
      </c>
      <c r="D1863" t="s">
        <v>2458</v>
      </c>
      <c r="E1863" t="s">
        <v>7115</v>
      </c>
      <c r="F1863">
        <v>5</v>
      </c>
      <c r="G1863">
        <v>10</v>
      </c>
      <c r="H1863" t="s">
        <v>10689</v>
      </c>
      <c r="J1863" t="s">
        <v>10690</v>
      </c>
      <c r="M1863" t="s">
        <v>10691</v>
      </c>
      <c r="N1863">
        <v>1.982575982</v>
      </c>
      <c r="O1863">
        <v>3.4571926419999999</v>
      </c>
      <c r="P1863">
        <v>-0.114791479</v>
      </c>
      <c r="Q1863">
        <v>1.868949E-3</v>
      </c>
      <c r="S1863" s="13">
        <v>-1.3583435370000001</v>
      </c>
      <c r="T1863">
        <v>-1.0457743E-2</v>
      </c>
      <c r="U1863">
        <v>-0.19899109600000001</v>
      </c>
    </row>
    <row r="1864" spans="1:21" x14ac:dyDescent="0.2">
      <c r="A1864" t="s">
        <v>2871</v>
      </c>
      <c r="B1864">
        <v>713680</v>
      </c>
      <c r="C1864" t="s">
        <v>6914</v>
      </c>
      <c r="D1864" t="s">
        <v>2871</v>
      </c>
      <c r="E1864" t="s">
        <v>6907</v>
      </c>
      <c r="F1864">
        <v>21</v>
      </c>
      <c r="G1864">
        <v>4</v>
      </c>
      <c r="H1864" t="s">
        <v>10692</v>
      </c>
      <c r="J1864" t="s">
        <v>6621</v>
      </c>
      <c r="M1864" t="s">
        <v>10693</v>
      </c>
      <c r="N1864">
        <v>1.8217074179999999</v>
      </c>
      <c r="O1864">
        <v>4.1700741289999996</v>
      </c>
      <c r="P1864">
        <v>0.189705977</v>
      </c>
      <c r="Q1864">
        <v>-1.7194070999999998E-2</v>
      </c>
      <c r="S1864" s="13">
        <v>-1.358591326</v>
      </c>
      <c r="T1864">
        <v>-1.1540524999999999E-2</v>
      </c>
      <c r="U1864">
        <v>-0.20043725500000001</v>
      </c>
    </row>
    <row r="1865" spans="1:21" x14ac:dyDescent="0.2">
      <c r="A1865" t="s">
        <v>441</v>
      </c>
      <c r="B1865">
        <v>487040</v>
      </c>
      <c r="C1865" t="s">
        <v>6945</v>
      </c>
      <c r="D1865" t="s">
        <v>442</v>
      </c>
      <c r="E1865" t="s">
        <v>6907</v>
      </c>
      <c r="F1865">
        <v>7</v>
      </c>
      <c r="G1865">
        <v>4</v>
      </c>
      <c r="H1865" t="s">
        <v>10694</v>
      </c>
      <c r="J1865" t="s">
        <v>4146</v>
      </c>
      <c r="M1865" t="s">
        <v>10695</v>
      </c>
      <c r="N1865">
        <v>2.2220813349999999</v>
      </c>
      <c r="O1865">
        <v>6.5440947090000003</v>
      </c>
      <c r="P1865">
        <v>0.58228215500000002</v>
      </c>
      <c r="Q1865">
        <v>0.35188233000000002</v>
      </c>
      <c r="S1865" s="13">
        <v>-1.358882454</v>
      </c>
      <c r="T1865">
        <v>-1.2812687999999999E-2</v>
      </c>
      <c r="U1865">
        <v>-0.237339523</v>
      </c>
    </row>
    <row r="1866" spans="1:21" x14ac:dyDescent="0.2">
      <c r="A1866" t="s">
        <v>1001</v>
      </c>
      <c r="B1866">
        <v>634880</v>
      </c>
      <c r="C1866" t="s">
        <v>6927</v>
      </c>
      <c r="D1866" t="s">
        <v>1001</v>
      </c>
      <c r="E1866" t="s">
        <v>7006</v>
      </c>
      <c r="F1866">
        <v>14</v>
      </c>
      <c r="G1866">
        <v>3</v>
      </c>
      <c r="H1866" t="s">
        <v>10696</v>
      </c>
      <c r="J1866" t="s">
        <v>10697</v>
      </c>
      <c r="M1866" t="s">
        <v>10698</v>
      </c>
      <c r="N1866">
        <v>1.982575982</v>
      </c>
      <c r="O1866">
        <v>3.4571926419999999</v>
      </c>
      <c r="P1866">
        <v>-0.114791479</v>
      </c>
      <c r="Q1866">
        <v>1.868949E-3</v>
      </c>
      <c r="S1866" s="13">
        <v>-1.358966111</v>
      </c>
      <c r="T1866">
        <v>-1.3178252E-2</v>
      </c>
      <c r="U1866">
        <v>-0.199437848</v>
      </c>
    </row>
    <row r="1867" spans="1:21" x14ac:dyDescent="0.2">
      <c r="A1867" t="s">
        <v>3235</v>
      </c>
      <c r="B1867">
        <v>634760</v>
      </c>
      <c r="C1867" t="s">
        <v>6927</v>
      </c>
      <c r="D1867" t="s">
        <v>3236</v>
      </c>
      <c r="E1867" t="s">
        <v>6946</v>
      </c>
      <c r="F1867">
        <v>2</v>
      </c>
      <c r="G1867">
        <v>11</v>
      </c>
      <c r="H1867" t="s">
        <v>10699</v>
      </c>
      <c r="J1867" t="s">
        <v>10700</v>
      </c>
      <c r="M1867" t="s">
        <v>10701</v>
      </c>
      <c r="N1867">
        <v>1.982575982</v>
      </c>
      <c r="O1867">
        <v>3.4571926419999999</v>
      </c>
      <c r="P1867">
        <v>-0.114791479</v>
      </c>
      <c r="Q1867">
        <v>1.868949E-3</v>
      </c>
      <c r="S1867" s="13">
        <v>-1.359090626</v>
      </c>
      <c r="T1867">
        <v>-1.3722353E-2</v>
      </c>
      <c r="U1867">
        <v>-0.19952725299999999</v>
      </c>
    </row>
    <row r="1868" spans="1:21" x14ac:dyDescent="0.2">
      <c r="A1868" t="s">
        <v>441</v>
      </c>
      <c r="B1868">
        <v>568600</v>
      </c>
      <c r="C1868" t="s">
        <v>6942</v>
      </c>
      <c r="D1868" t="s">
        <v>442</v>
      </c>
      <c r="E1868" t="s">
        <v>6907</v>
      </c>
      <c r="F1868">
        <v>7</v>
      </c>
      <c r="G1868">
        <v>4</v>
      </c>
      <c r="H1868" t="s">
        <v>10702</v>
      </c>
      <c r="J1868" t="s">
        <v>1289</v>
      </c>
      <c r="M1868" t="s">
        <v>10703</v>
      </c>
      <c r="N1868">
        <v>2.0902262079999998</v>
      </c>
      <c r="O1868">
        <v>4.2704203920000001</v>
      </c>
      <c r="P1868">
        <v>0.23425843900000001</v>
      </c>
      <c r="Q1868">
        <v>1.6181978999999999E-2</v>
      </c>
      <c r="S1868" s="13">
        <v>-1.3591661269999999</v>
      </c>
      <c r="T1868">
        <v>-1.4052274E-2</v>
      </c>
      <c r="U1868">
        <v>-0.228663646</v>
      </c>
    </row>
    <row r="1869" spans="1:21" x14ac:dyDescent="0.2">
      <c r="A1869" t="s">
        <v>1336</v>
      </c>
      <c r="B1869">
        <v>647240</v>
      </c>
      <c r="C1869" t="s">
        <v>6938</v>
      </c>
      <c r="D1869" t="s">
        <v>1336</v>
      </c>
      <c r="E1869" t="s">
        <v>6915</v>
      </c>
      <c r="F1869">
        <v>15</v>
      </c>
      <c r="G1869">
        <v>13</v>
      </c>
      <c r="H1869" t="s">
        <v>10704</v>
      </c>
      <c r="J1869" t="s">
        <v>1338</v>
      </c>
      <c r="M1869" t="s">
        <v>10705</v>
      </c>
      <c r="N1869">
        <v>2.092758737</v>
      </c>
      <c r="O1869">
        <v>5.3323610669999999</v>
      </c>
      <c r="P1869">
        <v>0.70420098600000003</v>
      </c>
      <c r="Q1869">
        <v>0.41355372699999998</v>
      </c>
      <c r="S1869" s="13">
        <v>-1.3592579869999999</v>
      </c>
      <c r="T1869">
        <v>-1.4453682000000001E-2</v>
      </c>
      <c r="U1869">
        <v>-0.21600508700000001</v>
      </c>
    </row>
    <row r="1870" spans="1:21" x14ac:dyDescent="0.2">
      <c r="A1870" t="s">
        <v>769</v>
      </c>
      <c r="B1870">
        <v>699600</v>
      </c>
      <c r="C1870" t="s">
        <v>6953</v>
      </c>
      <c r="D1870" t="s">
        <v>769</v>
      </c>
      <c r="E1870" t="s">
        <v>6911</v>
      </c>
      <c r="F1870">
        <v>12</v>
      </c>
      <c r="G1870">
        <v>12</v>
      </c>
      <c r="H1870" t="s">
        <v>10706</v>
      </c>
      <c r="J1870" t="s">
        <v>5175</v>
      </c>
      <c r="M1870" t="s">
        <v>10707</v>
      </c>
      <c r="N1870">
        <v>1.921480887</v>
      </c>
      <c r="O1870">
        <v>3.0856645180000002</v>
      </c>
      <c r="P1870">
        <v>0.44706724399999997</v>
      </c>
      <c r="Q1870">
        <v>-0.354940863</v>
      </c>
      <c r="S1870" s="13">
        <v>-1.3592877750000001</v>
      </c>
      <c r="T1870">
        <v>-1.4583848E-2</v>
      </c>
      <c r="U1870">
        <v>-0.14283095500000001</v>
      </c>
    </row>
    <row r="1871" spans="1:21" x14ac:dyDescent="0.2">
      <c r="A1871" t="s">
        <v>919</v>
      </c>
      <c r="B1871">
        <v>634440</v>
      </c>
      <c r="C1871" t="s">
        <v>6927</v>
      </c>
      <c r="D1871" t="s">
        <v>919</v>
      </c>
      <c r="E1871" t="s">
        <v>6946</v>
      </c>
      <c r="F1871">
        <v>22</v>
      </c>
      <c r="G1871">
        <v>11</v>
      </c>
      <c r="H1871" t="s">
        <v>10708</v>
      </c>
      <c r="J1871" t="s">
        <v>10709</v>
      </c>
      <c r="M1871" t="s">
        <v>10710</v>
      </c>
      <c r="N1871">
        <v>1.982575982</v>
      </c>
      <c r="O1871">
        <v>3.4571926419999999</v>
      </c>
      <c r="P1871">
        <v>-0.114791479</v>
      </c>
      <c r="Q1871">
        <v>1.868949E-3</v>
      </c>
      <c r="S1871" s="13">
        <v>-1.3594226659999999</v>
      </c>
      <c r="T1871">
        <v>-1.5173291E-2</v>
      </c>
      <c r="U1871">
        <v>-0.19976575799999999</v>
      </c>
    </row>
    <row r="1872" spans="1:21" x14ac:dyDescent="0.2">
      <c r="A1872" t="s">
        <v>2252</v>
      </c>
      <c r="B1872">
        <v>542680</v>
      </c>
      <c r="C1872" t="s">
        <v>6931</v>
      </c>
      <c r="D1872" t="s">
        <v>2253</v>
      </c>
      <c r="E1872" t="s">
        <v>6924</v>
      </c>
      <c r="F1872">
        <v>4</v>
      </c>
      <c r="G1872">
        <v>6</v>
      </c>
      <c r="H1872" t="s">
        <v>10711</v>
      </c>
      <c r="N1872">
        <v>1.9323965059999999</v>
      </c>
      <c r="O1872">
        <v>3.0528020530000002</v>
      </c>
      <c r="P1872">
        <v>2.6493138999999999E-2</v>
      </c>
      <c r="Q1872">
        <v>-0.38692188</v>
      </c>
      <c r="S1872" s="13">
        <v>-1.3594376189999999</v>
      </c>
      <c r="T1872">
        <v>-1.5238633E-2</v>
      </c>
      <c r="U1872">
        <v>-0.129755017</v>
      </c>
    </row>
    <row r="1873" spans="1:21" x14ac:dyDescent="0.2">
      <c r="A1873" t="s">
        <v>1065</v>
      </c>
      <c r="B1873">
        <v>607160</v>
      </c>
      <c r="C1873" t="s">
        <v>6910</v>
      </c>
      <c r="D1873" t="s">
        <v>1066</v>
      </c>
      <c r="E1873" t="s">
        <v>6956</v>
      </c>
      <c r="F1873">
        <v>7</v>
      </c>
      <c r="G1873">
        <v>7</v>
      </c>
      <c r="H1873" t="s">
        <v>10712</v>
      </c>
      <c r="J1873" t="s">
        <v>2405</v>
      </c>
      <c r="M1873" t="s">
        <v>10713</v>
      </c>
      <c r="N1873">
        <v>1.9874741039999999</v>
      </c>
      <c r="O1873">
        <v>3.7453511220000002</v>
      </c>
      <c r="P1873">
        <v>0.451009722</v>
      </c>
      <c r="Q1873">
        <v>-0.102386592</v>
      </c>
      <c r="S1873" s="13">
        <v>-1.3594452690000001</v>
      </c>
      <c r="T1873">
        <v>-1.5272063000000001E-2</v>
      </c>
      <c r="U1873">
        <v>-0.13852337300000001</v>
      </c>
    </row>
    <row r="1874" spans="1:21" x14ac:dyDescent="0.2">
      <c r="A1874" t="s">
        <v>1498</v>
      </c>
      <c r="B1874">
        <v>568040</v>
      </c>
      <c r="C1874" t="s">
        <v>6942</v>
      </c>
      <c r="D1874" t="s">
        <v>1498</v>
      </c>
      <c r="E1874" t="s">
        <v>6911</v>
      </c>
      <c r="F1874">
        <v>17</v>
      </c>
      <c r="G1874">
        <v>12</v>
      </c>
      <c r="H1874" t="s">
        <v>10714</v>
      </c>
      <c r="J1874" t="s">
        <v>3839</v>
      </c>
      <c r="M1874" t="s">
        <v>10715</v>
      </c>
      <c r="N1874">
        <v>2.0902262079999998</v>
      </c>
      <c r="O1874">
        <v>4.2704203920000001</v>
      </c>
      <c r="P1874">
        <v>0.23425843900000001</v>
      </c>
      <c r="Q1874">
        <v>1.6181978999999999E-2</v>
      </c>
      <c r="S1874" s="13">
        <v>-1.3597157609999999</v>
      </c>
      <c r="T1874">
        <v>-1.6454048999999998E-2</v>
      </c>
      <c r="U1874">
        <v>-0.22911009900000001</v>
      </c>
    </row>
    <row r="1875" spans="1:21" x14ac:dyDescent="0.2">
      <c r="A1875" t="s">
        <v>267</v>
      </c>
      <c r="B1875">
        <v>567840</v>
      </c>
      <c r="C1875" t="s">
        <v>6942</v>
      </c>
      <c r="D1875" t="s">
        <v>268</v>
      </c>
      <c r="E1875" t="s">
        <v>6911</v>
      </c>
      <c r="F1875">
        <v>2</v>
      </c>
      <c r="G1875">
        <v>12</v>
      </c>
      <c r="H1875" t="s">
        <v>10716</v>
      </c>
      <c r="J1875" t="s">
        <v>2565</v>
      </c>
      <c r="M1875" t="s">
        <v>10717</v>
      </c>
      <c r="N1875">
        <v>2.0902262079999998</v>
      </c>
      <c r="O1875">
        <v>4.2704203920000001</v>
      </c>
      <c r="P1875">
        <v>0.23425843900000001</v>
      </c>
      <c r="Q1875">
        <v>1.6181978999999999E-2</v>
      </c>
      <c r="S1875" s="13">
        <v>-1.359912059</v>
      </c>
      <c r="T1875">
        <v>-1.7311824999999999E-2</v>
      </c>
      <c r="U1875">
        <v>-0.22926965699999999</v>
      </c>
    </row>
    <row r="1876" spans="1:21" x14ac:dyDescent="0.2">
      <c r="A1876" t="s">
        <v>1101</v>
      </c>
      <c r="B1876">
        <v>598760</v>
      </c>
      <c r="C1876" t="s">
        <v>6906</v>
      </c>
      <c r="D1876" t="s">
        <v>1101</v>
      </c>
      <c r="E1876" t="s">
        <v>6911</v>
      </c>
      <c r="F1876">
        <v>14</v>
      </c>
      <c r="G1876">
        <v>12</v>
      </c>
      <c r="H1876" t="s">
        <v>10718</v>
      </c>
      <c r="J1876" t="s">
        <v>10719</v>
      </c>
      <c r="M1876" t="s">
        <v>10720</v>
      </c>
      <c r="N1876">
        <v>1.813871112</v>
      </c>
      <c r="O1876">
        <v>2.6633694910000001</v>
      </c>
      <c r="P1876">
        <v>-0.29586356800000002</v>
      </c>
      <c r="Q1876">
        <v>-0.59018158399999998</v>
      </c>
      <c r="S1876" s="13">
        <v>-1.3600464240000001</v>
      </c>
      <c r="T1876">
        <v>-1.7898971E-2</v>
      </c>
      <c r="U1876">
        <v>-0.17106331699999999</v>
      </c>
    </row>
    <row r="1877" spans="1:21" x14ac:dyDescent="0.2">
      <c r="A1877" t="s">
        <v>1431</v>
      </c>
      <c r="B1877">
        <v>645800</v>
      </c>
      <c r="C1877" t="s">
        <v>6938</v>
      </c>
      <c r="D1877" t="s">
        <v>1431</v>
      </c>
      <c r="E1877" t="s">
        <v>7115</v>
      </c>
      <c r="F1877">
        <v>11</v>
      </c>
      <c r="G1877">
        <v>10</v>
      </c>
      <c r="H1877" t="s">
        <v>10721</v>
      </c>
      <c r="J1877" t="s">
        <v>3787</v>
      </c>
      <c r="M1877" t="s">
        <v>10722</v>
      </c>
      <c r="N1877">
        <v>2.092758737</v>
      </c>
      <c r="O1877">
        <v>5.3323610669999999</v>
      </c>
      <c r="P1877">
        <v>0.70420098600000003</v>
      </c>
      <c r="Q1877">
        <v>0.41355372699999998</v>
      </c>
      <c r="S1877" s="13">
        <v>-1.360494675</v>
      </c>
      <c r="T1877">
        <v>-1.9857728000000002E-2</v>
      </c>
      <c r="U1877">
        <v>-0.21712098799999999</v>
      </c>
    </row>
    <row r="1878" spans="1:21" x14ac:dyDescent="0.2">
      <c r="A1878" t="s">
        <v>435</v>
      </c>
      <c r="B1878">
        <v>598440</v>
      </c>
      <c r="C1878" t="s">
        <v>6906</v>
      </c>
      <c r="D1878" t="s">
        <v>435</v>
      </c>
      <c r="E1878" t="s">
        <v>6915</v>
      </c>
      <c r="F1878">
        <v>14</v>
      </c>
      <c r="G1878">
        <v>13</v>
      </c>
      <c r="H1878" t="s">
        <v>10723</v>
      </c>
      <c r="J1878" t="s">
        <v>1959</v>
      </c>
      <c r="M1878" t="s">
        <v>10724</v>
      </c>
      <c r="N1878">
        <v>1.813871112</v>
      </c>
      <c r="O1878">
        <v>2.6633694910000001</v>
      </c>
      <c r="P1878">
        <v>-0.29586356800000002</v>
      </c>
      <c r="Q1878">
        <v>-0.59018158399999998</v>
      </c>
      <c r="S1878" s="13">
        <v>-1.3605106629999999</v>
      </c>
      <c r="T1878">
        <v>-1.9927589999999998E-2</v>
      </c>
      <c r="U1878">
        <v>-0.17128668699999999</v>
      </c>
    </row>
    <row r="1879" spans="1:21" x14ac:dyDescent="0.2">
      <c r="A1879" t="s">
        <v>622</v>
      </c>
      <c r="B1879">
        <v>645360</v>
      </c>
      <c r="C1879" t="s">
        <v>6938</v>
      </c>
      <c r="D1879" t="s">
        <v>622</v>
      </c>
      <c r="E1879" t="s">
        <v>6928</v>
      </c>
      <c r="F1879">
        <v>10</v>
      </c>
      <c r="G1879">
        <v>16</v>
      </c>
      <c r="H1879" t="s">
        <v>10725</v>
      </c>
      <c r="J1879" t="s">
        <v>2332</v>
      </c>
      <c r="M1879" t="s">
        <v>10726</v>
      </c>
      <c r="N1879">
        <v>2.092758737</v>
      </c>
      <c r="O1879">
        <v>5.3323610669999999</v>
      </c>
      <c r="P1879">
        <v>0.70420098600000003</v>
      </c>
      <c r="Q1879">
        <v>0.41355372699999998</v>
      </c>
      <c r="S1879" s="13">
        <v>-1.360872552</v>
      </c>
      <c r="T1879">
        <v>-2.1508963999999998E-2</v>
      </c>
      <c r="U1879">
        <v>-0.21746252999999999</v>
      </c>
    </row>
    <row r="1880" spans="1:21" x14ac:dyDescent="0.2">
      <c r="A1880" t="s">
        <v>1181</v>
      </c>
      <c r="B1880">
        <v>632880</v>
      </c>
      <c r="C1880" t="s">
        <v>6927</v>
      </c>
      <c r="D1880" t="s">
        <v>1181</v>
      </c>
      <c r="E1880" t="s">
        <v>6956</v>
      </c>
      <c r="F1880">
        <v>23</v>
      </c>
      <c r="G1880">
        <v>7</v>
      </c>
      <c r="H1880" t="s">
        <v>10727</v>
      </c>
      <c r="J1880" t="s">
        <v>10728</v>
      </c>
      <c r="M1880" t="s">
        <v>10729</v>
      </c>
      <c r="N1880">
        <v>1.982575982</v>
      </c>
      <c r="O1880">
        <v>3.4571926419999999</v>
      </c>
      <c r="P1880">
        <v>-0.114791479</v>
      </c>
      <c r="Q1880">
        <v>1.868949E-3</v>
      </c>
      <c r="S1880" s="13">
        <v>-1.36104136</v>
      </c>
      <c r="T1880">
        <v>-2.2246612999999998E-2</v>
      </c>
      <c r="U1880">
        <v>-0.20093034700000001</v>
      </c>
    </row>
    <row r="1881" spans="1:21" x14ac:dyDescent="0.2">
      <c r="A1881" t="s">
        <v>619</v>
      </c>
      <c r="B1881">
        <v>605640</v>
      </c>
      <c r="C1881" t="s">
        <v>6910</v>
      </c>
      <c r="D1881" t="s">
        <v>619</v>
      </c>
      <c r="E1881" t="s">
        <v>6939</v>
      </c>
      <c r="F1881">
        <v>22</v>
      </c>
      <c r="G1881">
        <v>2</v>
      </c>
      <c r="H1881" t="s">
        <v>10730</v>
      </c>
      <c r="J1881" t="s">
        <v>4148</v>
      </c>
      <c r="M1881" t="s">
        <v>10731</v>
      </c>
      <c r="N1881">
        <v>1.9874741039999999</v>
      </c>
      <c r="O1881">
        <v>3.7453511220000002</v>
      </c>
      <c r="P1881">
        <v>0.451009722</v>
      </c>
      <c r="Q1881">
        <v>-0.102386592</v>
      </c>
      <c r="S1881" s="13">
        <v>-1.361080627</v>
      </c>
      <c r="T1881">
        <v>-2.2418204000000001E-2</v>
      </c>
      <c r="U1881">
        <v>-0.13950865300000001</v>
      </c>
    </row>
    <row r="1882" spans="1:21" x14ac:dyDescent="0.2">
      <c r="A1882" t="s">
        <v>345</v>
      </c>
      <c r="B1882">
        <v>632520</v>
      </c>
      <c r="C1882" t="s">
        <v>6927</v>
      </c>
      <c r="D1882" t="s">
        <v>345</v>
      </c>
      <c r="E1882" t="s">
        <v>6918</v>
      </c>
      <c r="F1882">
        <v>19</v>
      </c>
      <c r="G1882">
        <v>1</v>
      </c>
      <c r="H1882" t="s">
        <v>10732</v>
      </c>
      <c r="J1882" t="s">
        <v>10733</v>
      </c>
      <c r="M1882" t="s">
        <v>10734</v>
      </c>
      <c r="N1882">
        <v>1.982575982</v>
      </c>
      <c r="O1882">
        <v>3.4571926419999999</v>
      </c>
      <c r="P1882">
        <v>-0.114791479</v>
      </c>
      <c r="Q1882">
        <v>1.868949E-3</v>
      </c>
      <c r="S1882" s="13">
        <v>-1.3614149040000001</v>
      </c>
      <c r="T1882">
        <v>-2.3878917999999999E-2</v>
      </c>
      <c r="U1882">
        <v>-0.20119954200000001</v>
      </c>
    </row>
    <row r="1883" spans="1:21" x14ac:dyDescent="0.2">
      <c r="A1883" t="s">
        <v>1598</v>
      </c>
      <c r="B1883">
        <v>566240</v>
      </c>
      <c r="C1883" t="s">
        <v>6942</v>
      </c>
      <c r="D1883" t="s">
        <v>1598</v>
      </c>
      <c r="E1883" t="s">
        <v>6970</v>
      </c>
      <c r="F1883">
        <v>17</v>
      </c>
      <c r="G1883">
        <v>14</v>
      </c>
      <c r="H1883" t="s">
        <v>10735</v>
      </c>
      <c r="J1883" t="s">
        <v>1600</v>
      </c>
      <c r="M1883" t="s">
        <v>10736</v>
      </c>
      <c r="N1883">
        <v>2.0902262079999998</v>
      </c>
      <c r="O1883">
        <v>4.2704203920000001</v>
      </c>
      <c r="P1883">
        <v>0.23425843900000001</v>
      </c>
      <c r="Q1883">
        <v>1.6181978999999999E-2</v>
      </c>
      <c r="S1883" s="13">
        <v>-1.3614824409999999</v>
      </c>
      <c r="T1883">
        <v>-2.4174037999999998E-2</v>
      </c>
      <c r="U1883">
        <v>-0.23054823999999999</v>
      </c>
    </row>
    <row r="1884" spans="1:21" x14ac:dyDescent="0.2">
      <c r="A1884" t="s">
        <v>746</v>
      </c>
      <c r="B1884">
        <v>597760</v>
      </c>
      <c r="C1884" t="s">
        <v>6906</v>
      </c>
      <c r="D1884" t="s">
        <v>746</v>
      </c>
      <c r="E1884" t="s">
        <v>6974</v>
      </c>
      <c r="F1884">
        <v>19</v>
      </c>
      <c r="G1884">
        <v>15</v>
      </c>
      <c r="H1884" t="s">
        <v>10737</v>
      </c>
      <c r="J1884" t="s">
        <v>748</v>
      </c>
      <c r="M1884" t="s">
        <v>10738</v>
      </c>
      <c r="N1884">
        <v>1.813871112</v>
      </c>
      <c r="O1884">
        <v>2.6633694910000001</v>
      </c>
      <c r="P1884">
        <v>-0.29586356800000002</v>
      </c>
      <c r="Q1884">
        <v>-0.59018158399999998</v>
      </c>
      <c r="S1884" s="13">
        <v>-1.3614971709999999</v>
      </c>
      <c r="T1884">
        <v>-2.4238405000000001E-2</v>
      </c>
      <c r="U1884">
        <v>-0.17176173</v>
      </c>
    </row>
    <row r="1885" spans="1:21" x14ac:dyDescent="0.2">
      <c r="A1885" t="s">
        <v>516</v>
      </c>
      <c r="B1885">
        <v>597560</v>
      </c>
      <c r="C1885" t="s">
        <v>6906</v>
      </c>
      <c r="D1885" t="s">
        <v>516</v>
      </c>
      <c r="E1885" t="s">
        <v>6939</v>
      </c>
      <c r="F1885">
        <v>13</v>
      </c>
      <c r="G1885">
        <v>2</v>
      </c>
      <c r="H1885" t="s">
        <v>10739</v>
      </c>
      <c r="J1885" t="s">
        <v>10740</v>
      </c>
      <c r="M1885" t="s">
        <v>10741</v>
      </c>
      <c r="N1885">
        <v>1.813871112</v>
      </c>
      <c r="O1885">
        <v>2.6633694910000001</v>
      </c>
      <c r="P1885">
        <v>-0.29586356800000002</v>
      </c>
      <c r="Q1885">
        <v>-0.59018158399999998</v>
      </c>
      <c r="S1885" s="13">
        <v>-1.3617873199999999</v>
      </c>
      <c r="T1885">
        <v>-2.5506291E-2</v>
      </c>
      <c r="U1885">
        <v>-0.17190154799999999</v>
      </c>
    </row>
    <row r="1886" spans="1:21" x14ac:dyDescent="0.2">
      <c r="A1886" t="s">
        <v>1150</v>
      </c>
      <c r="B1886">
        <v>632120</v>
      </c>
      <c r="C1886" t="s">
        <v>6927</v>
      </c>
      <c r="D1886" t="s">
        <v>1150</v>
      </c>
      <c r="E1886" t="s">
        <v>7006</v>
      </c>
      <c r="F1886">
        <v>16</v>
      </c>
      <c r="G1886">
        <v>3</v>
      </c>
      <c r="H1886" t="s">
        <v>10742</v>
      </c>
      <c r="J1886" t="s">
        <v>10743</v>
      </c>
      <c r="M1886" t="s">
        <v>10744</v>
      </c>
      <c r="N1886">
        <v>1.982575982</v>
      </c>
      <c r="O1886">
        <v>3.4571926419999999</v>
      </c>
      <c r="P1886">
        <v>-0.114791479</v>
      </c>
      <c r="Q1886">
        <v>1.868949E-3</v>
      </c>
      <c r="S1886" s="13">
        <v>-1.3618299540000001</v>
      </c>
      <c r="T1886">
        <v>-2.5692591000000001E-2</v>
      </c>
      <c r="U1886">
        <v>-0.20149884400000001</v>
      </c>
    </row>
    <row r="1887" spans="1:21" x14ac:dyDescent="0.2">
      <c r="A1887" t="s">
        <v>203</v>
      </c>
      <c r="B1887">
        <v>710960</v>
      </c>
      <c r="C1887" t="s">
        <v>6914</v>
      </c>
      <c r="D1887" t="s">
        <v>204</v>
      </c>
      <c r="E1887" t="s">
        <v>6915</v>
      </c>
      <c r="F1887">
        <v>1</v>
      </c>
      <c r="G1887">
        <v>13</v>
      </c>
      <c r="H1887" t="s">
        <v>10745</v>
      </c>
      <c r="J1887" t="s">
        <v>3720</v>
      </c>
      <c r="M1887" t="s">
        <v>10746</v>
      </c>
      <c r="N1887">
        <v>1.8217074179999999</v>
      </c>
      <c r="O1887">
        <v>4.1700741289999996</v>
      </c>
      <c r="P1887">
        <v>0.189705977</v>
      </c>
      <c r="Q1887">
        <v>-1.7194070999999998E-2</v>
      </c>
      <c r="S1887" s="13">
        <v>-1.3618628370000001</v>
      </c>
      <c r="T1887">
        <v>-2.5836281999999999E-2</v>
      </c>
      <c r="U1887">
        <v>-0.20247300200000001</v>
      </c>
    </row>
    <row r="1888" spans="1:21" x14ac:dyDescent="0.2">
      <c r="A1888" t="s">
        <v>883</v>
      </c>
      <c r="B1888">
        <v>540720</v>
      </c>
      <c r="C1888" t="s">
        <v>6931</v>
      </c>
      <c r="D1888" t="s">
        <v>883</v>
      </c>
      <c r="E1888" t="s">
        <v>6977</v>
      </c>
      <c r="F1888">
        <v>17</v>
      </c>
      <c r="G1888">
        <v>5</v>
      </c>
      <c r="H1888" t="s">
        <v>10747</v>
      </c>
      <c r="N1888">
        <v>1.9323965059999999</v>
      </c>
      <c r="O1888">
        <v>3.0528020530000002</v>
      </c>
      <c r="P1888">
        <v>2.6493138999999999E-2</v>
      </c>
      <c r="Q1888">
        <v>-0.38692188</v>
      </c>
      <c r="S1888" s="13">
        <v>-1.3620130079999999</v>
      </c>
      <c r="T1888">
        <v>-2.6492496000000001E-2</v>
      </c>
      <c r="U1888">
        <v>-0.131000488</v>
      </c>
    </row>
    <row r="1889" spans="1:21" x14ac:dyDescent="0.2">
      <c r="A1889" t="s">
        <v>574</v>
      </c>
      <c r="B1889">
        <v>597400</v>
      </c>
      <c r="C1889" t="s">
        <v>6906</v>
      </c>
      <c r="D1889" t="s">
        <v>574</v>
      </c>
      <c r="E1889" t="s">
        <v>6977</v>
      </c>
      <c r="F1889">
        <v>20</v>
      </c>
      <c r="G1889">
        <v>5</v>
      </c>
      <c r="H1889" t="s">
        <v>10748</v>
      </c>
      <c r="J1889" t="s">
        <v>3815</v>
      </c>
      <c r="M1889" t="s">
        <v>10749</v>
      </c>
      <c r="N1889">
        <v>1.813871112</v>
      </c>
      <c r="O1889">
        <v>2.6633694910000001</v>
      </c>
      <c r="P1889">
        <v>-0.29586356800000002</v>
      </c>
      <c r="Q1889">
        <v>-0.59018158399999998</v>
      </c>
      <c r="S1889" s="13">
        <v>-1.3620194400000001</v>
      </c>
      <c r="T1889">
        <v>-2.6520601000000001E-2</v>
      </c>
      <c r="U1889">
        <v>-0.17201343499999999</v>
      </c>
    </row>
    <row r="1890" spans="1:21" x14ac:dyDescent="0.2">
      <c r="A1890" t="s">
        <v>779</v>
      </c>
      <c r="B1890">
        <v>710760</v>
      </c>
      <c r="C1890" t="s">
        <v>6914</v>
      </c>
      <c r="D1890" t="s">
        <v>780</v>
      </c>
      <c r="E1890" t="s">
        <v>7006</v>
      </c>
      <c r="F1890">
        <v>8</v>
      </c>
      <c r="G1890">
        <v>3</v>
      </c>
      <c r="H1890" t="s">
        <v>10750</v>
      </c>
      <c r="J1890" t="s">
        <v>3933</v>
      </c>
      <c r="M1890" t="s">
        <v>10751</v>
      </c>
      <c r="N1890">
        <v>1.8217074179999999</v>
      </c>
      <c r="O1890">
        <v>4.1700741289999996</v>
      </c>
      <c r="P1890">
        <v>0.189705977</v>
      </c>
      <c r="Q1890">
        <v>-1.7194070999999998E-2</v>
      </c>
      <c r="S1890" s="13">
        <v>-1.3621033890000001</v>
      </c>
      <c r="T1890">
        <v>-2.6887439999999999E-2</v>
      </c>
      <c r="U1890">
        <v>-0.20262306699999999</v>
      </c>
    </row>
    <row r="1891" spans="1:21" x14ac:dyDescent="0.2">
      <c r="A1891" t="s">
        <v>1373</v>
      </c>
      <c r="B1891">
        <v>631440</v>
      </c>
      <c r="C1891" t="s">
        <v>6927</v>
      </c>
      <c r="D1891" t="s">
        <v>1373</v>
      </c>
      <c r="E1891" t="s">
        <v>6977</v>
      </c>
      <c r="F1891">
        <v>10</v>
      </c>
      <c r="G1891">
        <v>5</v>
      </c>
      <c r="H1891" t="s">
        <v>10752</v>
      </c>
      <c r="J1891" t="s">
        <v>10753</v>
      </c>
      <c r="M1891" t="s">
        <v>10754</v>
      </c>
      <c r="N1891">
        <v>1.982575982</v>
      </c>
      <c r="O1891">
        <v>3.4571926419999999</v>
      </c>
      <c r="P1891">
        <v>-0.114791479</v>
      </c>
      <c r="Q1891">
        <v>1.868949E-3</v>
      </c>
      <c r="S1891" s="13">
        <v>-1.362535539</v>
      </c>
      <c r="T1891">
        <v>-2.8775834E-2</v>
      </c>
      <c r="U1891">
        <v>-0.20200813100000001</v>
      </c>
    </row>
    <row r="1892" spans="1:21" x14ac:dyDescent="0.2">
      <c r="A1892" t="s">
        <v>1222</v>
      </c>
      <c r="B1892">
        <v>565160</v>
      </c>
      <c r="C1892" t="s">
        <v>6942</v>
      </c>
      <c r="D1892" t="s">
        <v>1223</v>
      </c>
      <c r="E1892" t="s">
        <v>6907</v>
      </c>
      <c r="F1892">
        <v>3</v>
      </c>
      <c r="G1892">
        <v>4</v>
      </c>
      <c r="H1892" t="s">
        <v>10755</v>
      </c>
      <c r="J1892" t="s">
        <v>1225</v>
      </c>
      <c r="M1892" t="s">
        <v>10756</v>
      </c>
      <c r="N1892">
        <v>2.0902262079999998</v>
      </c>
      <c r="O1892">
        <v>4.2704203920000001</v>
      </c>
      <c r="P1892">
        <v>0.23425843900000001</v>
      </c>
      <c r="Q1892">
        <v>1.6181978999999999E-2</v>
      </c>
      <c r="S1892" s="13">
        <v>-1.362542449</v>
      </c>
      <c r="T1892">
        <v>-2.8806031999999999E-2</v>
      </c>
      <c r="U1892">
        <v>-0.23141341700000001</v>
      </c>
    </row>
    <row r="1893" spans="1:21" x14ac:dyDescent="0.2">
      <c r="A1893" t="s">
        <v>143</v>
      </c>
      <c r="B1893">
        <v>565160</v>
      </c>
      <c r="C1893" t="s">
        <v>6942</v>
      </c>
      <c r="D1893" t="s">
        <v>144</v>
      </c>
      <c r="E1893" t="s">
        <v>7115</v>
      </c>
      <c r="F1893">
        <v>8</v>
      </c>
      <c r="G1893">
        <v>10</v>
      </c>
      <c r="H1893" t="s">
        <v>10757</v>
      </c>
      <c r="J1893" t="s">
        <v>3261</v>
      </c>
      <c r="M1893" t="s">
        <v>10758</v>
      </c>
      <c r="N1893">
        <v>2.0902262079999998</v>
      </c>
      <c r="O1893">
        <v>4.2704203920000001</v>
      </c>
      <c r="P1893">
        <v>0.23425843900000001</v>
      </c>
      <c r="Q1893">
        <v>1.6181978999999999E-2</v>
      </c>
      <c r="S1893" s="13">
        <v>-1.362542449</v>
      </c>
      <c r="T1893">
        <v>-2.8806031999999999E-2</v>
      </c>
      <c r="U1893">
        <v>-0.23141341700000001</v>
      </c>
    </row>
    <row r="1894" spans="1:21" x14ac:dyDescent="0.2">
      <c r="A1894" t="s">
        <v>426</v>
      </c>
      <c r="B1894">
        <v>540240</v>
      </c>
      <c r="C1894" t="s">
        <v>6931</v>
      </c>
      <c r="D1894" t="s">
        <v>426</v>
      </c>
      <c r="E1894" t="s">
        <v>6911</v>
      </c>
      <c r="F1894">
        <v>22</v>
      </c>
      <c r="G1894">
        <v>12</v>
      </c>
      <c r="H1894" t="s">
        <v>10759</v>
      </c>
      <c r="N1894">
        <v>1.9323965059999999</v>
      </c>
      <c r="O1894">
        <v>3.0528020530000002</v>
      </c>
      <c r="P1894">
        <v>2.6493138999999999E-2</v>
      </c>
      <c r="Q1894">
        <v>-0.38692188</v>
      </c>
      <c r="S1894" s="13">
        <v>-1.362643716</v>
      </c>
      <c r="T1894">
        <v>-2.9248544000000001E-2</v>
      </c>
      <c r="U1894">
        <v>-0.13130604700000001</v>
      </c>
    </row>
    <row r="1895" spans="1:21" x14ac:dyDescent="0.2">
      <c r="A1895" t="s">
        <v>796</v>
      </c>
      <c r="B1895">
        <v>643160</v>
      </c>
      <c r="C1895" t="s">
        <v>6938</v>
      </c>
      <c r="D1895" t="s">
        <v>796</v>
      </c>
      <c r="E1895" t="s">
        <v>6918</v>
      </c>
      <c r="F1895">
        <v>13</v>
      </c>
      <c r="G1895">
        <v>1</v>
      </c>
      <c r="H1895" t="s">
        <v>10760</v>
      </c>
      <c r="J1895" t="s">
        <v>4060</v>
      </c>
      <c r="M1895" t="s">
        <v>10761</v>
      </c>
      <c r="N1895">
        <v>2.092758737</v>
      </c>
      <c r="O1895">
        <v>5.3323610669999999</v>
      </c>
      <c r="P1895">
        <v>0.70420098600000003</v>
      </c>
      <c r="Q1895">
        <v>0.41355372699999998</v>
      </c>
      <c r="S1895" s="13">
        <v>-1.3627619369999999</v>
      </c>
      <c r="T1895">
        <v>-2.9765145E-2</v>
      </c>
      <c r="U1895">
        <v>-0.219174283</v>
      </c>
    </row>
    <row r="1896" spans="1:21" x14ac:dyDescent="0.2">
      <c r="A1896" t="s">
        <v>1260</v>
      </c>
      <c r="B1896">
        <v>540080</v>
      </c>
      <c r="C1896" t="s">
        <v>6931</v>
      </c>
      <c r="D1896" t="s">
        <v>1260</v>
      </c>
      <c r="E1896" t="s">
        <v>6915</v>
      </c>
      <c r="F1896">
        <v>19</v>
      </c>
      <c r="G1896">
        <v>13</v>
      </c>
      <c r="H1896" t="s">
        <v>10762</v>
      </c>
      <c r="N1896">
        <v>1.9323965059999999</v>
      </c>
      <c r="O1896">
        <v>3.0528020530000002</v>
      </c>
      <c r="P1896">
        <v>2.6493138999999999E-2</v>
      </c>
      <c r="Q1896">
        <v>-0.38692188</v>
      </c>
      <c r="S1896" s="13">
        <v>-1.362853952</v>
      </c>
      <c r="T1896">
        <v>-3.0167225999999998E-2</v>
      </c>
      <c r="U1896">
        <v>-0.131407948</v>
      </c>
    </row>
    <row r="1897" spans="1:21" x14ac:dyDescent="0.2">
      <c r="A1897" t="s">
        <v>207</v>
      </c>
      <c r="B1897">
        <v>630880</v>
      </c>
      <c r="C1897" t="s">
        <v>6927</v>
      </c>
      <c r="D1897" t="s">
        <v>207</v>
      </c>
      <c r="E1897" t="s">
        <v>6939</v>
      </c>
      <c r="F1897">
        <v>21</v>
      </c>
      <c r="G1897">
        <v>2</v>
      </c>
      <c r="H1897" t="s">
        <v>10763</v>
      </c>
      <c r="J1897" t="s">
        <v>10764</v>
      </c>
      <c r="M1897" t="s">
        <v>10765</v>
      </c>
      <c r="N1897">
        <v>1.982575982</v>
      </c>
      <c r="O1897">
        <v>3.4571926419999999</v>
      </c>
      <c r="P1897">
        <v>-0.114791479</v>
      </c>
      <c r="Q1897">
        <v>1.868949E-3</v>
      </c>
      <c r="S1897" s="13">
        <v>-1.3631166079999999</v>
      </c>
      <c r="T1897">
        <v>-3.1314975000000002E-2</v>
      </c>
      <c r="U1897">
        <v>-0.202427993</v>
      </c>
    </row>
    <row r="1898" spans="1:21" x14ac:dyDescent="0.2">
      <c r="A1898" t="s">
        <v>504</v>
      </c>
      <c r="B1898">
        <v>564440</v>
      </c>
      <c r="C1898" t="s">
        <v>6942</v>
      </c>
      <c r="D1898" t="s">
        <v>504</v>
      </c>
      <c r="E1898" t="s">
        <v>6956</v>
      </c>
      <c r="F1898">
        <v>12</v>
      </c>
      <c r="G1898">
        <v>7</v>
      </c>
      <c r="H1898" t="s">
        <v>10766</v>
      </c>
      <c r="J1898" t="s">
        <v>1565</v>
      </c>
      <c r="M1898" t="s">
        <v>10767</v>
      </c>
      <c r="N1898">
        <v>2.0902262079999998</v>
      </c>
      <c r="O1898">
        <v>4.2704203920000001</v>
      </c>
      <c r="P1898">
        <v>0.23425843900000001</v>
      </c>
      <c r="Q1898">
        <v>1.6181978999999999E-2</v>
      </c>
      <c r="S1898" s="13">
        <v>-1.363249122</v>
      </c>
      <c r="T1898">
        <v>-3.1894027999999998E-2</v>
      </c>
      <c r="U1898">
        <v>-0.23199116</v>
      </c>
    </row>
    <row r="1899" spans="1:21" x14ac:dyDescent="0.2">
      <c r="A1899" t="s">
        <v>139</v>
      </c>
      <c r="B1899">
        <v>630680</v>
      </c>
      <c r="C1899" t="s">
        <v>6927</v>
      </c>
      <c r="D1899" t="s">
        <v>139</v>
      </c>
      <c r="E1899" t="s">
        <v>6939</v>
      </c>
      <c r="F1899">
        <v>17</v>
      </c>
      <c r="G1899">
        <v>2</v>
      </c>
      <c r="H1899" t="s">
        <v>10768</v>
      </c>
      <c r="J1899" t="s">
        <v>10769</v>
      </c>
      <c r="M1899" t="s">
        <v>10770</v>
      </c>
      <c r="N1899">
        <v>1.982575982</v>
      </c>
      <c r="O1899">
        <v>3.4571926419999999</v>
      </c>
      <c r="P1899">
        <v>-0.114791479</v>
      </c>
      <c r="Q1899">
        <v>1.868949E-3</v>
      </c>
      <c r="S1899" s="13">
        <v>-1.3633241330000001</v>
      </c>
      <c r="T1899">
        <v>-3.2221811000000003E-2</v>
      </c>
      <c r="U1899">
        <v>-0.20257804200000001</v>
      </c>
    </row>
    <row r="1900" spans="1:21" x14ac:dyDescent="0.2">
      <c r="A1900" t="s">
        <v>1013</v>
      </c>
      <c r="B1900">
        <v>482320</v>
      </c>
      <c r="C1900" t="s">
        <v>6945</v>
      </c>
      <c r="D1900" t="s">
        <v>1014</v>
      </c>
      <c r="E1900" t="s">
        <v>7006</v>
      </c>
      <c r="F1900">
        <v>6</v>
      </c>
      <c r="G1900">
        <v>3</v>
      </c>
      <c r="H1900" t="s">
        <v>10771</v>
      </c>
      <c r="J1900" t="s">
        <v>4748</v>
      </c>
      <c r="M1900" t="s">
        <v>10772</v>
      </c>
      <c r="N1900">
        <v>2.2220813349999999</v>
      </c>
      <c r="O1900">
        <v>6.5440947090000003</v>
      </c>
      <c r="P1900">
        <v>0.58228215500000002</v>
      </c>
      <c r="Q1900">
        <v>0.35188233000000002</v>
      </c>
      <c r="S1900" s="13">
        <v>-1.363334528</v>
      </c>
      <c r="T1900">
        <v>-3.2267234999999998E-2</v>
      </c>
      <c r="U1900">
        <v>-0.24119348400000001</v>
      </c>
    </row>
    <row r="1901" spans="1:21" x14ac:dyDescent="0.2">
      <c r="A1901" t="s">
        <v>172</v>
      </c>
      <c r="B1901">
        <v>630600</v>
      </c>
      <c r="C1901" t="s">
        <v>6927</v>
      </c>
      <c r="D1901" t="s">
        <v>172</v>
      </c>
      <c r="E1901" t="s">
        <v>7006</v>
      </c>
      <c r="F1901">
        <v>11</v>
      </c>
      <c r="G1901">
        <v>3</v>
      </c>
      <c r="H1901" t="s">
        <v>10773</v>
      </c>
      <c r="J1901" t="s">
        <v>10774</v>
      </c>
      <c r="M1901" t="s">
        <v>10775</v>
      </c>
      <c r="N1901">
        <v>1.982575982</v>
      </c>
      <c r="O1901">
        <v>3.4571926419999999</v>
      </c>
      <c r="P1901">
        <v>-0.114791479</v>
      </c>
      <c r="Q1901">
        <v>1.868949E-3</v>
      </c>
      <c r="S1901" s="13">
        <v>-1.3634071430000001</v>
      </c>
      <c r="T1901">
        <v>-3.2584544999999999E-2</v>
      </c>
      <c r="U1901">
        <v>-0.202638076</v>
      </c>
    </row>
    <row r="1902" spans="1:21" x14ac:dyDescent="0.2">
      <c r="A1902" t="s">
        <v>485</v>
      </c>
      <c r="B1902">
        <v>564200</v>
      </c>
      <c r="C1902" t="s">
        <v>6942</v>
      </c>
      <c r="D1902" t="s">
        <v>486</v>
      </c>
      <c r="E1902" t="s">
        <v>6974</v>
      </c>
      <c r="F1902">
        <v>8</v>
      </c>
      <c r="G1902">
        <v>15</v>
      </c>
      <c r="H1902" t="s">
        <v>10776</v>
      </c>
      <c r="J1902" t="s">
        <v>3155</v>
      </c>
      <c r="M1902" t="s">
        <v>10777</v>
      </c>
      <c r="N1902">
        <v>2.0902262079999998</v>
      </c>
      <c r="O1902">
        <v>4.2704203920000001</v>
      </c>
      <c r="P1902">
        <v>0.23425843900000001</v>
      </c>
      <c r="Q1902">
        <v>1.6181978999999999E-2</v>
      </c>
      <c r="S1902" s="13">
        <v>-1.3634846789999999</v>
      </c>
      <c r="T1902">
        <v>-3.2923359999999999E-2</v>
      </c>
      <c r="U1902">
        <v>-0.23218391199999999</v>
      </c>
    </row>
    <row r="1903" spans="1:21" x14ac:dyDescent="0.2">
      <c r="A1903" t="s">
        <v>451</v>
      </c>
      <c r="B1903">
        <v>596360</v>
      </c>
      <c r="C1903" t="s">
        <v>6906</v>
      </c>
      <c r="D1903" t="s">
        <v>452</v>
      </c>
      <c r="E1903" t="s">
        <v>6907</v>
      </c>
      <c r="F1903">
        <v>9</v>
      </c>
      <c r="G1903">
        <v>4</v>
      </c>
      <c r="H1903" t="s">
        <v>10778</v>
      </c>
      <c r="J1903" t="s">
        <v>2251</v>
      </c>
      <c r="M1903" t="s">
        <v>10779</v>
      </c>
      <c r="N1903">
        <v>1.813871112</v>
      </c>
      <c r="O1903">
        <v>2.6633694910000001</v>
      </c>
      <c r="P1903">
        <v>-0.29586356800000002</v>
      </c>
      <c r="Q1903">
        <v>-0.59018158399999998</v>
      </c>
      <c r="S1903" s="13">
        <v>-1.363528217</v>
      </c>
      <c r="T1903">
        <v>-3.3113611000000001E-2</v>
      </c>
      <c r="U1903">
        <v>-0.17274139999999999</v>
      </c>
    </row>
    <row r="1904" spans="1:21" x14ac:dyDescent="0.2">
      <c r="A1904" t="s">
        <v>1986</v>
      </c>
      <c r="B1904">
        <v>482080</v>
      </c>
      <c r="C1904" t="s">
        <v>6945</v>
      </c>
      <c r="D1904" t="s">
        <v>1986</v>
      </c>
      <c r="E1904" t="s">
        <v>6977</v>
      </c>
      <c r="F1904">
        <v>11</v>
      </c>
      <c r="G1904">
        <v>5</v>
      </c>
      <c r="H1904" t="s">
        <v>10780</v>
      </c>
      <c r="J1904" t="s">
        <v>2811</v>
      </c>
      <c r="M1904" t="s">
        <v>10781</v>
      </c>
      <c r="N1904">
        <v>2.2220813349999999</v>
      </c>
      <c r="O1904">
        <v>6.5440947090000003</v>
      </c>
      <c r="P1904">
        <v>0.58228215500000002</v>
      </c>
      <c r="Q1904">
        <v>0.35188233000000002</v>
      </c>
      <c r="S1904" s="13">
        <v>-1.3635609049999999</v>
      </c>
      <c r="T1904">
        <v>-3.3256449E-2</v>
      </c>
      <c r="U1904">
        <v>-0.241390365</v>
      </c>
    </row>
    <row r="1905" spans="1:21" x14ac:dyDescent="0.2">
      <c r="A1905" t="s">
        <v>1150</v>
      </c>
      <c r="B1905">
        <v>694760</v>
      </c>
      <c r="C1905" t="s">
        <v>6953</v>
      </c>
      <c r="D1905" t="s">
        <v>1150</v>
      </c>
      <c r="E1905" t="s">
        <v>7006</v>
      </c>
      <c r="F1905">
        <v>16</v>
      </c>
      <c r="G1905">
        <v>3</v>
      </c>
      <c r="H1905" t="s">
        <v>10782</v>
      </c>
      <c r="J1905" t="s">
        <v>1927</v>
      </c>
      <c r="M1905" t="s">
        <v>10783</v>
      </c>
      <c r="N1905">
        <v>1.921480887</v>
      </c>
      <c r="O1905">
        <v>3.0856645180000002</v>
      </c>
      <c r="P1905">
        <v>0.44706724399999997</v>
      </c>
      <c r="Q1905">
        <v>-0.354940863</v>
      </c>
      <c r="S1905" s="13">
        <v>-1.3643098760000001</v>
      </c>
      <c r="T1905">
        <v>-3.6529283000000003E-2</v>
      </c>
      <c r="U1905">
        <v>-0.14600756500000001</v>
      </c>
    </row>
    <row r="1906" spans="1:21" x14ac:dyDescent="0.2">
      <c r="A1906" t="s">
        <v>912</v>
      </c>
      <c r="B1906">
        <v>629640</v>
      </c>
      <c r="C1906" t="s">
        <v>6927</v>
      </c>
      <c r="D1906" t="s">
        <v>912</v>
      </c>
      <c r="E1906" t="s">
        <v>6921</v>
      </c>
      <c r="F1906">
        <v>23</v>
      </c>
      <c r="G1906">
        <v>8</v>
      </c>
      <c r="H1906" t="s">
        <v>10784</v>
      </c>
      <c r="J1906" t="s">
        <v>10785</v>
      </c>
      <c r="M1906" t="s">
        <v>10786</v>
      </c>
      <c r="N1906">
        <v>1.982575982</v>
      </c>
      <c r="O1906">
        <v>3.4571926419999999</v>
      </c>
      <c r="P1906">
        <v>-0.114791479</v>
      </c>
      <c r="Q1906">
        <v>1.868949E-3</v>
      </c>
      <c r="S1906" s="13">
        <v>-1.364403262</v>
      </c>
      <c r="T1906">
        <v>-3.6937359000000003E-2</v>
      </c>
      <c r="U1906">
        <v>-0.203359134</v>
      </c>
    </row>
    <row r="1907" spans="1:21" x14ac:dyDescent="0.2">
      <c r="A1907" t="s">
        <v>1251</v>
      </c>
      <c r="B1907">
        <v>602400</v>
      </c>
      <c r="C1907" t="s">
        <v>6910</v>
      </c>
      <c r="D1907" t="s">
        <v>1251</v>
      </c>
      <c r="E1907" t="s">
        <v>6907</v>
      </c>
      <c r="F1907">
        <v>17</v>
      </c>
      <c r="G1907">
        <v>4</v>
      </c>
      <c r="H1907" t="s">
        <v>10787</v>
      </c>
      <c r="J1907" t="s">
        <v>6287</v>
      </c>
      <c r="M1907" t="s">
        <v>10788</v>
      </c>
      <c r="N1907">
        <v>1.9874741039999999</v>
      </c>
      <c r="O1907">
        <v>3.7453511220000002</v>
      </c>
      <c r="P1907">
        <v>0.451009722</v>
      </c>
      <c r="Q1907">
        <v>-0.102386592</v>
      </c>
      <c r="S1907" s="13">
        <v>-1.3645665220000001</v>
      </c>
      <c r="T1907">
        <v>-3.7650769000000001E-2</v>
      </c>
      <c r="U1907">
        <v>-0.141616346</v>
      </c>
    </row>
    <row r="1908" spans="1:21" x14ac:dyDescent="0.2">
      <c r="A1908" t="s">
        <v>892</v>
      </c>
      <c r="B1908">
        <v>640960</v>
      </c>
      <c r="C1908" t="s">
        <v>6938</v>
      </c>
      <c r="D1908" t="s">
        <v>892</v>
      </c>
      <c r="E1908" t="s">
        <v>6977</v>
      </c>
      <c r="F1908">
        <v>21</v>
      </c>
      <c r="G1908">
        <v>5</v>
      </c>
      <c r="H1908" t="s">
        <v>10789</v>
      </c>
      <c r="J1908" t="s">
        <v>3472</v>
      </c>
      <c r="M1908" t="s">
        <v>10790</v>
      </c>
      <c r="N1908">
        <v>2.092758737</v>
      </c>
      <c r="O1908">
        <v>5.3323610669999999</v>
      </c>
      <c r="P1908">
        <v>0.70420098600000003</v>
      </c>
      <c r="Q1908">
        <v>0.41355372699999998</v>
      </c>
      <c r="S1908" s="13">
        <v>-1.3646513229999999</v>
      </c>
      <c r="T1908">
        <v>-3.8021326000000001E-2</v>
      </c>
      <c r="U1908">
        <v>-0.220892809</v>
      </c>
    </row>
    <row r="1909" spans="1:21" x14ac:dyDescent="0.2">
      <c r="A1909" t="s">
        <v>2499</v>
      </c>
      <c r="B1909">
        <v>480560</v>
      </c>
      <c r="C1909" t="s">
        <v>6945</v>
      </c>
      <c r="D1909" t="s">
        <v>2500</v>
      </c>
      <c r="E1909" t="s">
        <v>6977</v>
      </c>
      <c r="F1909">
        <v>9</v>
      </c>
      <c r="G1909">
        <v>5</v>
      </c>
      <c r="H1909" t="s">
        <v>10791</v>
      </c>
      <c r="J1909" t="s">
        <v>4543</v>
      </c>
      <c r="M1909" t="s">
        <v>10792</v>
      </c>
      <c r="N1909">
        <v>2.2220813349999999</v>
      </c>
      <c r="O1909">
        <v>6.5440947090000003</v>
      </c>
      <c r="P1909">
        <v>0.58228215500000002</v>
      </c>
      <c r="Q1909">
        <v>0.35188233000000002</v>
      </c>
      <c r="S1909" s="13">
        <v>-1.3649946239999999</v>
      </c>
      <c r="T1909">
        <v>-3.9521473000000001E-2</v>
      </c>
      <c r="U1909">
        <v>-0.242639354</v>
      </c>
    </row>
    <row r="1910" spans="1:21" x14ac:dyDescent="0.2">
      <c r="A1910" t="s">
        <v>1484</v>
      </c>
      <c r="B1910">
        <v>480480</v>
      </c>
      <c r="C1910" t="s">
        <v>6945</v>
      </c>
      <c r="D1910" t="s">
        <v>1484</v>
      </c>
      <c r="E1910" t="s">
        <v>6977</v>
      </c>
      <c r="F1910">
        <v>16</v>
      </c>
      <c r="G1910">
        <v>5</v>
      </c>
      <c r="H1910" t="s">
        <v>10793</v>
      </c>
      <c r="J1910" t="s">
        <v>6001</v>
      </c>
      <c r="M1910" t="s">
        <v>10794</v>
      </c>
      <c r="N1910">
        <v>2.2220813349999999</v>
      </c>
      <c r="O1910">
        <v>6.5440947090000003</v>
      </c>
      <c r="P1910">
        <v>0.58228215500000002</v>
      </c>
      <c r="Q1910">
        <v>0.35188233000000002</v>
      </c>
      <c r="S1910" s="13">
        <v>-1.3650700819999999</v>
      </c>
      <c r="T1910">
        <v>-3.9851210999999997E-2</v>
      </c>
      <c r="U1910">
        <v>-0.24270518999999999</v>
      </c>
    </row>
    <row r="1911" spans="1:21" x14ac:dyDescent="0.2">
      <c r="A1911" t="s">
        <v>232</v>
      </c>
      <c r="B1911">
        <v>693960</v>
      </c>
      <c r="C1911" t="s">
        <v>6953</v>
      </c>
      <c r="D1911" t="s">
        <v>233</v>
      </c>
      <c r="E1911" t="s">
        <v>7085</v>
      </c>
      <c r="F1911">
        <v>1</v>
      </c>
      <c r="G1911">
        <v>9</v>
      </c>
      <c r="H1911" t="s">
        <v>10795</v>
      </c>
      <c r="J1911" t="s">
        <v>5507</v>
      </c>
      <c r="M1911" t="s">
        <v>10796</v>
      </c>
      <c r="N1911">
        <v>1.921480887</v>
      </c>
      <c r="O1911">
        <v>3.0856645180000002</v>
      </c>
      <c r="P1911">
        <v>0.44706724399999997</v>
      </c>
      <c r="Q1911">
        <v>-0.354940863</v>
      </c>
      <c r="S1911" s="13">
        <v>-1.365139976</v>
      </c>
      <c r="T1911">
        <v>-4.0156627E-2</v>
      </c>
      <c r="U1911">
        <v>-0.14653487000000001</v>
      </c>
    </row>
    <row r="1912" spans="1:21" x14ac:dyDescent="0.2">
      <c r="A1912" t="s">
        <v>1010</v>
      </c>
      <c r="B1912">
        <v>538320</v>
      </c>
      <c r="C1912" t="s">
        <v>6931</v>
      </c>
      <c r="D1912" t="s">
        <v>1010</v>
      </c>
      <c r="E1912" t="s">
        <v>6970</v>
      </c>
      <c r="F1912">
        <v>19</v>
      </c>
      <c r="G1912">
        <v>14</v>
      </c>
      <c r="H1912" t="s">
        <v>10797</v>
      </c>
      <c r="N1912">
        <v>1.9323965059999999</v>
      </c>
      <c r="O1912">
        <v>3.0528020530000002</v>
      </c>
      <c r="P1912">
        <v>2.6493138999999999E-2</v>
      </c>
      <c r="Q1912">
        <v>-0.38692188</v>
      </c>
      <c r="S1912" s="13">
        <v>-1.365166546</v>
      </c>
      <c r="T1912">
        <v>-4.0272734999999997E-2</v>
      </c>
      <c r="U1912">
        <v>-0.132530437</v>
      </c>
    </row>
    <row r="1913" spans="1:21" x14ac:dyDescent="0.2">
      <c r="A1913" t="s">
        <v>995</v>
      </c>
      <c r="B1913">
        <v>595160</v>
      </c>
      <c r="C1913" t="s">
        <v>6906</v>
      </c>
      <c r="D1913" t="s">
        <v>995</v>
      </c>
      <c r="E1913" t="s">
        <v>6907</v>
      </c>
      <c r="F1913">
        <v>20</v>
      </c>
      <c r="G1913">
        <v>4</v>
      </c>
      <c r="H1913" t="s">
        <v>10798</v>
      </c>
      <c r="J1913" t="s">
        <v>2267</v>
      </c>
      <c r="M1913" t="s">
        <v>10799</v>
      </c>
      <c r="N1913">
        <v>1.813871112</v>
      </c>
      <c r="O1913">
        <v>2.6633694910000001</v>
      </c>
      <c r="P1913">
        <v>-0.29586356800000002</v>
      </c>
      <c r="Q1913">
        <v>-0.59018158399999998</v>
      </c>
      <c r="S1913" s="13">
        <v>-1.365269114</v>
      </c>
      <c r="T1913">
        <v>-4.0720931000000002E-2</v>
      </c>
      <c r="U1913">
        <v>-0.17358287999999999</v>
      </c>
    </row>
    <row r="1914" spans="1:21" x14ac:dyDescent="0.2">
      <c r="A1914" t="s">
        <v>348</v>
      </c>
      <c r="B1914">
        <v>693720</v>
      </c>
      <c r="C1914" t="s">
        <v>6953</v>
      </c>
      <c r="D1914" t="s">
        <v>349</v>
      </c>
      <c r="E1914" t="s">
        <v>6907</v>
      </c>
      <c r="F1914">
        <v>1</v>
      </c>
      <c r="G1914">
        <v>4</v>
      </c>
      <c r="H1914" t="s">
        <v>10800</v>
      </c>
      <c r="J1914" t="s">
        <v>351</v>
      </c>
      <c r="M1914" t="s">
        <v>10801</v>
      </c>
      <c r="N1914">
        <v>1.921480887</v>
      </c>
      <c r="O1914">
        <v>3.0856645180000002</v>
      </c>
      <c r="P1914">
        <v>0.44706724399999997</v>
      </c>
      <c r="Q1914">
        <v>-0.354940863</v>
      </c>
      <c r="S1914" s="13">
        <v>-1.3653890049999999</v>
      </c>
      <c r="T1914">
        <v>-4.1244831000000003E-2</v>
      </c>
      <c r="U1914">
        <v>-0.146693186</v>
      </c>
    </row>
    <row r="1915" spans="1:21" x14ac:dyDescent="0.2">
      <c r="A1915" t="s">
        <v>143</v>
      </c>
      <c r="B1915">
        <v>640000</v>
      </c>
      <c r="C1915" t="s">
        <v>6938</v>
      </c>
      <c r="D1915" t="s">
        <v>144</v>
      </c>
      <c r="E1915" t="s">
        <v>7115</v>
      </c>
      <c r="F1915">
        <v>8</v>
      </c>
      <c r="G1915">
        <v>10</v>
      </c>
      <c r="H1915" t="s">
        <v>10802</v>
      </c>
      <c r="J1915" t="s">
        <v>4918</v>
      </c>
      <c r="M1915" t="s">
        <v>10803</v>
      </c>
      <c r="N1915">
        <v>2.092758737</v>
      </c>
      <c r="O1915">
        <v>5.3323610669999999</v>
      </c>
      <c r="P1915">
        <v>0.70420098600000003</v>
      </c>
      <c r="Q1915">
        <v>0.41355372699999998</v>
      </c>
      <c r="S1915" s="13">
        <v>-1.3654757820000001</v>
      </c>
      <c r="T1915">
        <v>-4.1624023000000003E-2</v>
      </c>
      <c r="U1915">
        <v>-0.22164484800000001</v>
      </c>
    </row>
    <row r="1916" spans="1:21" x14ac:dyDescent="0.2">
      <c r="A1916" t="s">
        <v>1954</v>
      </c>
      <c r="B1916">
        <v>693520</v>
      </c>
      <c r="C1916" t="s">
        <v>6953</v>
      </c>
      <c r="D1916" t="s">
        <v>1955</v>
      </c>
      <c r="E1916" t="s">
        <v>6918</v>
      </c>
      <c r="F1916">
        <v>1</v>
      </c>
      <c r="G1916">
        <v>1</v>
      </c>
      <c r="H1916" t="s">
        <v>10804</v>
      </c>
      <c r="J1916" t="s">
        <v>1957</v>
      </c>
      <c r="M1916" t="s">
        <v>10805</v>
      </c>
      <c r="N1916">
        <v>1.921480887</v>
      </c>
      <c r="O1916">
        <v>3.0856645180000002</v>
      </c>
      <c r="P1916">
        <v>0.44706724399999997</v>
      </c>
      <c r="Q1916">
        <v>-0.354940863</v>
      </c>
      <c r="S1916" s="13">
        <v>-1.3655965299999999</v>
      </c>
      <c r="T1916">
        <v>-4.2151666999999997E-2</v>
      </c>
      <c r="U1916">
        <v>-0.14682516000000001</v>
      </c>
    </row>
    <row r="1917" spans="1:21" x14ac:dyDescent="0.2">
      <c r="A1917" t="s">
        <v>2488</v>
      </c>
      <c r="B1917">
        <v>628360</v>
      </c>
      <c r="C1917" t="s">
        <v>6927</v>
      </c>
      <c r="D1917" t="s">
        <v>2488</v>
      </c>
      <c r="E1917" t="s">
        <v>6907</v>
      </c>
      <c r="F1917">
        <v>10</v>
      </c>
      <c r="G1917">
        <v>4</v>
      </c>
      <c r="H1917" t="s">
        <v>10806</v>
      </c>
      <c r="J1917" t="s">
        <v>10807</v>
      </c>
      <c r="M1917" t="s">
        <v>10808</v>
      </c>
      <c r="N1917">
        <v>1.982575982</v>
      </c>
      <c r="O1917">
        <v>3.4571926419999999</v>
      </c>
      <c r="P1917">
        <v>-0.114791479</v>
      </c>
      <c r="Q1917">
        <v>1.868949E-3</v>
      </c>
      <c r="S1917" s="13">
        <v>-1.365731421</v>
      </c>
      <c r="T1917">
        <v>-4.2741109999999999E-2</v>
      </c>
      <c r="U1917">
        <v>-0.20432241000000001</v>
      </c>
    </row>
    <row r="1918" spans="1:21" x14ac:dyDescent="0.2">
      <c r="A1918" t="s">
        <v>355</v>
      </c>
      <c r="B1918">
        <v>707720</v>
      </c>
      <c r="C1918" t="s">
        <v>6914</v>
      </c>
      <c r="D1918" t="s">
        <v>356</v>
      </c>
      <c r="E1918" t="s">
        <v>6946</v>
      </c>
      <c r="F1918">
        <v>3</v>
      </c>
      <c r="G1918">
        <v>11</v>
      </c>
      <c r="H1918" t="s">
        <v>10809</v>
      </c>
      <c r="J1918" t="s">
        <v>6167</v>
      </c>
      <c r="M1918" t="s">
        <v>10810</v>
      </c>
      <c r="N1918">
        <v>1.8217074179999999</v>
      </c>
      <c r="O1918">
        <v>4.1700741289999996</v>
      </c>
      <c r="P1918">
        <v>0.189705977</v>
      </c>
      <c r="Q1918">
        <v>-1.7194070999999998E-2</v>
      </c>
      <c r="S1918" s="13">
        <v>-1.365759784</v>
      </c>
      <c r="T1918">
        <v>-4.2865051000000001E-2</v>
      </c>
      <c r="U1918">
        <v>-0.20491045599999999</v>
      </c>
    </row>
    <row r="1919" spans="1:21" x14ac:dyDescent="0.2">
      <c r="A1919" t="s">
        <v>1620</v>
      </c>
      <c r="B1919">
        <v>561600</v>
      </c>
      <c r="C1919" t="s">
        <v>6942</v>
      </c>
      <c r="D1919" t="s">
        <v>1620</v>
      </c>
      <c r="E1919" t="s">
        <v>6911</v>
      </c>
      <c r="F1919">
        <v>18</v>
      </c>
      <c r="G1919">
        <v>12</v>
      </c>
      <c r="H1919" t="s">
        <v>10811</v>
      </c>
      <c r="J1919" t="s">
        <v>4441</v>
      </c>
      <c r="M1919" t="s">
        <v>10812</v>
      </c>
      <c r="N1919">
        <v>2.0902262079999998</v>
      </c>
      <c r="O1919">
        <v>4.2704203920000001</v>
      </c>
      <c r="P1919">
        <v>0.23425843900000001</v>
      </c>
      <c r="Q1919">
        <v>1.6181978999999999E-2</v>
      </c>
      <c r="S1919" s="13">
        <v>-1.3660365510000001</v>
      </c>
      <c r="T1919">
        <v>-4.4074455999999998E-2</v>
      </c>
      <c r="U1919">
        <v>-0.23427756199999999</v>
      </c>
    </row>
    <row r="1920" spans="1:21" x14ac:dyDescent="0.2">
      <c r="A1920" t="s">
        <v>1190</v>
      </c>
      <c r="B1920">
        <v>479040</v>
      </c>
      <c r="C1920" t="s">
        <v>6945</v>
      </c>
      <c r="D1920" t="s">
        <v>1190</v>
      </c>
      <c r="E1920" t="s">
        <v>6921</v>
      </c>
      <c r="F1920">
        <v>17</v>
      </c>
      <c r="G1920">
        <v>8</v>
      </c>
      <c r="H1920" t="s">
        <v>10813</v>
      </c>
      <c r="J1920" t="s">
        <v>6073</v>
      </c>
      <c r="M1920" t="s">
        <v>10814</v>
      </c>
      <c r="N1920">
        <v>2.2220813349999999</v>
      </c>
      <c r="O1920">
        <v>6.5440947090000003</v>
      </c>
      <c r="P1920">
        <v>0.58228215500000002</v>
      </c>
      <c r="Q1920">
        <v>0.35188233000000002</v>
      </c>
      <c r="S1920" s="13">
        <v>-1.3664283420000001</v>
      </c>
      <c r="T1920">
        <v>-4.5786496000000003E-2</v>
      </c>
      <c r="U1920">
        <v>-0.243891945</v>
      </c>
    </row>
    <row r="1921" spans="1:21" x14ac:dyDescent="0.2">
      <c r="A1921" t="s">
        <v>311</v>
      </c>
      <c r="B1921">
        <v>478560</v>
      </c>
      <c r="C1921" t="s">
        <v>6945</v>
      </c>
      <c r="D1921" t="s">
        <v>311</v>
      </c>
      <c r="E1921" t="s">
        <v>7006</v>
      </c>
      <c r="F1921">
        <v>18</v>
      </c>
      <c r="G1921">
        <v>3</v>
      </c>
      <c r="H1921" t="s">
        <v>10815</v>
      </c>
      <c r="J1921" t="s">
        <v>4534</v>
      </c>
      <c r="M1921" t="s">
        <v>10816</v>
      </c>
      <c r="N1921">
        <v>2.2220813349999999</v>
      </c>
      <c r="O1921">
        <v>6.5440947090000003</v>
      </c>
      <c r="P1921">
        <v>0.58228215500000002</v>
      </c>
      <c r="Q1921">
        <v>0.35188233000000002</v>
      </c>
      <c r="S1921" s="13">
        <v>-1.366881096</v>
      </c>
      <c r="T1921">
        <v>-4.7764924E-2</v>
      </c>
      <c r="U1921">
        <v>-0.24428825200000001</v>
      </c>
    </row>
    <row r="1922" spans="1:21" x14ac:dyDescent="0.2">
      <c r="A1922" t="s">
        <v>2257</v>
      </c>
      <c r="B1922">
        <v>600120</v>
      </c>
      <c r="C1922" t="s">
        <v>6910</v>
      </c>
      <c r="D1922" t="s">
        <v>2257</v>
      </c>
      <c r="E1922" t="s">
        <v>6911</v>
      </c>
      <c r="F1922">
        <v>16</v>
      </c>
      <c r="G1922">
        <v>12</v>
      </c>
      <c r="H1922" t="s">
        <v>10817</v>
      </c>
      <c r="J1922" t="s">
        <v>5877</v>
      </c>
      <c r="M1922" t="s">
        <v>10818</v>
      </c>
      <c r="N1922">
        <v>1.9874741039999999</v>
      </c>
      <c r="O1922">
        <v>3.7453511220000002</v>
      </c>
      <c r="P1922">
        <v>0.451009722</v>
      </c>
      <c r="Q1922">
        <v>-0.102386592</v>
      </c>
      <c r="S1922" s="13">
        <v>-1.3670195599999999</v>
      </c>
      <c r="T1922">
        <v>-4.8369980999999999E-2</v>
      </c>
      <c r="U1922">
        <v>-0.14310569300000001</v>
      </c>
    </row>
    <row r="1923" spans="1:21" x14ac:dyDescent="0.2">
      <c r="A1923" t="s">
        <v>2499</v>
      </c>
      <c r="B1923">
        <v>706560</v>
      </c>
      <c r="C1923" t="s">
        <v>6914</v>
      </c>
      <c r="D1923" t="s">
        <v>2500</v>
      </c>
      <c r="E1923" t="s">
        <v>6977</v>
      </c>
      <c r="F1923">
        <v>9</v>
      </c>
      <c r="G1923">
        <v>5</v>
      </c>
      <c r="H1923" t="s">
        <v>10819</v>
      </c>
      <c r="J1923" t="s">
        <v>4158</v>
      </c>
      <c r="M1923" t="s">
        <v>10820</v>
      </c>
      <c r="N1923">
        <v>1.8217074179999999</v>
      </c>
      <c r="O1923">
        <v>4.1700741289999996</v>
      </c>
      <c r="P1923">
        <v>0.189705977</v>
      </c>
      <c r="Q1923">
        <v>-1.7194070999999998E-2</v>
      </c>
      <c r="S1923" s="13">
        <v>-1.367154988</v>
      </c>
      <c r="T1923">
        <v>-4.8961771000000001E-2</v>
      </c>
      <c r="U1923">
        <v>-0.205786461</v>
      </c>
    </row>
    <row r="1924" spans="1:21" x14ac:dyDescent="0.2">
      <c r="A1924" t="s">
        <v>901</v>
      </c>
      <c r="B1924">
        <v>593760</v>
      </c>
      <c r="C1924" t="s">
        <v>6906</v>
      </c>
      <c r="D1924" t="s">
        <v>902</v>
      </c>
      <c r="E1924" t="s">
        <v>6977</v>
      </c>
      <c r="F1924">
        <v>2</v>
      </c>
      <c r="G1924">
        <v>5</v>
      </c>
      <c r="H1924" t="s">
        <v>10821</v>
      </c>
      <c r="J1924" t="s">
        <v>2718</v>
      </c>
      <c r="M1924" t="s">
        <v>10822</v>
      </c>
      <c r="N1924">
        <v>1.813871112</v>
      </c>
      <c r="O1924">
        <v>2.6633694910000001</v>
      </c>
      <c r="P1924">
        <v>-0.29586356800000002</v>
      </c>
      <c r="Q1924">
        <v>-0.59018158399999998</v>
      </c>
      <c r="S1924" s="13">
        <v>-1.3673001600000001</v>
      </c>
      <c r="T1924">
        <v>-4.9596137999999998E-2</v>
      </c>
      <c r="U1924">
        <v>-0.17456667100000001</v>
      </c>
    </row>
    <row r="1925" spans="1:21" x14ac:dyDescent="0.2">
      <c r="A1925" t="s">
        <v>380</v>
      </c>
      <c r="B1925">
        <v>626640</v>
      </c>
      <c r="C1925" t="s">
        <v>6927</v>
      </c>
      <c r="D1925" t="s">
        <v>380</v>
      </c>
      <c r="E1925" t="s">
        <v>6928</v>
      </c>
      <c r="F1925">
        <v>16</v>
      </c>
      <c r="G1925">
        <v>16</v>
      </c>
      <c r="H1925" t="s">
        <v>10823</v>
      </c>
      <c r="J1925" t="s">
        <v>10824</v>
      </c>
      <c r="M1925" t="s">
        <v>10825</v>
      </c>
      <c r="N1925">
        <v>1.982575982</v>
      </c>
      <c r="O1925">
        <v>3.4571926419999999</v>
      </c>
      <c r="P1925">
        <v>-0.114791479</v>
      </c>
      <c r="Q1925">
        <v>1.868949E-3</v>
      </c>
      <c r="S1925" s="13">
        <v>-1.367516135</v>
      </c>
      <c r="T1925">
        <v>-5.0539900999999998E-2</v>
      </c>
      <c r="U1925">
        <v>-0.20562018700000001</v>
      </c>
    </row>
    <row r="1926" spans="1:21" x14ac:dyDescent="0.2">
      <c r="A1926" t="s">
        <v>832</v>
      </c>
      <c r="B1926">
        <v>626560</v>
      </c>
      <c r="C1926" t="s">
        <v>6927</v>
      </c>
      <c r="D1926" t="s">
        <v>832</v>
      </c>
      <c r="E1926" t="s">
        <v>6924</v>
      </c>
      <c r="F1926">
        <v>21</v>
      </c>
      <c r="G1926">
        <v>6</v>
      </c>
      <c r="H1926" t="s">
        <v>10826</v>
      </c>
      <c r="J1926" t="s">
        <v>10827</v>
      </c>
      <c r="M1926" t="s">
        <v>10828</v>
      </c>
      <c r="N1926">
        <v>1.982575982</v>
      </c>
      <c r="O1926">
        <v>3.4571926419999999</v>
      </c>
      <c r="P1926">
        <v>-0.114791479</v>
      </c>
      <c r="Q1926">
        <v>1.868949E-3</v>
      </c>
      <c r="S1926" s="13">
        <v>-1.367599145</v>
      </c>
      <c r="T1926">
        <v>-5.0902636000000001E-2</v>
      </c>
      <c r="U1926">
        <v>-0.205680643</v>
      </c>
    </row>
    <row r="1927" spans="1:21" x14ac:dyDescent="0.2">
      <c r="A1927" t="s">
        <v>295</v>
      </c>
      <c r="B1927">
        <v>599560</v>
      </c>
      <c r="C1927" t="s">
        <v>6910</v>
      </c>
      <c r="D1927" t="s">
        <v>295</v>
      </c>
      <c r="E1927" t="s">
        <v>6911</v>
      </c>
      <c r="F1927">
        <v>20</v>
      </c>
      <c r="G1927">
        <v>12</v>
      </c>
      <c r="H1927" t="s">
        <v>10829</v>
      </c>
      <c r="J1927" t="s">
        <v>3105</v>
      </c>
      <c r="M1927" t="s">
        <v>10830</v>
      </c>
      <c r="N1927">
        <v>1.9874741039999999</v>
      </c>
      <c r="O1927">
        <v>3.7453511220000002</v>
      </c>
      <c r="P1927">
        <v>0.451009722</v>
      </c>
      <c r="Q1927">
        <v>-0.102386592</v>
      </c>
      <c r="S1927" s="13">
        <v>-1.36762206</v>
      </c>
      <c r="T1927">
        <v>-5.1002770000000003E-2</v>
      </c>
      <c r="U1927">
        <v>-0.14347228000000001</v>
      </c>
    </row>
    <row r="1928" spans="1:21" x14ac:dyDescent="0.2">
      <c r="A1928" t="s">
        <v>99</v>
      </c>
      <c r="B1928">
        <v>691520</v>
      </c>
      <c r="C1928" t="s">
        <v>6953</v>
      </c>
      <c r="D1928" t="s">
        <v>101</v>
      </c>
      <c r="E1928" t="s">
        <v>6918</v>
      </c>
      <c r="F1928">
        <v>4</v>
      </c>
      <c r="G1928">
        <v>1</v>
      </c>
      <c r="H1928" t="s">
        <v>10831</v>
      </c>
      <c r="J1928" t="s">
        <v>3279</v>
      </c>
      <c r="M1928" t="s">
        <v>10832</v>
      </c>
      <c r="N1928">
        <v>1.921480887</v>
      </c>
      <c r="O1928">
        <v>3.0856645180000002</v>
      </c>
      <c r="P1928">
        <v>0.44706724399999997</v>
      </c>
      <c r="Q1928">
        <v>-0.354940863</v>
      </c>
      <c r="S1928" s="13">
        <v>-1.3676717789999999</v>
      </c>
      <c r="T1928">
        <v>-5.1220029E-2</v>
      </c>
      <c r="U1928">
        <v>-0.148147114</v>
      </c>
    </row>
    <row r="1929" spans="1:21" x14ac:dyDescent="0.2">
      <c r="A1929" t="s">
        <v>2257</v>
      </c>
      <c r="B1929">
        <v>536360</v>
      </c>
      <c r="C1929" t="s">
        <v>6931</v>
      </c>
      <c r="D1929" t="s">
        <v>2257</v>
      </c>
      <c r="E1929" t="s">
        <v>6911</v>
      </c>
      <c r="F1929">
        <v>16</v>
      </c>
      <c r="G1929">
        <v>12</v>
      </c>
      <c r="H1929" t="s">
        <v>10833</v>
      </c>
      <c r="N1929">
        <v>1.9323965059999999</v>
      </c>
      <c r="O1929">
        <v>3.0528020530000002</v>
      </c>
      <c r="P1929">
        <v>2.6493138999999999E-2</v>
      </c>
      <c r="Q1929">
        <v>-0.38692188</v>
      </c>
      <c r="S1929" s="13">
        <v>-1.367741935</v>
      </c>
      <c r="T1929">
        <v>-5.1526598E-2</v>
      </c>
      <c r="U1929">
        <v>-0.13378390500000001</v>
      </c>
    </row>
    <row r="1930" spans="1:21" x14ac:dyDescent="0.2">
      <c r="A1930" t="s">
        <v>42</v>
      </c>
      <c r="B1930">
        <v>706000</v>
      </c>
      <c r="C1930" t="s">
        <v>6914</v>
      </c>
      <c r="D1930" t="s">
        <v>42</v>
      </c>
      <c r="E1930" t="s">
        <v>6977</v>
      </c>
      <c r="F1930">
        <v>13</v>
      </c>
      <c r="G1930">
        <v>5</v>
      </c>
      <c r="H1930" t="s">
        <v>10834</v>
      </c>
      <c r="J1930" t="s">
        <v>44</v>
      </c>
      <c r="M1930" t="s">
        <v>10835</v>
      </c>
      <c r="N1930">
        <v>1.8217074179999999</v>
      </c>
      <c r="O1930">
        <v>4.1700741289999996</v>
      </c>
      <c r="P1930">
        <v>0.189705977</v>
      </c>
      <c r="Q1930">
        <v>-1.7194070999999998E-2</v>
      </c>
      <c r="S1930" s="13">
        <v>-1.367828534</v>
      </c>
      <c r="T1930">
        <v>-5.1905014999999999E-2</v>
      </c>
      <c r="U1930">
        <v>-0.20620999400000001</v>
      </c>
    </row>
    <row r="1931" spans="1:21" x14ac:dyDescent="0.2">
      <c r="A1931" t="s">
        <v>2421</v>
      </c>
      <c r="B1931">
        <v>536200</v>
      </c>
      <c r="C1931" t="s">
        <v>6931</v>
      </c>
      <c r="D1931" t="s">
        <v>2422</v>
      </c>
      <c r="E1931" t="s">
        <v>7085</v>
      </c>
      <c r="F1931">
        <v>8</v>
      </c>
      <c r="G1931">
        <v>9</v>
      </c>
      <c r="H1931" t="s">
        <v>10836</v>
      </c>
      <c r="N1931">
        <v>1.9323965059999999</v>
      </c>
      <c r="O1931">
        <v>3.0528020530000002</v>
      </c>
      <c r="P1931">
        <v>2.6493138999999999E-2</v>
      </c>
      <c r="Q1931">
        <v>-0.38692188</v>
      </c>
      <c r="S1931" s="13">
        <v>-1.367952171</v>
      </c>
      <c r="T1931">
        <v>-5.2445279999999997E-2</v>
      </c>
      <c r="U1931">
        <v>-0.13388638899999999</v>
      </c>
    </row>
    <row r="1932" spans="1:21" x14ac:dyDescent="0.2">
      <c r="A1932" t="s">
        <v>253</v>
      </c>
      <c r="B1932">
        <v>705840</v>
      </c>
      <c r="C1932" t="s">
        <v>6914</v>
      </c>
      <c r="D1932" t="s">
        <v>254</v>
      </c>
      <c r="E1932" t="s">
        <v>6939</v>
      </c>
      <c r="F1932">
        <v>4</v>
      </c>
      <c r="G1932">
        <v>2</v>
      </c>
      <c r="H1932" t="s">
        <v>10837</v>
      </c>
      <c r="J1932" t="s">
        <v>256</v>
      </c>
      <c r="M1932" t="s">
        <v>10838</v>
      </c>
      <c r="N1932">
        <v>1.8217074179999999</v>
      </c>
      <c r="O1932">
        <v>4.1700741289999996</v>
      </c>
      <c r="P1932">
        <v>0.189705977</v>
      </c>
      <c r="Q1932">
        <v>-1.7194070999999998E-2</v>
      </c>
      <c r="S1932" s="13">
        <v>-1.3680209759999999</v>
      </c>
      <c r="T1932">
        <v>-5.2745941999999997E-2</v>
      </c>
      <c r="U1932">
        <v>-0.206331079</v>
      </c>
    </row>
    <row r="1933" spans="1:21" x14ac:dyDescent="0.2">
      <c r="A1933" t="s">
        <v>1365</v>
      </c>
      <c r="B1933">
        <v>536040</v>
      </c>
      <c r="C1933" t="s">
        <v>6931</v>
      </c>
      <c r="D1933" t="s">
        <v>1365</v>
      </c>
      <c r="E1933" t="s">
        <v>6970</v>
      </c>
      <c r="F1933">
        <v>21</v>
      </c>
      <c r="G1933">
        <v>14</v>
      </c>
      <c r="H1933" t="s">
        <v>10839</v>
      </c>
      <c r="N1933">
        <v>1.9323965059999999</v>
      </c>
      <c r="O1933">
        <v>3.0528020530000002</v>
      </c>
      <c r="P1933">
        <v>2.6493138999999999E-2</v>
      </c>
      <c r="Q1933">
        <v>-0.38692188</v>
      </c>
      <c r="S1933" s="13">
        <v>-1.368162407</v>
      </c>
      <c r="T1933">
        <v>-5.3363963E-2</v>
      </c>
      <c r="U1933">
        <v>-0.133988897</v>
      </c>
    </row>
    <row r="1934" spans="1:21" x14ac:dyDescent="0.2">
      <c r="A1934" t="s">
        <v>345</v>
      </c>
      <c r="B1934">
        <v>705480</v>
      </c>
      <c r="C1934" t="s">
        <v>6914</v>
      </c>
      <c r="D1934" t="s">
        <v>345</v>
      </c>
      <c r="E1934" t="s">
        <v>6918</v>
      </c>
      <c r="F1934">
        <v>19</v>
      </c>
      <c r="G1934">
        <v>1</v>
      </c>
      <c r="H1934" t="s">
        <v>10840</v>
      </c>
      <c r="J1934" t="s">
        <v>2635</v>
      </c>
      <c r="M1934" t="s">
        <v>10841</v>
      </c>
      <c r="N1934">
        <v>1.8217074179999999</v>
      </c>
      <c r="O1934">
        <v>4.1700741289999996</v>
      </c>
      <c r="P1934">
        <v>0.189705977</v>
      </c>
      <c r="Q1934">
        <v>-1.7194070999999998E-2</v>
      </c>
      <c r="S1934" s="13">
        <v>-1.36845397</v>
      </c>
      <c r="T1934">
        <v>-5.4638026999999999E-2</v>
      </c>
      <c r="U1934">
        <v>-0.206603644</v>
      </c>
    </row>
    <row r="1935" spans="1:21" x14ac:dyDescent="0.2">
      <c r="A1935" t="s">
        <v>779</v>
      </c>
      <c r="B1935">
        <v>592920</v>
      </c>
      <c r="C1935" t="s">
        <v>6906</v>
      </c>
      <c r="D1935" t="s">
        <v>780</v>
      </c>
      <c r="E1935" t="s">
        <v>7006</v>
      </c>
      <c r="F1935">
        <v>8</v>
      </c>
      <c r="G1935">
        <v>3</v>
      </c>
      <c r="H1935" t="s">
        <v>10842</v>
      </c>
      <c r="J1935" t="s">
        <v>782</v>
      </c>
      <c r="M1935" t="s">
        <v>10843</v>
      </c>
      <c r="N1935">
        <v>1.813871112</v>
      </c>
      <c r="O1935">
        <v>2.6633694910000001</v>
      </c>
      <c r="P1935">
        <v>-0.29586356800000002</v>
      </c>
      <c r="Q1935">
        <v>-0.59018158399999998</v>
      </c>
      <c r="S1935" s="13">
        <v>-1.368518787</v>
      </c>
      <c r="T1935">
        <v>-5.4921261999999998E-2</v>
      </c>
      <c r="U1935">
        <v>-0.175158018</v>
      </c>
    </row>
    <row r="1936" spans="1:21" x14ac:dyDescent="0.2">
      <c r="A1936" t="s">
        <v>1362</v>
      </c>
      <c r="B1936">
        <v>598600</v>
      </c>
      <c r="C1936" t="s">
        <v>6910</v>
      </c>
      <c r="D1936" t="s">
        <v>1362</v>
      </c>
      <c r="E1936" t="s">
        <v>7115</v>
      </c>
      <c r="F1936">
        <v>22</v>
      </c>
      <c r="G1936">
        <v>10</v>
      </c>
      <c r="H1936" t="s">
        <v>10844</v>
      </c>
      <c r="J1936" t="s">
        <v>2985</v>
      </c>
      <c r="M1936" t="s">
        <v>10845</v>
      </c>
      <c r="N1936">
        <v>1.9874741039999999</v>
      </c>
      <c r="O1936">
        <v>3.7453511220000002</v>
      </c>
      <c r="P1936">
        <v>0.451009722</v>
      </c>
      <c r="Q1936">
        <v>-0.102386592</v>
      </c>
      <c r="S1936" s="13">
        <v>-1.3686549180000001</v>
      </c>
      <c r="T1936">
        <v>-5.5516122000000001E-2</v>
      </c>
      <c r="U1936">
        <v>-0.144101436</v>
      </c>
    </row>
    <row r="1937" spans="1:21" x14ac:dyDescent="0.2">
      <c r="A1937" t="s">
        <v>622</v>
      </c>
      <c r="B1937">
        <v>266720</v>
      </c>
      <c r="C1937" t="s">
        <v>6961</v>
      </c>
      <c r="D1937" t="s">
        <v>622</v>
      </c>
      <c r="E1937" t="s">
        <v>6928</v>
      </c>
      <c r="F1937">
        <v>10</v>
      </c>
      <c r="G1937">
        <v>16</v>
      </c>
      <c r="H1937" t="s">
        <v>10846</v>
      </c>
      <c r="J1937" t="s">
        <v>5909</v>
      </c>
      <c r="M1937" t="s">
        <v>10847</v>
      </c>
      <c r="N1937">
        <v>2.7247480949999998</v>
      </c>
      <c r="O1937">
        <v>7.0822175119999997</v>
      </c>
      <c r="P1937">
        <v>0.61298291999999999</v>
      </c>
      <c r="Q1937">
        <v>0.48262032500000002</v>
      </c>
      <c r="S1937" s="13">
        <v>-1.368655204</v>
      </c>
      <c r="T1937">
        <v>-5.5517373000000002E-2</v>
      </c>
      <c r="U1937">
        <v>-0.28847273899999998</v>
      </c>
    </row>
    <row r="1938" spans="1:21" x14ac:dyDescent="0.2">
      <c r="A1938" t="s">
        <v>277</v>
      </c>
      <c r="B1938">
        <v>558680</v>
      </c>
      <c r="C1938" t="s">
        <v>6942</v>
      </c>
      <c r="D1938" t="s">
        <v>277</v>
      </c>
      <c r="E1938" t="s">
        <v>7085</v>
      </c>
      <c r="F1938">
        <v>22</v>
      </c>
      <c r="G1938">
        <v>9</v>
      </c>
      <c r="H1938" t="s">
        <v>10848</v>
      </c>
      <c r="J1938" t="s">
        <v>3953</v>
      </c>
      <c r="M1938" t="s">
        <v>10849</v>
      </c>
      <c r="N1938">
        <v>2.0902262079999998</v>
      </c>
      <c r="O1938">
        <v>4.2704203920000001</v>
      </c>
      <c r="P1938">
        <v>0.23425843900000001</v>
      </c>
      <c r="Q1938">
        <v>1.6181978999999999E-2</v>
      </c>
      <c r="S1938" s="13">
        <v>-1.3689024990000001</v>
      </c>
      <c r="T1938">
        <v>-5.6597993999999999E-2</v>
      </c>
      <c r="U1938">
        <v>-0.236640987</v>
      </c>
    </row>
    <row r="1939" spans="1:21" x14ac:dyDescent="0.2">
      <c r="A1939" t="s">
        <v>868</v>
      </c>
      <c r="B1939">
        <v>705040</v>
      </c>
      <c r="C1939" t="s">
        <v>6914</v>
      </c>
      <c r="D1939" t="s">
        <v>869</v>
      </c>
      <c r="E1939" t="s">
        <v>7115</v>
      </c>
      <c r="F1939">
        <v>4</v>
      </c>
      <c r="G1939">
        <v>10</v>
      </c>
      <c r="H1939" t="s">
        <v>10850</v>
      </c>
      <c r="J1939" t="s">
        <v>6627</v>
      </c>
      <c r="M1939" t="s">
        <v>10851</v>
      </c>
      <c r="N1939">
        <v>1.8217074179999999</v>
      </c>
      <c r="O1939">
        <v>4.1700741289999996</v>
      </c>
      <c r="P1939">
        <v>0.189705977</v>
      </c>
      <c r="Q1939">
        <v>-1.7194070999999998E-2</v>
      </c>
      <c r="S1939" s="13">
        <v>-1.368983185</v>
      </c>
      <c r="T1939">
        <v>-5.6950576000000003E-2</v>
      </c>
      <c r="U1939">
        <v>-0.206937011</v>
      </c>
    </row>
    <row r="1940" spans="1:21" x14ac:dyDescent="0.2">
      <c r="A1940" t="s">
        <v>2764</v>
      </c>
      <c r="B1940">
        <v>690200</v>
      </c>
      <c r="C1940" t="s">
        <v>6953</v>
      </c>
      <c r="D1940" t="s">
        <v>2764</v>
      </c>
      <c r="E1940" t="s">
        <v>6921</v>
      </c>
      <c r="F1940">
        <v>12</v>
      </c>
      <c r="G1940">
        <v>8</v>
      </c>
      <c r="H1940" t="s">
        <v>10852</v>
      </c>
      <c r="J1940" t="s">
        <v>4409</v>
      </c>
      <c r="M1940" t="s">
        <v>10853</v>
      </c>
      <c r="N1940">
        <v>1.921480887</v>
      </c>
      <c r="O1940">
        <v>3.0856645180000002</v>
      </c>
      <c r="P1940">
        <v>0.44706724399999997</v>
      </c>
      <c r="Q1940">
        <v>-0.354940863</v>
      </c>
      <c r="S1940" s="13">
        <v>-1.369041443</v>
      </c>
      <c r="T1940">
        <v>-5.7205146999999998E-2</v>
      </c>
      <c r="U1940">
        <v>-0.149021813</v>
      </c>
    </row>
    <row r="1941" spans="1:21" x14ac:dyDescent="0.2">
      <c r="A1941" t="s">
        <v>1811</v>
      </c>
      <c r="B1941">
        <v>558320</v>
      </c>
      <c r="C1941" t="s">
        <v>6942</v>
      </c>
      <c r="D1941" t="s">
        <v>1811</v>
      </c>
      <c r="E1941" t="s">
        <v>7085</v>
      </c>
      <c r="F1941">
        <v>15</v>
      </c>
      <c r="G1941">
        <v>9</v>
      </c>
      <c r="H1941" t="s">
        <v>10854</v>
      </c>
      <c r="J1941" t="s">
        <v>3232</v>
      </c>
      <c r="M1941" t="s">
        <v>10855</v>
      </c>
      <c r="N1941">
        <v>2.0902262079999998</v>
      </c>
      <c r="O1941">
        <v>4.2704203920000001</v>
      </c>
      <c r="P1941">
        <v>0.23425843900000001</v>
      </c>
      <c r="Q1941">
        <v>1.6181978999999999E-2</v>
      </c>
      <c r="S1941" s="13">
        <v>-1.3692558349999999</v>
      </c>
      <c r="T1941">
        <v>-5.8141992000000003E-2</v>
      </c>
      <c r="U1941">
        <v>-0.23693326100000001</v>
      </c>
    </row>
    <row r="1942" spans="1:21" x14ac:dyDescent="0.2">
      <c r="A1942" t="s">
        <v>482</v>
      </c>
      <c r="B1942">
        <v>624960</v>
      </c>
      <c r="C1942" t="s">
        <v>6927</v>
      </c>
      <c r="D1942" t="s">
        <v>482</v>
      </c>
      <c r="E1942" t="s">
        <v>6946</v>
      </c>
      <c r="F1942">
        <v>15</v>
      </c>
      <c r="G1942">
        <v>11</v>
      </c>
      <c r="H1942" t="s">
        <v>10856</v>
      </c>
      <c r="J1942" t="s">
        <v>10857</v>
      </c>
      <c r="M1942" t="s">
        <v>10858</v>
      </c>
      <c r="N1942">
        <v>1.982575982</v>
      </c>
      <c r="O1942">
        <v>3.4571926419999999</v>
      </c>
      <c r="P1942">
        <v>-0.114791479</v>
      </c>
      <c r="Q1942">
        <v>1.868949E-3</v>
      </c>
      <c r="S1942" s="13">
        <v>-1.369259344</v>
      </c>
      <c r="T1942">
        <v>-5.8157325000000003E-2</v>
      </c>
      <c r="U1942">
        <v>-0.20689153699999999</v>
      </c>
    </row>
    <row r="1943" spans="1:21" x14ac:dyDescent="0.2">
      <c r="A1943" t="s">
        <v>111</v>
      </c>
      <c r="B1943">
        <v>704440</v>
      </c>
      <c r="C1943" t="s">
        <v>6914</v>
      </c>
      <c r="D1943" t="s">
        <v>112</v>
      </c>
      <c r="E1943" t="s">
        <v>6970</v>
      </c>
      <c r="F1943">
        <v>2</v>
      </c>
      <c r="G1943">
        <v>14</v>
      </c>
      <c r="H1943" t="s">
        <v>10859</v>
      </c>
      <c r="J1943" t="s">
        <v>2176</v>
      </c>
      <c r="M1943" t="s">
        <v>10860</v>
      </c>
      <c r="N1943">
        <v>1.8217074179999999</v>
      </c>
      <c r="O1943">
        <v>4.1700741289999996</v>
      </c>
      <c r="P1943">
        <v>0.189705977</v>
      </c>
      <c r="Q1943">
        <v>-1.7194070999999998E-2</v>
      </c>
      <c r="S1943" s="13">
        <v>-1.369704842</v>
      </c>
      <c r="T1943">
        <v>-6.0104051999999998E-2</v>
      </c>
      <c r="U1943">
        <v>-0.20739201600000001</v>
      </c>
    </row>
    <row r="1944" spans="1:21" x14ac:dyDescent="0.2">
      <c r="A1944" t="s">
        <v>2457</v>
      </c>
      <c r="B1944">
        <v>689200</v>
      </c>
      <c r="C1944" t="s">
        <v>6953</v>
      </c>
      <c r="D1944" t="s">
        <v>2458</v>
      </c>
      <c r="E1944" t="s">
        <v>7115</v>
      </c>
      <c r="F1944">
        <v>5</v>
      </c>
      <c r="G1944">
        <v>10</v>
      </c>
      <c r="H1944" t="s">
        <v>10861</v>
      </c>
      <c r="J1944" t="s">
        <v>5377</v>
      </c>
      <c r="M1944" t="s">
        <v>10862</v>
      </c>
      <c r="N1944">
        <v>1.921480887</v>
      </c>
      <c r="O1944">
        <v>3.0856645180000002</v>
      </c>
      <c r="P1944">
        <v>0.44706724399999997</v>
      </c>
      <c r="Q1944">
        <v>-0.354940863</v>
      </c>
      <c r="S1944" s="13">
        <v>-1.370079067</v>
      </c>
      <c r="T1944">
        <v>-6.1739328000000003E-2</v>
      </c>
      <c r="U1944">
        <v>-0.14968563800000001</v>
      </c>
    </row>
    <row r="1945" spans="1:21" x14ac:dyDescent="0.2">
      <c r="A1945" t="s">
        <v>1391</v>
      </c>
      <c r="B1945">
        <v>597080</v>
      </c>
      <c r="C1945" t="s">
        <v>6910</v>
      </c>
      <c r="D1945" t="s">
        <v>1391</v>
      </c>
      <c r="E1945" t="s">
        <v>7085</v>
      </c>
      <c r="F1945">
        <v>12</v>
      </c>
      <c r="G1945">
        <v>9</v>
      </c>
      <c r="H1945" t="s">
        <v>10863</v>
      </c>
      <c r="J1945" t="s">
        <v>4521</v>
      </c>
      <c r="M1945" t="s">
        <v>10864</v>
      </c>
      <c r="N1945">
        <v>1.9874741039999999</v>
      </c>
      <c r="O1945">
        <v>3.7453511220000002</v>
      </c>
      <c r="P1945">
        <v>0.451009722</v>
      </c>
      <c r="Q1945">
        <v>-0.102386592</v>
      </c>
      <c r="S1945" s="13">
        <v>-1.370290276</v>
      </c>
      <c r="T1945">
        <v>-6.2662262999999996E-2</v>
      </c>
      <c r="U1945">
        <v>-0.14509946700000001</v>
      </c>
    </row>
    <row r="1946" spans="1:21" x14ac:dyDescent="0.2">
      <c r="A1946" t="s">
        <v>1811</v>
      </c>
      <c r="B1946">
        <v>474920</v>
      </c>
      <c r="C1946" t="s">
        <v>6945</v>
      </c>
      <c r="D1946" t="s">
        <v>1811</v>
      </c>
      <c r="E1946" t="s">
        <v>7085</v>
      </c>
      <c r="F1946">
        <v>15</v>
      </c>
      <c r="G1946">
        <v>9</v>
      </c>
      <c r="H1946" t="s">
        <v>10865</v>
      </c>
      <c r="J1946" t="s">
        <v>3992</v>
      </c>
      <c r="M1946" t="s">
        <v>10866</v>
      </c>
      <c r="N1946">
        <v>2.2220813349999999</v>
      </c>
      <c r="O1946">
        <v>6.5440947090000003</v>
      </c>
      <c r="P1946">
        <v>0.58228215500000002</v>
      </c>
      <c r="Q1946">
        <v>0.35188233000000002</v>
      </c>
      <c r="S1946" s="13">
        <v>-1.370314475</v>
      </c>
      <c r="T1946">
        <v>-6.2768007000000001E-2</v>
      </c>
      <c r="U1946">
        <v>-0.247305407</v>
      </c>
    </row>
    <row r="1947" spans="1:21" x14ac:dyDescent="0.2">
      <c r="A1947" t="s">
        <v>2188</v>
      </c>
      <c r="B1947">
        <v>474560</v>
      </c>
      <c r="C1947" t="s">
        <v>6945</v>
      </c>
      <c r="D1947" t="s">
        <v>2188</v>
      </c>
      <c r="E1947" t="s">
        <v>6907</v>
      </c>
      <c r="F1947">
        <v>11</v>
      </c>
      <c r="G1947">
        <v>4</v>
      </c>
      <c r="H1947" t="s">
        <v>10867</v>
      </c>
      <c r="J1947" t="s">
        <v>5135</v>
      </c>
      <c r="M1947" t="s">
        <v>10868</v>
      </c>
      <c r="N1947">
        <v>2.2220813349999999</v>
      </c>
      <c r="O1947">
        <v>6.5440947090000003</v>
      </c>
      <c r="P1947">
        <v>0.58228215500000002</v>
      </c>
      <c r="Q1947">
        <v>0.35188233000000002</v>
      </c>
      <c r="S1947" s="13">
        <v>-1.37065404</v>
      </c>
      <c r="T1947">
        <v>-6.4251827999999997E-2</v>
      </c>
      <c r="U1947">
        <v>-0.24760494899999999</v>
      </c>
    </row>
    <row r="1948" spans="1:21" x14ac:dyDescent="0.2">
      <c r="A1948" t="s">
        <v>1431</v>
      </c>
      <c r="B1948">
        <v>534120</v>
      </c>
      <c r="C1948" t="s">
        <v>6931</v>
      </c>
      <c r="D1948" t="s">
        <v>1431</v>
      </c>
      <c r="E1948" t="s">
        <v>7115</v>
      </c>
      <c r="F1948">
        <v>11</v>
      </c>
      <c r="G1948">
        <v>10</v>
      </c>
      <c r="H1948" t="s">
        <v>10869</v>
      </c>
      <c r="N1948">
        <v>1.9323965059999999</v>
      </c>
      <c r="O1948">
        <v>3.0528020530000002</v>
      </c>
      <c r="P1948">
        <v>2.6493138999999999E-2</v>
      </c>
      <c r="Q1948">
        <v>-0.38692188</v>
      </c>
      <c r="S1948" s="13">
        <v>-1.3706852380000001</v>
      </c>
      <c r="T1948">
        <v>-6.4388155000000002E-2</v>
      </c>
      <c r="U1948">
        <v>-0.13522088400000001</v>
      </c>
    </row>
    <row r="1949" spans="1:21" x14ac:dyDescent="0.2">
      <c r="A1949" t="s">
        <v>730</v>
      </c>
      <c r="B1949">
        <v>688360</v>
      </c>
      <c r="C1949" t="s">
        <v>6953</v>
      </c>
      <c r="D1949" t="s">
        <v>731</v>
      </c>
      <c r="E1949" t="s">
        <v>6946</v>
      </c>
      <c r="F1949">
        <v>4</v>
      </c>
      <c r="G1949">
        <v>11</v>
      </c>
      <c r="H1949" t="s">
        <v>10870</v>
      </c>
      <c r="J1949" t="s">
        <v>733</v>
      </c>
      <c r="M1949" t="s">
        <v>10871</v>
      </c>
      <c r="N1949">
        <v>1.921480887</v>
      </c>
      <c r="O1949">
        <v>3.0856645180000002</v>
      </c>
      <c r="P1949">
        <v>0.44706724399999997</v>
      </c>
      <c r="Q1949">
        <v>-0.354940863</v>
      </c>
      <c r="S1949" s="13">
        <v>-1.3709506709999999</v>
      </c>
      <c r="T1949">
        <v>-6.5548040000000002E-2</v>
      </c>
      <c r="U1949">
        <v>-0.150244037</v>
      </c>
    </row>
    <row r="1950" spans="1:21" x14ac:dyDescent="0.2">
      <c r="A1950" t="s">
        <v>924</v>
      </c>
      <c r="B1950">
        <v>596280</v>
      </c>
      <c r="C1950" t="s">
        <v>6910</v>
      </c>
      <c r="D1950" t="s">
        <v>924</v>
      </c>
      <c r="E1950" t="s">
        <v>7115</v>
      </c>
      <c r="F1950">
        <v>17</v>
      </c>
      <c r="G1950">
        <v>10</v>
      </c>
      <c r="H1950" t="s">
        <v>10872</v>
      </c>
      <c r="J1950" t="s">
        <v>3267</v>
      </c>
      <c r="M1950" t="s">
        <v>10873</v>
      </c>
      <c r="N1950">
        <v>1.9874741039999999</v>
      </c>
      <c r="O1950">
        <v>3.7453511220000002</v>
      </c>
      <c r="P1950">
        <v>0.451009722</v>
      </c>
      <c r="Q1950">
        <v>-0.102386592</v>
      </c>
      <c r="S1950" s="13">
        <v>-1.3711509909999999</v>
      </c>
      <c r="T1950">
        <v>-6.6423390999999998E-2</v>
      </c>
      <c r="U1950">
        <v>-0.14562567000000001</v>
      </c>
    </row>
    <row r="1951" spans="1:21" x14ac:dyDescent="0.2">
      <c r="A1951" t="s">
        <v>2294</v>
      </c>
      <c r="B1951">
        <v>633240</v>
      </c>
      <c r="C1951" t="s">
        <v>6938</v>
      </c>
      <c r="D1951" t="s">
        <v>2294</v>
      </c>
      <c r="E1951" t="s">
        <v>7085</v>
      </c>
      <c r="F1951">
        <v>20</v>
      </c>
      <c r="G1951">
        <v>9</v>
      </c>
      <c r="H1951" t="s">
        <v>10874</v>
      </c>
      <c r="J1951" t="s">
        <v>2296</v>
      </c>
      <c r="M1951" t="s">
        <v>10875</v>
      </c>
      <c r="N1951">
        <v>2.092758737</v>
      </c>
      <c r="O1951">
        <v>5.3323610669999999</v>
      </c>
      <c r="P1951">
        <v>0.70420098600000003</v>
      </c>
      <c r="Q1951">
        <v>0.41355372699999998</v>
      </c>
      <c r="S1951" s="13">
        <v>-1.371281347</v>
      </c>
      <c r="T1951">
        <v>-6.6993015000000003E-2</v>
      </c>
      <c r="U1951">
        <v>-0.22697765</v>
      </c>
    </row>
    <row r="1952" spans="1:21" x14ac:dyDescent="0.2">
      <c r="A1952" t="s">
        <v>153</v>
      </c>
      <c r="B1952">
        <v>688040</v>
      </c>
      <c r="C1952" t="s">
        <v>6953</v>
      </c>
      <c r="D1952" t="s">
        <v>153</v>
      </c>
      <c r="E1952" t="s">
        <v>6928</v>
      </c>
      <c r="F1952">
        <v>14</v>
      </c>
      <c r="G1952">
        <v>16</v>
      </c>
      <c r="H1952" t="s">
        <v>10876</v>
      </c>
      <c r="J1952" t="s">
        <v>155</v>
      </c>
      <c r="M1952" t="s">
        <v>10877</v>
      </c>
      <c r="N1952">
        <v>1.921480887</v>
      </c>
      <c r="O1952">
        <v>3.0856645180000002</v>
      </c>
      <c r="P1952">
        <v>0.44706724399999997</v>
      </c>
      <c r="Q1952">
        <v>-0.354940863</v>
      </c>
      <c r="S1952" s="13">
        <v>-1.3712827110000001</v>
      </c>
      <c r="T1952">
        <v>-6.6998978000000001E-2</v>
      </c>
      <c r="U1952">
        <v>-0.15045694900000001</v>
      </c>
    </row>
    <row r="1953" spans="1:21" x14ac:dyDescent="0.2">
      <c r="A1953" t="s">
        <v>116</v>
      </c>
      <c r="B1953">
        <v>533600</v>
      </c>
      <c r="C1953" t="s">
        <v>6931</v>
      </c>
      <c r="D1953" t="s">
        <v>117</v>
      </c>
      <c r="E1953" t="s">
        <v>6921</v>
      </c>
      <c r="F1953">
        <v>3</v>
      </c>
      <c r="G1953">
        <v>8</v>
      </c>
      <c r="H1953" t="s">
        <v>10878</v>
      </c>
      <c r="J1953" t="s">
        <v>873</v>
      </c>
      <c r="M1953" t="s">
        <v>10879</v>
      </c>
      <c r="N1953">
        <v>1.9323965059999999</v>
      </c>
      <c r="O1953">
        <v>3.0528020530000002</v>
      </c>
      <c r="P1953">
        <v>2.6493138999999999E-2</v>
      </c>
      <c r="Q1953">
        <v>-0.38692188</v>
      </c>
      <c r="S1953" s="13">
        <v>-1.3713685040000001</v>
      </c>
      <c r="T1953">
        <v>-6.7373873000000001E-2</v>
      </c>
      <c r="U1953">
        <v>-0.13555515000000001</v>
      </c>
    </row>
    <row r="1954" spans="1:21" x14ac:dyDescent="0.2">
      <c r="A1954" t="s">
        <v>968</v>
      </c>
      <c r="B1954">
        <v>633000</v>
      </c>
      <c r="C1954" t="s">
        <v>6938</v>
      </c>
      <c r="D1954" t="s">
        <v>969</v>
      </c>
      <c r="E1954" t="s">
        <v>6970</v>
      </c>
      <c r="F1954">
        <v>7</v>
      </c>
      <c r="G1954">
        <v>14</v>
      </c>
      <c r="H1954" t="s">
        <v>10880</v>
      </c>
      <c r="J1954" t="s">
        <v>3157</v>
      </c>
      <c r="M1954" t="s">
        <v>10881</v>
      </c>
      <c r="N1954">
        <v>2.092758737</v>
      </c>
      <c r="O1954">
        <v>5.3323610669999999</v>
      </c>
      <c r="P1954">
        <v>0.70420098600000003</v>
      </c>
      <c r="Q1954">
        <v>0.41355372699999998</v>
      </c>
      <c r="S1954" s="13">
        <v>-1.3714874610000001</v>
      </c>
      <c r="T1954">
        <v>-6.7893688999999993E-2</v>
      </c>
      <c r="U1954">
        <v>-0.22716818999999999</v>
      </c>
    </row>
    <row r="1955" spans="1:21" x14ac:dyDescent="0.2">
      <c r="A1955" t="s">
        <v>23</v>
      </c>
      <c r="B1955">
        <v>556040</v>
      </c>
      <c r="C1955" t="s">
        <v>6942</v>
      </c>
      <c r="D1955" t="s">
        <v>23</v>
      </c>
      <c r="E1955" t="s">
        <v>6907</v>
      </c>
      <c r="F1955">
        <v>18</v>
      </c>
      <c r="G1955">
        <v>4</v>
      </c>
      <c r="H1955" t="s">
        <v>10882</v>
      </c>
      <c r="J1955" t="s">
        <v>1918</v>
      </c>
      <c r="M1955" t="s">
        <v>10883</v>
      </c>
      <c r="N1955">
        <v>2.0902262079999998</v>
      </c>
      <c r="O1955">
        <v>4.2704203920000001</v>
      </c>
      <c r="P1955">
        <v>0.23425843900000001</v>
      </c>
      <c r="Q1955">
        <v>1.6181978999999999E-2</v>
      </c>
      <c r="S1955" s="13">
        <v>-1.37149363</v>
      </c>
      <c r="T1955">
        <v>-6.7920646000000001E-2</v>
      </c>
      <c r="U1955">
        <v>-0.23878890999999999</v>
      </c>
    </row>
    <row r="1956" spans="1:21" x14ac:dyDescent="0.2">
      <c r="A1956" t="s">
        <v>663</v>
      </c>
      <c r="B1956">
        <v>632960</v>
      </c>
      <c r="C1956" t="s">
        <v>6938</v>
      </c>
      <c r="D1956" t="s">
        <v>663</v>
      </c>
      <c r="E1956" t="s">
        <v>6918</v>
      </c>
      <c r="F1956">
        <v>15</v>
      </c>
      <c r="G1956">
        <v>1</v>
      </c>
      <c r="H1956" t="s">
        <v>10884</v>
      </c>
      <c r="J1956" t="s">
        <v>4830</v>
      </c>
      <c r="M1956" t="s">
        <v>10885</v>
      </c>
      <c r="N1956">
        <v>2.092758737</v>
      </c>
      <c r="O1956">
        <v>5.3323610669999999</v>
      </c>
      <c r="P1956">
        <v>0.70420098600000003</v>
      </c>
      <c r="Q1956">
        <v>0.41355372699999998</v>
      </c>
      <c r="S1956" s="13">
        <v>-1.3715218140000001</v>
      </c>
      <c r="T1956">
        <v>-6.8043802E-2</v>
      </c>
      <c r="U1956">
        <v>-0.22719995400000001</v>
      </c>
    </row>
    <row r="1957" spans="1:21" x14ac:dyDescent="0.2">
      <c r="A1957" t="s">
        <v>603</v>
      </c>
      <c r="B1957">
        <v>632800</v>
      </c>
      <c r="C1957" t="s">
        <v>6938</v>
      </c>
      <c r="D1957" t="s">
        <v>604</v>
      </c>
      <c r="E1957" t="s">
        <v>6911</v>
      </c>
      <c r="F1957">
        <v>8</v>
      </c>
      <c r="G1957">
        <v>12</v>
      </c>
      <c r="H1957" t="s">
        <v>10886</v>
      </c>
      <c r="J1957" t="s">
        <v>3635</v>
      </c>
      <c r="M1957" t="s">
        <v>10887</v>
      </c>
      <c r="N1957">
        <v>2.092758737</v>
      </c>
      <c r="O1957">
        <v>5.3323610669999999</v>
      </c>
      <c r="P1957">
        <v>0.70420098600000003</v>
      </c>
      <c r="Q1957">
        <v>0.41355372699999998</v>
      </c>
      <c r="S1957" s="13">
        <v>-1.3716592240000001</v>
      </c>
      <c r="T1957">
        <v>-6.8644251000000003E-2</v>
      </c>
      <c r="U1957">
        <v>-0.22732703600000001</v>
      </c>
    </row>
    <row r="1958" spans="1:21" x14ac:dyDescent="0.2">
      <c r="A1958" t="s">
        <v>1739</v>
      </c>
      <c r="B1958">
        <v>555840</v>
      </c>
      <c r="C1958" t="s">
        <v>6942</v>
      </c>
      <c r="D1958" t="s">
        <v>1739</v>
      </c>
      <c r="E1958" t="s">
        <v>7085</v>
      </c>
      <c r="F1958">
        <v>10</v>
      </c>
      <c r="G1958">
        <v>9</v>
      </c>
      <c r="H1958" t="s">
        <v>10888</v>
      </c>
      <c r="J1958" t="s">
        <v>1741</v>
      </c>
      <c r="M1958" t="s">
        <v>10889</v>
      </c>
      <c r="N1958">
        <v>2.0902262079999998</v>
      </c>
      <c r="O1958">
        <v>4.2704203920000001</v>
      </c>
      <c r="P1958">
        <v>0.23425843900000001</v>
      </c>
      <c r="Q1958">
        <v>1.6181978999999999E-2</v>
      </c>
      <c r="S1958" s="13">
        <v>-1.3716899279999999</v>
      </c>
      <c r="T1958">
        <v>-6.8778422000000006E-2</v>
      </c>
      <c r="U1958">
        <v>-0.23895206499999999</v>
      </c>
    </row>
    <row r="1959" spans="1:21" x14ac:dyDescent="0.2">
      <c r="A1959" t="s">
        <v>1349</v>
      </c>
      <c r="B1959">
        <v>590720</v>
      </c>
      <c r="C1959" t="s">
        <v>6906</v>
      </c>
      <c r="D1959" t="s">
        <v>1350</v>
      </c>
      <c r="E1959" t="s">
        <v>6939</v>
      </c>
      <c r="F1959">
        <v>6</v>
      </c>
      <c r="G1959">
        <v>2</v>
      </c>
      <c r="H1959" t="s">
        <v>10890</v>
      </c>
      <c r="J1959" t="s">
        <v>2249</v>
      </c>
      <c r="M1959" t="s">
        <v>10891</v>
      </c>
      <c r="N1959">
        <v>1.813871112</v>
      </c>
      <c r="O1959">
        <v>2.6633694910000001</v>
      </c>
      <c r="P1959">
        <v>-0.29586356800000002</v>
      </c>
      <c r="Q1959">
        <v>-0.59018158399999998</v>
      </c>
      <c r="S1959" s="13">
        <v>-1.3717104309999999</v>
      </c>
      <c r="T1959">
        <v>-6.8868015000000005E-2</v>
      </c>
      <c r="U1959">
        <v>-0.17671060799999999</v>
      </c>
    </row>
    <row r="1960" spans="1:21" x14ac:dyDescent="0.2">
      <c r="A1960" t="s">
        <v>650</v>
      </c>
      <c r="B1960">
        <v>555600</v>
      </c>
      <c r="C1960" t="s">
        <v>6942</v>
      </c>
      <c r="D1960" t="s">
        <v>651</v>
      </c>
      <c r="E1960" t="s">
        <v>7085</v>
      </c>
      <c r="F1960">
        <v>9</v>
      </c>
      <c r="G1960">
        <v>9</v>
      </c>
      <c r="H1960" t="s">
        <v>10892</v>
      </c>
      <c r="J1960" t="s">
        <v>4479</v>
      </c>
      <c r="M1960" t="s">
        <v>10893</v>
      </c>
      <c r="N1960">
        <v>2.0902262079999998</v>
      </c>
      <c r="O1960">
        <v>4.2704203920000001</v>
      </c>
      <c r="P1960">
        <v>0.23425843900000001</v>
      </c>
      <c r="Q1960">
        <v>1.6181978999999999E-2</v>
      </c>
      <c r="S1960" s="13">
        <v>-1.371925485</v>
      </c>
      <c r="T1960">
        <v>-6.9807754E-2</v>
      </c>
      <c r="U1960">
        <v>-0.23914793200000001</v>
      </c>
    </row>
    <row r="1961" spans="1:21" x14ac:dyDescent="0.2">
      <c r="A1961" t="s">
        <v>1714</v>
      </c>
      <c r="B1961">
        <v>533080</v>
      </c>
      <c r="C1961" t="s">
        <v>6931</v>
      </c>
      <c r="D1961" t="s">
        <v>1715</v>
      </c>
      <c r="E1961" t="s">
        <v>6915</v>
      </c>
      <c r="F1961">
        <v>7</v>
      </c>
      <c r="G1961">
        <v>13</v>
      </c>
      <c r="H1961" t="s">
        <v>10894</v>
      </c>
      <c r="N1961">
        <v>1.9323965059999999</v>
      </c>
      <c r="O1961">
        <v>3.0528020530000002</v>
      </c>
      <c r="P1961">
        <v>2.6493138999999999E-2</v>
      </c>
      <c r="Q1961">
        <v>-0.38692188</v>
      </c>
      <c r="S1961" s="13">
        <v>-1.372051771</v>
      </c>
      <c r="T1961">
        <v>-7.0359591999999999E-2</v>
      </c>
      <c r="U1961">
        <v>-0.13588967299999999</v>
      </c>
    </row>
    <row r="1962" spans="1:21" x14ac:dyDescent="0.2">
      <c r="A1962" t="s">
        <v>364</v>
      </c>
      <c r="B1962">
        <v>702480</v>
      </c>
      <c r="C1962" t="s">
        <v>6914</v>
      </c>
      <c r="D1962" t="s">
        <v>364</v>
      </c>
      <c r="E1962" t="s">
        <v>6970</v>
      </c>
      <c r="F1962">
        <v>23</v>
      </c>
      <c r="G1962">
        <v>14</v>
      </c>
      <c r="H1962" t="s">
        <v>10895</v>
      </c>
      <c r="J1962" t="s">
        <v>3424</v>
      </c>
      <c r="M1962" t="s">
        <v>10896</v>
      </c>
      <c r="N1962">
        <v>1.8217074179999999</v>
      </c>
      <c r="O1962">
        <v>4.1700741289999996</v>
      </c>
      <c r="P1962">
        <v>0.189705977</v>
      </c>
      <c r="Q1962">
        <v>-1.7194070999999998E-2</v>
      </c>
      <c r="S1962" s="13">
        <v>-1.3720622549999999</v>
      </c>
      <c r="T1962">
        <v>-7.0405406000000004E-2</v>
      </c>
      <c r="U1962">
        <v>-0.20888169600000001</v>
      </c>
    </row>
    <row r="1963" spans="1:21" x14ac:dyDescent="0.2">
      <c r="A1963" t="s">
        <v>178</v>
      </c>
      <c r="B1963">
        <v>595400</v>
      </c>
      <c r="C1963" t="s">
        <v>6910</v>
      </c>
      <c r="D1963" t="s">
        <v>178</v>
      </c>
      <c r="E1963" t="s">
        <v>6970</v>
      </c>
      <c r="F1963">
        <v>14</v>
      </c>
      <c r="G1963">
        <v>14</v>
      </c>
      <c r="H1963" t="s">
        <v>10897</v>
      </c>
      <c r="J1963" t="s">
        <v>4714</v>
      </c>
      <c r="M1963" t="s">
        <v>10898</v>
      </c>
      <c r="N1963">
        <v>1.9874741039999999</v>
      </c>
      <c r="O1963">
        <v>3.7453511220000002</v>
      </c>
      <c r="P1963">
        <v>0.451009722</v>
      </c>
      <c r="Q1963">
        <v>-0.102386592</v>
      </c>
      <c r="S1963" s="13">
        <v>-1.372097777</v>
      </c>
      <c r="T1963">
        <v>-7.0560629999999999E-2</v>
      </c>
      <c r="U1963">
        <v>-0.14620522999999999</v>
      </c>
    </row>
    <row r="1964" spans="1:21" x14ac:dyDescent="0.2">
      <c r="A1964" t="s">
        <v>198</v>
      </c>
      <c r="B1964">
        <v>687240</v>
      </c>
      <c r="C1964" t="s">
        <v>6953</v>
      </c>
      <c r="D1964" t="s">
        <v>199</v>
      </c>
      <c r="E1964" t="s">
        <v>6918</v>
      </c>
      <c r="F1964">
        <v>3</v>
      </c>
      <c r="G1964">
        <v>1</v>
      </c>
      <c r="H1964" t="s">
        <v>10899</v>
      </c>
      <c r="J1964" t="s">
        <v>5073</v>
      </c>
      <c r="M1964" t="s">
        <v>10900</v>
      </c>
      <c r="N1964">
        <v>1.921480887</v>
      </c>
      <c r="O1964">
        <v>3.0856645180000002</v>
      </c>
      <c r="P1964">
        <v>0.44706724399999997</v>
      </c>
      <c r="Q1964">
        <v>-0.354940863</v>
      </c>
      <c r="S1964" s="13">
        <v>-1.372112811</v>
      </c>
      <c r="T1964">
        <v>-7.0626322000000005E-2</v>
      </c>
      <c r="U1964">
        <v>-0.15098968700000001</v>
      </c>
    </row>
    <row r="1965" spans="1:21" x14ac:dyDescent="0.2">
      <c r="A1965" t="s">
        <v>616</v>
      </c>
      <c r="B1965">
        <v>622080</v>
      </c>
      <c r="C1965" t="s">
        <v>6927</v>
      </c>
      <c r="D1965" t="s">
        <v>616</v>
      </c>
      <c r="E1965" t="s">
        <v>6974</v>
      </c>
      <c r="F1965">
        <v>17</v>
      </c>
      <c r="G1965">
        <v>15</v>
      </c>
      <c r="H1965" t="s">
        <v>10901</v>
      </c>
      <c r="J1965" t="s">
        <v>10902</v>
      </c>
      <c r="M1965" t="s">
        <v>10903</v>
      </c>
      <c r="N1965">
        <v>1.982575982</v>
      </c>
      <c r="O1965">
        <v>3.4571926419999999</v>
      </c>
      <c r="P1965">
        <v>-0.114791479</v>
      </c>
      <c r="Q1965">
        <v>1.868949E-3</v>
      </c>
      <c r="S1965" s="13">
        <v>-1.3722477019999999</v>
      </c>
      <c r="T1965">
        <v>-7.1215766E-2</v>
      </c>
      <c r="U1965">
        <v>-0.20907969100000001</v>
      </c>
    </row>
    <row r="1966" spans="1:21" x14ac:dyDescent="0.2">
      <c r="A1966" t="s">
        <v>1069</v>
      </c>
      <c r="B1966">
        <v>532880</v>
      </c>
      <c r="C1966" t="s">
        <v>6931</v>
      </c>
      <c r="D1966" t="s">
        <v>1070</v>
      </c>
      <c r="E1966" t="s">
        <v>7085</v>
      </c>
      <c r="F1966">
        <v>6</v>
      </c>
      <c r="G1966">
        <v>9</v>
      </c>
      <c r="H1966" t="s">
        <v>10904</v>
      </c>
      <c r="N1966">
        <v>1.9323965059999999</v>
      </c>
      <c r="O1966">
        <v>3.0528020530000002</v>
      </c>
      <c r="P1966">
        <v>2.6493138999999999E-2</v>
      </c>
      <c r="Q1966">
        <v>-0.38692188</v>
      </c>
      <c r="S1966" s="13">
        <v>-1.3723145649999999</v>
      </c>
      <c r="T1966">
        <v>-7.1507945000000003E-2</v>
      </c>
      <c r="U1966">
        <v>-0.13601840400000001</v>
      </c>
    </row>
    <row r="1967" spans="1:21" x14ac:dyDescent="0.2">
      <c r="A1967" t="s">
        <v>1989</v>
      </c>
      <c r="B1967">
        <v>595160</v>
      </c>
      <c r="C1967" t="s">
        <v>6910</v>
      </c>
      <c r="D1967" t="s">
        <v>1990</v>
      </c>
      <c r="E1967" t="s">
        <v>6921</v>
      </c>
      <c r="F1967">
        <v>9</v>
      </c>
      <c r="G1967">
        <v>8</v>
      </c>
      <c r="H1967" t="s">
        <v>10905</v>
      </c>
      <c r="J1967" t="s">
        <v>5030</v>
      </c>
      <c r="M1967" t="s">
        <v>10906</v>
      </c>
      <c r="N1967">
        <v>1.9874741039999999</v>
      </c>
      <c r="O1967">
        <v>3.7453511220000002</v>
      </c>
      <c r="P1967">
        <v>0.451009722</v>
      </c>
      <c r="Q1967">
        <v>-0.102386592</v>
      </c>
      <c r="S1967" s="13">
        <v>-1.3723559919999999</v>
      </c>
      <c r="T1967">
        <v>-7.1688968000000006E-2</v>
      </c>
      <c r="U1967">
        <v>-0.14636342599999999</v>
      </c>
    </row>
    <row r="1968" spans="1:21" x14ac:dyDescent="0.2">
      <c r="A1968" t="s">
        <v>2960</v>
      </c>
      <c r="B1968">
        <v>686920</v>
      </c>
      <c r="C1968" t="s">
        <v>6953</v>
      </c>
      <c r="D1968" t="s">
        <v>2961</v>
      </c>
      <c r="E1968" t="s">
        <v>6939</v>
      </c>
      <c r="F1968">
        <v>7</v>
      </c>
      <c r="G1968">
        <v>2</v>
      </c>
      <c r="H1968" t="s">
        <v>10907</v>
      </c>
      <c r="J1968" t="s">
        <v>4645</v>
      </c>
      <c r="M1968" t="s">
        <v>10908</v>
      </c>
      <c r="N1968">
        <v>1.921480887</v>
      </c>
      <c r="O1968">
        <v>3.0856645180000002</v>
      </c>
      <c r="P1968">
        <v>0.44706724399999997</v>
      </c>
      <c r="Q1968">
        <v>-0.354940863</v>
      </c>
      <c r="S1968" s="13">
        <v>-1.3724448499999999</v>
      </c>
      <c r="T1968">
        <v>-7.2077260000000004E-2</v>
      </c>
      <c r="U1968">
        <v>-0.15120296499999999</v>
      </c>
    </row>
    <row r="1969" spans="1:21" x14ac:dyDescent="0.2">
      <c r="A1969" t="s">
        <v>303</v>
      </c>
      <c r="B1969">
        <v>702120</v>
      </c>
      <c r="C1969" t="s">
        <v>6914</v>
      </c>
      <c r="D1969" t="s">
        <v>304</v>
      </c>
      <c r="E1969" t="s">
        <v>7006</v>
      </c>
      <c r="F1969">
        <v>3</v>
      </c>
      <c r="G1969">
        <v>3</v>
      </c>
      <c r="H1969" t="s">
        <v>10909</v>
      </c>
      <c r="J1969" t="s">
        <v>4455</v>
      </c>
      <c r="M1969" t="s">
        <v>10910</v>
      </c>
      <c r="N1969">
        <v>1.8217074179999999</v>
      </c>
      <c r="O1969">
        <v>4.1700741289999996</v>
      </c>
      <c r="P1969">
        <v>0.189705977</v>
      </c>
      <c r="Q1969">
        <v>-1.7194070999999998E-2</v>
      </c>
      <c r="S1969" s="13">
        <v>-1.372495249</v>
      </c>
      <c r="T1969">
        <v>-7.2297492000000005E-2</v>
      </c>
      <c r="U1969">
        <v>-0.209155867</v>
      </c>
    </row>
    <row r="1970" spans="1:21" x14ac:dyDescent="0.2">
      <c r="A1970" t="s">
        <v>703</v>
      </c>
      <c r="B1970">
        <v>686640</v>
      </c>
      <c r="C1970" t="s">
        <v>6953</v>
      </c>
      <c r="D1970" t="s">
        <v>704</v>
      </c>
      <c r="E1970" t="s">
        <v>6924</v>
      </c>
      <c r="F1970">
        <v>8</v>
      </c>
      <c r="G1970">
        <v>6</v>
      </c>
      <c r="H1970" t="s">
        <v>10911</v>
      </c>
      <c r="J1970" t="s">
        <v>4552</v>
      </c>
      <c r="M1970" t="s">
        <v>10912</v>
      </c>
      <c r="N1970">
        <v>1.921480887</v>
      </c>
      <c r="O1970">
        <v>3.0856645180000002</v>
      </c>
      <c r="P1970">
        <v>0.44706724399999997</v>
      </c>
      <c r="Q1970">
        <v>-0.354940863</v>
      </c>
      <c r="S1970" s="13">
        <v>-1.3727353849999999</v>
      </c>
      <c r="T1970">
        <v>-7.3346831000000001E-2</v>
      </c>
      <c r="U1970">
        <v>-0.15138967</v>
      </c>
    </row>
    <row r="1971" spans="1:21" x14ac:dyDescent="0.2">
      <c r="A1971" t="s">
        <v>303</v>
      </c>
      <c r="B1971">
        <v>621560</v>
      </c>
      <c r="C1971" t="s">
        <v>6927</v>
      </c>
      <c r="D1971" t="s">
        <v>304</v>
      </c>
      <c r="E1971" t="s">
        <v>7006</v>
      </c>
      <c r="F1971">
        <v>3</v>
      </c>
      <c r="G1971">
        <v>3</v>
      </c>
      <c r="H1971" t="s">
        <v>10913</v>
      </c>
      <c r="J1971" t="s">
        <v>10914</v>
      </c>
      <c r="M1971" t="s">
        <v>10915</v>
      </c>
      <c r="N1971">
        <v>1.982575982</v>
      </c>
      <c r="O1971">
        <v>3.4571926419999999</v>
      </c>
      <c r="P1971">
        <v>-0.114791479</v>
      </c>
      <c r="Q1971">
        <v>1.868949E-3</v>
      </c>
      <c r="S1971" s="13">
        <v>-1.372787266</v>
      </c>
      <c r="T1971">
        <v>-7.3573540000000007E-2</v>
      </c>
      <c r="U1971">
        <v>-0.20947595199999999</v>
      </c>
    </row>
    <row r="1972" spans="1:21" x14ac:dyDescent="0.2">
      <c r="A1972" t="s">
        <v>1521</v>
      </c>
      <c r="B1972">
        <v>554640</v>
      </c>
      <c r="C1972" t="s">
        <v>6942</v>
      </c>
      <c r="D1972" t="s">
        <v>1521</v>
      </c>
      <c r="E1972" t="s">
        <v>6921</v>
      </c>
      <c r="F1972">
        <v>10</v>
      </c>
      <c r="G1972">
        <v>8</v>
      </c>
      <c r="H1972" t="s">
        <v>10916</v>
      </c>
      <c r="J1972" t="s">
        <v>1523</v>
      </c>
      <c r="M1972" t="s">
        <v>10917</v>
      </c>
      <c r="N1972">
        <v>2.0902262079999998</v>
      </c>
      <c r="O1972">
        <v>4.2704203920000001</v>
      </c>
      <c r="P1972">
        <v>0.23425843900000001</v>
      </c>
      <c r="Q1972">
        <v>1.6181978999999999E-2</v>
      </c>
      <c r="S1972" s="13">
        <v>-1.3728677149999999</v>
      </c>
      <c r="T1972">
        <v>-7.3925082000000003E-2</v>
      </c>
      <c r="U1972">
        <v>-0.239932285</v>
      </c>
    </row>
    <row r="1973" spans="1:21" x14ac:dyDescent="0.2">
      <c r="A1973" t="s">
        <v>516</v>
      </c>
      <c r="B1973">
        <v>701760</v>
      </c>
      <c r="C1973" t="s">
        <v>6914</v>
      </c>
      <c r="D1973" t="s">
        <v>516</v>
      </c>
      <c r="E1973" t="s">
        <v>6939</v>
      </c>
      <c r="F1973">
        <v>13</v>
      </c>
      <c r="G1973">
        <v>2</v>
      </c>
      <c r="H1973" t="s">
        <v>10918</v>
      </c>
      <c r="J1973" t="s">
        <v>2935</v>
      </c>
      <c r="M1973" t="s">
        <v>10919</v>
      </c>
      <c r="N1973">
        <v>1.8217074179999999</v>
      </c>
      <c r="O1973">
        <v>4.1700741289999996</v>
      </c>
      <c r="P1973">
        <v>0.189705977</v>
      </c>
      <c r="Q1973">
        <v>-1.7194070999999998E-2</v>
      </c>
      <c r="S1973" s="13">
        <v>-1.372928243</v>
      </c>
      <c r="T1973">
        <v>-7.4189577000000007E-2</v>
      </c>
      <c r="U1973">
        <v>-0.20943021100000001</v>
      </c>
    </row>
    <row r="1974" spans="1:21" x14ac:dyDescent="0.2">
      <c r="A1974" t="s">
        <v>603</v>
      </c>
      <c r="B1974">
        <v>621280</v>
      </c>
      <c r="C1974" t="s">
        <v>6927</v>
      </c>
      <c r="D1974" t="s">
        <v>604</v>
      </c>
      <c r="E1974" t="s">
        <v>6911</v>
      </c>
      <c r="F1974">
        <v>8</v>
      </c>
      <c r="G1974">
        <v>12</v>
      </c>
      <c r="H1974" t="s">
        <v>10920</v>
      </c>
      <c r="J1974" t="s">
        <v>10921</v>
      </c>
      <c r="M1974" t="s">
        <v>10922</v>
      </c>
      <c r="N1974">
        <v>1.982575982</v>
      </c>
      <c r="O1974">
        <v>3.4571926419999999</v>
      </c>
      <c r="P1974">
        <v>-0.114791479</v>
      </c>
      <c r="Q1974">
        <v>1.868949E-3</v>
      </c>
      <c r="S1974" s="13">
        <v>-1.373077801</v>
      </c>
      <c r="T1974">
        <v>-7.4843110000000004E-2</v>
      </c>
      <c r="U1974">
        <v>-0.20968947299999999</v>
      </c>
    </row>
    <row r="1975" spans="1:21" x14ac:dyDescent="0.2">
      <c r="A1975" t="s">
        <v>143</v>
      </c>
      <c r="B1975">
        <v>589760</v>
      </c>
      <c r="C1975" t="s">
        <v>6906</v>
      </c>
      <c r="D1975" t="s">
        <v>144</v>
      </c>
      <c r="E1975" t="s">
        <v>7115</v>
      </c>
      <c r="F1975">
        <v>8</v>
      </c>
      <c r="G1975">
        <v>10</v>
      </c>
      <c r="H1975" t="s">
        <v>10923</v>
      </c>
      <c r="J1975" t="s">
        <v>4384</v>
      </c>
      <c r="M1975" t="s">
        <v>10924</v>
      </c>
      <c r="N1975">
        <v>1.813871112</v>
      </c>
      <c r="O1975">
        <v>2.6633694910000001</v>
      </c>
      <c r="P1975">
        <v>-0.29586356800000002</v>
      </c>
      <c r="Q1975">
        <v>-0.59018158399999998</v>
      </c>
      <c r="S1975" s="13">
        <v>-1.373103148</v>
      </c>
      <c r="T1975">
        <v>-7.4953871000000005E-2</v>
      </c>
      <c r="U1975">
        <v>-0.17738984599999999</v>
      </c>
    </row>
    <row r="1976" spans="1:21" x14ac:dyDescent="0.2">
      <c r="A1976" t="s">
        <v>1123</v>
      </c>
      <c r="B1976">
        <v>631080</v>
      </c>
      <c r="C1976" t="s">
        <v>6938</v>
      </c>
      <c r="D1976" t="s">
        <v>1123</v>
      </c>
      <c r="E1976" t="s">
        <v>6946</v>
      </c>
      <c r="F1976">
        <v>16</v>
      </c>
      <c r="G1976">
        <v>11</v>
      </c>
      <c r="H1976" t="s">
        <v>10925</v>
      </c>
      <c r="J1976" t="s">
        <v>3378</v>
      </c>
      <c r="M1976" t="s">
        <v>10926</v>
      </c>
      <c r="N1976">
        <v>2.092758737</v>
      </c>
      <c r="O1976">
        <v>5.3323610669999999</v>
      </c>
      <c r="P1976">
        <v>0.70420098600000003</v>
      </c>
      <c r="Q1976">
        <v>0.41355372699999998</v>
      </c>
      <c r="S1976" s="13">
        <v>-1.373136379</v>
      </c>
      <c r="T1976">
        <v>-7.5099083999999997E-2</v>
      </c>
      <c r="U1976">
        <v>-0.22869552000000001</v>
      </c>
    </row>
    <row r="1977" spans="1:21" x14ac:dyDescent="0.2">
      <c r="A1977" t="s">
        <v>74</v>
      </c>
      <c r="B1977">
        <v>685840</v>
      </c>
      <c r="C1977" t="s">
        <v>6953</v>
      </c>
      <c r="D1977" t="s">
        <v>75</v>
      </c>
      <c r="E1977" t="s">
        <v>6970</v>
      </c>
      <c r="F1977">
        <v>3</v>
      </c>
      <c r="G1977">
        <v>14</v>
      </c>
      <c r="H1977" t="s">
        <v>10927</v>
      </c>
      <c r="J1977" t="s">
        <v>2112</v>
      </c>
      <c r="M1977" t="s">
        <v>10928</v>
      </c>
      <c r="N1977">
        <v>1.921480887</v>
      </c>
      <c r="O1977">
        <v>3.0856645180000002</v>
      </c>
      <c r="P1977">
        <v>0.44706724399999997</v>
      </c>
      <c r="Q1977">
        <v>-0.354940863</v>
      </c>
      <c r="S1977" s="13">
        <v>-1.373565484</v>
      </c>
      <c r="T1977">
        <v>-7.6974175000000006E-2</v>
      </c>
      <c r="U1977">
        <v>-0.15192355399999999</v>
      </c>
    </row>
    <row r="1978" spans="1:21" x14ac:dyDescent="0.2">
      <c r="A1978" t="s">
        <v>1422</v>
      </c>
      <c r="B1978">
        <v>531920</v>
      </c>
      <c r="C1978" t="s">
        <v>6931</v>
      </c>
      <c r="D1978" t="s">
        <v>1423</v>
      </c>
      <c r="E1978" t="s">
        <v>6956</v>
      </c>
      <c r="F1978">
        <v>4</v>
      </c>
      <c r="G1978">
        <v>7</v>
      </c>
      <c r="H1978" t="s">
        <v>10929</v>
      </c>
      <c r="N1978">
        <v>1.9323965059999999</v>
      </c>
      <c r="O1978">
        <v>3.0528020530000002</v>
      </c>
      <c r="P1978">
        <v>2.6493138999999999E-2</v>
      </c>
      <c r="Q1978">
        <v>-0.38692188</v>
      </c>
      <c r="S1978" s="13">
        <v>-1.3735759809999999</v>
      </c>
      <c r="T1978">
        <v>-7.7020040999999997E-2</v>
      </c>
      <c r="U1978">
        <v>-0.13663684600000001</v>
      </c>
    </row>
    <row r="1979" spans="1:21" x14ac:dyDescent="0.2">
      <c r="A1979" t="s">
        <v>1415</v>
      </c>
      <c r="B1979">
        <v>630240</v>
      </c>
      <c r="C1979" t="s">
        <v>6938</v>
      </c>
      <c r="D1979" t="s">
        <v>1415</v>
      </c>
      <c r="E1979" t="s">
        <v>6946</v>
      </c>
      <c r="F1979">
        <v>12</v>
      </c>
      <c r="G1979">
        <v>11</v>
      </c>
      <c r="H1979" t="s">
        <v>10930</v>
      </c>
      <c r="J1979" t="s">
        <v>3121</v>
      </c>
      <c r="M1979" t="s">
        <v>10931</v>
      </c>
      <c r="N1979">
        <v>2.092758737</v>
      </c>
      <c r="O1979">
        <v>5.3323610669999999</v>
      </c>
      <c r="P1979">
        <v>0.70420098600000003</v>
      </c>
      <c r="Q1979">
        <v>0.41355372699999998</v>
      </c>
      <c r="S1979" s="13">
        <v>-1.3738577809999999</v>
      </c>
      <c r="T1979">
        <v>-7.8251444000000003E-2</v>
      </c>
      <c r="U1979">
        <v>-0.22936541999999999</v>
      </c>
    </row>
    <row r="1980" spans="1:21" x14ac:dyDescent="0.2">
      <c r="A1980" t="s">
        <v>616</v>
      </c>
      <c r="B1980">
        <v>531640</v>
      </c>
      <c r="C1980" t="s">
        <v>6931</v>
      </c>
      <c r="D1980" t="s">
        <v>616</v>
      </c>
      <c r="E1980" t="s">
        <v>6974</v>
      </c>
      <c r="F1980">
        <v>17</v>
      </c>
      <c r="G1980">
        <v>15</v>
      </c>
      <c r="H1980" t="s">
        <v>10932</v>
      </c>
      <c r="N1980">
        <v>1.9323965059999999</v>
      </c>
      <c r="O1980">
        <v>3.0528020530000002</v>
      </c>
      <c r="P1980">
        <v>2.6493138999999999E-2</v>
      </c>
      <c r="Q1980">
        <v>-0.38692188</v>
      </c>
      <c r="S1980" s="13">
        <v>-1.3739438930000001</v>
      </c>
      <c r="T1980">
        <v>-7.8627736000000004E-2</v>
      </c>
      <c r="U1980">
        <v>-0.13681739100000001</v>
      </c>
    </row>
    <row r="1981" spans="1:21" x14ac:dyDescent="0.2">
      <c r="A1981" t="s">
        <v>616</v>
      </c>
      <c r="B1981">
        <v>553480</v>
      </c>
      <c r="C1981" t="s">
        <v>6942</v>
      </c>
      <c r="D1981" t="s">
        <v>616</v>
      </c>
      <c r="E1981" t="s">
        <v>6974</v>
      </c>
      <c r="F1981">
        <v>17</v>
      </c>
      <c r="G1981">
        <v>15</v>
      </c>
      <c r="H1981" t="s">
        <v>10933</v>
      </c>
      <c r="J1981" t="s">
        <v>2130</v>
      </c>
      <c r="M1981" t="s">
        <v>10934</v>
      </c>
      <c r="N1981">
        <v>2.0902262079999998</v>
      </c>
      <c r="O1981">
        <v>4.2704203920000001</v>
      </c>
      <c r="P1981">
        <v>0.23425843900000001</v>
      </c>
      <c r="Q1981">
        <v>1.6181978999999999E-2</v>
      </c>
      <c r="S1981" s="13">
        <v>-1.3740062420000001</v>
      </c>
      <c r="T1981">
        <v>-7.8900185999999997E-2</v>
      </c>
      <c r="U1981">
        <v>-0.24088193899999999</v>
      </c>
    </row>
    <row r="1982" spans="1:21" x14ac:dyDescent="0.2">
      <c r="A1982" t="s">
        <v>935</v>
      </c>
      <c r="B1982">
        <v>553400</v>
      </c>
      <c r="C1982" t="s">
        <v>6942</v>
      </c>
      <c r="D1982" t="s">
        <v>935</v>
      </c>
      <c r="E1982" t="s">
        <v>6921</v>
      </c>
      <c r="F1982">
        <v>18</v>
      </c>
      <c r="G1982">
        <v>8</v>
      </c>
      <c r="H1982" t="s">
        <v>10935</v>
      </c>
      <c r="J1982" t="s">
        <v>1979</v>
      </c>
      <c r="M1982" t="s">
        <v>10936</v>
      </c>
      <c r="N1982">
        <v>2.0902262079999998</v>
      </c>
      <c r="O1982">
        <v>4.2704203920000001</v>
      </c>
      <c r="P1982">
        <v>0.23425843900000001</v>
      </c>
      <c r="Q1982">
        <v>1.6181978999999999E-2</v>
      </c>
      <c r="S1982" s="13">
        <v>-1.374084761</v>
      </c>
      <c r="T1982">
        <v>-7.9243297000000004E-2</v>
      </c>
      <c r="U1982">
        <v>-0.240947509</v>
      </c>
    </row>
    <row r="1983" spans="1:21" x14ac:dyDescent="0.2">
      <c r="A1983" t="s">
        <v>907</v>
      </c>
      <c r="B1983">
        <v>620240</v>
      </c>
      <c r="C1983" t="s">
        <v>6927</v>
      </c>
      <c r="D1983" t="s">
        <v>907</v>
      </c>
      <c r="E1983" t="s">
        <v>6946</v>
      </c>
      <c r="F1983">
        <v>19</v>
      </c>
      <c r="G1983">
        <v>11</v>
      </c>
      <c r="H1983" t="s">
        <v>10937</v>
      </c>
      <c r="J1983" t="s">
        <v>10938</v>
      </c>
      <c r="M1983" t="s">
        <v>10939</v>
      </c>
      <c r="N1983">
        <v>1.982575982</v>
      </c>
      <c r="O1983">
        <v>3.4571926419999999</v>
      </c>
      <c r="P1983">
        <v>-0.114791479</v>
      </c>
      <c r="Q1983">
        <v>1.868949E-3</v>
      </c>
      <c r="S1983" s="13">
        <v>-1.3741569300000001</v>
      </c>
      <c r="T1983">
        <v>-7.9558659000000004E-2</v>
      </c>
      <c r="U1983">
        <v>-0.210483472</v>
      </c>
    </row>
    <row r="1984" spans="1:21" x14ac:dyDescent="0.2">
      <c r="A1984" t="s">
        <v>603</v>
      </c>
      <c r="B1984">
        <v>685120</v>
      </c>
      <c r="C1984" t="s">
        <v>6953</v>
      </c>
      <c r="D1984" t="s">
        <v>604</v>
      </c>
      <c r="E1984" t="s">
        <v>6911</v>
      </c>
      <c r="F1984">
        <v>8</v>
      </c>
      <c r="G1984">
        <v>12</v>
      </c>
      <c r="H1984" t="s">
        <v>10940</v>
      </c>
      <c r="J1984" t="s">
        <v>1877</v>
      </c>
      <c r="M1984" t="s">
        <v>10941</v>
      </c>
      <c r="N1984">
        <v>1.921480887</v>
      </c>
      <c r="O1984">
        <v>3.0856645180000002</v>
      </c>
      <c r="P1984">
        <v>0.44706724399999997</v>
      </c>
      <c r="Q1984">
        <v>-0.354940863</v>
      </c>
      <c r="S1984" s="13">
        <v>-1.374312574</v>
      </c>
      <c r="T1984">
        <v>-8.0238786000000006E-2</v>
      </c>
      <c r="U1984">
        <v>-0.152404611</v>
      </c>
    </row>
    <row r="1985" spans="1:21" x14ac:dyDescent="0.2">
      <c r="A1985" t="s">
        <v>859</v>
      </c>
      <c r="B1985">
        <v>685000</v>
      </c>
      <c r="C1985" t="s">
        <v>6953</v>
      </c>
      <c r="D1985" t="s">
        <v>859</v>
      </c>
      <c r="E1985" t="s">
        <v>7115</v>
      </c>
      <c r="F1985">
        <v>19</v>
      </c>
      <c r="G1985">
        <v>10</v>
      </c>
      <c r="H1985" t="s">
        <v>10942</v>
      </c>
      <c r="J1985" t="s">
        <v>3308</v>
      </c>
      <c r="M1985" t="s">
        <v>10943</v>
      </c>
      <c r="N1985">
        <v>1.921480887</v>
      </c>
      <c r="O1985">
        <v>3.0856645180000002</v>
      </c>
      <c r="P1985">
        <v>0.44706724399999997</v>
      </c>
      <c r="Q1985">
        <v>-0.354940863</v>
      </c>
      <c r="S1985" s="13">
        <v>-1.3744370889999999</v>
      </c>
      <c r="T1985">
        <v>-8.0782886999999998E-2</v>
      </c>
      <c r="U1985">
        <v>-0.15248483900000001</v>
      </c>
    </row>
    <row r="1986" spans="1:21" x14ac:dyDescent="0.2">
      <c r="A1986" t="s">
        <v>1198</v>
      </c>
      <c r="B1986">
        <v>629040</v>
      </c>
      <c r="C1986" t="s">
        <v>6938</v>
      </c>
      <c r="D1986" t="s">
        <v>1199</v>
      </c>
      <c r="E1986" t="s">
        <v>6924</v>
      </c>
      <c r="F1986">
        <v>2</v>
      </c>
      <c r="G1986">
        <v>6</v>
      </c>
      <c r="H1986" t="s">
        <v>10944</v>
      </c>
      <c r="J1986" t="s">
        <v>1838</v>
      </c>
      <c r="M1986" t="s">
        <v>10945</v>
      </c>
      <c r="N1986">
        <v>2.092758737</v>
      </c>
      <c r="O1986">
        <v>5.3323610669999999</v>
      </c>
      <c r="P1986">
        <v>0.70420098600000003</v>
      </c>
      <c r="Q1986">
        <v>0.41355372699999998</v>
      </c>
      <c r="S1986" s="13">
        <v>-1.374888355</v>
      </c>
      <c r="T1986">
        <v>-8.2754814999999995E-2</v>
      </c>
      <c r="U1986">
        <v>-0.230324216</v>
      </c>
    </row>
    <row r="1987" spans="1:21" x14ac:dyDescent="0.2">
      <c r="A1987" t="s">
        <v>1001</v>
      </c>
      <c r="B1987">
        <v>592800</v>
      </c>
      <c r="C1987" t="s">
        <v>6910</v>
      </c>
      <c r="D1987" t="s">
        <v>1001</v>
      </c>
      <c r="E1987" t="s">
        <v>7006</v>
      </c>
      <c r="F1987">
        <v>14</v>
      </c>
      <c r="G1987">
        <v>3</v>
      </c>
      <c r="H1987" t="s">
        <v>10946</v>
      </c>
      <c r="J1987" t="s">
        <v>1003</v>
      </c>
      <c r="M1987" t="s">
        <v>10947</v>
      </c>
      <c r="N1987">
        <v>1.9874741039999999</v>
      </c>
      <c r="O1987">
        <v>3.7453511220000002</v>
      </c>
      <c r="P1987">
        <v>0.451009722</v>
      </c>
      <c r="Q1987">
        <v>-0.102386592</v>
      </c>
      <c r="S1987" s="13">
        <v>-1.3748951</v>
      </c>
      <c r="T1987">
        <v>-8.2784292999999995E-2</v>
      </c>
      <c r="U1987">
        <v>-0.147922098</v>
      </c>
    </row>
    <row r="1988" spans="1:21" x14ac:dyDescent="0.2">
      <c r="A1988" t="s">
        <v>765</v>
      </c>
      <c r="B1988">
        <v>469880</v>
      </c>
      <c r="C1988" t="s">
        <v>6945</v>
      </c>
      <c r="D1988" t="s">
        <v>766</v>
      </c>
      <c r="E1988" t="s">
        <v>7006</v>
      </c>
      <c r="F1988">
        <v>4</v>
      </c>
      <c r="G1988">
        <v>3</v>
      </c>
      <c r="H1988" t="s">
        <v>10948</v>
      </c>
      <c r="J1988" t="s">
        <v>768</v>
      </c>
      <c r="M1988" t="s">
        <v>10949</v>
      </c>
      <c r="N1988">
        <v>2.2220813349999999</v>
      </c>
      <c r="O1988">
        <v>6.5440947090000003</v>
      </c>
      <c r="P1988">
        <v>0.58228215500000002</v>
      </c>
      <c r="Q1988">
        <v>0.35188233000000002</v>
      </c>
      <c r="S1988" s="13">
        <v>-1.3750683850000001</v>
      </c>
      <c r="T1988">
        <v>-8.3541506000000001E-2</v>
      </c>
      <c r="U1988">
        <v>-0.25151791499999998</v>
      </c>
    </row>
    <row r="1989" spans="1:21" x14ac:dyDescent="0.2">
      <c r="A1989" t="s">
        <v>632</v>
      </c>
      <c r="B1989">
        <v>588360</v>
      </c>
      <c r="C1989" t="s">
        <v>6906</v>
      </c>
      <c r="D1989" t="s">
        <v>632</v>
      </c>
      <c r="E1989" t="s">
        <v>6924</v>
      </c>
      <c r="F1989">
        <v>18</v>
      </c>
      <c r="G1989">
        <v>6</v>
      </c>
      <c r="H1989" t="s">
        <v>10950</v>
      </c>
      <c r="J1989" t="s">
        <v>2418</v>
      </c>
      <c r="M1989" t="s">
        <v>10951</v>
      </c>
      <c r="N1989">
        <v>1.813871112</v>
      </c>
      <c r="O1989">
        <v>2.6633694910000001</v>
      </c>
      <c r="P1989">
        <v>-0.29586356800000002</v>
      </c>
      <c r="Q1989">
        <v>-0.59018158399999998</v>
      </c>
      <c r="S1989" s="13">
        <v>-1.3751341939999999</v>
      </c>
      <c r="T1989">
        <v>-8.3829078000000001E-2</v>
      </c>
      <c r="U1989">
        <v>-0.17838230899999999</v>
      </c>
    </row>
    <row r="1990" spans="1:21" x14ac:dyDescent="0.2">
      <c r="A1990" t="s">
        <v>1190</v>
      </c>
      <c r="B1990">
        <v>699920</v>
      </c>
      <c r="C1990" t="s">
        <v>6914</v>
      </c>
      <c r="D1990" t="s">
        <v>1190</v>
      </c>
      <c r="E1990" t="s">
        <v>6921</v>
      </c>
      <c r="F1990">
        <v>17</v>
      </c>
      <c r="G1990">
        <v>8</v>
      </c>
      <c r="H1990" t="s">
        <v>10952</v>
      </c>
      <c r="J1990" t="s">
        <v>4541</v>
      </c>
      <c r="M1990" t="s">
        <v>10953</v>
      </c>
      <c r="N1990">
        <v>1.8217074179999999</v>
      </c>
      <c r="O1990">
        <v>4.1700741289999996</v>
      </c>
      <c r="P1990">
        <v>0.189705977</v>
      </c>
      <c r="Q1990">
        <v>-1.7194070999999998E-2</v>
      </c>
      <c r="S1990" s="13">
        <v>-1.3751413240000001</v>
      </c>
      <c r="T1990">
        <v>-8.3860236000000005E-2</v>
      </c>
      <c r="U1990">
        <v>-0.21083512800000001</v>
      </c>
    </row>
    <row r="1991" spans="1:21" x14ac:dyDescent="0.2">
      <c r="A1991" t="s">
        <v>1498</v>
      </c>
      <c r="B1991">
        <v>699880</v>
      </c>
      <c r="C1991" t="s">
        <v>6914</v>
      </c>
      <c r="D1991" t="s">
        <v>1498</v>
      </c>
      <c r="E1991" t="s">
        <v>6911</v>
      </c>
      <c r="F1991">
        <v>17</v>
      </c>
      <c r="G1991">
        <v>12</v>
      </c>
      <c r="H1991" t="s">
        <v>10954</v>
      </c>
      <c r="J1991" t="s">
        <v>4922</v>
      </c>
      <c r="M1991" t="s">
        <v>10955</v>
      </c>
      <c r="N1991">
        <v>1.8217074179999999</v>
      </c>
      <c r="O1991">
        <v>4.1700741289999996</v>
      </c>
      <c r="P1991">
        <v>0.189705977</v>
      </c>
      <c r="Q1991">
        <v>-1.7194070999999998E-2</v>
      </c>
      <c r="S1991" s="13">
        <v>-1.375189435</v>
      </c>
      <c r="T1991">
        <v>-8.4070467999999995E-2</v>
      </c>
      <c r="U1991">
        <v>-0.21086572000000001</v>
      </c>
    </row>
    <row r="1992" spans="1:21" x14ac:dyDescent="0.2">
      <c r="A1992" t="s">
        <v>534</v>
      </c>
      <c r="B1992">
        <v>628520</v>
      </c>
      <c r="C1992" t="s">
        <v>6938</v>
      </c>
      <c r="D1992" t="s">
        <v>534</v>
      </c>
      <c r="E1992" t="s">
        <v>6928</v>
      </c>
      <c r="F1992">
        <v>22</v>
      </c>
      <c r="G1992">
        <v>16</v>
      </c>
      <c r="H1992" t="s">
        <v>10956</v>
      </c>
      <c r="J1992" t="s">
        <v>3863</v>
      </c>
      <c r="M1992" t="s">
        <v>10957</v>
      </c>
      <c r="N1992">
        <v>2.092758737</v>
      </c>
      <c r="O1992">
        <v>5.3323610669999999</v>
      </c>
      <c r="P1992">
        <v>0.70420098600000003</v>
      </c>
      <c r="Q1992">
        <v>0.41355372699999998</v>
      </c>
      <c r="S1992" s="13">
        <v>-1.375334936</v>
      </c>
      <c r="T1992">
        <v>-8.4706275999999997E-2</v>
      </c>
      <c r="U1992">
        <v>-0.23074035300000001</v>
      </c>
    </row>
    <row r="1993" spans="1:21" x14ac:dyDescent="0.2">
      <c r="A1993" t="s">
        <v>2911</v>
      </c>
      <c r="B1993">
        <v>469520</v>
      </c>
      <c r="C1993" t="s">
        <v>6945</v>
      </c>
      <c r="D1993" t="s">
        <v>2912</v>
      </c>
      <c r="E1993" t="s">
        <v>6946</v>
      </c>
      <c r="F1993">
        <v>6</v>
      </c>
      <c r="G1993">
        <v>11</v>
      </c>
      <c r="H1993" t="s">
        <v>10958</v>
      </c>
      <c r="J1993" t="s">
        <v>3256</v>
      </c>
      <c r="M1993" t="s">
        <v>10959</v>
      </c>
      <c r="N1993">
        <v>2.2220813349999999</v>
      </c>
      <c r="O1993">
        <v>6.5440947090000003</v>
      </c>
      <c r="P1993">
        <v>0.58228215500000002</v>
      </c>
      <c r="Q1993">
        <v>0.35188233000000002</v>
      </c>
      <c r="S1993" s="13">
        <v>-1.37540795</v>
      </c>
      <c r="T1993">
        <v>-8.5025326999999998E-2</v>
      </c>
      <c r="U1993">
        <v>-0.25182037800000001</v>
      </c>
    </row>
    <row r="1994" spans="1:21" x14ac:dyDescent="0.2">
      <c r="A1994" t="s">
        <v>2270</v>
      </c>
      <c r="B1994">
        <v>628240</v>
      </c>
      <c r="C1994" t="s">
        <v>6938</v>
      </c>
      <c r="D1994" t="s">
        <v>2271</v>
      </c>
      <c r="E1994" t="s">
        <v>6921</v>
      </c>
      <c r="F1994">
        <v>8</v>
      </c>
      <c r="G1994">
        <v>8</v>
      </c>
      <c r="H1994" t="s">
        <v>10960</v>
      </c>
      <c r="J1994" t="s">
        <v>2829</v>
      </c>
      <c r="M1994" t="s">
        <v>10961</v>
      </c>
      <c r="N1994">
        <v>2.092758737</v>
      </c>
      <c r="O1994">
        <v>5.3323610669999999</v>
      </c>
      <c r="P1994">
        <v>0.70420098600000003</v>
      </c>
      <c r="Q1994">
        <v>0.41355372699999998</v>
      </c>
      <c r="S1994" s="13">
        <v>-1.3755754039999999</v>
      </c>
      <c r="T1994">
        <v>-8.5757062999999994E-2</v>
      </c>
      <c r="U1994">
        <v>-0.230964592</v>
      </c>
    </row>
    <row r="1995" spans="1:21" x14ac:dyDescent="0.2">
      <c r="A1995" t="s">
        <v>178</v>
      </c>
      <c r="B1995">
        <v>551840</v>
      </c>
      <c r="C1995" t="s">
        <v>6942</v>
      </c>
      <c r="D1995" t="s">
        <v>178</v>
      </c>
      <c r="E1995" t="s">
        <v>6970</v>
      </c>
      <c r="F1995">
        <v>14</v>
      </c>
      <c r="G1995">
        <v>14</v>
      </c>
      <c r="H1995" t="s">
        <v>10962</v>
      </c>
      <c r="J1995" t="s">
        <v>1443</v>
      </c>
      <c r="M1995" t="s">
        <v>10963</v>
      </c>
      <c r="N1995">
        <v>2.0902262079999998</v>
      </c>
      <c r="O1995">
        <v>4.2704203920000001</v>
      </c>
      <c r="P1995">
        <v>0.23425843900000001</v>
      </c>
      <c r="Q1995">
        <v>1.6181978999999999E-2</v>
      </c>
      <c r="S1995" s="13">
        <v>-1.3756158839999999</v>
      </c>
      <c r="T1995">
        <v>-8.5933955000000006E-2</v>
      </c>
      <c r="U1995">
        <v>-0.242228106</v>
      </c>
    </row>
    <row r="1996" spans="1:21" x14ac:dyDescent="0.2">
      <c r="A1996" t="s">
        <v>1688</v>
      </c>
      <c r="B1996">
        <v>683840</v>
      </c>
      <c r="C1996" t="s">
        <v>6953</v>
      </c>
      <c r="D1996" t="s">
        <v>1688</v>
      </c>
      <c r="E1996" t="s">
        <v>6915</v>
      </c>
      <c r="F1996">
        <v>22</v>
      </c>
      <c r="G1996">
        <v>13</v>
      </c>
      <c r="H1996" t="s">
        <v>10964</v>
      </c>
      <c r="J1996" t="s">
        <v>2788</v>
      </c>
      <c r="M1996" t="s">
        <v>10965</v>
      </c>
      <c r="N1996">
        <v>1.921480887</v>
      </c>
      <c r="O1996">
        <v>3.0856645180000002</v>
      </c>
      <c r="P1996">
        <v>0.44706724399999997</v>
      </c>
      <c r="Q1996">
        <v>-0.354940863</v>
      </c>
      <c r="S1996" s="13">
        <v>-1.375640733</v>
      </c>
      <c r="T1996">
        <v>-8.6042537000000002E-2</v>
      </c>
      <c r="U1996">
        <v>-0.15326114199999999</v>
      </c>
    </row>
    <row r="1997" spans="1:21" x14ac:dyDescent="0.2">
      <c r="A1997" t="s">
        <v>741</v>
      </c>
      <c r="B1997">
        <v>591880</v>
      </c>
      <c r="C1997" t="s">
        <v>6910</v>
      </c>
      <c r="D1997" t="s">
        <v>741</v>
      </c>
      <c r="E1997" t="s">
        <v>6946</v>
      </c>
      <c r="F1997">
        <v>17</v>
      </c>
      <c r="G1997">
        <v>11</v>
      </c>
      <c r="H1997" t="s">
        <v>10966</v>
      </c>
      <c r="J1997" t="s">
        <v>6235</v>
      </c>
      <c r="M1997" t="s">
        <v>10967</v>
      </c>
      <c r="N1997">
        <v>1.9874741039999999</v>
      </c>
      <c r="O1997">
        <v>3.7453511220000002</v>
      </c>
      <c r="P1997">
        <v>0.451009722</v>
      </c>
      <c r="Q1997">
        <v>-0.102386592</v>
      </c>
      <c r="S1997" s="13">
        <v>-1.375884922</v>
      </c>
      <c r="T1997">
        <v>-8.7109589000000001E-2</v>
      </c>
      <c r="U1997">
        <v>-0.14853123400000001</v>
      </c>
    </row>
    <row r="1998" spans="1:21" x14ac:dyDescent="0.2">
      <c r="A1998" t="s">
        <v>929</v>
      </c>
      <c r="B1998">
        <v>587840</v>
      </c>
      <c r="C1998" t="s">
        <v>6906</v>
      </c>
      <c r="D1998" t="s">
        <v>929</v>
      </c>
      <c r="E1998" t="s">
        <v>6956</v>
      </c>
      <c r="F1998">
        <v>19</v>
      </c>
      <c r="G1998">
        <v>7</v>
      </c>
      <c r="H1998" t="s">
        <v>10968</v>
      </c>
      <c r="J1998" t="s">
        <v>4227</v>
      </c>
      <c r="M1998" t="s">
        <v>10969</v>
      </c>
      <c r="N1998">
        <v>1.813871112</v>
      </c>
      <c r="O1998">
        <v>2.6633694910000001</v>
      </c>
      <c r="P1998">
        <v>-0.29586356800000002</v>
      </c>
      <c r="Q1998">
        <v>-0.59018158399999998</v>
      </c>
      <c r="S1998" s="13">
        <v>-1.3758885830000001</v>
      </c>
      <c r="T1998">
        <v>-8.7125583000000006E-2</v>
      </c>
      <c r="U1998">
        <v>-0.178751516</v>
      </c>
    </row>
    <row r="1999" spans="1:21" x14ac:dyDescent="0.2">
      <c r="A1999" t="s">
        <v>1013</v>
      </c>
      <c r="B1999">
        <v>683480</v>
      </c>
      <c r="C1999" t="s">
        <v>6953</v>
      </c>
      <c r="D1999" t="s">
        <v>1014</v>
      </c>
      <c r="E1999" t="s">
        <v>7006</v>
      </c>
      <c r="F1999">
        <v>6</v>
      </c>
      <c r="G1999">
        <v>3</v>
      </c>
      <c r="H1999" t="s">
        <v>10970</v>
      </c>
      <c r="J1999" t="s">
        <v>3849</v>
      </c>
      <c r="M1999" t="s">
        <v>10971</v>
      </c>
      <c r="N1999">
        <v>1.921480887</v>
      </c>
      <c r="O1999">
        <v>3.0856645180000002</v>
      </c>
      <c r="P1999">
        <v>0.44706724399999997</v>
      </c>
      <c r="Q1999">
        <v>-0.354940863</v>
      </c>
      <c r="S1999" s="13">
        <v>-1.376014278</v>
      </c>
      <c r="T1999">
        <v>-8.7674842000000003E-2</v>
      </c>
      <c r="U1999">
        <v>-0.15350234600000001</v>
      </c>
    </row>
    <row r="2000" spans="1:21" x14ac:dyDescent="0.2">
      <c r="A2000" t="s">
        <v>2028</v>
      </c>
      <c r="B2000">
        <v>627680</v>
      </c>
      <c r="C2000" t="s">
        <v>6938</v>
      </c>
      <c r="D2000" t="s">
        <v>2028</v>
      </c>
      <c r="E2000" t="s">
        <v>6924</v>
      </c>
      <c r="F2000">
        <v>10</v>
      </c>
      <c r="G2000">
        <v>6</v>
      </c>
      <c r="H2000" t="s">
        <v>10972</v>
      </c>
      <c r="J2000" t="s">
        <v>2884</v>
      </c>
      <c r="M2000" t="s">
        <v>10973</v>
      </c>
      <c r="N2000">
        <v>2.092758737</v>
      </c>
      <c r="O2000">
        <v>5.3323610669999999</v>
      </c>
      <c r="P2000">
        <v>0.70420098600000003</v>
      </c>
      <c r="Q2000">
        <v>0.41355372699999998</v>
      </c>
      <c r="S2000" s="13">
        <v>-1.3760563379999999</v>
      </c>
      <c r="T2000">
        <v>-8.7858636000000004E-2</v>
      </c>
      <c r="U2000">
        <v>-0.23141341700000001</v>
      </c>
    </row>
    <row r="2001" spans="1:21" x14ac:dyDescent="0.2">
      <c r="A2001" t="s">
        <v>289</v>
      </c>
      <c r="B2001">
        <v>530000</v>
      </c>
      <c r="C2001" t="s">
        <v>6931</v>
      </c>
      <c r="D2001" t="s">
        <v>290</v>
      </c>
      <c r="E2001" t="s">
        <v>6977</v>
      </c>
      <c r="F2001">
        <v>5</v>
      </c>
      <c r="G2001">
        <v>5</v>
      </c>
      <c r="H2001" t="s">
        <v>10974</v>
      </c>
      <c r="N2001">
        <v>1.9323965059999999</v>
      </c>
      <c r="O2001">
        <v>3.0528020530000002</v>
      </c>
      <c r="P2001">
        <v>2.6493138999999999E-2</v>
      </c>
      <c r="Q2001">
        <v>-0.38692188</v>
      </c>
      <c r="S2001" s="13">
        <v>-1.3760988110000001</v>
      </c>
      <c r="T2001">
        <v>-8.8044233E-2</v>
      </c>
      <c r="U2001">
        <v>-0.13787637899999999</v>
      </c>
    </row>
    <row r="2002" spans="1:21" x14ac:dyDescent="0.2">
      <c r="A2002" t="s">
        <v>165</v>
      </c>
      <c r="B2002">
        <v>551200</v>
      </c>
      <c r="C2002" t="s">
        <v>6942</v>
      </c>
      <c r="D2002" t="s">
        <v>166</v>
      </c>
      <c r="E2002" t="s">
        <v>6928</v>
      </c>
      <c r="F2002">
        <v>2</v>
      </c>
      <c r="G2002">
        <v>16</v>
      </c>
      <c r="H2002" t="s">
        <v>10975</v>
      </c>
      <c r="J2002" t="s">
        <v>636</v>
      </c>
      <c r="M2002" t="s">
        <v>10976</v>
      </c>
      <c r="N2002">
        <v>2.0902262079999998</v>
      </c>
      <c r="O2002">
        <v>4.2704203920000001</v>
      </c>
      <c r="P2002">
        <v>0.23425843900000001</v>
      </c>
      <c r="Q2002">
        <v>1.6181978999999999E-2</v>
      </c>
      <c r="S2002" s="13">
        <v>-1.376244037</v>
      </c>
      <c r="T2002">
        <v>-8.8678839999999995E-2</v>
      </c>
      <c r="U2002">
        <v>-0.242754573</v>
      </c>
    </row>
    <row r="2003" spans="1:21" x14ac:dyDescent="0.2">
      <c r="A2003" t="s">
        <v>129</v>
      </c>
      <c r="B2003">
        <v>617920</v>
      </c>
      <c r="C2003" t="s">
        <v>6927</v>
      </c>
      <c r="D2003" t="s">
        <v>129</v>
      </c>
      <c r="E2003" t="s">
        <v>7006</v>
      </c>
      <c r="F2003">
        <v>24</v>
      </c>
      <c r="G2003">
        <v>3</v>
      </c>
      <c r="H2003" t="s">
        <v>10977</v>
      </c>
      <c r="J2003" t="s">
        <v>10978</v>
      </c>
      <c r="M2003" t="s">
        <v>10979</v>
      </c>
      <c r="N2003">
        <v>1.982575982</v>
      </c>
      <c r="O2003">
        <v>3.4571926419999999</v>
      </c>
      <c r="P2003">
        <v>-0.114791479</v>
      </c>
      <c r="Q2003">
        <v>1.868949E-3</v>
      </c>
      <c r="S2003" s="13">
        <v>-1.376564219</v>
      </c>
      <c r="T2003">
        <v>-9.0077958E-2</v>
      </c>
      <c r="U2003">
        <v>-0.21225995</v>
      </c>
    </row>
    <row r="2004" spans="1:21" x14ac:dyDescent="0.2">
      <c r="A2004" t="s">
        <v>529</v>
      </c>
      <c r="B2004">
        <v>617920</v>
      </c>
      <c r="C2004" t="s">
        <v>6927</v>
      </c>
      <c r="D2004" t="s">
        <v>529</v>
      </c>
      <c r="E2004" t="s">
        <v>6956</v>
      </c>
      <c r="F2004">
        <v>22</v>
      </c>
      <c r="G2004">
        <v>7</v>
      </c>
      <c r="H2004" t="s">
        <v>10980</v>
      </c>
      <c r="J2004" t="s">
        <v>10981</v>
      </c>
      <c r="M2004" t="s">
        <v>10982</v>
      </c>
      <c r="N2004">
        <v>1.982575982</v>
      </c>
      <c r="O2004">
        <v>3.4571926419999999</v>
      </c>
      <c r="P2004">
        <v>-0.114791479</v>
      </c>
      <c r="Q2004">
        <v>1.868949E-3</v>
      </c>
      <c r="S2004" s="13">
        <v>-1.376564219</v>
      </c>
      <c r="T2004">
        <v>-9.0077958E-2</v>
      </c>
      <c r="U2004">
        <v>-0.21225995</v>
      </c>
    </row>
    <row r="2005" spans="1:21" x14ac:dyDescent="0.2">
      <c r="A2005" t="s">
        <v>1811</v>
      </c>
      <c r="B2005">
        <v>529440</v>
      </c>
      <c r="C2005" t="s">
        <v>6931</v>
      </c>
      <c r="D2005" t="s">
        <v>1811</v>
      </c>
      <c r="E2005" t="s">
        <v>7085</v>
      </c>
      <c r="F2005">
        <v>15</v>
      </c>
      <c r="G2005">
        <v>9</v>
      </c>
      <c r="H2005" t="s">
        <v>10983</v>
      </c>
      <c r="N2005">
        <v>1.9323965059999999</v>
      </c>
      <c r="O2005">
        <v>3.0528020530000002</v>
      </c>
      <c r="P2005">
        <v>2.6493138999999999E-2</v>
      </c>
      <c r="Q2005">
        <v>-0.38692188</v>
      </c>
      <c r="S2005" s="13">
        <v>-1.3768346359999999</v>
      </c>
      <c r="T2005">
        <v>-9.1259621999999999E-2</v>
      </c>
      <c r="U2005">
        <v>-0.138238577</v>
      </c>
    </row>
    <row r="2006" spans="1:21" x14ac:dyDescent="0.2">
      <c r="A2006" t="s">
        <v>1498</v>
      </c>
      <c r="B2006">
        <v>587160</v>
      </c>
      <c r="C2006" t="s">
        <v>6906</v>
      </c>
      <c r="D2006" t="s">
        <v>1498</v>
      </c>
      <c r="E2006" t="s">
        <v>6911</v>
      </c>
      <c r="F2006">
        <v>17</v>
      </c>
      <c r="G2006">
        <v>12</v>
      </c>
      <c r="H2006" t="s">
        <v>10984</v>
      </c>
      <c r="J2006" t="s">
        <v>4123</v>
      </c>
      <c r="M2006" t="s">
        <v>10985</v>
      </c>
      <c r="N2006">
        <v>1.813871112</v>
      </c>
      <c r="O2006">
        <v>2.6633694910000001</v>
      </c>
      <c r="P2006">
        <v>-0.29586356800000002</v>
      </c>
      <c r="Q2006">
        <v>-0.59018158399999998</v>
      </c>
      <c r="S2006" s="13">
        <v>-1.3768750910000001</v>
      </c>
      <c r="T2006">
        <v>-9.1436398000000002E-2</v>
      </c>
      <c r="U2006">
        <v>-0.1792348</v>
      </c>
    </row>
    <row r="2007" spans="1:21" x14ac:dyDescent="0.2">
      <c r="A2007" t="s">
        <v>1123</v>
      </c>
      <c r="B2007">
        <v>550440</v>
      </c>
      <c r="C2007" t="s">
        <v>6942</v>
      </c>
      <c r="D2007" t="s">
        <v>1123</v>
      </c>
      <c r="E2007" t="s">
        <v>6946</v>
      </c>
      <c r="F2007">
        <v>16</v>
      </c>
      <c r="G2007">
        <v>11</v>
      </c>
      <c r="H2007" t="s">
        <v>10986</v>
      </c>
      <c r="J2007" t="s">
        <v>1125</v>
      </c>
      <c r="M2007" t="s">
        <v>10987</v>
      </c>
      <c r="N2007">
        <v>2.0902262079999998</v>
      </c>
      <c r="O2007">
        <v>4.2704203920000001</v>
      </c>
      <c r="P2007">
        <v>0.23425843900000001</v>
      </c>
      <c r="Q2007">
        <v>1.6181978999999999E-2</v>
      </c>
      <c r="S2007" s="13">
        <v>-1.376989969</v>
      </c>
      <c r="T2007">
        <v>-9.1938390999999994E-2</v>
      </c>
      <c r="U2007">
        <v>-0.24338058300000001</v>
      </c>
    </row>
    <row r="2008" spans="1:21" x14ac:dyDescent="0.2">
      <c r="A2008" t="s">
        <v>929</v>
      </c>
      <c r="B2008">
        <v>590720</v>
      </c>
      <c r="C2008" t="s">
        <v>6910</v>
      </c>
      <c r="D2008" t="s">
        <v>929</v>
      </c>
      <c r="E2008" t="s">
        <v>6956</v>
      </c>
      <c r="F2008">
        <v>19</v>
      </c>
      <c r="G2008">
        <v>7</v>
      </c>
      <c r="H2008" t="s">
        <v>10988</v>
      </c>
      <c r="J2008" t="s">
        <v>3994</v>
      </c>
      <c r="M2008" t="s">
        <v>10989</v>
      </c>
      <c r="N2008">
        <v>1.9874741039999999</v>
      </c>
      <c r="O2008">
        <v>3.7453511220000002</v>
      </c>
      <c r="P2008">
        <v>0.451009722</v>
      </c>
      <c r="Q2008">
        <v>-0.102386592</v>
      </c>
      <c r="S2008" s="13">
        <v>-1.3771329590000001</v>
      </c>
      <c r="T2008">
        <v>-9.2563223E-2</v>
      </c>
      <c r="U2008">
        <v>-0.149300496</v>
      </c>
    </row>
    <row r="2009" spans="1:21" x14ac:dyDescent="0.2">
      <c r="A2009" t="s">
        <v>1133</v>
      </c>
      <c r="B2009">
        <v>255960</v>
      </c>
      <c r="C2009" t="s">
        <v>6961</v>
      </c>
      <c r="D2009" t="s">
        <v>1134</v>
      </c>
      <c r="E2009" t="s">
        <v>6907</v>
      </c>
      <c r="F2009">
        <v>8</v>
      </c>
      <c r="G2009">
        <v>4</v>
      </c>
      <c r="H2009" t="s">
        <v>10990</v>
      </c>
      <c r="J2009" t="s">
        <v>6171</v>
      </c>
      <c r="M2009" t="s">
        <v>10991</v>
      </c>
      <c r="N2009">
        <v>2.7247480949999998</v>
      </c>
      <c r="O2009">
        <v>7.0822175119999997</v>
      </c>
      <c r="P2009">
        <v>0.61298291999999999</v>
      </c>
      <c r="Q2009">
        <v>0.48262032500000002</v>
      </c>
      <c r="S2009" s="13">
        <v>-1.377172984</v>
      </c>
      <c r="T2009">
        <v>-9.2738123000000006E-2</v>
      </c>
      <c r="U2009">
        <v>-0.29842569899999999</v>
      </c>
    </row>
    <row r="2010" spans="1:21" x14ac:dyDescent="0.2">
      <c r="A2010" t="s">
        <v>995</v>
      </c>
      <c r="B2010">
        <v>617000</v>
      </c>
      <c r="C2010" t="s">
        <v>6927</v>
      </c>
      <c r="D2010" t="s">
        <v>995</v>
      </c>
      <c r="E2010" t="s">
        <v>6907</v>
      </c>
      <c r="F2010">
        <v>20</v>
      </c>
      <c r="G2010">
        <v>4</v>
      </c>
      <c r="H2010" t="s">
        <v>10992</v>
      </c>
      <c r="J2010" t="s">
        <v>10993</v>
      </c>
      <c r="M2010" t="s">
        <v>10994</v>
      </c>
      <c r="N2010">
        <v>1.982575982</v>
      </c>
      <c r="O2010">
        <v>3.4571926419999999</v>
      </c>
      <c r="P2010">
        <v>-0.114791479</v>
      </c>
      <c r="Q2010">
        <v>1.868949E-3</v>
      </c>
      <c r="S2010" s="13">
        <v>-1.3775188330000001</v>
      </c>
      <c r="T2010">
        <v>-9.4249403999999995E-2</v>
      </c>
      <c r="U2010">
        <v>-0.21296643200000001</v>
      </c>
    </row>
    <row r="2011" spans="1:21" x14ac:dyDescent="0.2">
      <c r="A2011" t="s">
        <v>1436</v>
      </c>
      <c r="B2011">
        <v>682000</v>
      </c>
      <c r="C2011" t="s">
        <v>6953</v>
      </c>
      <c r="D2011" t="s">
        <v>1437</v>
      </c>
      <c r="E2011" t="s">
        <v>6907</v>
      </c>
      <c r="F2011">
        <v>6</v>
      </c>
      <c r="G2011">
        <v>4</v>
      </c>
      <c r="H2011" t="s">
        <v>10995</v>
      </c>
      <c r="J2011" t="s">
        <v>1815</v>
      </c>
      <c r="M2011" t="s">
        <v>10996</v>
      </c>
      <c r="N2011">
        <v>1.921480887</v>
      </c>
      <c r="O2011">
        <v>3.0856645180000002</v>
      </c>
      <c r="P2011">
        <v>0.44706724399999997</v>
      </c>
      <c r="Q2011">
        <v>-0.354940863</v>
      </c>
      <c r="S2011" s="13">
        <v>-1.377549962</v>
      </c>
      <c r="T2011">
        <v>-9.4385430000000006E-2</v>
      </c>
      <c r="U2011">
        <v>-0.15449537199999999</v>
      </c>
    </row>
    <row r="2012" spans="1:21" x14ac:dyDescent="0.2">
      <c r="A2012" t="s">
        <v>951</v>
      </c>
      <c r="B2012">
        <v>616960</v>
      </c>
      <c r="C2012" t="s">
        <v>6927</v>
      </c>
      <c r="D2012" t="s">
        <v>951</v>
      </c>
      <c r="E2012" t="s">
        <v>6970</v>
      </c>
      <c r="F2012">
        <v>16</v>
      </c>
      <c r="G2012">
        <v>14</v>
      </c>
      <c r="H2012" t="s">
        <v>10997</v>
      </c>
      <c r="J2012" t="s">
        <v>10998</v>
      </c>
      <c r="M2012" t="s">
        <v>10999</v>
      </c>
      <c r="N2012">
        <v>1.982575982</v>
      </c>
      <c r="O2012">
        <v>3.4571926419999999</v>
      </c>
      <c r="P2012">
        <v>-0.114791479</v>
      </c>
      <c r="Q2012">
        <v>1.868949E-3</v>
      </c>
      <c r="S2012" s="13">
        <v>-1.3775603380000001</v>
      </c>
      <c r="T2012">
        <v>-9.4430771999999996E-2</v>
      </c>
      <c r="U2012">
        <v>-0.21299717500000001</v>
      </c>
    </row>
    <row r="2013" spans="1:21" x14ac:dyDescent="0.2">
      <c r="A2013" t="s">
        <v>554</v>
      </c>
      <c r="B2013">
        <v>697440</v>
      </c>
      <c r="C2013" t="s">
        <v>6914</v>
      </c>
      <c r="D2013" t="s">
        <v>555</v>
      </c>
      <c r="E2013" t="s">
        <v>6928</v>
      </c>
      <c r="F2013">
        <v>3</v>
      </c>
      <c r="G2013">
        <v>16</v>
      </c>
      <c r="H2013" t="s">
        <v>11000</v>
      </c>
      <c r="J2013" t="s">
        <v>2545</v>
      </c>
      <c r="M2013" t="s">
        <v>11001</v>
      </c>
      <c r="N2013">
        <v>1.8217074179999999</v>
      </c>
      <c r="O2013">
        <v>4.1700741289999996</v>
      </c>
      <c r="P2013">
        <v>0.189705977</v>
      </c>
      <c r="Q2013">
        <v>-1.7194070999999998E-2</v>
      </c>
      <c r="S2013" s="13">
        <v>-1.378124173</v>
      </c>
      <c r="T2013">
        <v>-9.6894602999999996E-2</v>
      </c>
      <c r="U2013">
        <v>-0.21273593099999999</v>
      </c>
    </row>
    <row r="2014" spans="1:21" x14ac:dyDescent="0.2">
      <c r="A2014" t="s">
        <v>207</v>
      </c>
      <c r="B2014">
        <v>697320</v>
      </c>
      <c r="C2014" t="s">
        <v>6914</v>
      </c>
      <c r="D2014" t="s">
        <v>207</v>
      </c>
      <c r="E2014" t="s">
        <v>6939</v>
      </c>
      <c r="F2014">
        <v>21</v>
      </c>
      <c r="G2014">
        <v>2</v>
      </c>
      <c r="H2014" t="s">
        <v>11002</v>
      </c>
      <c r="J2014" t="s">
        <v>5895</v>
      </c>
      <c r="M2014" t="s">
        <v>11003</v>
      </c>
      <c r="N2014">
        <v>1.8217074179999999</v>
      </c>
      <c r="O2014">
        <v>4.1700741289999996</v>
      </c>
      <c r="P2014">
        <v>0.189705977</v>
      </c>
      <c r="Q2014">
        <v>-1.7194070999999998E-2</v>
      </c>
      <c r="S2014" s="13">
        <v>-1.378268504</v>
      </c>
      <c r="T2014">
        <v>-9.7525297999999996E-2</v>
      </c>
      <c r="U2014">
        <v>-0.21282811700000001</v>
      </c>
    </row>
    <row r="2015" spans="1:21" x14ac:dyDescent="0.2">
      <c r="A2015" t="s">
        <v>202</v>
      </c>
      <c r="B2015">
        <v>589560</v>
      </c>
      <c r="C2015" t="s">
        <v>6910</v>
      </c>
      <c r="D2015" t="s">
        <v>202</v>
      </c>
      <c r="E2015" t="s">
        <v>6907</v>
      </c>
      <c r="F2015">
        <v>14</v>
      </c>
      <c r="G2015">
        <v>4</v>
      </c>
      <c r="H2015" t="s">
        <v>11004</v>
      </c>
      <c r="J2015" t="s">
        <v>4600</v>
      </c>
      <c r="M2015" t="s">
        <v>11005</v>
      </c>
      <c r="N2015">
        <v>1.9874741039999999</v>
      </c>
      <c r="O2015">
        <v>3.7453511220000002</v>
      </c>
      <c r="P2015">
        <v>0.451009722</v>
      </c>
      <c r="Q2015">
        <v>-0.102386592</v>
      </c>
      <c r="S2015" s="13">
        <v>-1.3783809950000001</v>
      </c>
      <c r="T2015">
        <v>-9.8016857999999998E-2</v>
      </c>
      <c r="U2015">
        <v>-0.150071123</v>
      </c>
    </row>
    <row r="2016" spans="1:21" x14ac:dyDescent="0.2">
      <c r="A2016" t="s">
        <v>355</v>
      </c>
      <c r="B2016">
        <v>527800</v>
      </c>
      <c r="C2016" t="s">
        <v>6931</v>
      </c>
      <c r="D2016" t="s">
        <v>356</v>
      </c>
      <c r="E2016" t="s">
        <v>6946</v>
      </c>
      <c r="F2016">
        <v>3</v>
      </c>
      <c r="G2016">
        <v>11</v>
      </c>
      <c r="H2016" t="s">
        <v>11006</v>
      </c>
      <c r="J2016" t="s">
        <v>1173</v>
      </c>
      <c r="M2016" t="s">
        <v>11007</v>
      </c>
      <c r="N2016">
        <v>1.9323965059999999</v>
      </c>
      <c r="O2016">
        <v>3.0528020530000002</v>
      </c>
      <c r="P2016">
        <v>2.6493138999999999E-2</v>
      </c>
      <c r="Q2016">
        <v>-0.38692188</v>
      </c>
      <c r="S2016" s="13">
        <v>-1.3789895539999999</v>
      </c>
      <c r="T2016">
        <v>-0.10067611899999999</v>
      </c>
      <c r="U2016">
        <v>-0.13930103899999999</v>
      </c>
    </row>
    <row r="2017" spans="1:21" x14ac:dyDescent="0.2">
      <c r="A2017" t="s">
        <v>929</v>
      </c>
      <c r="B2017">
        <v>680560</v>
      </c>
      <c r="C2017" t="s">
        <v>6953</v>
      </c>
      <c r="D2017" t="s">
        <v>929</v>
      </c>
      <c r="E2017" t="s">
        <v>6956</v>
      </c>
      <c r="F2017">
        <v>19</v>
      </c>
      <c r="G2017">
        <v>7</v>
      </c>
      <c r="H2017" t="s">
        <v>11008</v>
      </c>
      <c r="J2017" t="s">
        <v>2481</v>
      </c>
      <c r="M2017" t="s">
        <v>11009</v>
      </c>
      <c r="N2017">
        <v>1.921480887</v>
      </c>
      <c r="O2017">
        <v>3.0856645180000002</v>
      </c>
      <c r="P2017">
        <v>0.44706724399999997</v>
      </c>
      <c r="Q2017">
        <v>-0.354940863</v>
      </c>
      <c r="S2017" s="13">
        <v>-1.3790441410000001</v>
      </c>
      <c r="T2017">
        <v>-0.10091464999999999</v>
      </c>
      <c r="U2017">
        <v>-0.15546374399999999</v>
      </c>
    </row>
    <row r="2018" spans="1:21" x14ac:dyDescent="0.2">
      <c r="A2018" t="s">
        <v>2960</v>
      </c>
      <c r="B2018">
        <v>585640</v>
      </c>
      <c r="C2018" t="s">
        <v>6906</v>
      </c>
      <c r="D2018" t="s">
        <v>2961</v>
      </c>
      <c r="E2018" t="s">
        <v>6939</v>
      </c>
      <c r="F2018">
        <v>7</v>
      </c>
      <c r="G2018">
        <v>2</v>
      </c>
      <c r="H2018" t="s">
        <v>11010</v>
      </c>
      <c r="J2018" t="s">
        <v>2989</v>
      </c>
      <c r="M2018" t="s">
        <v>11011</v>
      </c>
      <c r="N2018">
        <v>1.813871112</v>
      </c>
      <c r="O2018">
        <v>2.6633694910000001</v>
      </c>
      <c r="P2018">
        <v>-0.29586356800000002</v>
      </c>
      <c r="Q2018">
        <v>-0.59018158399999998</v>
      </c>
      <c r="S2018" s="13">
        <v>-1.3790802259999999</v>
      </c>
      <c r="T2018">
        <v>-0.101072337</v>
      </c>
      <c r="U2018">
        <v>-0.18031702999999999</v>
      </c>
    </row>
    <row r="2019" spans="1:21" x14ac:dyDescent="0.2">
      <c r="A2019" t="s">
        <v>2385</v>
      </c>
      <c r="B2019">
        <v>615440</v>
      </c>
      <c r="C2019" t="s">
        <v>6927</v>
      </c>
      <c r="D2019" t="s">
        <v>2385</v>
      </c>
      <c r="E2019" t="s">
        <v>6911</v>
      </c>
      <c r="F2019">
        <v>19</v>
      </c>
      <c r="G2019">
        <v>12</v>
      </c>
      <c r="H2019" t="s">
        <v>11012</v>
      </c>
      <c r="J2019" t="s">
        <v>11013</v>
      </c>
      <c r="M2019" t="s">
        <v>11014</v>
      </c>
      <c r="N2019">
        <v>1.982575982</v>
      </c>
      <c r="O2019">
        <v>3.4571926419999999</v>
      </c>
      <c r="P2019">
        <v>-0.114791479</v>
      </c>
      <c r="Q2019">
        <v>1.868949E-3</v>
      </c>
      <c r="S2019" s="13">
        <v>-1.3791375269999999</v>
      </c>
      <c r="T2019">
        <v>-0.101322726</v>
      </c>
      <c r="U2019">
        <v>-0.21416701299999999</v>
      </c>
    </row>
    <row r="2020" spans="1:21" x14ac:dyDescent="0.2">
      <c r="A2020" t="s">
        <v>1260</v>
      </c>
      <c r="B2020">
        <v>696520</v>
      </c>
      <c r="C2020" t="s">
        <v>6914</v>
      </c>
      <c r="D2020" t="s">
        <v>1260</v>
      </c>
      <c r="E2020" t="s">
        <v>6915</v>
      </c>
      <c r="F2020">
        <v>19</v>
      </c>
      <c r="G2020">
        <v>13</v>
      </c>
      <c r="H2020" t="s">
        <v>11015</v>
      </c>
      <c r="J2020" t="s">
        <v>6671</v>
      </c>
      <c r="M2020" t="s">
        <v>11016</v>
      </c>
      <c r="N2020">
        <v>1.8217074179999999</v>
      </c>
      <c r="O2020">
        <v>4.1700741289999996</v>
      </c>
      <c r="P2020">
        <v>0.189705977</v>
      </c>
      <c r="Q2020">
        <v>-1.7194070999999998E-2</v>
      </c>
      <c r="S2020" s="13">
        <v>-1.379230714</v>
      </c>
      <c r="T2020">
        <v>-0.101729932</v>
      </c>
      <c r="U2020">
        <v>-0.21344318900000001</v>
      </c>
    </row>
    <row r="2021" spans="1:21" x14ac:dyDescent="0.2">
      <c r="A2021" t="s">
        <v>1683</v>
      </c>
      <c r="B2021">
        <v>615200</v>
      </c>
      <c r="C2021" t="s">
        <v>6927</v>
      </c>
      <c r="D2021" t="s">
        <v>1683</v>
      </c>
      <c r="E2021" t="s">
        <v>6915</v>
      </c>
      <c r="F2021">
        <v>16</v>
      </c>
      <c r="G2021">
        <v>13</v>
      </c>
      <c r="H2021" t="s">
        <v>11017</v>
      </c>
      <c r="J2021" t="s">
        <v>11018</v>
      </c>
      <c r="M2021" t="s">
        <v>11019</v>
      </c>
      <c r="N2021">
        <v>1.982575982</v>
      </c>
      <c r="O2021">
        <v>3.4571926419999999</v>
      </c>
      <c r="P2021">
        <v>-0.114791479</v>
      </c>
      <c r="Q2021">
        <v>1.868949E-3</v>
      </c>
      <c r="S2021" s="13">
        <v>-1.3793865569999999</v>
      </c>
      <c r="T2021">
        <v>-0.10241093</v>
      </c>
      <c r="U2021">
        <v>-0.21435201300000001</v>
      </c>
    </row>
    <row r="2022" spans="1:21" x14ac:dyDescent="0.2">
      <c r="A2022" t="s">
        <v>1167</v>
      </c>
      <c r="B2022">
        <v>527440</v>
      </c>
      <c r="C2022" t="s">
        <v>6931</v>
      </c>
      <c r="D2022" t="s">
        <v>1168</v>
      </c>
      <c r="E2022" t="s">
        <v>7006</v>
      </c>
      <c r="F2022">
        <v>5</v>
      </c>
      <c r="G2022">
        <v>3</v>
      </c>
      <c r="H2022" t="s">
        <v>11020</v>
      </c>
      <c r="N2022">
        <v>1.9323965059999999</v>
      </c>
      <c r="O2022">
        <v>3.0528020530000002</v>
      </c>
      <c r="P2022">
        <v>2.6493138999999999E-2</v>
      </c>
      <c r="Q2022">
        <v>-0.38692188</v>
      </c>
      <c r="S2022" s="13">
        <v>-1.379462585</v>
      </c>
      <c r="T2022">
        <v>-0.102743155</v>
      </c>
      <c r="U2022">
        <v>-0.139534611</v>
      </c>
    </row>
    <row r="2023" spans="1:21" x14ac:dyDescent="0.2">
      <c r="A2023" t="s">
        <v>1729</v>
      </c>
      <c r="B2023">
        <v>253040</v>
      </c>
      <c r="C2023" t="s">
        <v>6961</v>
      </c>
      <c r="D2023" t="s">
        <v>1729</v>
      </c>
      <c r="E2023" t="s">
        <v>6907</v>
      </c>
      <c r="F2023">
        <v>16</v>
      </c>
      <c r="G2023">
        <v>4</v>
      </c>
      <c r="H2023" t="s">
        <v>11021</v>
      </c>
      <c r="J2023" t="s">
        <v>6477</v>
      </c>
      <c r="M2023" t="s">
        <v>11022</v>
      </c>
      <c r="N2023">
        <v>2.7247480949999998</v>
      </c>
      <c r="O2023">
        <v>7.0822175119999997</v>
      </c>
      <c r="P2023">
        <v>0.61298291999999999</v>
      </c>
      <c r="Q2023">
        <v>0.48262032500000002</v>
      </c>
      <c r="S2023" s="13">
        <v>-1.3794845</v>
      </c>
      <c r="T2023">
        <v>-0.102838921</v>
      </c>
      <c r="U2023">
        <v>-0.301166506</v>
      </c>
    </row>
    <row r="2024" spans="1:21" x14ac:dyDescent="0.2">
      <c r="A2024" t="s">
        <v>1409</v>
      </c>
      <c r="B2024">
        <v>585120</v>
      </c>
      <c r="C2024" t="s">
        <v>6906</v>
      </c>
      <c r="D2024" t="s">
        <v>1410</v>
      </c>
      <c r="E2024" t="s">
        <v>7115</v>
      </c>
      <c r="F2024">
        <v>6</v>
      </c>
      <c r="G2024">
        <v>10</v>
      </c>
      <c r="H2024" t="s">
        <v>11023</v>
      </c>
      <c r="J2024" t="s">
        <v>1412</v>
      </c>
      <c r="M2024" t="s">
        <v>11024</v>
      </c>
      <c r="N2024">
        <v>1.813871112</v>
      </c>
      <c r="O2024">
        <v>2.6633694910000001</v>
      </c>
      <c r="P2024">
        <v>-0.29586356800000002</v>
      </c>
      <c r="Q2024">
        <v>-0.59018158399999998</v>
      </c>
      <c r="S2024" s="13">
        <v>-1.379834615</v>
      </c>
      <c r="T2024">
        <v>-0.104368842</v>
      </c>
      <c r="U2024">
        <v>-0.18068788699999999</v>
      </c>
    </row>
    <row r="2025" spans="1:21" x14ac:dyDescent="0.2">
      <c r="A2025" t="s">
        <v>1101</v>
      </c>
      <c r="B2025">
        <v>623040</v>
      </c>
      <c r="C2025" t="s">
        <v>6938</v>
      </c>
      <c r="D2025" t="s">
        <v>1101</v>
      </c>
      <c r="E2025" t="s">
        <v>6911</v>
      </c>
      <c r="F2025">
        <v>14</v>
      </c>
      <c r="G2025">
        <v>12</v>
      </c>
      <c r="H2025" t="s">
        <v>11025</v>
      </c>
      <c r="J2025" t="s">
        <v>4197</v>
      </c>
      <c r="M2025" t="s">
        <v>11026</v>
      </c>
      <c r="N2025">
        <v>2.092758737</v>
      </c>
      <c r="O2025">
        <v>5.3323610669999999</v>
      </c>
      <c r="P2025">
        <v>0.70420098600000003</v>
      </c>
      <c r="Q2025">
        <v>0.41355372699999998</v>
      </c>
      <c r="S2025" s="13">
        <v>-1.3800412230000001</v>
      </c>
      <c r="T2025">
        <v>-0.105271672</v>
      </c>
      <c r="U2025">
        <v>-0.235150207</v>
      </c>
    </row>
    <row r="2026" spans="1:21" x14ac:dyDescent="0.2">
      <c r="A2026" t="s">
        <v>1698</v>
      </c>
      <c r="B2026">
        <v>623000</v>
      </c>
      <c r="C2026" t="s">
        <v>6938</v>
      </c>
      <c r="D2026" t="s">
        <v>1698</v>
      </c>
      <c r="E2026" t="s">
        <v>6921</v>
      </c>
      <c r="F2026">
        <v>11</v>
      </c>
      <c r="G2026">
        <v>8</v>
      </c>
      <c r="H2026" t="s">
        <v>11027</v>
      </c>
      <c r="J2026" t="s">
        <v>5727</v>
      </c>
      <c r="M2026" t="s">
        <v>11028</v>
      </c>
      <c r="N2026">
        <v>2.092758737</v>
      </c>
      <c r="O2026">
        <v>5.3323610669999999</v>
      </c>
      <c r="P2026">
        <v>0.70420098600000003</v>
      </c>
      <c r="Q2026">
        <v>0.41355372699999998</v>
      </c>
      <c r="S2026" s="13">
        <v>-1.380075575</v>
      </c>
      <c r="T2026">
        <v>-0.105421785</v>
      </c>
      <c r="U2026">
        <v>-0.23518256100000001</v>
      </c>
    </row>
    <row r="2027" spans="1:21" x14ac:dyDescent="0.2">
      <c r="A2027" t="s">
        <v>485</v>
      </c>
      <c r="B2027">
        <v>464560</v>
      </c>
      <c r="C2027" t="s">
        <v>6945</v>
      </c>
      <c r="D2027" t="s">
        <v>486</v>
      </c>
      <c r="E2027" t="s">
        <v>6974</v>
      </c>
      <c r="F2027">
        <v>8</v>
      </c>
      <c r="G2027">
        <v>15</v>
      </c>
      <c r="H2027" t="s">
        <v>11029</v>
      </c>
      <c r="J2027" t="s">
        <v>5305</v>
      </c>
      <c r="M2027" t="s">
        <v>11030</v>
      </c>
      <c r="N2027">
        <v>2.2220813349999999</v>
      </c>
      <c r="O2027">
        <v>6.5440947090000003</v>
      </c>
      <c r="P2027">
        <v>0.58228215500000002</v>
      </c>
      <c r="Q2027">
        <v>0.35188233000000002</v>
      </c>
      <c r="S2027" s="13">
        <v>-1.3800863999999999</v>
      </c>
      <c r="T2027">
        <v>-0.105469088</v>
      </c>
      <c r="U2027">
        <v>-0.25600922999999998</v>
      </c>
    </row>
    <row r="2028" spans="1:21" x14ac:dyDescent="0.2">
      <c r="A2028" t="s">
        <v>853</v>
      </c>
      <c r="B2028">
        <v>547280</v>
      </c>
      <c r="C2028" t="s">
        <v>6942</v>
      </c>
      <c r="D2028" t="s">
        <v>854</v>
      </c>
      <c r="E2028" t="s">
        <v>6946</v>
      </c>
      <c r="F2028">
        <v>5</v>
      </c>
      <c r="G2028">
        <v>11</v>
      </c>
      <c r="H2028" t="s">
        <v>11031</v>
      </c>
      <c r="J2028" t="s">
        <v>2084</v>
      </c>
      <c r="M2028" t="s">
        <v>11032</v>
      </c>
      <c r="N2028">
        <v>2.0902262079999998</v>
      </c>
      <c r="O2028">
        <v>4.2704203920000001</v>
      </c>
      <c r="P2028">
        <v>0.23425843900000001</v>
      </c>
      <c r="Q2028">
        <v>1.6181978999999999E-2</v>
      </c>
      <c r="S2028" s="13">
        <v>-1.380091475</v>
      </c>
      <c r="T2028">
        <v>-0.105491261</v>
      </c>
      <c r="U2028">
        <v>-0.245993187</v>
      </c>
    </row>
    <row r="2029" spans="1:21" x14ac:dyDescent="0.2">
      <c r="A2029" t="s">
        <v>392</v>
      </c>
      <c r="B2029">
        <v>464120</v>
      </c>
      <c r="C2029" t="s">
        <v>6945</v>
      </c>
      <c r="D2029" t="s">
        <v>392</v>
      </c>
      <c r="E2029" t="s">
        <v>7006</v>
      </c>
      <c r="F2029">
        <v>21</v>
      </c>
      <c r="G2029">
        <v>3</v>
      </c>
      <c r="H2029" t="s">
        <v>11033</v>
      </c>
      <c r="J2029" t="s">
        <v>5745</v>
      </c>
      <c r="M2029" t="s">
        <v>11034</v>
      </c>
      <c r="N2029">
        <v>2.2220813349999999</v>
      </c>
      <c r="O2029">
        <v>6.5440947090000003</v>
      </c>
      <c r="P2029">
        <v>0.58228215500000002</v>
      </c>
      <c r="Q2029">
        <v>0.35188233000000002</v>
      </c>
      <c r="S2029" s="13">
        <v>-1.380501424</v>
      </c>
      <c r="T2029">
        <v>-0.10728264699999999</v>
      </c>
      <c r="U2029">
        <v>-0.25638277999999998</v>
      </c>
    </row>
    <row r="2030" spans="1:21" x14ac:dyDescent="0.2">
      <c r="A2030" t="s">
        <v>1415</v>
      </c>
      <c r="B2030">
        <v>464120</v>
      </c>
      <c r="C2030" t="s">
        <v>6945</v>
      </c>
      <c r="D2030" t="s">
        <v>1415</v>
      </c>
      <c r="E2030" t="s">
        <v>6946</v>
      </c>
      <c r="F2030">
        <v>12</v>
      </c>
      <c r="G2030">
        <v>11</v>
      </c>
      <c r="H2030" t="s">
        <v>11035</v>
      </c>
      <c r="J2030" t="s">
        <v>5113</v>
      </c>
      <c r="M2030" t="s">
        <v>11036</v>
      </c>
      <c r="N2030">
        <v>2.2220813349999999</v>
      </c>
      <c r="O2030">
        <v>6.5440947090000003</v>
      </c>
      <c r="P2030">
        <v>0.58228215500000002</v>
      </c>
      <c r="Q2030">
        <v>0.35188233000000002</v>
      </c>
      <c r="S2030" s="13">
        <v>-1.380501424</v>
      </c>
      <c r="T2030">
        <v>-0.10728264699999999</v>
      </c>
      <c r="U2030">
        <v>-0.25638277999999998</v>
      </c>
    </row>
    <row r="2031" spans="1:21" x14ac:dyDescent="0.2">
      <c r="A2031" t="s">
        <v>2206</v>
      </c>
      <c r="B2031">
        <v>584640</v>
      </c>
      <c r="C2031" t="s">
        <v>6906</v>
      </c>
      <c r="D2031" t="s">
        <v>2207</v>
      </c>
      <c r="E2031" t="s">
        <v>6956</v>
      </c>
      <c r="F2031">
        <v>3</v>
      </c>
      <c r="G2031">
        <v>7</v>
      </c>
      <c r="H2031" t="s">
        <v>11037</v>
      </c>
      <c r="J2031" t="s">
        <v>3337</v>
      </c>
      <c r="M2031" t="s">
        <v>11038</v>
      </c>
      <c r="N2031">
        <v>1.813871112</v>
      </c>
      <c r="O2031">
        <v>2.6633694910000001</v>
      </c>
      <c r="P2031">
        <v>-0.29586356800000002</v>
      </c>
      <c r="Q2031">
        <v>-0.59018158399999998</v>
      </c>
      <c r="S2031" s="13">
        <v>-1.3805309729999999</v>
      </c>
      <c r="T2031">
        <v>-0.10741177</v>
      </c>
      <c r="U2031">
        <v>-0.18103049700000001</v>
      </c>
    </row>
    <row r="2032" spans="1:21" x14ac:dyDescent="0.2">
      <c r="A2032" t="s">
        <v>1714</v>
      </c>
      <c r="B2032">
        <v>614080</v>
      </c>
      <c r="C2032" t="s">
        <v>6927</v>
      </c>
      <c r="D2032" t="s">
        <v>1715</v>
      </c>
      <c r="E2032" t="s">
        <v>6915</v>
      </c>
      <c r="F2032">
        <v>7</v>
      </c>
      <c r="G2032">
        <v>13</v>
      </c>
      <c r="H2032" t="s">
        <v>11039</v>
      </c>
      <c r="J2032" t="s">
        <v>11040</v>
      </c>
      <c r="M2032" t="s">
        <v>11041</v>
      </c>
      <c r="N2032">
        <v>1.982575982</v>
      </c>
      <c r="O2032">
        <v>3.4571926419999999</v>
      </c>
      <c r="P2032">
        <v>-0.114791479</v>
      </c>
      <c r="Q2032">
        <v>1.868949E-3</v>
      </c>
      <c r="S2032" s="13">
        <v>-1.380548696</v>
      </c>
      <c r="T2032">
        <v>-0.107489212</v>
      </c>
      <c r="U2032">
        <v>-0.21521638800000001</v>
      </c>
    </row>
    <row r="2033" spans="1:21" x14ac:dyDescent="0.2">
      <c r="A2033" t="s">
        <v>889</v>
      </c>
      <c r="B2033">
        <v>678920</v>
      </c>
      <c r="C2033" t="s">
        <v>6953</v>
      </c>
      <c r="D2033" t="s">
        <v>889</v>
      </c>
      <c r="E2033" t="s">
        <v>6921</v>
      </c>
      <c r="F2033">
        <v>16</v>
      </c>
      <c r="G2033">
        <v>8</v>
      </c>
      <c r="H2033" t="s">
        <v>11042</v>
      </c>
      <c r="J2033" t="s">
        <v>2821</v>
      </c>
      <c r="M2033" t="s">
        <v>11043</v>
      </c>
      <c r="N2033">
        <v>1.921480887</v>
      </c>
      <c r="O2033">
        <v>3.0856645180000002</v>
      </c>
      <c r="P2033">
        <v>0.44706724399999997</v>
      </c>
      <c r="Q2033">
        <v>-0.354940863</v>
      </c>
      <c r="S2033" s="13">
        <v>-1.380745844</v>
      </c>
      <c r="T2033">
        <v>-0.108350707</v>
      </c>
      <c r="U2033">
        <v>-0.15656924899999999</v>
      </c>
    </row>
    <row r="2034" spans="1:21" x14ac:dyDescent="0.2">
      <c r="A2034" t="s">
        <v>337</v>
      </c>
      <c r="B2034">
        <v>463840</v>
      </c>
      <c r="C2034" t="s">
        <v>6945</v>
      </c>
      <c r="D2034" t="s">
        <v>337</v>
      </c>
      <c r="E2034" t="s">
        <v>6974</v>
      </c>
      <c r="F2034">
        <v>13</v>
      </c>
      <c r="G2034">
        <v>15</v>
      </c>
      <c r="H2034" t="s">
        <v>11044</v>
      </c>
      <c r="J2034" t="s">
        <v>887</v>
      </c>
      <c r="M2034" t="s">
        <v>11045</v>
      </c>
      <c r="N2034">
        <v>2.2220813349999999</v>
      </c>
      <c r="O2034">
        <v>6.5440947090000003</v>
      </c>
      <c r="P2034">
        <v>0.58228215500000002</v>
      </c>
      <c r="Q2034">
        <v>0.35188233000000002</v>
      </c>
      <c r="S2034" s="13">
        <v>-1.3807655299999999</v>
      </c>
      <c r="T2034">
        <v>-0.10843673</v>
      </c>
      <c r="U2034">
        <v>-0.25662066100000003</v>
      </c>
    </row>
    <row r="2035" spans="1:21" x14ac:dyDescent="0.2">
      <c r="A2035" t="s">
        <v>477</v>
      </c>
      <c r="B2035">
        <v>587280</v>
      </c>
      <c r="C2035" t="s">
        <v>6910</v>
      </c>
      <c r="D2035" t="s">
        <v>477</v>
      </c>
      <c r="E2035" t="s">
        <v>6918</v>
      </c>
      <c r="F2035">
        <v>12</v>
      </c>
      <c r="G2035">
        <v>1</v>
      </c>
      <c r="H2035" t="s">
        <v>11046</v>
      </c>
      <c r="J2035" t="s">
        <v>2687</v>
      </c>
      <c r="M2035" t="s">
        <v>11047</v>
      </c>
      <c r="N2035">
        <v>1.9874741039999999</v>
      </c>
      <c r="O2035">
        <v>3.7453511220000002</v>
      </c>
      <c r="P2035">
        <v>0.451009722</v>
      </c>
      <c r="Q2035">
        <v>-0.102386592</v>
      </c>
      <c r="S2035" s="13">
        <v>-1.380834033</v>
      </c>
      <c r="T2035">
        <v>-0.10873607</v>
      </c>
      <c r="U2035">
        <v>-0.151589799</v>
      </c>
    </row>
    <row r="2036" spans="1:21" x14ac:dyDescent="0.2">
      <c r="A2036" t="s">
        <v>2073</v>
      </c>
      <c r="B2036">
        <v>546480</v>
      </c>
      <c r="C2036" t="s">
        <v>6942</v>
      </c>
      <c r="D2036" t="s">
        <v>2074</v>
      </c>
      <c r="E2036" t="s">
        <v>7085</v>
      </c>
      <c r="F2036">
        <v>2</v>
      </c>
      <c r="G2036">
        <v>9</v>
      </c>
      <c r="H2036" t="s">
        <v>11048</v>
      </c>
      <c r="J2036" t="s">
        <v>4221</v>
      </c>
      <c r="M2036" t="s">
        <v>11049</v>
      </c>
      <c r="N2036">
        <v>2.0902262079999998</v>
      </c>
      <c r="O2036">
        <v>4.2704203920000001</v>
      </c>
      <c r="P2036">
        <v>0.23425843900000001</v>
      </c>
      <c r="Q2036">
        <v>1.6181978999999999E-2</v>
      </c>
      <c r="S2036" s="13">
        <v>-1.380876666</v>
      </c>
      <c r="T2036">
        <v>-0.10892236800000001</v>
      </c>
      <c r="U2036">
        <v>-0.24665710699999999</v>
      </c>
    </row>
    <row r="2037" spans="1:21" x14ac:dyDescent="0.2">
      <c r="A2037" t="s">
        <v>2341</v>
      </c>
      <c r="B2037">
        <v>586960</v>
      </c>
      <c r="C2037" t="s">
        <v>6910</v>
      </c>
      <c r="D2037" t="s">
        <v>2341</v>
      </c>
      <c r="E2037" t="s">
        <v>6921</v>
      </c>
      <c r="F2037">
        <v>14</v>
      </c>
      <c r="G2037">
        <v>8</v>
      </c>
      <c r="H2037" t="s">
        <v>11050</v>
      </c>
      <c r="J2037" t="s">
        <v>3541</v>
      </c>
      <c r="M2037" t="s">
        <v>11051</v>
      </c>
      <c r="N2037">
        <v>1.9874741039999999</v>
      </c>
      <c r="O2037">
        <v>3.7453511220000002</v>
      </c>
      <c r="P2037">
        <v>0.451009722</v>
      </c>
      <c r="Q2037">
        <v>-0.102386592</v>
      </c>
      <c r="S2037" s="13">
        <v>-1.381178319</v>
      </c>
      <c r="T2037">
        <v>-0.11024051999999999</v>
      </c>
      <c r="U2037">
        <v>-0.15180337299999999</v>
      </c>
    </row>
    <row r="2038" spans="1:21" x14ac:dyDescent="0.2">
      <c r="A2038" t="s">
        <v>218</v>
      </c>
      <c r="B2038">
        <v>546160</v>
      </c>
      <c r="C2038" t="s">
        <v>6942</v>
      </c>
      <c r="D2038" t="s">
        <v>218</v>
      </c>
      <c r="E2038" t="s">
        <v>6918</v>
      </c>
      <c r="F2038">
        <v>22</v>
      </c>
      <c r="G2038">
        <v>1</v>
      </c>
      <c r="H2038" t="s">
        <v>11052</v>
      </c>
      <c r="J2038" t="s">
        <v>819</v>
      </c>
      <c r="M2038" t="s">
        <v>11053</v>
      </c>
      <c r="N2038">
        <v>2.0902262079999998</v>
      </c>
      <c r="O2038">
        <v>4.2704203920000001</v>
      </c>
      <c r="P2038">
        <v>0.23425843900000001</v>
      </c>
      <c r="Q2038">
        <v>1.6181978999999999E-2</v>
      </c>
      <c r="S2038" s="13">
        <v>-1.3811907430000001</v>
      </c>
      <c r="T2038">
        <v>-0.11029480999999999</v>
      </c>
      <c r="U2038">
        <v>-0.246922959</v>
      </c>
    </row>
    <row r="2039" spans="1:21" x14ac:dyDescent="0.2">
      <c r="A2039" t="s">
        <v>462</v>
      </c>
      <c r="B2039">
        <v>526080</v>
      </c>
      <c r="C2039" t="s">
        <v>6931</v>
      </c>
      <c r="D2039" t="s">
        <v>462</v>
      </c>
      <c r="E2039" t="s">
        <v>6956</v>
      </c>
      <c r="F2039">
        <v>20</v>
      </c>
      <c r="G2039">
        <v>7</v>
      </c>
      <c r="H2039" t="s">
        <v>11054</v>
      </c>
      <c r="N2039">
        <v>1.9323965059999999</v>
      </c>
      <c r="O2039">
        <v>3.0528020530000002</v>
      </c>
      <c r="P2039">
        <v>2.6493138999999999E-2</v>
      </c>
      <c r="Q2039">
        <v>-0.38692188</v>
      </c>
      <c r="S2039" s="13">
        <v>-1.3812495890000001</v>
      </c>
      <c r="T2039">
        <v>-0.11055195700000001</v>
      </c>
      <c r="U2039">
        <v>-0.14041813</v>
      </c>
    </row>
    <row r="2040" spans="1:21" x14ac:dyDescent="0.2">
      <c r="A2040" t="s">
        <v>2077</v>
      </c>
      <c r="B2040">
        <v>463280</v>
      </c>
      <c r="C2040" t="s">
        <v>6945</v>
      </c>
      <c r="D2040" t="s">
        <v>2077</v>
      </c>
      <c r="E2040" t="s">
        <v>6915</v>
      </c>
      <c r="F2040">
        <v>20</v>
      </c>
      <c r="G2040">
        <v>13</v>
      </c>
      <c r="H2040" t="s">
        <v>11055</v>
      </c>
      <c r="J2040" t="s">
        <v>4840</v>
      </c>
      <c r="M2040" t="s">
        <v>11056</v>
      </c>
      <c r="N2040">
        <v>2.2220813349999999</v>
      </c>
      <c r="O2040">
        <v>6.5440947090000003</v>
      </c>
      <c r="P2040">
        <v>0.58228215500000002</v>
      </c>
      <c r="Q2040">
        <v>0.35188233000000002</v>
      </c>
      <c r="S2040" s="13">
        <v>-1.3812937430000001</v>
      </c>
      <c r="T2040">
        <v>-0.11074489699999999</v>
      </c>
      <c r="U2040">
        <v>-0.25709681499999998</v>
      </c>
    </row>
    <row r="2041" spans="1:21" x14ac:dyDescent="0.2">
      <c r="A2041" t="s">
        <v>13</v>
      </c>
      <c r="B2041">
        <v>546040</v>
      </c>
      <c r="C2041" t="s">
        <v>6942</v>
      </c>
      <c r="D2041" t="s">
        <v>13</v>
      </c>
      <c r="E2041" t="s">
        <v>6921</v>
      </c>
      <c r="F2041">
        <v>22</v>
      </c>
      <c r="G2041">
        <v>8</v>
      </c>
      <c r="H2041" t="s">
        <v>11057</v>
      </c>
      <c r="J2041" t="s">
        <v>4588</v>
      </c>
      <c r="M2041" t="s">
        <v>11058</v>
      </c>
      <c r="N2041">
        <v>2.0902262079999998</v>
      </c>
      <c r="O2041">
        <v>4.2704203920000001</v>
      </c>
      <c r="P2041">
        <v>0.23425843900000001</v>
      </c>
      <c r="Q2041">
        <v>1.6181978999999999E-2</v>
      </c>
      <c r="S2041" s="13">
        <v>-1.381308521</v>
      </c>
      <c r="T2041">
        <v>-0.110809476</v>
      </c>
      <c r="U2041">
        <v>-0.24702269499999999</v>
      </c>
    </row>
    <row r="2042" spans="1:21" x14ac:dyDescent="0.2">
      <c r="A2042" t="s">
        <v>246</v>
      </c>
      <c r="B2042">
        <v>694440</v>
      </c>
      <c r="C2042" t="s">
        <v>6914</v>
      </c>
      <c r="D2042" t="s">
        <v>246</v>
      </c>
      <c r="E2042" t="s">
        <v>6939</v>
      </c>
      <c r="F2042">
        <v>10</v>
      </c>
      <c r="G2042">
        <v>2</v>
      </c>
      <c r="H2042" t="s">
        <v>11059</v>
      </c>
      <c r="J2042" t="s">
        <v>1824</v>
      </c>
      <c r="M2042" t="s">
        <v>11060</v>
      </c>
      <c r="N2042">
        <v>1.8217074179999999</v>
      </c>
      <c r="O2042">
        <v>4.1700741289999996</v>
      </c>
      <c r="P2042">
        <v>0.189705977</v>
      </c>
      <c r="Q2042">
        <v>-1.7194070999999998E-2</v>
      </c>
      <c r="S2042" s="13">
        <v>-1.3817324580000001</v>
      </c>
      <c r="T2042">
        <v>-0.11266198199999999</v>
      </c>
      <c r="U2042">
        <v>-0.21504646399999999</v>
      </c>
    </row>
    <row r="2043" spans="1:21" x14ac:dyDescent="0.2">
      <c r="A2043" t="s">
        <v>2188</v>
      </c>
      <c r="B2043">
        <v>586240</v>
      </c>
      <c r="C2043" t="s">
        <v>6910</v>
      </c>
      <c r="D2043" t="s">
        <v>2188</v>
      </c>
      <c r="E2043" t="s">
        <v>6907</v>
      </c>
      <c r="F2043">
        <v>11</v>
      </c>
      <c r="G2043">
        <v>4</v>
      </c>
      <c r="H2043" t="s">
        <v>11061</v>
      </c>
      <c r="J2043" t="s">
        <v>6015</v>
      </c>
      <c r="M2043" t="s">
        <v>11062</v>
      </c>
      <c r="N2043">
        <v>1.9874741039999999</v>
      </c>
      <c r="O2043">
        <v>3.7453511220000002</v>
      </c>
      <c r="P2043">
        <v>0.451009722</v>
      </c>
      <c r="Q2043">
        <v>-0.102386592</v>
      </c>
      <c r="S2043" s="13">
        <v>-1.381952962</v>
      </c>
      <c r="T2043">
        <v>-0.113625535</v>
      </c>
      <c r="U2043">
        <v>-0.15228429700000001</v>
      </c>
    </row>
    <row r="2044" spans="1:21" x14ac:dyDescent="0.2">
      <c r="A2044" t="s">
        <v>504</v>
      </c>
      <c r="B2044">
        <v>586160</v>
      </c>
      <c r="C2044" t="s">
        <v>6910</v>
      </c>
      <c r="D2044" t="s">
        <v>504</v>
      </c>
      <c r="E2044" t="s">
        <v>6956</v>
      </c>
      <c r="F2044">
        <v>12</v>
      </c>
      <c r="G2044">
        <v>7</v>
      </c>
      <c r="H2044" t="s">
        <v>11063</v>
      </c>
      <c r="J2044" t="s">
        <v>2864</v>
      </c>
      <c r="M2044" t="s">
        <v>11064</v>
      </c>
      <c r="N2044">
        <v>1.9874741039999999</v>
      </c>
      <c r="O2044">
        <v>3.7453511220000002</v>
      </c>
      <c r="P2044">
        <v>0.451009722</v>
      </c>
      <c r="Q2044">
        <v>-0.102386592</v>
      </c>
      <c r="S2044" s="13">
        <v>-1.3820390330000001</v>
      </c>
      <c r="T2044">
        <v>-0.114001647</v>
      </c>
      <c r="U2044">
        <v>-0.15233776600000001</v>
      </c>
    </row>
    <row r="2045" spans="1:21" x14ac:dyDescent="0.2">
      <c r="A2045" t="s">
        <v>560</v>
      </c>
      <c r="B2045">
        <v>694080</v>
      </c>
      <c r="C2045" t="s">
        <v>6914</v>
      </c>
      <c r="D2045" t="s">
        <v>560</v>
      </c>
      <c r="E2045" t="s">
        <v>6928</v>
      </c>
      <c r="F2045">
        <v>13</v>
      </c>
      <c r="G2045">
        <v>16</v>
      </c>
      <c r="H2045" t="s">
        <v>11065</v>
      </c>
      <c r="J2045" t="s">
        <v>5577</v>
      </c>
      <c r="M2045" t="s">
        <v>11066</v>
      </c>
      <c r="N2045">
        <v>1.8217074179999999</v>
      </c>
      <c r="O2045">
        <v>4.1700741289999996</v>
      </c>
      <c r="P2045">
        <v>0.189705977</v>
      </c>
      <c r="Q2045">
        <v>-1.7194070999999998E-2</v>
      </c>
      <c r="S2045" s="13">
        <v>-1.382165452</v>
      </c>
      <c r="T2045">
        <v>-0.114554067</v>
      </c>
      <c r="U2045">
        <v>-0.215324556</v>
      </c>
    </row>
    <row r="2046" spans="1:21" x14ac:dyDescent="0.2">
      <c r="A2046" t="s">
        <v>1882</v>
      </c>
      <c r="B2046">
        <v>462280</v>
      </c>
      <c r="C2046" t="s">
        <v>6945</v>
      </c>
      <c r="D2046" t="s">
        <v>1882</v>
      </c>
      <c r="E2046" t="s">
        <v>7006</v>
      </c>
      <c r="F2046">
        <v>20</v>
      </c>
      <c r="G2046">
        <v>3</v>
      </c>
      <c r="H2046" t="s">
        <v>11067</v>
      </c>
      <c r="J2046" t="s">
        <v>5217</v>
      </c>
      <c r="M2046" t="s">
        <v>11068</v>
      </c>
      <c r="N2046">
        <v>2.2220813349999999</v>
      </c>
      <c r="O2046">
        <v>6.5440947090000003</v>
      </c>
      <c r="P2046">
        <v>0.58228215500000002</v>
      </c>
      <c r="Q2046">
        <v>0.35188233000000002</v>
      </c>
      <c r="S2046" s="13">
        <v>-1.382236979</v>
      </c>
      <c r="T2046">
        <v>-0.114866623</v>
      </c>
      <c r="U2046">
        <v>-0.25794839000000003</v>
      </c>
    </row>
    <row r="2047" spans="1:21" x14ac:dyDescent="0.2">
      <c r="A2047" t="s">
        <v>775</v>
      </c>
      <c r="B2047">
        <v>677480</v>
      </c>
      <c r="C2047" t="s">
        <v>6953</v>
      </c>
      <c r="D2047" t="s">
        <v>776</v>
      </c>
      <c r="E2047" t="s">
        <v>6939</v>
      </c>
      <c r="F2047">
        <v>2</v>
      </c>
      <c r="G2047">
        <v>2</v>
      </c>
      <c r="H2047" t="s">
        <v>11069</v>
      </c>
      <c r="J2047" t="s">
        <v>1896</v>
      </c>
      <c r="M2047" t="s">
        <v>11070</v>
      </c>
      <c r="N2047">
        <v>1.921480887</v>
      </c>
      <c r="O2047">
        <v>3.0856645180000002</v>
      </c>
      <c r="P2047">
        <v>0.44706724399999997</v>
      </c>
      <c r="Q2047">
        <v>-0.354940863</v>
      </c>
      <c r="S2047" s="13">
        <v>-1.382240023</v>
      </c>
      <c r="T2047">
        <v>-0.11487992700000001</v>
      </c>
      <c r="U2047">
        <v>-0.15754226099999999</v>
      </c>
    </row>
    <row r="2048" spans="1:21" x14ac:dyDescent="0.2">
      <c r="A2048" t="s">
        <v>1368</v>
      </c>
      <c r="B2048">
        <v>544600</v>
      </c>
      <c r="C2048" t="s">
        <v>6942</v>
      </c>
      <c r="D2048" t="s">
        <v>1368</v>
      </c>
      <c r="E2048" t="s">
        <v>6956</v>
      </c>
      <c r="F2048">
        <v>16</v>
      </c>
      <c r="G2048">
        <v>7</v>
      </c>
      <c r="H2048" t="s">
        <v>11071</v>
      </c>
      <c r="J2048" t="s">
        <v>2221</v>
      </c>
      <c r="M2048" t="s">
        <v>11072</v>
      </c>
      <c r="N2048">
        <v>2.0902262079999998</v>
      </c>
      <c r="O2048">
        <v>4.2704203920000001</v>
      </c>
      <c r="P2048">
        <v>0.23425843900000001</v>
      </c>
      <c r="Q2048">
        <v>1.6181978999999999E-2</v>
      </c>
      <c r="S2048" s="13">
        <v>-1.382721866</v>
      </c>
      <c r="T2048">
        <v>-0.116985468</v>
      </c>
      <c r="U2048">
        <v>-0.24822132399999999</v>
      </c>
    </row>
    <row r="2049" spans="1:21" x14ac:dyDescent="0.2">
      <c r="A2049" t="s">
        <v>355</v>
      </c>
      <c r="B2049">
        <v>544560</v>
      </c>
      <c r="C2049" t="s">
        <v>6942</v>
      </c>
      <c r="D2049" t="s">
        <v>356</v>
      </c>
      <c r="E2049" t="s">
        <v>6946</v>
      </c>
      <c r="F2049">
        <v>3</v>
      </c>
      <c r="G2049">
        <v>11</v>
      </c>
      <c r="H2049" t="s">
        <v>11073</v>
      </c>
      <c r="J2049" t="s">
        <v>1250</v>
      </c>
      <c r="M2049" t="s">
        <v>11074</v>
      </c>
      <c r="N2049">
        <v>2.0902262079999998</v>
      </c>
      <c r="O2049">
        <v>4.2704203920000001</v>
      </c>
      <c r="P2049">
        <v>0.23425843900000001</v>
      </c>
      <c r="Q2049">
        <v>1.6181978999999999E-2</v>
      </c>
      <c r="S2049" s="13">
        <v>-1.382761125</v>
      </c>
      <c r="T2049">
        <v>-0.117157023</v>
      </c>
      <c r="U2049">
        <v>-0.24825466600000001</v>
      </c>
    </row>
    <row r="2050" spans="1:21" x14ac:dyDescent="0.2">
      <c r="A2050" t="s">
        <v>1031</v>
      </c>
      <c r="B2050">
        <v>524920</v>
      </c>
      <c r="C2050" t="s">
        <v>6931</v>
      </c>
      <c r="D2050" t="s">
        <v>1031</v>
      </c>
      <c r="E2050" t="s">
        <v>6956</v>
      </c>
      <c r="F2050">
        <v>13</v>
      </c>
      <c r="G2050">
        <v>7</v>
      </c>
      <c r="H2050" t="s">
        <v>11075</v>
      </c>
      <c r="N2050">
        <v>1.9323965059999999</v>
      </c>
      <c r="O2050">
        <v>3.0528020530000002</v>
      </c>
      <c r="P2050">
        <v>2.6493138999999999E-2</v>
      </c>
      <c r="Q2050">
        <v>-0.38692188</v>
      </c>
      <c r="S2050" s="13">
        <v>-1.382773799</v>
      </c>
      <c r="T2050">
        <v>-0.117212407</v>
      </c>
      <c r="U2050">
        <v>-0.141173141</v>
      </c>
    </row>
    <row r="2051" spans="1:21" x14ac:dyDescent="0.2">
      <c r="A2051" t="s">
        <v>1104</v>
      </c>
      <c r="B2051">
        <v>585400</v>
      </c>
      <c r="C2051" t="s">
        <v>6910</v>
      </c>
      <c r="D2051" t="s">
        <v>1105</v>
      </c>
      <c r="E2051" t="s">
        <v>6956</v>
      </c>
      <c r="F2051">
        <v>2</v>
      </c>
      <c r="G2051">
        <v>7</v>
      </c>
      <c r="H2051" t="s">
        <v>11076</v>
      </c>
      <c r="J2051" t="s">
        <v>3089</v>
      </c>
      <c r="M2051" t="s">
        <v>11077</v>
      </c>
      <c r="N2051">
        <v>1.9874741039999999</v>
      </c>
      <c r="O2051">
        <v>3.7453511220000002</v>
      </c>
      <c r="P2051">
        <v>0.451009722</v>
      </c>
      <c r="Q2051">
        <v>-0.102386592</v>
      </c>
      <c r="S2051" s="13">
        <v>-1.3828567119999999</v>
      </c>
      <c r="T2051">
        <v>-0.11757471799999999</v>
      </c>
      <c r="U2051">
        <v>-0.15284604900000001</v>
      </c>
    </row>
    <row r="2052" spans="1:21" x14ac:dyDescent="0.2">
      <c r="A2052" t="s">
        <v>1593</v>
      </c>
      <c r="B2052">
        <v>524720</v>
      </c>
      <c r="C2052" t="s">
        <v>6931</v>
      </c>
      <c r="D2052" t="s">
        <v>1593</v>
      </c>
      <c r="E2052" t="s">
        <v>6939</v>
      </c>
      <c r="F2052">
        <v>14</v>
      </c>
      <c r="G2052">
        <v>2</v>
      </c>
      <c r="H2052" t="s">
        <v>11078</v>
      </c>
      <c r="N2052">
        <v>1.9323965059999999</v>
      </c>
      <c r="O2052">
        <v>3.0528020530000002</v>
      </c>
      <c r="P2052">
        <v>2.6493138999999999E-2</v>
      </c>
      <c r="Q2052">
        <v>-0.38692188</v>
      </c>
      <c r="S2052" s="13">
        <v>-1.383036594</v>
      </c>
      <c r="T2052">
        <v>-0.11836076</v>
      </c>
      <c r="U2052">
        <v>-0.141303449</v>
      </c>
    </row>
    <row r="2053" spans="1:21" x14ac:dyDescent="0.2">
      <c r="A2053" t="s">
        <v>1963</v>
      </c>
      <c r="B2053">
        <v>619360</v>
      </c>
      <c r="C2053" t="s">
        <v>6938</v>
      </c>
      <c r="D2053" t="s">
        <v>1963</v>
      </c>
      <c r="E2053" t="s">
        <v>6939</v>
      </c>
      <c r="F2053">
        <v>12</v>
      </c>
      <c r="G2053">
        <v>2</v>
      </c>
      <c r="H2053" t="s">
        <v>11079</v>
      </c>
      <c r="J2053" t="s">
        <v>1965</v>
      </c>
      <c r="M2053" t="s">
        <v>11080</v>
      </c>
      <c r="N2053">
        <v>2.092758737</v>
      </c>
      <c r="O2053">
        <v>5.3323610669999999</v>
      </c>
      <c r="P2053">
        <v>0.70420098600000003</v>
      </c>
      <c r="Q2053">
        <v>0.41355372699999998</v>
      </c>
      <c r="S2053" s="13">
        <v>-1.3832016490000001</v>
      </c>
      <c r="T2053">
        <v>-0.119082011</v>
      </c>
      <c r="U2053">
        <v>-0.23813690100000001</v>
      </c>
    </row>
    <row r="2054" spans="1:21" x14ac:dyDescent="0.2">
      <c r="A2054" t="s">
        <v>348</v>
      </c>
      <c r="B2054">
        <v>582600</v>
      </c>
      <c r="C2054" t="s">
        <v>6906</v>
      </c>
      <c r="D2054" t="s">
        <v>349</v>
      </c>
      <c r="E2054" t="s">
        <v>6907</v>
      </c>
      <c r="F2054">
        <v>1</v>
      </c>
      <c r="G2054">
        <v>4</v>
      </c>
      <c r="H2054" t="s">
        <v>11081</v>
      </c>
      <c r="J2054" t="s">
        <v>1709</v>
      </c>
      <c r="M2054" t="s">
        <v>11082</v>
      </c>
      <c r="N2054">
        <v>1.813871112</v>
      </c>
      <c r="O2054">
        <v>2.6633694910000001</v>
      </c>
      <c r="P2054">
        <v>-0.29586356800000002</v>
      </c>
      <c r="Q2054">
        <v>-0.59018158399999998</v>
      </c>
      <c r="S2054" s="13">
        <v>-1.383490498</v>
      </c>
      <c r="T2054">
        <v>-0.120344214</v>
      </c>
      <c r="U2054">
        <v>-0.18248961499999999</v>
      </c>
    </row>
    <row r="2055" spans="1:21" x14ac:dyDescent="0.2">
      <c r="A2055" t="s">
        <v>511</v>
      </c>
      <c r="B2055">
        <v>582160</v>
      </c>
      <c r="C2055" t="s">
        <v>6906</v>
      </c>
      <c r="D2055" t="s">
        <v>511</v>
      </c>
      <c r="E2055" t="s">
        <v>6911</v>
      </c>
      <c r="F2055">
        <v>21</v>
      </c>
      <c r="G2055">
        <v>12</v>
      </c>
      <c r="H2055" t="s">
        <v>11083</v>
      </c>
      <c r="J2055" t="s">
        <v>1020</v>
      </c>
      <c r="M2055" t="s">
        <v>11084</v>
      </c>
      <c r="N2055">
        <v>1.813871112</v>
      </c>
      <c r="O2055">
        <v>2.6633694910000001</v>
      </c>
      <c r="P2055">
        <v>-0.29586356800000002</v>
      </c>
      <c r="Q2055">
        <v>-0.59018158399999998</v>
      </c>
      <c r="S2055" s="13">
        <v>-1.384128826</v>
      </c>
      <c r="T2055">
        <v>-0.123133565</v>
      </c>
      <c r="U2055">
        <v>-0.18280497000000001</v>
      </c>
    </row>
    <row r="2056" spans="1:21" x14ac:dyDescent="0.2">
      <c r="A2056" t="s">
        <v>1617</v>
      </c>
      <c r="B2056">
        <v>610400</v>
      </c>
      <c r="C2056" t="s">
        <v>6927</v>
      </c>
      <c r="D2056" t="s">
        <v>1617</v>
      </c>
      <c r="E2056" t="s">
        <v>7115</v>
      </c>
      <c r="F2056">
        <v>16</v>
      </c>
      <c r="G2056">
        <v>10</v>
      </c>
      <c r="H2056" t="s">
        <v>11085</v>
      </c>
      <c r="J2056" t="s">
        <v>11086</v>
      </c>
      <c r="M2056" t="s">
        <v>11087</v>
      </c>
      <c r="N2056">
        <v>1.982575982</v>
      </c>
      <c r="O2056">
        <v>3.4571926419999999</v>
      </c>
      <c r="P2056">
        <v>-0.114791479</v>
      </c>
      <c r="Q2056">
        <v>1.868949E-3</v>
      </c>
      <c r="S2056" s="13">
        <v>-1.3843671529999999</v>
      </c>
      <c r="T2056">
        <v>-0.12417499799999999</v>
      </c>
      <c r="U2056">
        <v>-0.218068653</v>
      </c>
    </row>
    <row r="2057" spans="1:21" x14ac:dyDescent="0.2">
      <c r="A2057" t="s">
        <v>541</v>
      </c>
      <c r="B2057">
        <v>675280</v>
      </c>
      <c r="C2057" t="s">
        <v>6953</v>
      </c>
      <c r="D2057" t="s">
        <v>542</v>
      </c>
      <c r="E2057" t="s">
        <v>6974</v>
      </c>
      <c r="F2057">
        <v>1</v>
      </c>
      <c r="G2057">
        <v>15</v>
      </c>
      <c r="H2057" t="s">
        <v>11088</v>
      </c>
      <c r="J2057" t="s">
        <v>5381</v>
      </c>
      <c r="M2057" t="s">
        <v>11089</v>
      </c>
      <c r="N2057">
        <v>1.921480887</v>
      </c>
      <c r="O2057">
        <v>3.0856645180000002</v>
      </c>
      <c r="P2057">
        <v>0.44706724399999997</v>
      </c>
      <c r="Q2057">
        <v>-0.354940863</v>
      </c>
      <c r="S2057" s="13">
        <v>-1.384522797</v>
      </c>
      <c r="T2057">
        <v>-0.124855125</v>
      </c>
      <c r="U2057">
        <v>-0.15903302999999999</v>
      </c>
    </row>
    <row r="2058" spans="1:21" x14ac:dyDescent="0.2">
      <c r="A2058" t="s">
        <v>892</v>
      </c>
      <c r="B2058">
        <v>692080</v>
      </c>
      <c r="C2058" t="s">
        <v>6914</v>
      </c>
      <c r="D2058" t="s">
        <v>892</v>
      </c>
      <c r="E2058" t="s">
        <v>6977</v>
      </c>
      <c r="F2058">
        <v>21</v>
      </c>
      <c r="G2058">
        <v>5</v>
      </c>
      <c r="H2058" t="s">
        <v>11090</v>
      </c>
      <c r="J2058" t="s">
        <v>6795</v>
      </c>
      <c r="M2058" t="s">
        <v>11091</v>
      </c>
      <c r="N2058">
        <v>1.8217074179999999</v>
      </c>
      <c r="O2058">
        <v>4.1700741289999996</v>
      </c>
      <c r="P2058">
        <v>0.189705977</v>
      </c>
      <c r="Q2058">
        <v>-1.7194070999999998E-2</v>
      </c>
      <c r="S2058" s="13">
        <v>-1.3845709749999999</v>
      </c>
      <c r="T2058">
        <v>-0.125065653</v>
      </c>
      <c r="U2058">
        <v>-0.216872762</v>
      </c>
    </row>
    <row r="2059" spans="1:21" x14ac:dyDescent="0.2">
      <c r="A2059" t="s">
        <v>507</v>
      </c>
      <c r="B2059">
        <v>617760</v>
      </c>
      <c r="C2059" t="s">
        <v>6938</v>
      </c>
      <c r="D2059" t="s">
        <v>508</v>
      </c>
      <c r="E2059" t="s">
        <v>6918</v>
      </c>
      <c r="F2059">
        <v>5</v>
      </c>
      <c r="G2059">
        <v>1</v>
      </c>
      <c r="H2059" t="s">
        <v>11092</v>
      </c>
      <c r="J2059" t="s">
        <v>5237</v>
      </c>
      <c r="M2059" t="s">
        <v>11093</v>
      </c>
      <c r="N2059">
        <v>2.092758737</v>
      </c>
      <c r="O2059">
        <v>5.3323610669999999</v>
      </c>
      <c r="P2059">
        <v>0.70420098600000003</v>
      </c>
      <c r="Q2059">
        <v>0.41355372699999998</v>
      </c>
      <c r="S2059" s="13">
        <v>-1.384575747</v>
      </c>
      <c r="T2059">
        <v>-0.12508650700000001</v>
      </c>
      <c r="U2059">
        <v>-0.23944189799999999</v>
      </c>
    </row>
    <row r="2060" spans="1:21" x14ac:dyDescent="0.2">
      <c r="A2060" t="s">
        <v>1031</v>
      </c>
      <c r="B2060">
        <v>692000</v>
      </c>
      <c r="C2060" t="s">
        <v>6914</v>
      </c>
      <c r="D2060" t="s">
        <v>1031</v>
      </c>
      <c r="E2060" t="s">
        <v>6956</v>
      </c>
      <c r="F2060">
        <v>13</v>
      </c>
      <c r="G2060">
        <v>7</v>
      </c>
      <c r="H2060" t="s">
        <v>11094</v>
      </c>
      <c r="J2060" t="s">
        <v>1033</v>
      </c>
      <c r="M2060" t="s">
        <v>11095</v>
      </c>
      <c r="N2060">
        <v>1.8217074179999999</v>
      </c>
      <c r="O2060">
        <v>4.1700741289999996</v>
      </c>
      <c r="P2060">
        <v>0.189705977</v>
      </c>
      <c r="Q2060">
        <v>-1.7194070999999998E-2</v>
      </c>
      <c r="S2060" s="13">
        <v>-1.3846671960000001</v>
      </c>
      <c r="T2060">
        <v>-0.12548611700000001</v>
      </c>
      <c r="U2060">
        <v>-0.21693480500000001</v>
      </c>
    </row>
    <row r="2061" spans="1:21" x14ac:dyDescent="0.2">
      <c r="A2061" t="s">
        <v>671</v>
      </c>
      <c r="B2061">
        <v>542320</v>
      </c>
      <c r="C2061" t="s">
        <v>6942</v>
      </c>
      <c r="D2061" t="s">
        <v>672</v>
      </c>
      <c r="E2061" t="s">
        <v>6970</v>
      </c>
      <c r="F2061">
        <v>6</v>
      </c>
      <c r="G2061">
        <v>14</v>
      </c>
      <c r="H2061" t="s">
        <v>11096</v>
      </c>
      <c r="J2061" t="s">
        <v>4792</v>
      </c>
      <c r="M2061" t="s">
        <v>11097</v>
      </c>
      <c r="N2061">
        <v>2.0902262079999998</v>
      </c>
      <c r="O2061">
        <v>4.2704203920000001</v>
      </c>
      <c r="P2061">
        <v>0.23425843900000001</v>
      </c>
      <c r="Q2061">
        <v>1.6181978999999999E-2</v>
      </c>
      <c r="S2061" s="13">
        <v>-1.3849596609999999</v>
      </c>
      <c r="T2061">
        <v>-0.12676412100000001</v>
      </c>
      <c r="U2061">
        <v>-0.25012594399999999</v>
      </c>
    </row>
    <row r="2062" spans="1:21" x14ac:dyDescent="0.2">
      <c r="A2062" t="s">
        <v>2077</v>
      </c>
      <c r="B2062">
        <v>542280</v>
      </c>
      <c r="C2062" t="s">
        <v>6942</v>
      </c>
      <c r="D2062" t="s">
        <v>2077</v>
      </c>
      <c r="E2062" t="s">
        <v>6915</v>
      </c>
      <c r="F2062">
        <v>20</v>
      </c>
      <c r="G2062">
        <v>13</v>
      </c>
      <c r="H2062" t="s">
        <v>11098</v>
      </c>
      <c r="J2062" t="s">
        <v>2086</v>
      </c>
      <c r="M2062" t="s">
        <v>11099</v>
      </c>
      <c r="N2062">
        <v>2.0902262079999998</v>
      </c>
      <c r="O2062">
        <v>4.2704203920000001</v>
      </c>
      <c r="P2062">
        <v>0.23425843900000001</v>
      </c>
      <c r="Q2062">
        <v>1.6181978999999999E-2</v>
      </c>
      <c r="S2062" s="13">
        <v>-1.3849989199999999</v>
      </c>
      <c r="T2062">
        <v>-0.126935677</v>
      </c>
      <c r="U2062">
        <v>-0.25015943299999999</v>
      </c>
    </row>
    <row r="2063" spans="1:21" x14ac:dyDescent="0.2">
      <c r="A2063" t="s">
        <v>444</v>
      </c>
      <c r="B2063">
        <v>674800</v>
      </c>
      <c r="C2063" t="s">
        <v>6953</v>
      </c>
      <c r="D2063" t="s">
        <v>445</v>
      </c>
      <c r="E2063" t="s">
        <v>7006</v>
      </c>
      <c r="F2063">
        <v>2</v>
      </c>
      <c r="G2063">
        <v>3</v>
      </c>
      <c r="H2063" t="s">
        <v>11100</v>
      </c>
      <c r="J2063" t="s">
        <v>836</v>
      </c>
      <c r="M2063" t="s">
        <v>11101</v>
      </c>
      <c r="N2063">
        <v>1.921480887</v>
      </c>
      <c r="O2063">
        <v>3.0856645180000002</v>
      </c>
      <c r="P2063">
        <v>0.44706724399999997</v>
      </c>
      <c r="Q2063">
        <v>-0.354940863</v>
      </c>
      <c r="S2063" s="13">
        <v>-1.3850208559999999</v>
      </c>
      <c r="T2063">
        <v>-0.127031532</v>
      </c>
      <c r="U2063">
        <v>-0.15935896999999999</v>
      </c>
    </row>
    <row r="2064" spans="1:21" x14ac:dyDescent="0.2">
      <c r="A2064" t="s">
        <v>746</v>
      </c>
      <c r="B2064">
        <v>583360</v>
      </c>
      <c r="C2064" t="s">
        <v>6910</v>
      </c>
      <c r="D2064" t="s">
        <v>746</v>
      </c>
      <c r="E2064" t="s">
        <v>6974</v>
      </c>
      <c r="F2064">
        <v>19</v>
      </c>
      <c r="G2064">
        <v>15</v>
      </c>
      <c r="H2064" t="s">
        <v>11102</v>
      </c>
      <c r="J2064" t="s">
        <v>3650</v>
      </c>
      <c r="M2064" t="s">
        <v>11103</v>
      </c>
      <c r="N2064">
        <v>1.9874741039999999</v>
      </c>
      <c r="O2064">
        <v>3.7453511220000002</v>
      </c>
      <c r="P2064">
        <v>0.451009722</v>
      </c>
      <c r="Q2064">
        <v>-0.102386592</v>
      </c>
      <c r="S2064" s="13">
        <v>-1.3850515349999999</v>
      </c>
      <c r="T2064">
        <v>-0.12716559199999999</v>
      </c>
      <c r="U2064">
        <v>-0.15421333700000001</v>
      </c>
    </row>
    <row r="2065" spans="1:21" x14ac:dyDescent="0.2">
      <c r="A2065" t="s">
        <v>1415</v>
      </c>
      <c r="B2065">
        <v>691680</v>
      </c>
      <c r="C2065" t="s">
        <v>6914</v>
      </c>
      <c r="D2065" t="s">
        <v>1415</v>
      </c>
      <c r="E2065" t="s">
        <v>6946</v>
      </c>
      <c r="F2065">
        <v>12</v>
      </c>
      <c r="G2065">
        <v>11</v>
      </c>
      <c r="H2065" t="s">
        <v>11104</v>
      </c>
      <c r="J2065" t="s">
        <v>3904</v>
      </c>
      <c r="M2065" t="s">
        <v>11105</v>
      </c>
      <c r="N2065">
        <v>1.8217074179999999</v>
      </c>
      <c r="O2065">
        <v>4.1700741289999996</v>
      </c>
      <c r="P2065">
        <v>0.189705977</v>
      </c>
      <c r="Q2065">
        <v>-1.7194070999999998E-2</v>
      </c>
      <c r="S2065" s="13">
        <v>-1.3850520799999999</v>
      </c>
      <c r="T2065">
        <v>-0.12716796999999999</v>
      </c>
      <c r="U2065">
        <v>-0.21718306600000001</v>
      </c>
    </row>
    <row r="2066" spans="1:21" x14ac:dyDescent="0.2">
      <c r="A2066" t="s">
        <v>333</v>
      </c>
      <c r="B2066">
        <v>459240</v>
      </c>
      <c r="C2066" t="s">
        <v>6945</v>
      </c>
      <c r="D2066" t="s">
        <v>334</v>
      </c>
      <c r="E2066" t="s">
        <v>6915</v>
      </c>
      <c r="F2066">
        <v>2</v>
      </c>
      <c r="G2066">
        <v>13</v>
      </c>
      <c r="H2066" t="s">
        <v>11106</v>
      </c>
      <c r="J2066" t="s">
        <v>3159</v>
      </c>
      <c r="M2066" t="s">
        <v>11107</v>
      </c>
      <c r="N2066">
        <v>2.2220813349999999</v>
      </c>
      <c r="O2066">
        <v>6.5440947090000003</v>
      </c>
      <c r="P2066">
        <v>0.58228215500000002</v>
      </c>
      <c r="Q2066">
        <v>0.35188233000000002</v>
      </c>
      <c r="S2066" s="13">
        <v>-1.3851044159999999</v>
      </c>
      <c r="T2066">
        <v>-0.12739666999999999</v>
      </c>
      <c r="U2066">
        <v>-0.260547478</v>
      </c>
    </row>
    <row r="2067" spans="1:21" x14ac:dyDescent="0.2">
      <c r="A2067" t="s">
        <v>919</v>
      </c>
      <c r="B2067">
        <v>542120</v>
      </c>
      <c r="C2067" t="s">
        <v>6942</v>
      </c>
      <c r="D2067" t="s">
        <v>919</v>
      </c>
      <c r="E2067" t="s">
        <v>6946</v>
      </c>
      <c r="F2067">
        <v>22</v>
      </c>
      <c r="G2067">
        <v>11</v>
      </c>
      <c r="H2067" t="s">
        <v>11108</v>
      </c>
      <c r="J2067" t="s">
        <v>4276</v>
      </c>
      <c r="M2067" t="s">
        <v>11109</v>
      </c>
      <c r="N2067">
        <v>2.0902262079999998</v>
      </c>
      <c r="O2067">
        <v>4.2704203920000001</v>
      </c>
      <c r="P2067">
        <v>0.23425843900000001</v>
      </c>
      <c r="Q2067">
        <v>1.6181978999999999E-2</v>
      </c>
      <c r="S2067" s="13">
        <v>-1.385155959</v>
      </c>
      <c r="T2067">
        <v>-0.12762189800000001</v>
      </c>
      <c r="U2067">
        <v>-0.25029341500000002</v>
      </c>
    </row>
    <row r="2068" spans="1:21" x14ac:dyDescent="0.2">
      <c r="A2068" t="s">
        <v>2315</v>
      </c>
      <c r="B2068">
        <v>542120</v>
      </c>
      <c r="C2068" t="s">
        <v>6942</v>
      </c>
      <c r="D2068" t="s">
        <v>2316</v>
      </c>
      <c r="E2068" t="s">
        <v>6911</v>
      </c>
      <c r="F2068">
        <v>4</v>
      </c>
      <c r="G2068">
        <v>12</v>
      </c>
      <c r="H2068" t="s">
        <v>11110</v>
      </c>
      <c r="J2068" t="s">
        <v>2318</v>
      </c>
      <c r="M2068" t="s">
        <v>11111</v>
      </c>
      <c r="N2068">
        <v>2.0902262079999998</v>
      </c>
      <c r="O2068">
        <v>4.2704203920000001</v>
      </c>
      <c r="P2068">
        <v>0.23425843900000001</v>
      </c>
      <c r="Q2068">
        <v>1.6181978999999999E-2</v>
      </c>
      <c r="S2068" s="13">
        <v>-1.385155959</v>
      </c>
      <c r="T2068">
        <v>-0.12762189800000001</v>
      </c>
      <c r="U2068">
        <v>-0.25029341500000002</v>
      </c>
    </row>
    <row r="2069" spans="1:21" x14ac:dyDescent="0.2">
      <c r="A2069" t="s">
        <v>2315</v>
      </c>
      <c r="B2069">
        <v>617080</v>
      </c>
      <c r="C2069" t="s">
        <v>6938</v>
      </c>
      <c r="D2069" t="s">
        <v>2316</v>
      </c>
      <c r="E2069" t="s">
        <v>6911</v>
      </c>
      <c r="F2069">
        <v>4</v>
      </c>
      <c r="G2069">
        <v>12</v>
      </c>
      <c r="H2069" t="s">
        <v>11112</v>
      </c>
      <c r="J2069" t="s">
        <v>3902</v>
      </c>
      <c r="M2069" t="s">
        <v>11113</v>
      </c>
      <c r="N2069">
        <v>2.092758737</v>
      </c>
      <c r="O2069">
        <v>5.3323610669999999</v>
      </c>
      <c r="P2069">
        <v>0.70420098600000003</v>
      </c>
      <c r="Q2069">
        <v>0.41355372699999998</v>
      </c>
      <c r="S2069" s="13">
        <v>-1.3851597389999999</v>
      </c>
      <c r="T2069">
        <v>-0.127638417</v>
      </c>
      <c r="U2069">
        <v>-0.239997712</v>
      </c>
    </row>
    <row r="2070" spans="1:21" x14ac:dyDescent="0.2">
      <c r="A2070" t="s">
        <v>190</v>
      </c>
      <c r="B2070">
        <v>522960</v>
      </c>
      <c r="C2070" t="s">
        <v>6931</v>
      </c>
      <c r="D2070" t="s">
        <v>190</v>
      </c>
      <c r="E2070" t="s">
        <v>6946</v>
      </c>
      <c r="F2070">
        <v>10</v>
      </c>
      <c r="G2070">
        <v>11</v>
      </c>
      <c r="H2070" t="s">
        <v>11114</v>
      </c>
      <c r="N2070">
        <v>1.9323965059999999</v>
      </c>
      <c r="O2070">
        <v>3.0528020530000002</v>
      </c>
      <c r="P2070">
        <v>2.6493138999999999E-2</v>
      </c>
      <c r="Q2070">
        <v>-0.38692188</v>
      </c>
      <c r="S2070" s="13">
        <v>-1.385349189</v>
      </c>
      <c r="T2070">
        <v>-0.12846626899999999</v>
      </c>
      <c r="U2070">
        <v>-0.142451841</v>
      </c>
    </row>
    <row r="2071" spans="1:21" x14ac:dyDescent="0.2">
      <c r="A2071" t="s">
        <v>909</v>
      </c>
      <c r="B2071">
        <v>458920</v>
      </c>
      <c r="C2071" t="s">
        <v>6945</v>
      </c>
      <c r="D2071" t="s">
        <v>909</v>
      </c>
      <c r="E2071" t="s">
        <v>6974</v>
      </c>
      <c r="F2071">
        <v>10</v>
      </c>
      <c r="G2071">
        <v>15</v>
      </c>
      <c r="H2071" t="s">
        <v>11115</v>
      </c>
      <c r="J2071" t="s">
        <v>5899</v>
      </c>
      <c r="M2071" t="s">
        <v>11116</v>
      </c>
      <c r="N2071">
        <v>2.2220813349999999</v>
      </c>
      <c r="O2071">
        <v>6.5440947090000003</v>
      </c>
      <c r="P2071">
        <v>0.58228215500000002</v>
      </c>
      <c r="Q2071">
        <v>0.35188233000000002</v>
      </c>
      <c r="S2071" s="13">
        <v>-1.3854062519999999</v>
      </c>
      <c r="T2071">
        <v>-0.128715622</v>
      </c>
      <c r="U2071">
        <v>-0.26082197400000001</v>
      </c>
    </row>
    <row r="2072" spans="1:21" x14ac:dyDescent="0.2">
      <c r="A2072" t="s">
        <v>619</v>
      </c>
      <c r="B2072">
        <v>674160</v>
      </c>
      <c r="C2072" t="s">
        <v>6953</v>
      </c>
      <c r="D2072" t="s">
        <v>619</v>
      </c>
      <c r="E2072" t="s">
        <v>6939</v>
      </c>
      <c r="F2072">
        <v>22</v>
      </c>
      <c r="G2072">
        <v>2</v>
      </c>
      <c r="H2072" t="s">
        <v>11117</v>
      </c>
      <c r="J2072" t="s">
        <v>2461</v>
      </c>
      <c r="M2072" t="s">
        <v>11118</v>
      </c>
      <c r="N2072">
        <v>1.921480887</v>
      </c>
      <c r="O2072">
        <v>3.0856645180000002</v>
      </c>
      <c r="P2072">
        <v>0.44706724399999997</v>
      </c>
      <c r="Q2072">
        <v>-0.354940863</v>
      </c>
      <c r="S2072" s="13">
        <v>-1.3856849360000001</v>
      </c>
      <c r="T2072">
        <v>-0.129933407</v>
      </c>
      <c r="U2072">
        <v>-0.159793937</v>
      </c>
    </row>
    <row r="2073" spans="1:21" x14ac:dyDescent="0.2">
      <c r="A2073" t="s">
        <v>551</v>
      </c>
      <c r="B2073">
        <v>541400</v>
      </c>
      <c r="C2073" t="s">
        <v>6942</v>
      </c>
      <c r="D2073" t="s">
        <v>551</v>
      </c>
      <c r="E2073" t="s">
        <v>6928</v>
      </c>
      <c r="F2073">
        <v>11</v>
      </c>
      <c r="G2073">
        <v>16</v>
      </c>
      <c r="H2073" t="s">
        <v>11119</v>
      </c>
      <c r="J2073" t="s">
        <v>1283</v>
      </c>
      <c r="M2073" t="s">
        <v>11120</v>
      </c>
      <c r="N2073">
        <v>2.0902262079999998</v>
      </c>
      <c r="O2073">
        <v>4.2704203920000001</v>
      </c>
      <c r="P2073">
        <v>0.23425843900000001</v>
      </c>
      <c r="Q2073">
        <v>1.6181978999999999E-2</v>
      </c>
      <c r="S2073" s="13">
        <v>-1.385862631</v>
      </c>
      <c r="T2073">
        <v>-0.13070989399999999</v>
      </c>
      <c r="U2073">
        <v>-0.25089684699999998</v>
      </c>
    </row>
    <row r="2074" spans="1:21" x14ac:dyDescent="0.2">
      <c r="A2074" t="s">
        <v>944</v>
      </c>
      <c r="B2074">
        <v>582480</v>
      </c>
      <c r="C2074" t="s">
        <v>6910</v>
      </c>
      <c r="D2074" t="s">
        <v>944</v>
      </c>
      <c r="E2074" t="s">
        <v>6924</v>
      </c>
      <c r="F2074">
        <v>12</v>
      </c>
      <c r="G2074">
        <v>6</v>
      </c>
      <c r="H2074" t="s">
        <v>11121</v>
      </c>
      <c r="J2074" t="s">
        <v>5201</v>
      </c>
      <c r="M2074" t="s">
        <v>11122</v>
      </c>
      <c r="N2074">
        <v>1.9874741039999999</v>
      </c>
      <c r="O2074">
        <v>3.7453511220000002</v>
      </c>
      <c r="P2074">
        <v>0.451009722</v>
      </c>
      <c r="Q2074">
        <v>-0.102386592</v>
      </c>
      <c r="S2074" s="13">
        <v>-1.3859983220000001</v>
      </c>
      <c r="T2074">
        <v>-0.13130283200000001</v>
      </c>
      <c r="U2074">
        <v>-0.15480447899999999</v>
      </c>
    </row>
    <row r="2075" spans="1:21" x14ac:dyDescent="0.2">
      <c r="A2075" t="s">
        <v>779</v>
      </c>
      <c r="B2075">
        <v>541200</v>
      </c>
      <c r="C2075" t="s">
        <v>6942</v>
      </c>
      <c r="D2075" t="s">
        <v>780</v>
      </c>
      <c r="E2075" t="s">
        <v>7006</v>
      </c>
      <c r="F2075">
        <v>8</v>
      </c>
      <c r="G2075">
        <v>3</v>
      </c>
      <c r="H2075" t="s">
        <v>11123</v>
      </c>
      <c r="J2075" t="s">
        <v>4812</v>
      </c>
      <c r="M2075" t="s">
        <v>11124</v>
      </c>
      <c r="N2075">
        <v>2.0902262079999998</v>
      </c>
      <c r="O2075">
        <v>4.2704203920000001</v>
      </c>
      <c r="P2075">
        <v>0.23425843900000001</v>
      </c>
      <c r="Q2075">
        <v>1.6181978999999999E-2</v>
      </c>
      <c r="S2075" s="13">
        <v>-1.3860589290000001</v>
      </c>
      <c r="T2075">
        <v>-0.13156767</v>
      </c>
      <c r="U2075">
        <v>-0.25106461499999999</v>
      </c>
    </row>
    <row r="2076" spans="1:21" x14ac:dyDescent="0.2">
      <c r="A2076" t="s">
        <v>894</v>
      </c>
      <c r="B2076">
        <v>608760</v>
      </c>
      <c r="C2076" t="s">
        <v>6927</v>
      </c>
      <c r="D2076" t="s">
        <v>894</v>
      </c>
      <c r="E2076" t="s">
        <v>6939</v>
      </c>
      <c r="F2076">
        <v>18</v>
      </c>
      <c r="G2076">
        <v>2</v>
      </c>
      <c r="H2076" t="s">
        <v>11125</v>
      </c>
      <c r="J2076" t="s">
        <v>11126</v>
      </c>
      <c r="M2076" t="s">
        <v>11127</v>
      </c>
      <c r="N2076">
        <v>1.982575982</v>
      </c>
      <c r="O2076">
        <v>3.4571926419999999</v>
      </c>
      <c r="P2076">
        <v>-0.114791479</v>
      </c>
      <c r="Q2076">
        <v>1.868949E-3</v>
      </c>
      <c r="S2076" s="13">
        <v>-1.3860688569999999</v>
      </c>
      <c r="T2076">
        <v>-0.13161105400000001</v>
      </c>
      <c r="U2076">
        <v>-0.21934582999999999</v>
      </c>
    </row>
    <row r="2077" spans="1:21" x14ac:dyDescent="0.2">
      <c r="A2077" t="s">
        <v>901</v>
      </c>
      <c r="B2077">
        <v>608640</v>
      </c>
      <c r="C2077" t="s">
        <v>6927</v>
      </c>
      <c r="D2077" t="s">
        <v>902</v>
      </c>
      <c r="E2077" t="s">
        <v>6977</v>
      </c>
      <c r="F2077">
        <v>2</v>
      </c>
      <c r="G2077">
        <v>5</v>
      </c>
      <c r="H2077" t="s">
        <v>11128</v>
      </c>
      <c r="J2077" t="s">
        <v>11129</v>
      </c>
      <c r="M2077" t="s">
        <v>11130</v>
      </c>
      <c r="N2077">
        <v>1.982575982</v>
      </c>
      <c r="O2077">
        <v>3.4571926419999999</v>
      </c>
      <c r="P2077">
        <v>-0.114791479</v>
      </c>
      <c r="Q2077">
        <v>1.868949E-3</v>
      </c>
      <c r="S2077" s="13">
        <v>-1.3861933719999999</v>
      </c>
      <c r="T2077">
        <v>-0.132155156</v>
      </c>
      <c r="U2077">
        <v>-0.21943942999999999</v>
      </c>
    </row>
    <row r="2078" spans="1:21" x14ac:dyDescent="0.2">
      <c r="A2078" t="s">
        <v>1825</v>
      </c>
      <c r="B2078">
        <v>522240</v>
      </c>
      <c r="C2078" t="s">
        <v>6931</v>
      </c>
      <c r="D2078" t="s">
        <v>1826</v>
      </c>
      <c r="E2078" t="s">
        <v>6956</v>
      </c>
      <c r="F2078">
        <v>9</v>
      </c>
      <c r="G2078">
        <v>7</v>
      </c>
      <c r="H2078" t="s">
        <v>11131</v>
      </c>
      <c r="N2078">
        <v>1.9323965059999999</v>
      </c>
      <c r="O2078">
        <v>3.0528020530000002</v>
      </c>
      <c r="P2078">
        <v>2.6493138999999999E-2</v>
      </c>
      <c r="Q2078">
        <v>-0.38692188</v>
      </c>
      <c r="S2078" s="13">
        <v>-1.3862952500000001</v>
      </c>
      <c r="T2078">
        <v>-0.13260034100000001</v>
      </c>
      <c r="U2078">
        <v>-0.142922515</v>
      </c>
    </row>
    <row r="2079" spans="1:21" x14ac:dyDescent="0.2">
      <c r="A2079" t="s">
        <v>668</v>
      </c>
      <c r="B2079">
        <v>244320</v>
      </c>
      <c r="C2079" t="s">
        <v>6961</v>
      </c>
      <c r="D2079" t="s">
        <v>668</v>
      </c>
      <c r="E2079" t="s">
        <v>6956</v>
      </c>
      <c r="F2079">
        <v>21</v>
      </c>
      <c r="G2079">
        <v>7</v>
      </c>
      <c r="H2079" t="s">
        <v>11132</v>
      </c>
      <c r="J2079" t="s">
        <v>5527</v>
      </c>
      <c r="M2079" t="s">
        <v>11133</v>
      </c>
      <c r="N2079">
        <v>2.7247480949999998</v>
      </c>
      <c r="O2079">
        <v>7.0822175119999997</v>
      </c>
      <c r="P2079">
        <v>0.61298291999999999</v>
      </c>
      <c r="Q2079">
        <v>0.48262032500000002</v>
      </c>
      <c r="S2079" s="13">
        <v>-1.3863873849999999</v>
      </c>
      <c r="T2079">
        <v>-0.13300294900000001</v>
      </c>
      <c r="U2079">
        <v>-0.30945587299999999</v>
      </c>
    </row>
    <row r="2080" spans="1:21" x14ac:dyDescent="0.2">
      <c r="A2080" t="s">
        <v>1521</v>
      </c>
      <c r="B2080">
        <v>580360</v>
      </c>
      <c r="C2080" t="s">
        <v>6906</v>
      </c>
      <c r="D2080" t="s">
        <v>1521</v>
      </c>
      <c r="E2080" t="s">
        <v>6921</v>
      </c>
      <c r="F2080">
        <v>10</v>
      </c>
      <c r="G2080">
        <v>8</v>
      </c>
      <c r="H2080" t="s">
        <v>11134</v>
      </c>
      <c r="J2080" t="s">
        <v>11135</v>
      </c>
      <c r="M2080" t="s">
        <v>11136</v>
      </c>
      <c r="N2080">
        <v>1.813871112</v>
      </c>
      <c r="O2080">
        <v>2.6633694910000001</v>
      </c>
      <c r="P2080">
        <v>-0.29586356800000002</v>
      </c>
      <c r="Q2080">
        <v>-0.59018158399999998</v>
      </c>
      <c r="S2080" s="13">
        <v>-1.386740171</v>
      </c>
      <c r="T2080">
        <v>-0.13454454499999999</v>
      </c>
      <c r="U2080">
        <v>-0.18409745</v>
      </c>
    </row>
    <row r="2081" spans="1:21" x14ac:dyDescent="0.2">
      <c r="A2081" t="s">
        <v>1295</v>
      </c>
      <c r="B2081">
        <v>580200</v>
      </c>
      <c r="C2081" t="s">
        <v>6906</v>
      </c>
      <c r="D2081" t="s">
        <v>1296</v>
      </c>
      <c r="E2081" t="s">
        <v>6921</v>
      </c>
      <c r="F2081">
        <v>5</v>
      </c>
      <c r="G2081">
        <v>8</v>
      </c>
      <c r="H2081" t="s">
        <v>11137</v>
      </c>
      <c r="J2081" t="s">
        <v>1298</v>
      </c>
      <c r="M2081" t="s">
        <v>11138</v>
      </c>
      <c r="N2081">
        <v>1.813871112</v>
      </c>
      <c r="O2081">
        <v>2.6633694910000001</v>
      </c>
      <c r="P2081">
        <v>-0.29586356800000002</v>
      </c>
      <c r="Q2081">
        <v>-0.59018158399999998</v>
      </c>
      <c r="S2081" s="13">
        <v>-1.386972291</v>
      </c>
      <c r="T2081">
        <v>-0.13555885400000001</v>
      </c>
      <c r="U2081">
        <v>-0.18421252399999999</v>
      </c>
    </row>
    <row r="2082" spans="1:21" x14ac:dyDescent="0.2">
      <c r="A2082" t="s">
        <v>1511</v>
      </c>
      <c r="B2082">
        <v>580200</v>
      </c>
      <c r="C2082" t="s">
        <v>6906</v>
      </c>
      <c r="D2082" t="s">
        <v>1512</v>
      </c>
      <c r="E2082" t="s">
        <v>6970</v>
      </c>
      <c r="F2082">
        <v>4</v>
      </c>
      <c r="G2082">
        <v>14</v>
      </c>
      <c r="H2082" t="s">
        <v>11139</v>
      </c>
      <c r="J2082" t="s">
        <v>2667</v>
      </c>
      <c r="M2082" t="s">
        <v>11140</v>
      </c>
      <c r="N2082">
        <v>1.813871112</v>
      </c>
      <c r="O2082">
        <v>2.6633694910000001</v>
      </c>
      <c r="P2082">
        <v>-0.29586356800000002</v>
      </c>
      <c r="Q2082">
        <v>-0.59018158399999998</v>
      </c>
      <c r="S2082" s="13">
        <v>-1.386972291</v>
      </c>
      <c r="T2082">
        <v>-0.13555885400000001</v>
      </c>
      <c r="U2082">
        <v>-0.18421252399999999</v>
      </c>
    </row>
    <row r="2083" spans="1:21" x14ac:dyDescent="0.2">
      <c r="A2083" t="s">
        <v>909</v>
      </c>
      <c r="B2083">
        <v>580200</v>
      </c>
      <c r="C2083" t="s">
        <v>6906</v>
      </c>
      <c r="D2083" t="s">
        <v>909</v>
      </c>
      <c r="E2083" t="s">
        <v>6974</v>
      </c>
      <c r="F2083">
        <v>10</v>
      </c>
      <c r="G2083">
        <v>15</v>
      </c>
      <c r="H2083" t="s">
        <v>11141</v>
      </c>
      <c r="J2083" t="s">
        <v>11142</v>
      </c>
      <c r="M2083" t="s">
        <v>11143</v>
      </c>
      <c r="N2083">
        <v>1.813871112</v>
      </c>
      <c r="O2083">
        <v>2.6633694910000001</v>
      </c>
      <c r="P2083">
        <v>-0.29586356800000002</v>
      </c>
      <c r="Q2083">
        <v>-0.59018158399999998</v>
      </c>
      <c r="S2083" s="13">
        <v>-1.386972291</v>
      </c>
      <c r="T2083">
        <v>-0.13555885400000001</v>
      </c>
      <c r="U2083">
        <v>-0.18421252399999999</v>
      </c>
    </row>
    <row r="2084" spans="1:21" x14ac:dyDescent="0.2">
      <c r="A2084" t="s">
        <v>2499</v>
      </c>
      <c r="B2084">
        <v>614920</v>
      </c>
      <c r="C2084" t="s">
        <v>6938</v>
      </c>
      <c r="D2084" t="s">
        <v>2500</v>
      </c>
      <c r="E2084" t="s">
        <v>6977</v>
      </c>
      <c r="F2084">
        <v>9</v>
      </c>
      <c r="G2084">
        <v>5</v>
      </c>
      <c r="H2084" t="s">
        <v>11144</v>
      </c>
      <c r="J2084" t="s">
        <v>3020</v>
      </c>
      <c r="M2084" t="s">
        <v>11145</v>
      </c>
      <c r="N2084">
        <v>2.092758737</v>
      </c>
      <c r="O2084">
        <v>5.3323610669999999</v>
      </c>
      <c r="P2084">
        <v>0.70420098600000003</v>
      </c>
      <c r="Q2084">
        <v>0.41355372699999998</v>
      </c>
      <c r="S2084" s="13">
        <v>-1.3870147719999999</v>
      </c>
      <c r="T2084">
        <v>-0.135744486</v>
      </c>
      <c r="U2084">
        <v>-0.24176797</v>
      </c>
    </row>
    <row r="2085" spans="1:21" x14ac:dyDescent="0.2">
      <c r="A2085" t="s">
        <v>307</v>
      </c>
      <c r="B2085">
        <v>539880</v>
      </c>
      <c r="C2085" t="s">
        <v>6942</v>
      </c>
      <c r="D2085" t="s">
        <v>308</v>
      </c>
      <c r="E2085" t="s">
        <v>6915</v>
      </c>
      <c r="F2085">
        <v>3</v>
      </c>
      <c r="G2085">
        <v>13</v>
      </c>
      <c r="H2085" t="s">
        <v>11146</v>
      </c>
      <c r="J2085" t="s">
        <v>310</v>
      </c>
      <c r="M2085" t="s">
        <v>11147</v>
      </c>
      <c r="N2085">
        <v>2.0902262079999998</v>
      </c>
      <c r="O2085">
        <v>4.2704203920000001</v>
      </c>
      <c r="P2085">
        <v>0.23425843900000001</v>
      </c>
      <c r="Q2085">
        <v>1.6181978999999999E-2</v>
      </c>
      <c r="S2085" s="13">
        <v>-1.387354494</v>
      </c>
      <c r="T2085">
        <v>-0.13722899599999999</v>
      </c>
      <c r="U2085">
        <v>-0.25217351700000001</v>
      </c>
    </row>
    <row r="2086" spans="1:21" x14ac:dyDescent="0.2">
      <c r="A2086" t="s">
        <v>2902</v>
      </c>
      <c r="B2086">
        <v>614320</v>
      </c>
      <c r="C2086" t="s">
        <v>6938</v>
      </c>
      <c r="D2086" t="s">
        <v>2903</v>
      </c>
      <c r="E2086" t="s">
        <v>6977</v>
      </c>
      <c r="F2086">
        <v>6</v>
      </c>
      <c r="G2086">
        <v>5</v>
      </c>
      <c r="H2086" t="s">
        <v>11148</v>
      </c>
      <c r="J2086" t="s">
        <v>3515</v>
      </c>
      <c r="M2086" t="s">
        <v>11149</v>
      </c>
      <c r="N2086">
        <v>2.092758737</v>
      </c>
      <c r="O2086">
        <v>5.3323610669999999</v>
      </c>
      <c r="P2086">
        <v>0.70420098600000003</v>
      </c>
      <c r="Q2086">
        <v>0.41355372699999998</v>
      </c>
      <c r="S2086" s="13">
        <v>-1.3875300580000001</v>
      </c>
      <c r="T2086">
        <v>-0.137996171</v>
      </c>
      <c r="U2086">
        <v>-0.24226099100000001</v>
      </c>
    </row>
    <row r="2087" spans="1:21" x14ac:dyDescent="0.2">
      <c r="A2087" t="s">
        <v>1544</v>
      </c>
      <c r="B2087">
        <v>607280</v>
      </c>
      <c r="C2087" t="s">
        <v>6927</v>
      </c>
      <c r="D2087" t="s">
        <v>1545</v>
      </c>
      <c r="E2087" t="s">
        <v>6924</v>
      </c>
      <c r="F2087">
        <v>6</v>
      </c>
      <c r="G2087">
        <v>6</v>
      </c>
      <c r="H2087" t="s">
        <v>11150</v>
      </c>
      <c r="J2087" t="s">
        <v>11151</v>
      </c>
      <c r="M2087" t="s">
        <v>11152</v>
      </c>
      <c r="N2087">
        <v>1.982575982</v>
      </c>
      <c r="O2087">
        <v>3.4571926419999999</v>
      </c>
      <c r="P2087">
        <v>-0.114791479</v>
      </c>
      <c r="Q2087">
        <v>1.868949E-3</v>
      </c>
      <c r="S2087" s="13">
        <v>-1.387604541</v>
      </c>
      <c r="T2087">
        <v>-0.13832164199999999</v>
      </c>
      <c r="U2087">
        <v>-0.220501638</v>
      </c>
    </row>
    <row r="2088" spans="1:21" x14ac:dyDescent="0.2">
      <c r="A2088" t="s">
        <v>968</v>
      </c>
      <c r="B2088">
        <v>521200</v>
      </c>
      <c r="C2088" t="s">
        <v>6931</v>
      </c>
      <c r="D2088" t="s">
        <v>969</v>
      </c>
      <c r="E2088" t="s">
        <v>6970</v>
      </c>
      <c r="F2088">
        <v>7</v>
      </c>
      <c r="G2088">
        <v>14</v>
      </c>
      <c r="H2088" t="s">
        <v>11153</v>
      </c>
      <c r="N2088">
        <v>1.9323965059999999</v>
      </c>
      <c r="O2088">
        <v>3.0528020530000002</v>
      </c>
      <c r="P2088">
        <v>2.6493138999999999E-2</v>
      </c>
      <c r="Q2088">
        <v>-0.38692188</v>
      </c>
      <c r="S2088" s="13">
        <v>-1.387661783</v>
      </c>
      <c r="T2088">
        <v>-0.13857177800000001</v>
      </c>
      <c r="U2088">
        <v>-0.143603279</v>
      </c>
    </row>
    <row r="2089" spans="1:21" x14ac:dyDescent="0.2">
      <c r="A2089" t="s">
        <v>1155</v>
      </c>
      <c r="B2089">
        <v>521160</v>
      </c>
      <c r="C2089" t="s">
        <v>6931</v>
      </c>
      <c r="D2089" t="s">
        <v>1156</v>
      </c>
      <c r="E2089" t="s">
        <v>6970</v>
      </c>
      <c r="F2089">
        <v>8</v>
      </c>
      <c r="G2089">
        <v>14</v>
      </c>
      <c r="H2089" t="s">
        <v>11154</v>
      </c>
      <c r="N2089">
        <v>1.9323965059999999</v>
      </c>
      <c r="O2089">
        <v>3.0528020530000002</v>
      </c>
      <c r="P2089">
        <v>2.6493138999999999E-2</v>
      </c>
      <c r="Q2089">
        <v>-0.38692188</v>
      </c>
      <c r="S2089" s="13">
        <v>-1.387714342</v>
      </c>
      <c r="T2089">
        <v>-0.13880144899999999</v>
      </c>
      <c r="U2089">
        <v>-0.143629483</v>
      </c>
    </row>
    <row r="2090" spans="1:21" x14ac:dyDescent="0.2">
      <c r="A2090" t="s">
        <v>668</v>
      </c>
      <c r="B2090">
        <v>607120</v>
      </c>
      <c r="C2090" t="s">
        <v>6927</v>
      </c>
      <c r="D2090" t="s">
        <v>668</v>
      </c>
      <c r="E2090" t="s">
        <v>6956</v>
      </c>
      <c r="F2090">
        <v>21</v>
      </c>
      <c r="G2090">
        <v>7</v>
      </c>
      <c r="H2090" t="s">
        <v>11155</v>
      </c>
      <c r="J2090" t="s">
        <v>11156</v>
      </c>
      <c r="M2090" t="s">
        <v>11157</v>
      </c>
      <c r="N2090">
        <v>1.982575982</v>
      </c>
      <c r="O2090">
        <v>3.4571926419999999</v>
      </c>
      <c r="P2090">
        <v>-0.114791479</v>
      </c>
      <c r="Q2090">
        <v>1.868949E-3</v>
      </c>
      <c r="S2090" s="13">
        <v>-1.387770561</v>
      </c>
      <c r="T2090">
        <v>-0.139047111</v>
      </c>
      <c r="U2090">
        <v>-0.220626774</v>
      </c>
    </row>
    <row r="2091" spans="1:21" x14ac:dyDescent="0.2">
      <c r="A2091" t="s">
        <v>2488</v>
      </c>
      <c r="B2091">
        <v>671680</v>
      </c>
      <c r="C2091" t="s">
        <v>6953</v>
      </c>
      <c r="D2091" t="s">
        <v>2488</v>
      </c>
      <c r="E2091" t="s">
        <v>6907</v>
      </c>
      <c r="F2091">
        <v>10</v>
      </c>
      <c r="G2091">
        <v>4</v>
      </c>
      <c r="H2091" t="s">
        <v>11158</v>
      </c>
      <c r="J2091" t="s">
        <v>2490</v>
      </c>
      <c r="M2091" t="s">
        <v>11159</v>
      </c>
      <c r="N2091">
        <v>1.921480887</v>
      </c>
      <c r="O2091">
        <v>3.0856645180000002</v>
      </c>
      <c r="P2091">
        <v>0.44706724399999997</v>
      </c>
      <c r="Q2091">
        <v>-0.354940863</v>
      </c>
      <c r="S2091" s="13">
        <v>-1.388258244</v>
      </c>
      <c r="T2091">
        <v>-0.14117817599999999</v>
      </c>
      <c r="U2091">
        <v>-0.161483563</v>
      </c>
    </row>
    <row r="2092" spans="1:21" x14ac:dyDescent="0.2">
      <c r="A2092" t="s">
        <v>57</v>
      </c>
      <c r="B2092">
        <v>520720</v>
      </c>
      <c r="C2092" t="s">
        <v>6931</v>
      </c>
      <c r="D2092" t="s">
        <v>59</v>
      </c>
      <c r="E2092" t="s">
        <v>6928</v>
      </c>
      <c r="F2092">
        <v>4</v>
      </c>
      <c r="G2092">
        <v>16</v>
      </c>
      <c r="H2092" t="s">
        <v>11160</v>
      </c>
      <c r="N2092">
        <v>1.9323965059999999</v>
      </c>
      <c r="O2092">
        <v>3.0528020530000002</v>
      </c>
      <c r="P2092">
        <v>2.6493138999999999E-2</v>
      </c>
      <c r="Q2092">
        <v>-0.38692188</v>
      </c>
      <c r="S2092" s="13">
        <v>-1.3882924910000001</v>
      </c>
      <c r="T2092">
        <v>-0.14132782599999999</v>
      </c>
      <c r="U2092">
        <v>-0.14391783799999999</v>
      </c>
    </row>
    <row r="2093" spans="1:21" x14ac:dyDescent="0.2">
      <c r="A2093" t="s">
        <v>2108</v>
      </c>
      <c r="B2093">
        <v>538920</v>
      </c>
      <c r="C2093" t="s">
        <v>6942</v>
      </c>
      <c r="D2093" t="s">
        <v>2108</v>
      </c>
      <c r="E2093" t="s">
        <v>6956</v>
      </c>
      <c r="F2093">
        <v>17</v>
      </c>
      <c r="G2093">
        <v>7</v>
      </c>
      <c r="H2093" t="s">
        <v>11161</v>
      </c>
      <c r="J2093" t="s">
        <v>3288</v>
      </c>
      <c r="M2093" t="s">
        <v>11162</v>
      </c>
      <c r="N2093">
        <v>2.0902262079999998</v>
      </c>
      <c r="O2093">
        <v>4.2704203920000001</v>
      </c>
      <c r="P2093">
        <v>0.23425843900000001</v>
      </c>
      <c r="Q2093">
        <v>1.6181978999999999E-2</v>
      </c>
      <c r="S2093" s="13">
        <v>-1.3882967239999999</v>
      </c>
      <c r="T2093">
        <v>-0.141346324</v>
      </c>
      <c r="U2093">
        <v>-0.25298177300000002</v>
      </c>
    </row>
    <row r="2094" spans="1:21" x14ac:dyDescent="0.2">
      <c r="A2094" t="s">
        <v>1126</v>
      </c>
      <c r="B2094">
        <v>612880</v>
      </c>
      <c r="C2094" t="s">
        <v>6938</v>
      </c>
      <c r="D2094" t="s">
        <v>1126</v>
      </c>
      <c r="E2094" t="s">
        <v>6970</v>
      </c>
      <c r="F2094">
        <v>10</v>
      </c>
      <c r="G2094">
        <v>14</v>
      </c>
      <c r="H2094" t="s">
        <v>11163</v>
      </c>
      <c r="J2094" t="s">
        <v>5083</v>
      </c>
      <c r="M2094" t="s">
        <v>11164</v>
      </c>
      <c r="N2094">
        <v>2.092758737</v>
      </c>
      <c r="O2094">
        <v>5.3323610669999999</v>
      </c>
      <c r="P2094">
        <v>0.70420098600000003</v>
      </c>
      <c r="Q2094">
        <v>0.41355372699999998</v>
      </c>
      <c r="S2094" s="13">
        <v>-1.388766747</v>
      </c>
      <c r="T2094">
        <v>-0.143400217</v>
      </c>
      <c r="U2094">
        <v>-0.24344653199999999</v>
      </c>
    </row>
    <row r="2095" spans="1:21" x14ac:dyDescent="0.2">
      <c r="A2095" t="s">
        <v>804</v>
      </c>
      <c r="B2095">
        <v>520320</v>
      </c>
      <c r="C2095" t="s">
        <v>6931</v>
      </c>
      <c r="D2095" t="s">
        <v>804</v>
      </c>
      <c r="E2095" t="s">
        <v>6918</v>
      </c>
      <c r="F2095">
        <v>18</v>
      </c>
      <c r="G2095">
        <v>1</v>
      </c>
      <c r="H2095" t="s">
        <v>11165</v>
      </c>
      <c r="N2095">
        <v>1.9323965059999999</v>
      </c>
      <c r="O2095">
        <v>3.0528020530000002</v>
      </c>
      <c r="P2095">
        <v>2.6493138999999999E-2</v>
      </c>
      <c r="Q2095">
        <v>-0.38692188</v>
      </c>
      <c r="S2095" s="13">
        <v>-1.3888180800000001</v>
      </c>
      <c r="T2095">
        <v>-0.143624533</v>
      </c>
      <c r="U2095">
        <v>-0.14418014400000001</v>
      </c>
    </row>
    <row r="2096" spans="1:21" x14ac:dyDescent="0.2">
      <c r="A2096" t="s">
        <v>1491</v>
      </c>
      <c r="B2096">
        <v>579760</v>
      </c>
      <c r="C2096" t="s">
        <v>6910</v>
      </c>
      <c r="D2096" t="s">
        <v>1491</v>
      </c>
      <c r="E2096" t="s">
        <v>6928</v>
      </c>
      <c r="F2096">
        <v>15</v>
      </c>
      <c r="G2096">
        <v>16</v>
      </c>
      <c r="H2096" t="s">
        <v>11166</v>
      </c>
      <c r="J2096" t="s">
        <v>1493</v>
      </c>
      <c r="M2096" t="s">
        <v>11167</v>
      </c>
      <c r="N2096">
        <v>1.9874741039999999</v>
      </c>
      <c r="O2096">
        <v>3.7453511220000002</v>
      </c>
      <c r="P2096">
        <v>0.451009722</v>
      </c>
      <c r="Q2096">
        <v>-0.102386592</v>
      </c>
      <c r="S2096" s="13">
        <v>-1.3889247520000001</v>
      </c>
      <c r="T2096">
        <v>-0.14409066400000001</v>
      </c>
      <c r="U2096">
        <v>-0.15663674899999999</v>
      </c>
    </row>
    <row r="2097" spans="1:21" x14ac:dyDescent="0.2">
      <c r="A2097" t="s">
        <v>693</v>
      </c>
      <c r="B2097">
        <v>605920</v>
      </c>
      <c r="C2097" t="s">
        <v>6927</v>
      </c>
      <c r="D2097" t="s">
        <v>693</v>
      </c>
      <c r="E2097" t="s">
        <v>6977</v>
      </c>
      <c r="F2097">
        <v>22</v>
      </c>
      <c r="G2097">
        <v>5</v>
      </c>
      <c r="H2097" t="s">
        <v>11168</v>
      </c>
      <c r="J2097" t="s">
        <v>11169</v>
      </c>
      <c r="M2097" t="s">
        <v>11170</v>
      </c>
      <c r="N2097">
        <v>1.982575982</v>
      </c>
      <c r="O2097">
        <v>3.4571926419999999</v>
      </c>
      <c r="P2097">
        <v>-0.114791479</v>
      </c>
      <c r="Q2097">
        <v>1.868949E-3</v>
      </c>
      <c r="S2097" s="13">
        <v>-1.38901571</v>
      </c>
      <c r="T2097">
        <v>-0.14448812799999999</v>
      </c>
      <c r="U2097">
        <v>-0.22156645</v>
      </c>
    </row>
    <row r="2098" spans="1:21" x14ac:dyDescent="0.2">
      <c r="A2098" t="s">
        <v>522</v>
      </c>
      <c r="B2098">
        <v>579640</v>
      </c>
      <c r="C2098" t="s">
        <v>6910</v>
      </c>
      <c r="D2098" t="s">
        <v>522</v>
      </c>
      <c r="E2098" t="s">
        <v>6977</v>
      </c>
      <c r="F2098">
        <v>15</v>
      </c>
      <c r="G2098">
        <v>5</v>
      </c>
      <c r="H2098" t="s">
        <v>11171</v>
      </c>
      <c r="J2098" t="s">
        <v>524</v>
      </c>
      <c r="M2098" t="s">
        <v>11172</v>
      </c>
      <c r="N2098">
        <v>1.9874741039999999</v>
      </c>
      <c r="O2098">
        <v>3.7453511220000002</v>
      </c>
      <c r="P2098">
        <v>0.451009722</v>
      </c>
      <c r="Q2098">
        <v>-0.102386592</v>
      </c>
      <c r="S2098" s="13">
        <v>-1.3890538589999999</v>
      </c>
      <c r="T2098">
        <v>-0.14465483300000001</v>
      </c>
      <c r="U2098">
        <v>-0.15671776200000001</v>
      </c>
    </row>
    <row r="2099" spans="1:21" x14ac:dyDescent="0.2">
      <c r="A2099" t="s">
        <v>516</v>
      </c>
      <c r="B2099">
        <v>605680</v>
      </c>
      <c r="C2099" t="s">
        <v>6927</v>
      </c>
      <c r="D2099" t="s">
        <v>516</v>
      </c>
      <c r="E2099" t="s">
        <v>6939</v>
      </c>
      <c r="F2099">
        <v>13</v>
      </c>
      <c r="G2099">
        <v>2</v>
      </c>
      <c r="H2099" t="s">
        <v>11173</v>
      </c>
      <c r="J2099" t="s">
        <v>11174</v>
      </c>
      <c r="M2099" t="s">
        <v>11175</v>
      </c>
      <c r="N2099">
        <v>1.982575982</v>
      </c>
      <c r="O2099">
        <v>3.4571926419999999</v>
      </c>
      <c r="P2099">
        <v>-0.114791479</v>
      </c>
      <c r="Q2099">
        <v>1.868949E-3</v>
      </c>
      <c r="S2099" s="13">
        <v>-1.3892647389999999</v>
      </c>
      <c r="T2099">
        <v>-0.145576331</v>
      </c>
      <c r="U2099">
        <v>-0.22175462900000001</v>
      </c>
    </row>
    <row r="2100" spans="1:21" x14ac:dyDescent="0.2">
      <c r="A2100" t="s">
        <v>2335</v>
      </c>
      <c r="B2100">
        <v>579320</v>
      </c>
      <c r="C2100" t="s">
        <v>6910</v>
      </c>
      <c r="D2100" t="s">
        <v>2335</v>
      </c>
      <c r="E2100" t="s">
        <v>6915</v>
      </c>
      <c r="F2100">
        <v>13</v>
      </c>
      <c r="G2100">
        <v>13</v>
      </c>
      <c r="H2100" t="s">
        <v>11176</v>
      </c>
      <c r="J2100" t="s">
        <v>4582</v>
      </c>
      <c r="M2100" t="s">
        <v>11177</v>
      </c>
      <c r="N2100">
        <v>1.9874741039999999</v>
      </c>
      <c r="O2100">
        <v>3.7453511220000002</v>
      </c>
      <c r="P2100">
        <v>0.451009722</v>
      </c>
      <c r="Q2100">
        <v>-0.102386592</v>
      </c>
      <c r="S2100" s="13">
        <v>-1.3893981449999999</v>
      </c>
      <c r="T2100">
        <v>-0.146159283</v>
      </c>
      <c r="U2100">
        <v>-0.156933873</v>
      </c>
    </row>
    <row r="2101" spans="1:21" x14ac:dyDescent="0.2">
      <c r="A2101" t="s">
        <v>932</v>
      </c>
      <c r="B2101">
        <v>579280</v>
      </c>
      <c r="C2101" t="s">
        <v>6910</v>
      </c>
      <c r="D2101" t="s">
        <v>932</v>
      </c>
      <c r="E2101" t="s">
        <v>7006</v>
      </c>
      <c r="F2101">
        <v>12</v>
      </c>
      <c r="G2101">
        <v>3</v>
      </c>
      <c r="H2101" t="s">
        <v>11178</v>
      </c>
      <c r="J2101" t="s">
        <v>3874</v>
      </c>
      <c r="M2101" t="s">
        <v>11179</v>
      </c>
      <c r="N2101">
        <v>1.9874741039999999</v>
      </c>
      <c r="O2101">
        <v>3.7453511220000002</v>
      </c>
      <c r="P2101">
        <v>0.451009722</v>
      </c>
      <c r="Q2101">
        <v>-0.102386592</v>
      </c>
      <c r="S2101" s="13">
        <v>-1.389441181</v>
      </c>
      <c r="T2101">
        <v>-0.14634733999999999</v>
      </c>
      <c r="U2101">
        <v>-0.15696089399999999</v>
      </c>
    </row>
    <row r="2102" spans="1:21" x14ac:dyDescent="0.2">
      <c r="A2102" t="s">
        <v>441</v>
      </c>
      <c r="B2102">
        <v>579280</v>
      </c>
      <c r="C2102" t="s">
        <v>6910</v>
      </c>
      <c r="D2102" t="s">
        <v>442</v>
      </c>
      <c r="E2102" t="s">
        <v>6907</v>
      </c>
      <c r="F2102">
        <v>7</v>
      </c>
      <c r="G2102">
        <v>4</v>
      </c>
      <c r="H2102" t="s">
        <v>11180</v>
      </c>
      <c r="J2102" t="s">
        <v>5979</v>
      </c>
      <c r="M2102" t="s">
        <v>11181</v>
      </c>
      <c r="N2102">
        <v>1.9874741039999999</v>
      </c>
      <c r="O2102">
        <v>3.7453511220000002</v>
      </c>
      <c r="P2102">
        <v>0.451009722</v>
      </c>
      <c r="Q2102">
        <v>-0.102386592</v>
      </c>
      <c r="S2102" s="13">
        <v>-1.389441181</v>
      </c>
      <c r="T2102">
        <v>-0.14634733999999999</v>
      </c>
      <c r="U2102">
        <v>-0.15696089399999999</v>
      </c>
    </row>
    <row r="2103" spans="1:21" x14ac:dyDescent="0.2">
      <c r="A2103" t="s">
        <v>345</v>
      </c>
      <c r="B2103">
        <v>519680</v>
      </c>
      <c r="C2103" t="s">
        <v>6931</v>
      </c>
      <c r="D2103" t="s">
        <v>345</v>
      </c>
      <c r="E2103" t="s">
        <v>6918</v>
      </c>
      <c r="F2103">
        <v>19</v>
      </c>
      <c r="G2103">
        <v>1</v>
      </c>
      <c r="H2103" t="s">
        <v>11182</v>
      </c>
      <c r="N2103">
        <v>1.9323965059999999</v>
      </c>
      <c r="O2103">
        <v>3.0528020530000002</v>
      </c>
      <c r="P2103">
        <v>2.6493138999999999E-2</v>
      </c>
      <c r="Q2103">
        <v>-0.38692188</v>
      </c>
      <c r="S2103" s="13">
        <v>-1.389659024</v>
      </c>
      <c r="T2103">
        <v>-0.14729926300000001</v>
      </c>
      <c r="U2103">
        <v>-0.144600165</v>
      </c>
    </row>
    <row r="2104" spans="1:21" x14ac:dyDescent="0.2">
      <c r="A2104" t="s">
        <v>693</v>
      </c>
      <c r="B2104">
        <v>611760</v>
      </c>
      <c r="C2104" t="s">
        <v>6938</v>
      </c>
      <c r="D2104" t="s">
        <v>693</v>
      </c>
      <c r="E2104" t="s">
        <v>6977</v>
      </c>
      <c r="F2104">
        <v>22</v>
      </c>
      <c r="G2104">
        <v>5</v>
      </c>
      <c r="H2104" t="s">
        <v>11183</v>
      </c>
      <c r="J2104" t="s">
        <v>4337</v>
      </c>
      <c r="M2104" t="s">
        <v>11184</v>
      </c>
      <c r="N2104">
        <v>2.092758737</v>
      </c>
      <c r="O2104">
        <v>5.3323610669999999</v>
      </c>
      <c r="P2104">
        <v>0.70420098600000003</v>
      </c>
      <c r="Q2104">
        <v>0.41355372699999998</v>
      </c>
      <c r="S2104" s="13">
        <v>-1.389728616</v>
      </c>
      <c r="T2104">
        <v>-0.14760336399999999</v>
      </c>
      <c r="U2104">
        <v>-0.24437086099999999</v>
      </c>
    </row>
    <row r="2105" spans="1:21" x14ac:dyDescent="0.2">
      <c r="A2105" t="s">
        <v>607</v>
      </c>
      <c r="B2105">
        <v>670080</v>
      </c>
      <c r="C2105" t="s">
        <v>6953</v>
      </c>
      <c r="D2105" t="s">
        <v>607</v>
      </c>
      <c r="E2105" t="s">
        <v>6915</v>
      </c>
      <c r="F2105">
        <v>18</v>
      </c>
      <c r="G2105">
        <v>13</v>
      </c>
      <c r="H2105" t="s">
        <v>11185</v>
      </c>
      <c r="J2105" t="s">
        <v>5433</v>
      </c>
      <c r="M2105" t="s">
        <v>11186</v>
      </c>
      <c r="N2105">
        <v>1.921480887</v>
      </c>
      <c r="O2105">
        <v>3.0856645180000002</v>
      </c>
      <c r="P2105">
        <v>0.44706724399999997</v>
      </c>
      <c r="Q2105">
        <v>-0.354940863</v>
      </c>
      <c r="S2105" s="13">
        <v>-1.389918443</v>
      </c>
      <c r="T2105">
        <v>-0.148432865</v>
      </c>
      <c r="U2105">
        <v>-0.16257714300000001</v>
      </c>
    </row>
    <row r="2106" spans="1:21" x14ac:dyDescent="0.2">
      <c r="A2106" t="s">
        <v>820</v>
      </c>
      <c r="B2106">
        <v>519400</v>
      </c>
      <c r="C2106" t="s">
        <v>6931</v>
      </c>
      <c r="D2106" t="s">
        <v>820</v>
      </c>
      <c r="E2106" t="s">
        <v>6974</v>
      </c>
      <c r="F2106">
        <v>20</v>
      </c>
      <c r="G2106">
        <v>15</v>
      </c>
      <c r="H2106" t="s">
        <v>11187</v>
      </c>
      <c r="N2106">
        <v>1.9323965059999999</v>
      </c>
      <c r="O2106">
        <v>3.0528020530000002</v>
      </c>
      <c r="P2106">
        <v>2.6493138999999999E-2</v>
      </c>
      <c r="Q2106">
        <v>-0.38692188</v>
      </c>
      <c r="S2106" s="13">
        <v>-1.3900269359999999</v>
      </c>
      <c r="T2106">
        <v>-0.14890695800000001</v>
      </c>
      <c r="U2106">
        <v>-0.144784052</v>
      </c>
    </row>
    <row r="2107" spans="1:21" x14ac:dyDescent="0.2">
      <c r="A2107" t="s">
        <v>1356</v>
      </c>
      <c r="B2107">
        <v>604400</v>
      </c>
      <c r="C2107" t="s">
        <v>6927</v>
      </c>
      <c r="D2107" t="s">
        <v>1356</v>
      </c>
      <c r="E2107" t="s">
        <v>6921</v>
      </c>
      <c r="F2107">
        <v>19</v>
      </c>
      <c r="G2107">
        <v>8</v>
      </c>
      <c r="H2107" t="s">
        <v>11188</v>
      </c>
      <c r="J2107" t="s">
        <v>11189</v>
      </c>
      <c r="M2107" t="s">
        <v>11190</v>
      </c>
      <c r="N2107">
        <v>1.982575982</v>
      </c>
      <c r="O2107">
        <v>3.4571926419999999</v>
      </c>
      <c r="P2107">
        <v>-0.114791479</v>
      </c>
      <c r="Q2107">
        <v>1.868949E-3</v>
      </c>
      <c r="S2107" s="13">
        <v>-1.390592898</v>
      </c>
      <c r="T2107">
        <v>-0.151380082</v>
      </c>
      <c r="U2107">
        <v>-0.22275963200000001</v>
      </c>
    </row>
    <row r="2108" spans="1:21" x14ac:dyDescent="0.2">
      <c r="A2108" t="s">
        <v>807</v>
      </c>
      <c r="B2108">
        <v>577480</v>
      </c>
      <c r="C2108" t="s">
        <v>6906</v>
      </c>
      <c r="D2108" t="s">
        <v>807</v>
      </c>
      <c r="E2108" t="s">
        <v>6977</v>
      </c>
      <c r="F2108">
        <v>14</v>
      </c>
      <c r="G2108">
        <v>5</v>
      </c>
      <c r="H2108" t="s">
        <v>11191</v>
      </c>
      <c r="J2108" t="s">
        <v>11192</v>
      </c>
      <c r="M2108" t="s">
        <v>11193</v>
      </c>
      <c r="N2108">
        <v>1.813871112</v>
      </c>
      <c r="O2108">
        <v>2.6633694910000001</v>
      </c>
      <c r="P2108">
        <v>-0.29586356800000002</v>
      </c>
      <c r="Q2108">
        <v>-0.59018158399999998</v>
      </c>
      <c r="S2108" s="13">
        <v>-1.390918323</v>
      </c>
      <c r="T2108">
        <v>-0.15280211299999999</v>
      </c>
      <c r="U2108">
        <v>-0.18617345199999999</v>
      </c>
    </row>
    <row r="2109" spans="1:21" x14ac:dyDescent="0.2">
      <c r="A2109" t="s">
        <v>769</v>
      </c>
      <c r="B2109">
        <v>453000</v>
      </c>
      <c r="C2109" t="s">
        <v>6945</v>
      </c>
      <c r="D2109" t="s">
        <v>769</v>
      </c>
      <c r="E2109" t="s">
        <v>6911</v>
      </c>
      <c r="F2109">
        <v>12</v>
      </c>
      <c r="G2109">
        <v>12</v>
      </c>
      <c r="H2109" t="s">
        <v>11194</v>
      </c>
      <c r="J2109" t="s">
        <v>4290</v>
      </c>
      <c r="M2109" t="s">
        <v>11195</v>
      </c>
      <c r="N2109">
        <v>2.2220813349999999</v>
      </c>
      <c r="O2109">
        <v>6.5440947090000003</v>
      </c>
      <c r="P2109">
        <v>0.58228215500000002</v>
      </c>
      <c r="Q2109">
        <v>0.35188233000000002</v>
      </c>
      <c r="S2109" s="13">
        <v>-1.3909902089999999</v>
      </c>
      <c r="T2109">
        <v>-0.15311623899999999</v>
      </c>
      <c r="U2109">
        <v>-0.265931684</v>
      </c>
    </row>
    <row r="2110" spans="1:21" x14ac:dyDescent="0.2">
      <c r="A2110" t="s">
        <v>408</v>
      </c>
      <c r="B2110">
        <v>577800</v>
      </c>
      <c r="C2110" t="s">
        <v>6910</v>
      </c>
      <c r="D2110" t="s">
        <v>408</v>
      </c>
      <c r="E2110" t="s">
        <v>6918</v>
      </c>
      <c r="F2110">
        <v>10</v>
      </c>
      <c r="G2110">
        <v>1</v>
      </c>
      <c r="H2110" t="s">
        <v>11196</v>
      </c>
      <c r="J2110" t="s">
        <v>6239</v>
      </c>
      <c r="M2110" t="s">
        <v>11197</v>
      </c>
      <c r="N2110">
        <v>1.9874741039999999</v>
      </c>
      <c r="O2110">
        <v>3.7453511220000002</v>
      </c>
      <c r="P2110">
        <v>0.451009722</v>
      </c>
      <c r="Q2110">
        <v>-0.102386592</v>
      </c>
      <c r="S2110" s="13">
        <v>-1.3910335030000001</v>
      </c>
      <c r="T2110">
        <v>-0.153305425</v>
      </c>
      <c r="U2110">
        <v>-0.157961869</v>
      </c>
    </row>
    <row r="2111" spans="1:21" x14ac:dyDescent="0.2">
      <c r="A2111" t="s">
        <v>718</v>
      </c>
      <c r="B2111">
        <v>577760</v>
      </c>
      <c r="C2111" t="s">
        <v>6910</v>
      </c>
      <c r="D2111" t="s">
        <v>718</v>
      </c>
      <c r="E2111" t="s">
        <v>6924</v>
      </c>
      <c r="F2111">
        <v>14</v>
      </c>
      <c r="G2111">
        <v>6</v>
      </c>
      <c r="H2111" t="s">
        <v>11198</v>
      </c>
      <c r="J2111" t="s">
        <v>3497</v>
      </c>
      <c r="M2111" t="s">
        <v>11199</v>
      </c>
      <c r="N2111">
        <v>1.9874741039999999</v>
      </c>
      <c r="O2111">
        <v>3.7453511220000002</v>
      </c>
      <c r="P2111">
        <v>0.451009722</v>
      </c>
      <c r="Q2111">
        <v>-0.102386592</v>
      </c>
      <c r="S2111" s="13">
        <v>-1.3910765389999999</v>
      </c>
      <c r="T2111">
        <v>-0.15349348099999999</v>
      </c>
      <c r="U2111">
        <v>-0.15798895499999999</v>
      </c>
    </row>
    <row r="2112" spans="1:21" x14ac:dyDescent="0.2">
      <c r="A2112" t="s">
        <v>645</v>
      </c>
      <c r="B2112">
        <v>452600</v>
      </c>
      <c r="C2112" t="s">
        <v>6945</v>
      </c>
      <c r="D2112" t="s">
        <v>645</v>
      </c>
      <c r="E2112" t="s">
        <v>6974</v>
      </c>
      <c r="F2112">
        <v>12</v>
      </c>
      <c r="G2112">
        <v>15</v>
      </c>
      <c r="H2112" t="s">
        <v>11200</v>
      </c>
      <c r="J2112" t="s">
        <v>11201</v>
      </c>
      <c r="M2112" t="s">
        <v>11202</v>
      </c>
      <c r="N2112">
        <v>2.2220813349999999</v>
      </c>
      <c r="O2112">
        <v>6.5440947090000003</v>
      </c>
      <c r="P2112">
        <v>0.58228215500000002</v>
      </c>
      <c r="Q2112">
        <v>0.35188233000000002</v>
      </c>
      <c r="S2112" s="13">
        <v>-1.391367504</v>
      </c>
      <c r="T2112">
        <v>-0.15476493</v>
      </c>
      <c r="U2112">
        <v>-0.26627911300000001</v>
      </c>
    </row>
    <row r="2113" spans="1:21" x14ac:dyDescent="0.2">
      <c r="A2113" t="s">
        <v>1986</v>
      </c>
      <c r="B2113">
        <v>603560</v>
      </c>
      <c r="C2113" t="s">
        <v>6927</v>
      </c>
      <c r="D2113" t="s">
        <v>1986</v>
      </c>
      <c r="E2113" t="s">
        <v>6977</v>
      </c>
      <c r="F2113">
        <v>11</v>
      </c>
      <c r="G2113">
        <v>5</v>
      </c>
      <c r="H2113" t="s">
        <v>11203</v>
      </c>
      <c r="J2113" t="s">
        <v>6895</v>
      </c>
      <c r="M2113" t="s">
        <v>11204</v>
      </c>
      <c r="N2113">
        <v>1.982575982</v>
      </c>
      <c r="O2113">
        <v>3.4571926419999999</v>
      </c>
      <c r="P2113">
        <v>-0.114791479</v>
      </c>
      <c r="Q2113">
        <v>1.868949E-3</v>
      </c>
      <c r="S2113" s="13">
        <v>-1.3914645029999999</v>
      </c>
      <c r="T2113">
        <v>-0.15518879399999999</v>
      </c>
      <c r="U2113">
        <v>-0.223420431</v>
      </c>
    </row>
    <row r="2114" spans="1:21" x14ac:dyDescent="0.2">
      <c r="A2114" t="s">
        <v>2031</v>
      </c>
      <c r="B2114">
        <v>668560</v>
      </c>
      <c r="C2114" t="s">
        <v>6953</v>
      </c>
      <c r="D2114" t="s">
        <v>2032</v>
      </c>
      <c r="E2114" t="s">
        <v>6924</v>
      </c>
      <c r="F2114">
        <v>3</v>
      </c>
      <c r="G2114">
        <v>6</v>
      </c>
      <c r="H2114" t="s">
        <v>11205</v>
      </c>
      <c r="J2114" t="s">
        <v>2712</v>
      </c>
      <c r="M2114" t="s">
        <v>11206</v>
      </c>
      <c r="N2114">
        <v>1.921480887</v>
      </c>
      <c r="O2114">
        <v>3.0856645180000002</v>
      </c>
      <c r="P2114">
        <v>0.44706724399999997</v>
      </c>
      <c r="Q2114">
        <v>-0.354940863</v>
      </c>
      <c r="S2114" s="13">
        <v>-1.391495632</v>
      </c>
      <c r="T2114">
        <v>-0.15532482</v>
      </c>
      <c r="U2114">
        <v>-0.1636186</v>
      </c>
    </row>
    <row r="2115" spans="1:21" x14ac:dyDescent="0.2">
      <c r="A2115" t="s">
        <v>2319</v>
      </c>
      <c r="B2115">
        <v>535600</v>
      </c>
      <c r="C2115" t="s">
        <v>6942</v>
      </c>
      <c r="D2115" t="s">
        <v>2320</v>
      </c>
      <c r="E2115" t="s">
        <v>6915</v>
      </c>
      <c r="F2115">
        <v>8</v>
      </c>
      <c r="G2115">
        <v>13</v>
      </c>
      <c r="H2115" t="s">
        <v>11207</v>
      </c>
      <c r="J2115" t="s">
        <v>4894</v>
      </c>
      <c r="M2115" t="s">
        <v>11208</v>
      </c>
      <c r="N2115">
        <v>2.0902262079999998</v>
      </c>
      <c r="O2115">
        <v>4.2704203920000001</v>
      </c>
      <c r="P2115">
        <v>0.23425843900000001</v>
      </c>
      <c r="Q2115">
        <v>1.6181978999999999E-2</v>
      </c>
      <c r="S2115" s="13">
        <v>-1.3915552680000001</v>
      </c>
      <c r="T2115">
        <v>-0.155585416</v>
      </c>
      <c r="U2115">
        <v>-0.25578864699999998</v>
      </c>
    </row>
    <row r="2116" spans="1:21" x14ac:dyDescent="0.2">
      <c r="A2116" t="s">
        <v>687</v>
      </c>
      <c r="B2116">
        <v>668440</v>
      </c>
      <c r="C2116" t="s">
        <v>6953</v>
      </c>
      <c r="D2116" t="s">
        <v>688</v>
      </c>
      <c r="E2116" t="s">
        <v>6970</v>
      </c>
      <c r="F2116">
        <v>9</v>
      </c>
      <c r="G2116">
        <v>14</v>
      </c>
      <c r="H2116" t="s">
        <v>11209</v>
      </c>
      <c r="J2116" t="s">
        <v>2540</v>
      </c>
      <c r="M2116" t="s">
        <v>11210</v>
      </c>
      <c r="N2116">
        <v>1.921480887</v>
      </c>
      <c r="O2116">
        <v>3.0856645180000002</v>
      </c>
      <c r="P2116">
        <v>0.44706724399999997</v>
      </c>
      <c r="Q2116">
        <v>-0.354940863</v>
      </c>
      <c r="S2116" s="13">
        <v>-1.391620147</v>
      </c>
      <c r="T2116">
        <v>-0.15586892099999999</v>
      </c>
      <c r="U2116">
        <v>-0.163700927</v>
      </c>
    </row>
    <row r="2117" spans="1:21" x14ac:dyDescent="0.2">
      <c r="A2117" t="s">
        <v>1174</v>
      </c>
      <c r="B2117">
        <v>577080</v>
      </c>
      <c r="C2117" t="s">
        <v>6910</v>
      </c>
      <c r="D2117" t="s">
        <v>1174</v>
      </c>
      <c r="E2117" t="s">
        <v>7085</v>
      </c>
      <c r="F2117">
        <v>16</v>
      </c>
      <c r="G2117">
        <v>9</v>
      </c>
      <c r="H2117" t="s">
        <v>11211</v>
      </c>
      <c r="J2117" t="s">
        <v>2097</v>
      </c>
      <c r="M2117" t="s">
        <v>11212</v>
      </c>
      <c r="N2117">
        <v>1.9874741039999999</v>
      </c>
      <c r="O2117">
        <v>3.7453511220000002</v>
      </c>
      <c r="P2117">
        <v>0.451009722</v>
      </c>
      <c r="Q2117">
        <v>-0.102386592</v>
      </c>
      <c r="S2117" s="13">
        <v>-1.3918081470000001</v>
      </c>
      <c r="T2117">
        <v>-0.15669043899999999</v>
      </c>
      <c r="U2117">
        <v>-0.15844966599999999</v>
      </c>
    </row>
    <row r="2118" spans="1:21" x14ac:dyDescent="0.2">
      <c r="A2118" t="s">
        <v>94</v>
      </c>
      <c r="B2118">
        <v>686040</v>
      </c>
      <c r="C2118" t="s">
        <v>6914</v>
      </c>
      <c r="D2118" t="s">
        <v>95</v>
      </c>
      <c r="E2118" t="s">
        <v>6939</v>
      </c>
      <c r="F2118">
        <v>1</v>
      </c>
      <c r="G2118">
        <v>2</v>
      </c>
      <c r="H2118" t="s">
        <v>11213</v>
      </c>
      <c r="J2118" t="s">
        <v>6813</v>
      </c>
      <c r="M2118" t="s">
        <v>11214</v>
      </c>
      <c r="N2118">
        <v>1.8217074179999999</v>
      </c>
      <c r="O2118">
        <v>4.1700741289999996</v>
      </c>
      <c r="P2118">
        <v>0.189705977</v>
      </c>
      <c r="Q2118">
        <v>-1.7194070999999998E-2</v>
      </c>
      <c r="S2118" s="13">
        <v>-1.3918356549999999</v>
      </c>
      <c r="T2118">
        <v>-0.156810643</v>
      </c>
      <c r="U2118">
        <v>-0.22158212799999999</v>
      </c>
    </row>
    <row r="2119" spans="1:21" x14ac:dyDescent="0.2">
      <c r="A2119" t="s">
        <v>650</v>
      </c>
      <c r="B2119">
        <v>517720</v>
      </c>
      <c r="C2119" t="s">
        <v>6931</v>
      </c>
      <c r="D2119" t="s">
        <v>651</v>
      </c>
      <c r="E2119" t="s">
        <v>7085</v>
      </c>
      <c r="F2119">
        <v>9</v>
      </c>
      <c r="G2119">
        <v>9</v>
      </c>
      <c r="H2119" t="s">
        <v>11215</v>
      </c>
      <c r="N2119">
        <v>1.9323965059999999</v>
      </c>
      <c r="O2119">
        <v>3.0528020530000002</v>
      </c>
      <c r="P2119">
        <v>2.6493138999999999E-2</v>
      </c>
      <c r="Q2119">
        <v>-0.38692188</v>
      </c>
      <c r="S2119" s="13">
        <v>-1.3922344129999999</v>
      </c>
      <c r="T2119">
        <v>-0.15855312499999999</v>
      </c>
      <c r="U2119">
        <v>-0.14588901000000001</v>
      </c>
    </row>
    <row r="2120" spans="1:21" x14ac:dyDescent="0.2">
      <c r="A2120" t="s">
        <v>1174</v>
      </c>
      <c r="B2120">
        <v>451080</v>
      </c>
      <c r="C2120" t="s">
        <v>6945</v>
      </c>
      <c r="D2120" t="s">
        <v>1174</v>
      </c>
      <c r="E2120" t="s">
        <v>7085</v>
      </c>
      <c r="F2120">
        <v>16</v>
      </c>
      <c r="G2120">
        <v>9</v>
      </c>
      <c r="H2120" t="s">
        <v>11216</v>
      </c>
      <c r="J2120" t="s">
        <v>4850</v>
      </c>
      <c r="M2120" t="s">
        <v>11217</v>
      </c>
      <c r="N2120">
        <v>2.2220813349999999</v>
      </c>
      <c r="O2120">
        <v>6.5440947090000003</v>
      </c>
      <c r="P2120">
        <v>0.58228215500000002</v>
      </c>
      <c r="Q2120">
        <v>0.35188233000000002</v>
      </c>
      <c r="S2120" s="13">
        <v>-1.3928012219999999</v>
      </c>
      <c r="T2120">
        <v>-0.161029953</v>
      </c>
      <c r="U2120">
        <v>-0.26760188200000001</v>
      </c>
    </row>
    <row r="2121" spans="1:21" x14ac:dyDescent="0.2">
      <c r="A2121" t="s">
        <v>577</v>
      </c>
      <c r="B2121">
        <v>576120</v>
      </c>
      <c r="C2121" t="s">
        <v>6906</v>
      </c>
      <c r="D2121" t="s">
        <v>578</v>
      </c>
      <c r="E2121" t="s">
        <v>7115</v>
      </c>
      <c r="F2121">
        <v>1</v>
      </c>
      <c r="G2121">
        <v>10</v>
      </c>
      <c r="H2121" t="s">
        <v>11218</v>
      </c>
      <c r="J2121" t="s">
        <v>686</v>
      </c>
      <c r="M2121" t="s">
        <v>11219</v>
      </c>
      <c r="N2121">
        <v>1.813871112</v>
      </c>
      <c r="O2121">
        <v>2.6633694910000001</v>
      </c>
      <c r="P2121">
        <v>-0.29586356800000002</v>
      </c>
      <c r="Q2121">
        <v>-0.59018158399999998</v>
      </c>
      <c r="S2121" s="13">
        <v>-1.392891339</v>
      </c>
      <c r="T2121">
        <v>-0.16142374200000001</v>
      </c>
      <c r="U2121">
        <v>-0.187157247</v>
      </c>
    </row>
    <row r="2122" spans="1:21" x14ac:dyDescent="0.2">
      <c r="A2122" t="s">
        <v>311</v>
      </c>
      <c r="B2122">
        <v>517120</v>
      </c>
      <c r="C2122" t="s">
        <v>6931</v>
      </c>
      <c r="D2122" t="s">
        <v>311</v>
      </c>
      <c r="E2122" t="s">
        <v>7006</v>
      </c>
      <c r="F2122">
        <v>18</v>
      </c>
      <c r="G2122">
        <v>3</v>
      </c>
      <c r="H2122" t="s">
        <v>11220</v>
      </c>
      <c r="N2122">
        <v>1.9323965059999999</v>
      </c>
      <c r="O2122">
        <v>3.0528020530000002</v>
      </c>
      <c r="P2122">
        <v>2.6493138999999999E-2</v>
      </c>
      <c r="Q2122">
        <v>-0.38692188</v>
      </c>
      <c r="S2122" s="13">
        <v>-1.393022797</v>
      </c>
      <c r="T2122">
        <v>-0.16199818499999999</v>
      </c>
      <c r="U2122">
        <v>-0.14628432</v>
      </c>
    </row>
    <row r="2123" spans="1:21" x14ac:dyDescent="0.2">
      <c r="A2123" t="s">
        <v>1336</v>
      </c>
      <c r="B2123">
        <v>517120</v>
      </c>
      <c r="C2123" t="s">
        <v>6931</v>
      </c>
      <c r="D2123" t="s">
        <v>1336</v>
      </c>
      <c r="E2123" t="s">
        <v>6915</v>
      </c>
      <c r="F2123">
        <v>15</v>
      </c>
      <c r="G2123">
        <v>13</v>
      </c>
      <c r="H2123" t="s">
        <v>11221</v>
      </c>
      <c r="N2123">
        <v>1.9323965059999999</v>
      </c>
      <c r="O2123">
        <v>3.0528020530000002</v>
      </c>
      <c r="P2123">
        <v>2.6493138999999999E-2</v>
      </c>
      <c r="Q2123">
        <v>-0.38692188</v>
      </c>
      <c r="S2123" s="13">
        <v>-1.393022797</v>
      </c>
      <c r="T2123">
        <v>-0.16199818499999999</v>
      </c>
      <c r="U2123">
        <v>-0.14628432</v>
      </c>
    </row>
    <row r="2124" spans="1:21" x14ac:dyDescent="0.2">
      <c r="A2124" t="s">
        <v>165</v>
      </c>
      <c r="B2124">
        <v>684760</v>
      </c>
      <c r="C2124" t="s">
        <v>6914</v>
      </c>
      <c r="D2124" t="s">
        <v>166</v>
      </c>
      <c r="E2124" t="s">
        <v>6928</v>
      </c>
      <c r="F2124">
        <v>2</v>
      </c>
      <c r="G2124">
        <v>16</v>
      </c>
      <c r="H2124" t="s">
        <v>11222</v>
      </c>
      <c r="J2124" t="s">
        <v>168</v>
      </c>
      <c r="M2124" t="s">
        <v>11223</v>
      </c>
      <c r="N2124">
        <v>1.8217074179999999</v>
      </c>
      <c r="O2124">
        <v>4.1700741289999996</v>
      </c>
      <c r="P2124">
        <v>0.189705977</v>
      </c>
      <c r="Q2124">
        <v>-1.7194070999999998E-2</v>
      </c>
      <c r="S2124" s="13">
        <v>-1.3933751889999999</v>
      </c>
      <c r="T2124">
        <v>-0.16353805799999999</v>
      </c>
      <c r="U2124">
        <v>-0.22258673200000001</v>
      </c>
    </row>
    <row r="2125" spans="1:21" x14ac:dyDescent="0.2">
      <c r="A2125" t="s">
        <v>1069</v>
      </c>
      <c r="B2125">
        <v>601640</v>
      </c>
      <c r="C2125" t="s">
        <v>6927</v>
      </c>
      <c r="D2125" t="s">
        <v>1070</v>
      </c>
      <c r="E2125" t="s">
        <v>7085</v>
      </c>
      <c r="F2125">
        <v>6</v>
      </c>
      <c r="G2125">
        <v>9</v>
      </c>
      <c r="H2125" t="s">
        <v>11224</v>
      </c>
      <c r="J2125" t="s">
        <v>11225</v>
      </c>
      <c r="M2125" t="s">
        <v>11226</v>
      </c>
      <c r="N2125">
        <v>1.982575982</v>
      </c>
      <c r="O2125">
        <v>3.4571926419999999</v>
      </c>
      <c r="P2125">
        <v>-0.114791479</v>
      </c>
      <c r="Q2125">
        <v>1.868949E-3</v>
      </c>
      <c r="S2125" s="13">
        <v>-1.3934567410000001</v>
      </c>
      <c r="T2125">
        <v>-0.16389442100000001</v>
      </c>
      <c r="U2125">
        <v>-0.224934616</v>
      </c>
    </row>
    <row r="2126" spans="1:21" x14ac:dyDescent="0.2">
      <c r="A2126" t="s">
        <v>693</v>
      </c>
      <c r="B2126">
        <v>516720</v>
      </c>
      <c r="C2126" t="s">
        <v>6931</v>
      </c>
      <c r="D2126" t="s">
        <v>693</v>
      </c>
      <c r="E2126" t="s">
        <v>6977</v>
      </c>
      <c r="F2126">
        <v>22</v>
      </c>
      <c r="G2126">
        <v>5</v>
      </c>
      <c r="H2126" t="s">
        <v>11227</v>
      </c>
      <c r="N2126">
        <v>1.9323965059999999</v>
      </c>
      <c r="O2126">
        <v>3.0528020530000002</v>
      </c>
      <c r="P2126">
        <v>2.6493138999999999E-2</v>
      </c>
      <c r="Q2126">
        <v>-0.38692188</v>
      </c>
      <c r="S2126" s="13">
        <v>-1.3935483870000001</v>
      </c>
      <c r="T2126">
        <v>-0.164294892</v>
      </c>
      <c r="U2126">
        <v>-0.14654806100000001</v>
      </c>
    </row>
    <row r="2127" spans="1:21" x14ac:dyDescent="0.2">
      <c r="A2127" t="s">
        <v>1484</v>
      </c>
      <c r="B2127">
        <v>666320</v>
      </c>
      <c r="C2127" t="s">
        <v>6953</v>
      </c>
      <c r="D2127" t="s">
        <v>1484</v>
      </c>
      <c r="E2127" t="s">
        <v>6977</v>
      </c>
      <c r="F2127">
        <v>16</v>
      </c>
      <c r="G2127">
        <v>5</v>
      </c>
      <c r="H2127" t="s">
        <v>11228</v>
      </c>
      <c r="J2127" t="s">
        <v>3367</v>
      </c>
      <c r="M2127" t="s">
        <v>11229</v>
      </c>
      <c r="N2127">
        <v>1.921480887</v>
      </c>
      <c r="O2127">
        <v>3.0856645180000002</v>
      </c>
      <c r="P2127">
        <v>0.44706724399999997</v>
      </c>
      <c r="Q2127">
        <v>-0.354940863</v>
      </c>
      <c r="S2127" s="13">
        <v>-1.3938199099999999</v>
      </c>
      <c r="T2127">
        <v>-0.16548138500000001</v>
      </c>
      <c r="U2127">
        <v>-0.165157946</v>
      </c>
    </row>
    <row r="2128" spans="1:21" x14ac:dyDescent="0.2">
      <c r="A2128" t="s">
        <v>697</v>
      </c>
      <c r="B2128">
        <v>601120</v>
      </c>
      <c r="C2128" t="s">
        <v>6927</v>
      </c>
      <c r="D2128" t="s">
        <v>698</v>
      </c>
      <c r="E2128" t="s">
        <v>7115</v>
      </c>
      <c r="F2128">
        <v>3</v>
      </c>
      <c r="G2128">
        <v>10</v>
      </c>
      <c r="H2128" t="s">
        <v>11230</v>
      </c>
      <c r="J2128" t="s">
        <v>11231</v>
      </c>
      <c r="M2128" t="s">
        <v>11232</v>
      </c>
      <c r="N2128">
        <v>1.982575982</v>
      </c>
      <c r="O2128">
        <v>3.4571926419999999</v>
      </c>
      <c r="P2128">
        <v>-0.114791479</v>
      </c>
      <c r="Q2128">
        <v>1.868949E-3</v>
      </c>
      <c r="S2128" s="13">
        <v>-1.393996306</v>
      </c>
      <c r="T2128">
        <v>-0.16625219499999999</v>
      </c>
      <c r="U2128">
        <v>-0.225345618</v>
      </c>
    </row>
    <row r="2129" spans="1:21" x14ac:dyDescent="0.2">
      <c r="A2129" t="s">
        <v>929</v>
      </c>
      <c r="B2129">
        <v>600960</v>
      </c>
      <c r="C2129" t="s">
        <v>6927</v>
      </c>
      <c r="D2129" t="s">
        <v>929</v>
      </c>
      <c r="E2129" t="s">
        <v>6956</v>
      </c>
      <c r="F2129">
        <v>19</v>
      </c>
      <c r="G2129">
        <v>7</v>
      </c>
      <c r="H2129" t="s">
        <v>11233</v>
      </c>
      <c r="J2129" t="s">
        <v>11234</v>
      </c>
      <c r="M2129" t="s">
        <v>11235</v>
      </c>
      <c r="N2129">
        <v>1.982575982</v>
      </c>
      <c r="O2129">
        <v>3.4571926419999999</v>
      </c>
      <c r="P2129">
        <v>-0.114791479</v>
      </c>
      <c r="Q2129">
        <v>1.868949E-3</v>
      </c>
      <c r="S2129" s="13">
        <v>-1.394162326</v>
      </c>
      <c r="T2129">
        <v>-0.166977664</v>
      </c>
      <c r="U2129">
        <v>-0.22547215800000001</v>
      </c>
    </row>
    <row r="2130" spans="1:21" x14ac:dyDescent="0.2">
      <c r="A2130" t="s">
        <v>491</v>
      </c>
      <c r="B2130">
        <v>600720</v>
      </c>
      <c r="C2130" t="s">
        <v>6927</v>
      </c>
      <c r="D2130" t="s">
        <v>491</v>
      </c>
      <c r="E2130" t="s">
        <v>6924</v>
      </c>
      <c r="F2130">
        <v>15</v>
      </c>
      <c r="G2130">
        <v>6</v>
      </c>
      <c r="H2130" t="s">
        <v>11236</v>
      </c>
      <c r="J2130" t="s">
        <v>11237</v>
      </c>
      <c r="M2130" t="s">
        <v>11238</v>
      </c>
      <c r="N2130">
        <v>1.982575982</v>
      </c>
      <c r="O2130">
        <v>3.4571926419999999</v>
      </c>
      <c r="P2130">
        <v>-0.114791479</v>
      </c>
      <c r="Q2130">
        <v>1.868949E-3</v>
      </c>
      <c r="S2130" s="13">
        <v>-1.394411356</v>
      </c>
      <c r="T2130">
        <v>-0.16806586800000001</v>
      </c>
      <c r="U2130">
        <v>-0.22566203800000001</v>
      </c>
    </row>
    <row r="2131" spans="1:21" x14ac:dyDescent="0.2">
      <c r="A2131" t="s">
        <v>1698</v>
      </c>
      <c r="B2131">
        <v>600480</v>
      </c>
      <c r="C2131" t="s">
        <v>6927</v>
      </c>
      <c r="D2131" t="s">
        <v>1698</v>
      </c>
      <c r="E2131" t="s">
        <v>6921</v>
      </c>
      <c r="F2131">
        <v>11</v>
      </c>
      <c r="G2131">
        <v>8</v>
      </c>
      <c r="H2131" t="s">
        <v>11239</v>
      </c>
      <c r="J2131" t="s">
        <v>11240</v>
      </c>
      <c r="M2131" t="s">
        <v>11241</v>
      </c>
      <c r="N2131">
        <v>1.982575982</v>
      </c>
      <c r="O2131">
        <v>3.4571926419999999</v>
      </c>
      <c r="P2131">
        <v>-0.114791479</v>
      </c>
      <c r="Q2131">
        <v>1.868949E-3</v>
      </c>
      <c r="S2131" s="13">
        <v>-1.394660386</v>
      </c>
      <c r="T2131">
        <v>-0.16915407099999999</v>
      </c>
      <c r="U2131">
        <v>-0.225852</v>
      </c>
    </row>
    <row r="2132" spans="1:21" x14ac:dyDescent="0.2">
      <c r="A2132" t="s">
        <v>687</v>
      </c>
      <c r="B2132">
        <v>574560</v>
      </c>
      <c r="C2132" t="s">
        <v>6906</v>
      </c>
      <c r="D2132" t="s">
        <v>688</v>
      </c>
      <c r="E2132" t="s">
        <v>6970</v>
      </c>
      <c r="F2132">
        <v>9</v>
      </c>
      <c r="G2132">
        <v>14</v>
      </c>
      <c r="H2132" t="s">
        <v>11242</v>
      </c>
      <c r="J2132" t="s">
        <v>11243</v>
      </c>
      <c r="M2132" t="s">
        <v>11244</v>
      </c>
      <c r="N2132">
        <v>1.813871112</v>
      </c>
      <c r="O2132">
        <v>2.6633694910000001</v>
      </c>
      <c r="P2132">
        <v>-0.29586356800000002</v>
      </c>
      <c r="Q2132">
        <v>-0.59018158399999998</v>
      </c>
      <c r="S2132" s="13">
        <v>-1.395154505</v>
      </c>
      <c r="T2132">
        <v>-0.171313258</v>
      </c>
      <c r="U2132">
        <v>-0.18828846799999999</v>
      </c>
    </row>
    <row r="2133" spans="1:21" x14ac:dyDescent="0.2">
      <c r="A2133" t="s">
        <v>1058</v>
      </c>
      <c r="B2133">
        <v>448240</v>
      </c>
      <c r="C2133" t="s">
        <v>6945</v>
      </c>
      <c r="D2133" t="s">
        <v>1059</v>
      </c>
      <c r="E2133" t="s">
        <v>6911</v>
      </c>
      <c r="F2133">
        <v>6</v>
      </c>
      <c r="G2133">
        <v>12</v>
      </c>
      <c r="H2133" t="s">
        <v>11245</v>
      </c>
      <c r="J2133" t="s">
        <v>3432</v>
      </c>
      <c r="M2133" t="s">
        <v>11246</v>
      </c>
      <c r="N2133">
        <v>2.2220813349999999</v>
      </c>
      <c r="O2133">
        <v>6.5440947090000003</v>
      </c>
      <c r="P2133">
        <v>0.58228215500000002</v>
      </c>
      <c r="Q2133">
        <v>0.35188233000000002</v>
      </c>
      <c r="S2133" s="13">
        <v>-1.395480013</v>
      </c>
      <c r="T2133">
        <v>-0.17273565499999999</v>
      </c>
      <c r="U2133">
        <v>-0.27008422100000001</v>
      </c>
    </row>
    <row r="2134" spans="1:21" x14ac:dyDescent="0.2">
      <c r="A2134" t="s">
        <v>1137</v>
      </c>
      <c r="B2134">
        <v>573600</v>
      </c>
      <c r="C2134" t="s">
        <v>6910</v>
      </c>
      <c r="D2134" t="s">
        <v>1137</v>
      </c>
      <c r="E2134" t="s">
        <v>7085</v>
      </c>
      <c r="F2134">
        <v>18</v>
      </c>
      <c r="G2134">
        <v>9</v>
      </c>
      <c r="H2134" t="s">
        <v>11247</v>
      </c>
      <c r="J2134" t="s">
        <v>1139</v>
      </c>
      <c r="M2134" t="s">
        <v>11248</v>
      </c>
      <c r="N2134">
        <v>1.9874741039999999</v>
      </c>
      <c r="O2134">
        <v>3.7453511220000002</v>
      </c>
      <c r="P2134">
        <v>0.451009722</v>
      </c>
      <c r="Q2134">
        <v>-0.102386592</v>
      </c>
      <c r="S2134" s="13">
        <v>-1.395552256</v>
      </c>
      <c r="T2134">
        <v>-0.173051342</v>
      </c>
      <c r="U2134">
        <v>-0.16081510199999999</v>
      </c>
    </row>
    <row r="2135" spans="1:21" x14ac:dyDescent="0.2">
      <c r="A2135" t="s">
        <v>1108</v>
      </c>
      <c r="B2135">
        <v>682880</v>
      </c>
      <c r="C2135" t="s">
        <v>6914</v>
      </c>
      <c r="D2135" t="s">
        <v>1109</v>
      </c>
      <c r="E2135" t="s">
        <v>6977</v>
      </c>
      <c r="F2135">
        <v>3</v>
      </c>
      <c r="G2135">
        <v>5</v>
      </c>
      <c r="H2135" t="s">
        <v>11249</v>
      </c>
      <c r="J2135" t="s">
        <v>4578</v>
      </c>
      <c r="M2135" t="s">
        <v>11250</v>
      </c>
      <c r="N2135">
        <v>1.8217074179999999</v>
      </c>
      <c r="O2135">
        <v>4.1700741289999996</v>
      </c>
      <c r="P2135">
        <v>0.189705977</v>
      </c>
      <c r="Q2135">
        <v>-1.7194070999999998E-2</v>
      </c>
      <c r="S2135" s="13">
        <v>-1.3956363810000001</v>
      </c>
      <c r="T2135">
        <v>-0.17341894899999999</v>
      </c>
      <c r="U2135">
        <v>-0.22406646899999999</v>
      </c>
    </row>
    <row r="2136" spans="1:21" x14ac:dyDescent="0.2">
      <c r="A2136" t="s">
        <v>1882</v>
      </c>
      <c r="B2136">
        <v>515080</v>
      </c>
      <c r="C2136" t="s">
        <v>6931</v>
      </c>
      <c r="D2136" t="s">
        <v>1882</v>
      </c>
      <c r="E2136" t="s">
        <v>7006</v>
      </c>
      <c r="F2136">
        <v>20</v>
      </c>
      <c r="G2136">
        <v>3</v>
      </c>
      <c r="H2136" t="s">
        <v>11251</v>
      </c>
      <c r="N2136">
        <v>1.9323965059999999</v>
      </c>
      <c r="O2136">
        <v>3.0528020530000002</v>
      </c>
      <c r="P2136">
        <v>2.6493138999999999E-2</v>
      </c>
      <c r="Q2136">
        <v>-0.38692188</v>
      </c>
      <c r="S2136" s="13">
        <v>-1.3957033050000001</v>
      </c>
      <c r="T2136">
        <v>-0.17371138899999999</v>
      </c>
      <c r="U2136">
        <v>-0.147631073</v>
      </c>
    </row>
    <row r="2137" spans="1:21" x14ac:dyDescent="0.2">
      <c r="A2137" t="s">
        <v>1535</v>
      </c>
      <c r="B2137">
        <v>515000</v>
      </c>
      <c r="C2137" t="s">
        <v>6931</v>
      </c>
      <c r="D2137" t="s">
        <v>1535</v>
      </c>
      <c r="E2137" t="s">
        <v>6907</v>
      </c>
      <c r="F2137">
        <v>19</v>
      </c>
      <c r="G2137">
        <v>4</v>
      </c>
      <c r="H2137" t="s">
        <v>11252</v>
      </c>
      <c r="N2137">
        <v>1.9323965059999999</v>
      </c>
      <c r="O2137">
        <v>3.0528020530000002</v>
      </c>
      <c r="P2137">
        <v>2.6493138999999999E-2</v>
      </c>
      <c r="Q2137">
        <v>-0.38692188</v>
      </c>
      <c r="S2137" s="13">
        <v>-1.3958084230000001</v>
      </c>
      <c r="T2137">
        <v>-0.17417073</v>
      </c>
      <c r="U2137">
        <v>-0.147683972</v>
      </c>
    </row>
    <row r="2138" spans="1:21" x14ac:dyDescent="0.2">
      <c r="A2138" t="s">
        <v>977</v>
      </c>
      <c r="B2138">
        <v>604400</v>
      </c>
      <c r="C2138" t="s">
        <v>6938</v>
      </c>
      <c r="D2138" t="s">
        <v>978</v>
      </c>
      <c r="E2138" t="s">
        <v>6915</v>
      </c>
      <c r="F2138">
        <v>5</v>
      </c>
      <c r="G2138">
        <v>13</v>
      </c>
      <c r="H2138" t="s">
        <v>11253</v>
      </c>
      <c r="J2138" t="s">
        <v>1477</v>
      </c>
      <c r="M2138" t="s">
        <v>11254</v>
      </c>
      <c r="N2138">
        <v>2.092758737</v>
      </c>
      <c r="O2138">
        <v>5.3323610669999999</v>
      </c>
      <c r="P2138">
        <v>0.70420098600000003</v>
      </c>
      <c r="Q2138">
        <v>0.41355372699999998</v>
      </c>
      <c r="S2138" s="13">
        <v>-1.396049468</v>
      </c>
      <c r="T2138">
        <v>-0.175224042</v>
      </c>
      <c r="U2138">
        <v>-0.25049446600000003</v>
      </c>
    </row>
    <row r="2139" spans="1:21" x14ac:dyDescent="0.2">
      <c r="A2139" t="s">
        <v>1426</v>
      </c>
      <c r="B2139">
        <v>514720</v>
      </c>
      <c r="C2139" t="s">
        <v>6931</v>
      </c>
      <c r="D2139" t="s">
        <v>1426</v>
      </c>
      <c r="E2139" t="s">
        <v>6907</v>
      </c>
      <c r="F2139">
        <v>15</v>
      </c>
      <c r="G2139">
        <v>4</v>
      </c>
      <c r="H2139" t="s">
        <v>11255</v>
      </c>
      <c r="N2139">
        <v>1.9323965059999999</v>
      </c>
      <c r="O2139">
        <v>3.0528020530000002</v>
      </c>
      <c r="P2139">
        <v>2.6493138999999999E-2</v>
      </c>
      <c r="Q2139">
        <v>-0.38692188</v>
      </c>
      <c r="S2139" s="13">
        <v>-1.396176335</v>
      </c>
      <c r="T2139">
        <v>-0.17577842499999999</v>
      </c>
      <c r="U2139">
        <v>-0.14786916999999999</v>
      </c>
    </row>
    <row r="2140" spans="1:21" x14ac:dyDescent="0.2">
      <c r="A2140" t="s">
        <v>1535</v>
      </c>
      <c r="B2140">
        <v>572920</v>
      </c>
      <c r="C2140" t="s">
        <v>6910</v>
      </c>
      <c r="D2140" t="s">
        <v>1535</v>
      </c>
      <c r="E2140" t="s">
        <v>6907</v>
      </c>
      <c r="F2140">
        <v>19</v>
      </c>
      <c r="G2140">
        <v>4</v>
      </c>
      <c r="H2140" t="s">
        <v>11256</v>
      </c>
      <c r="J2140" t="s">
        <v>1537</v>
      </c>
      <c r="M2140" t="s">
        <v>11257</v>
      </c>
      <c r="N2140">
        <v>1.9874741039999999</v>
      </c>
      <c r="O2140">
        <v>3.7453511220000002</v>
      </c>
      <c r="P2140">
        <v>0.451009722</v>
      </c>
      <c r="Q2140">
        <v>-0.102386592</v>
      </c>
      <c r="S2140" s="13">
        <v>-1.3962838639999999</v>
      </c>
      <c r="T2140">
        <v>-0.1762483</v>
      </c>
      <c r="U2140">
        <v>-0.16127882299999999</v>
      </c>
    </row>
    <row r="2141" spans="1:21" x14ac:dyDescent="0.2">
      <c r="A2141" t="s">
        <v>23</v>
      </c>
      <c r="B2141">
        <v>573600</v>
      </c>
      <c r="C2141" t="s">
        <v>6906</v>
      </c>
      <c r="D2141" t="s">
        <v>23</v>
      </c>
      <c r="E2141" t="s">
        <v>6907</v>
      </c>
      <c r="F2141">
        <v>18</v>
      </c>
      <c r="G2141">
        <v>4</v>
      </c>
      <c r="H2141" t="s">
        <v>11258</v>
      </c>
      <c r="J2141" t="s">
        <v>745</v>
      </c>
      <c r="M2141" t="s">
        <v>11259</v>
      </c>
      <c r="N2141">
        <v>1.813871112</v>
      </c>
      <c r="O2141">
        <v>2.6633694910000001</v>
      </c>
      <c r="P2141">
        <v>-0.29586356800000002</v>
      </c>
      <c r="Q2141">
        <v>-0.59018158399999998</v>
      </c>
      <c r="S2141" s="13">
        <v>-1.3965472219999999</v>
      </c>
      <c r="T2141">
        <v>-0.177399114</v>
      </c>
      <c r="U2141">
        <v>-0.188986072</v>
      </c>
    </row>
    <row r="2142" spans="1:21" x14ac:dyDescent="0.2">
      <c r="A2142" t="s">
        <v>736</v>
      </c>
      <c r="B2142">
        <v>603800</v>
      </c>
      <c r="C2142" t="s">
        <v>6938</v>
      </c>
      <c r="D2142" t="s">
        <v>736</v>
      </c>
      <c r="E2142" t="s">
        <v>6939</v>
      </c>
      <c r="F2142">
        <v>15</v>
      </c>
      <c r="G2142">
        <v>2</v>
      </c>
      <c r="H2142" t="s">
        <v>11260</v>
      </c>
      <c r="J2142" t="s">
        <v>5739</v>
      </c>
      <c r="M2142" t="s">
        <v>11261</v>
      </c>
      <c r="N2142">
        <v>2.092758737</v>
      </c>
      <c r="O2142">
        <v>5.3323610669999999</v>
      </c>
      <c r="P2142">
        <v>0.70420098600000003</v>
      </c>
      <c r="Q2142">
        <v>0.41355372699999998</v>
      </c>
      <c r="S2142" s="13">
        <v>-1.3965647539999999</v>
      </c>
      <c r="T2142">
        <v>-0.177475727</v>
      </c>
      <c r="U2142">
        <v>-0.25099749999999998</v>
      </c>
    </row>
    <row r="2143" spans="1:21" x14ac:dyDescent="0.2">
      <c r="A2143" t="s">
        <v>998</v>
      </c>
      <c r="B2143">
        <v>603640</v>
      </c>
      <c r="C2143" t="s">
        <v>6938</v>
      </c>
      <c r="D2143" t="s">
        <v>998</v>
      </c>
      <c r="E2143" t="s">
        <v>6970</v>
      </c>
      <c r="F2143">
        <v>13</v>
      </c>
      <c r="G2143">
        <v>14</v>
      </c>
      <c r="H2143" t="s">
        <v>11262</v>
      </c>
      <c r="J2143" t="s">
        <v>4135</v>
      </c>
      <c r="M2143" t="s">
        <v>11263</v>
      </c>
      <c r="N2143">
        <v>2.092758737</v>
      </c>
      <c r="O2143">
        <v>5.3323610669999999</v>
      </c>
      <c r="P2143">
        <v>0.70420098600000003</v>
      </c>
      <c r="Q2143">
        <v>0.41355372699999998</v>
      </c>
      <c r="S2143" s="13">
        <v>-1.3967021639999999</v>
      </c>
      <c r="T2143">
        <v>-0.178076177</v>
      </c>
      <c r="U2143">
        <v>-0.25113174100000002</v>
      </c>
    </row>
    <row r="2144" spans="1:21" x14ac:dyDescent="0.2">
      <c r="A2144" t="s">
        <v>749</v>
      </c>
      <c r="B2144">
        <v>530200</v>
      </c>
      <c r="C2144" t="s">
        <v>6942</v>
      </c>
      <c r="D2144" t="s">
        <v>749</v>
      </c>
      <c r="E2144" t="s">
        <v>6946</v>
      </c>
      <c r="F2144">
        <v>13</v>
      </c>
      <c r="G2144">
        <v>11</v>
      </c>
      <c r="H2144" t="s">
        <v>11264</v>
      </c>
      <c r="J2144" t="s">
        <v>4890</v>
      </c>
      <c r="M2144" t="s">
        <v>11265</v>
      </c>
      <c r="N2144">
        <v>2.0902262079999998</v>
      </c>
      <c r="O2144">
        <v>4.2704203920000001</v>
      </c>
      <c r="P2144">
        <v>0.23425843900000001</v>
      </c>
      <c r="Q2144">
        <v>1.6181978999999999E-2</v>
      </c>
      <c r="S2144" s="13">
        <v>-1.396855309</v>
      </c>
      <c r="T2144">
        <v>-0.17874538400000001</v>
      </c>
      <c r="U2144">
        <v>-0.26039315099999999</v>
      </c>
    </row>
    <row r="2145" spans="1:21" x14ac:dyDescent="0.2">
      <c r="A2145" t="s">
        <v>178</v>
      </c>
      <c r="B2145">
        <v>446520</v>
      </c>
      <c r="C2145" t="s">
        <v>6945</v>
      </c>
      <c r="D2145" t="s">
        <v>178</v>
      </c>
      <c r="E2145" t="s">
        <v>6970</v>
      </c>
      <c r="F2145">
        <v>14</v>
      </c>
      <c r="G2145">
        <v>14</v>
      </c>
      <c r="H2145" t="s">
        <v>11266</v>
      </c>
      <c r="J2145" t="s">
        <v>4481</v>
      </c>
      <c r="M2145" t="s">
        <v>11267</v>
      </c>
      <c r="N2145">
        <v>2.2220813349999999</v>
      </c>
      <c r="O2145">
        <v>6.5440947090000003</v>
      </c>
      <c r="P2145">
        <v>0.58228215500000002</v>
      </c>
      <c r="Q2145">
        <v>0.35188233000000002</v>
      </c>
      <c r="S2145" s="13">
        <v>-1.3971023789999999</v>
      </c>
      <c r="T2145">
        <v>-0.179825023</v>
      </c>
      <c r="U2145">
        <v>-0.27159453700000002</v>
      </c>
    </row>
    <row r="2146" spans="1:21" x14ac:dyDescent="0.2">
      <c r="A2146" t="s">
        <v>1095</v>
      </c>
      <c r="B2146">
        <v>597440</v>
      </c>
      <c r="C2146" t="s">
        <v>6927</v>
      </c>
      <c r="D2146" t="s">
        <v>1096</v>
      </c>
      <c r="E2146" t="s">
        <v>6977</v>
      </c>
      <c r="F2146">
        <v>4</v>
      </c>
      <c r="G2146">
        <v>5</v>
      </c>
      <c r="H2146" t="s">
        <v>11268</v>
      </c>
      <c r="J2146" t="s">
        <v>11269</v>
      </c>
      <c r="M2146" t="s">
        <v>11270</v>
      </c>
      <c r="N2146">
        <v>1.982575982</v>
      </c>
      <c r="O2146">
        <v>3.4571926419999999</v>
      </c>
      <c r="P2146">
        <v>-0.114791479</v>
      </c>
      <c r="Q2146">
        <v>1.868949E-3</v>
      </c>
      <c r="S2146" s="13">
        <v>-1.397814763</v>
      </c>
      <c r="T2146">
        <v>-0.182937981</v>
      </c>
      <c r="U2146">
        <v>-0.228265415</v>
      </c>
    </row>
    <row r="2147" spans="1:21" x14ac:dyDescent="0.2">
      <c r="A2147" t="s">
        <v>329</v>
      </c>
      <c r="B2147">
        <v>513320</v>
      </c>
      <c r="C2147" t="s">
        <v>6931</v>
      </c>
      <c r="D2147" t="s">
        <v>329</v>
      </c>
      <c r="E2147" t="s">
        <v>6924</v>
      </c>
      <c r="F2147">
        <v>22</v>
      </c>
      <c r="G2147">
        <v>6</v>
      </c>
      <c r="H2147" t="s">
        <v>11271</v>
      </c>
      <c r="N2147">
        <v>1.9323965059999999</v>
      </c>
      <c r="O2147">
        <v>3.0528020530000002</v>
      </c>
      <c r="P2147">
        <v>2.6493138999999999E-2</v>
      </c>
      <c r="Q2147">
        <v>-0.38692188</v>
      </c>
      <c r="S2147" s="13">
        <v>-1.398015899</v>
      </c>
      <c r="T2147">
        <v>-0.18381689800000001</v>
      </c>
      <c r="U2147">
        <v>-0.148796343</v>
      </c>
    </row>
    <row r="2148" spans="1:21" x14ac:dyDescent="0.2">
      <c r="A2148" t="s">
        <v>807</v>
      </c>
      <c r="B2148">
        <v>680720</v>
      </c>
      <c r="C2148" t="s">
        <v>6914</v>
      </c>
      <c r="D2148" t="s">
        <v>807</v>
      </c>
      <c r="E2148" t="s">
        <v>6977</v>
      </c>
      <c r="F2148">
        <v>14</v>
      </c>
      <c r="G2148">
        <v>5</v>
      </c>
      <c r="H2148" t="s">
        <v>11272</v>
      </c>
      <c r="J2148" t="s">
        <v>6787</v>
      </c>
      <c r="M2148" t="s">
        <v>11273</v>
      </c>
      <c r="N2148">
        <v>1.8217074179999999</v>
      </c>
      <c r="O2148">
        <v>4.1700741289999996</v>
      </c>
      <c r="P2148">
        <v>0.189705977</v>
      </c>
      <c r="Q2148">
        <v>-1.7194070999999998E-2</v>
      </c>
      <c r="S2148" s="13">
        <v>-1.398234346</v>
      </c>
      <c r="T2148">
        <v>-0.184771461</v>
      </c>
      <c r="U2148">
        <v>-0.225772839</v>
      </c>
    </row>
    <row r="2149" spans="1:21" x14ac:dyDescent="0.2">
      <c r="A2149" t="s">
        <v>1155</v>
      </c>
      <c r="B2149">
        <v>601800</v>
      </c>
      <c r="C2149" t="s">
        <v>6938</v>
      </c>
      <c r="D2149" t="s">
        <v>1156</v>
      </c>
      <c r="E2149" t="s">
        <v>6970</v>
      </c>
      <c r="F2149">
        <v>8</v>
      </c>
      <c r="G2149">
        <v>14</v>
      </c>
      <c r="H2149" t="s">
        <v>11274</v>
      </c>
      <c r="J2149" t="s">
        <v>5239</v>
      </c>
      <c r="M2149" t="s">
        <v>11275</v>
      </c>
      <c r="N2149">
        <v>2.092758737</v>
      </c>
      <c r="O2149">
        <v>5.3323610669999999</v>
      </c>
      <c r="P2149">
        <v>0.70420098600000003</v>
      </c>
      <c r="Q2149">
        <v>0.41355372699999998</v>
      </c>
      <c r="S2149" s="13">
        <v>-1.3982823769999999</v>
      </c>
      <c r="T2149">
        <v>-0.18498134699999999</v>
      </c>
      <c r="U2149">
        <v>-0.252678501</v>
      </c>
    </row>
    <row r="2150" spans="1:21" x14ac:dyDescent="0.2">
      <c r="A2150" t="s">
        <v>1368</v>
      </c>
      <c r="B2150">
        <v>572400</v>
      </c>
      <c r="C2150" t="s">
        <v>6906</v>
      </c>
      <c r="D2150" t="s">
        <v>1368</v>
      </c>
      <c r="E2150" t="s">
        <v>6956</v>
      </c>
      <c r="F2150">
        <v>16</v>
      </c>
      <c r="G2150">
        <v>7</v>
      </c>
      <c r="H2150" t="s">
        <v>11276</v>
      </c>
      <c r="J2150" t="s">
        <v>1370</v>
      </c>
      <c r="M2150" t="s">
        <v>11277</v>
      </c>
      <c r="N2150">
        <v>1.813871112</v>
      </c>
      <c r="O2150">
        <v>2.6633694910000001</v>
      </c>
      <c r="P2150">
        <v>-0.29586356800000002</v>
      </c>
      <c r="Q2150">
        <v>-0.59018158399999998</v>
      </c>
      <c r="S2150" s="13">
        <v>-1.398288118</v>
      </c>
      <c r="T2150">
        <v>-0.185006434</v>
      </c>
      <c r="U2150">
        <v>-0.18985965499999999</v>
      </c>
    </row>
    <row r="2151" spans="1:21" x14ac:dyDescent="0.2">
      <c r="A2151" t="s">
        <v>1055</v>
      </c>
      <c r="B2151">
        <v>680640</v>
      </c>
      <c r="C2151" t="s">
        <v>6914</v>
      </c>
      <c r="D2151" t="s">
        <v>1055</v>
      </c>
      <c r="E2151" t="s">
        <v>6970</v>
      </c>
      <c r="F2151">
        <v>11</v>
      </c>
      <c r="G2151">
        <v>14</v>
      </c>
      <c r="H2151" t="s">
        <v>11278</v>
      </c>
      <c r="J2151" t="s">
        <v>5065</v>
      </c>
      <c r="M2151" t="s">
        <v>11279</v>
      </c>
      <c r="N2151">
        <v>1.8217074179999999</v>
      </c>
      <c r="O2151">
        <v>4.1700741289999996</v>
      </c>
      <c r="P2151">
        <v>0.189705977</v>
      </c>
      <c r="Q2151">
        <v>-1.7194070999999998E-2</v>
      </c>
      <c r="S2151" s="13">
        <v>-1.3983305669999999</v>
      </c>
      <c r="T2151">
        <v>-0.18519192500000001</v>
      </c>
      <c r="U2151">
        <v>-0.225836167</v>
      </c>
    </row>
    <row r="2152" spans="1:21" x14ac:dyDescent="0.2">
      <c r="A2152" t="s">
        <v>1031</v>
      </c>
      <c r="B2152">
        <v>601720</v>
      </c>
      <c r="C2152" t="s">
        <v>6938</v>
      </c>
      <c r="D2152" t="s">
        <v>1031</v>
      </c>
      <c r="E2152" t="s">
        <v>6956</v>
      </c>
      <c r="F2152">
        <v>13</v>
      </c>
      <c r="G2152">
        <v>7</v>
      </c>
      <c r="H2152" t="s">
        <v>11280</v>
      </c>
      <c r="J2152" t="s">
        <v>3455</v>
      </c>
      <c r="M2152" t="s">
        <v>11281</v>
      </c>
      <c r="N2152">
        <v>2.092758737</v>
      </c>
      <c r="O2152">
        <v>5.3323610669999999</v>
      </c>
      <c r="P2152">
        <v>0.70420098600000003</v>
      </c>
      <c r="Q2152">
        <v>0.41355372699999998</v>
      </c>
      <c r="S2152" s="13">
        <v>-1.398351082</v>
      </c>
      <c r="T2152">
        <v>-0.18528157100000001</v>
      </c>
      <c r="U2152">
        <v>-0.25274587700000001</v>
      </c>
    </row>
    <row r="2153" spans="1:21" x14ac:dyDescent="0.2">
      <c r="A2153" t="s">
        <v>1318</v>
      </c>
      <c r="B2153">
        <v>572280</v>
      </c>
      <c r="C2153" t="s">
        <v>6906</v>
      </c>
      <c r="D2153" t="s">
        <v>1318</v>
      </c>
      <c r="E2153" t="s">
        <v>6946</v>
      </c>
      <c r="F2153">
        <v>20</v>
      </c>
      <c r="G2153">
        <v>11</v>
      </c>
      <c r="H2153" t="s">
        <v>11282</v>
      </c>
      <c r="J2153" t="s">
        <v>1836</v>
      </c>
      <c r="M2153" t="s">
        <v>11283</v>
      </c>
      <c r="N2153">
        <v>1.813871112</v>
      </c>
      <c r="O2153">
        <v>2.6633694910000001</v>
      </c>
      <c r="P2153">
        <v>-0.29586356800000002</v>
      </c>
      <c r="Q2153">
        <v>-0.59018158399999998</v>
      </c>
      <c r="S2153" s="13">
        <v>-1.398462208</v>
      </c>
      <c r="T2153">
        <v>-0.18576716600000001</v>
      </c>
      <c r="U2153">
        <v>-0.18994711</v>
      </c>
    </row>
    <row r="2154" spans="1:21" x14ac:dyDescent="0.2">
      <c r="A2154" t="s">
        <v>441</v>
      </c>
      <c r="B2154">
        <v>661800</v>
      </c>
      <c r="C2154" t="s">
        <v>6953</v>
      </c>
      <c r="D2154" t="s">
        <v>442</v>
      </c>
      <c r="E2154" t="s">
        <v>6907</v>
      </c>
      <c r="F2154">
        <v>7</v>
      </c>
      <c r="G2154">
        <v>4</v>
      </c>
      <c r="H2154" t="s">
        <v>11284</v>
      </c>
      <c r="J2154" t="s">
        <v>4499</v>
      </c>
      <c r="M2154" t="s">
        <v>11285</v>
      </c>
      <c r="N2154">
        <v>1.921480887</v>
      </c>
      <c r="O2154">
        <v>3.0856645180000002</v>
      </c>
      <c r="P2154">
        <v>0.44706724399999997</v>
      </c>
      <c r="Q2154">
        <v>-0.354940863</v>
      </c>
      <c r="S2154" s="13">
        <v>-1.398509972</v>
      </c>
      <c r="T2154">
        <v>-0.18597588200000001</v>
      </c>
      <c r="U2154">
        <v>-0.16828083999999999</v>
      </c>
    </row>
    <row r="2155" spans="1:21" x14ac:dyDescent="0.2">
      <c r="A2155" t="s">
        <v>1052</v>
      </c>
      <c r="B2155">
        <v>661760</v>
      </c>
      <c r="C2155" t="s">
        <v>6953</v>
      </c>
      <c r="D2155" t="s">
        <v>1052</v>
      </c>
      <c r="E2155" t="s">
        <v>7085</v>
      </c>
      <c r="F2155">
        <v>19</v>
      </c>
      <c r="G2155">
        <v>9</v>
      </c>
      <c r="H2155" t="s">
        <v>11286</v>
      </c>
      <c r="J2155" t="s">
        <v>4680</v>
      </c>
      <c r="M2155" t="s">
        <v>11287</v>
      </c>
      <c r="N2155">
        <v>1.921480887</v>
      </c>
      <c r="O2155">
        <v>3.0856645180000002</v>
      </c>
      <c r="P2155">
        <v>0.44706724399999997</v>
      </c>
      <c r="Q2155">
        <v>-0.354940863</v>
      </c>
      <c r="S2155" s="13">
        <v>-1.398551477</v>
      </c>
      <c r="T2155">
        <v>-0.186157249</v>
      </c>
      <c r="U2155">
        <v>-0.16830857699999999</v>
      </c>
    </row>
    <row r="2156" spans="1:21" x14ac:dyDescent="0.2">
      <c r="A2156" t="s">
        <v>1150</v>
      </c>
      <c r="B2156">
        <v>512880</v>
      </c>
      <c r="C2156" t="s">
        <v>6931</v>
      </c>
      <c r="D2156" t="s">
        <v>1150</v>
      </c>
      <c r="E2156" t="s">
        <v>7006</v>
      </c>
      <c r="F2156">
        <v>16</v>
      </c>
      <c r="G2156">
        <v>3</v>
      </c>
      <c r="H2156" t="s">
        <v>11288</v>
      </c>
      <c r="N2156">
        <v>1.9323965059999999</v>
      </c>
      <c r="O2156">
        <v>3.0528020530000002</v>
      </c>
      <c r="P2156">
        <v>2.6493138999999999E-2</v>
      </c>
      <c r="Q2156">
        <v>-0.38692188</v>
      </c>
      <c r="S2156" s="13">
        <v>-1.3985940480000001</v>
      </c>
      <c r="T2156">
        <v>-0.186343275</v>
      </c>
      <c r="U2156">
        <v>-0.14908815</v>
      </c>
    </row>
    <row r="2157" spans="1:21" x14ac:dyDescent="0.2">
      <c r="A2157" t="s">
        <v>2319</v>
      </c>
      <c r="B2157">
        <v>444680</v>
      </c>
      <c r="C2157" t="s">
        <v>6945</v>
      </c>
      <c r="D2157" t="s">
        <v>2320</v>
      </c>
      <c r="E2157" t="s">
        <v>6915</v>
      </c>
      <c r="F2157">
        <v>8</v>
      </c>
      <c r="G2157">
        <v>13</v>
      </c>
      <c r="H2157" t="s">
        <v>11289</v>
      </c>
      <c r="J2157" t="s">
        <v>2538</v>
      </c>
      <c r="M2157" t="s">
        <v>11290</v>
      </c>
      <c r="N2157">
        <v>2.2220813349999999</v>
      </c>
      <c r="O2157">
        <v>6.5440947090000003</v>
      </c>
      <c r="P2157">
        <v>0.58228215500000002</v>
      </c>
      <c r="Q2157">
        <v>0.35188233000000002</v>
      </c>
      <c r="S2157" s="13">
        <v>-1.398837933</v>
      </c>
      <c r="T2157">
        <v>-0.18740899899999999</v>
      </c>
      <c r="U2157">
        <v>-0.27321605999999998</v>
      </c>
    </row>
    <row r="2158" spans="1:21" x14ac:dyDescent="0.2">
      <c r="A2158" t="s">
        <v>1295</v>
      </c>
      <c r="B2158">
        <v>601120</v>
      </c>
      <c r="C2158" t="s">
        <v>6938</v>
      </c>
      <c r="D2158" t="s">
        <v>1296</v>
      </c>
      <c r="E2158" t="s">
        <v>6921</v>
      </c>
      <c r="F2158">
        <v>5</v>
      </c>
      <c r="G2158">
        <v>8</v>
      </c>
      <c r="H2158" t="s">
        <v>11291</v>
      </c>
      <c r="J2158" t="s">
        <v>2656</v>
      </c>
      <c r="M2158" t="s">
        <v>11292</v>
      </c>
      <c r="N2158">
        <v>2.092758737</v>
      </c>
      <c r="O2158">
        <v>5.3323610669999999</v>
      </c>
      <c r="P2158">
        <v>0.70420098600000003</v>
      </c>
      <c r="Q2158">
        <v>0.41355372699999998</v>
      </c>
      <c r="S2158" s="13">
        <v>-1.3988663690000001</v>
      </c>
      <c r="T2158">
        <v>-0.18753325700000001</v>
      </c>
      <c r="U2158">
        <v>-0.25325152699999998</v>
      </c>
    </row>
    <row r="2159" spans="1:21" x14ac:dyDescent="0.2">
      <c r="A2159" t="s">
        <v>1343</v>
      </c>
      <c r="B2159">
        <v>512640</v>
      </c>
      <c r="C2159" t="s">
        <v>6931</v>
      </c>
      <c r="D2159" t="s">
        <v>1344</v>
      </c>
      <c r="E2159" t="s">
        <v>7085</v>
      </c>
      <c r="F2159">
        <v>7</v>
      </c>
      <c r="G2159">
        <v>9</v>
      </c>
      <c r="H2159" t="s">
        <v>11293</v>
      </c>
      <c r="N2159">
        <v>1.9323965059999999</v>
      </c>
      <c r="O2159">
        <v>3.0528020530000002</v>
      </c>
      <c r="P2159">
        <v>2.6493138999999999E-2</v>
      </c>
      <c r="Q2159">
        <v>-0.38692188</v>
      </c>
      <c r="S2159" s="13">
        <v>-1.3989094010000001</v>
      </c>
      <c r="T2159">
        <v>-0.18772129900000001</v>
      </c>
      <c r="U2159">
        <v>-0.1492474</v>
      </c>
    </row>
    <row r="2160" spans="1:21" x14ac:dyDescent="0.2">
      <c r="A2160" t="s">
        <v>2657</v>
      </c>
      <c r="B2160">
        <v>527880</v>
      </c>
      <c r="C2160" t="s">
        <v>6942</v>
      </c>
      <c r="D2160" t="s">
        <v>2658</v>
      </c>
      <c r="E2160" t="s">
        <v>6977</v>
      </c>
      <c r="F2160">
        <v>8</v>
      </c>
      <c r="G2160">
        <v>5</v>
      </c>
      <c r="H2160" t="s">
        <v>11294</v>
      </c>
      <c r="J2160" t="s">
        <v>2660</v>
      </c>
      <c r="M2160" t="s">
        <v>11295</v>
      </c>
      <c r="N2160">
        <v>2.0902262079999998</v>
      </c>
      <c r="O2160">
        <v>4.2704203920000001</v>
      </c>
      <c r="P2160">
        <v>0.23425843900000001</v>
      </c>
      <c r="Q2160">
        <v>1.6181978999999999E-2</v>
      </c>
      <c r="S2160" s="13">
        <v>-1.399132364</v>
      </c>
      <c r="T2160">
        <v>-0.18869559299999999</v>
      </c>
      <c r="U2160">
        <v>-0.26238647399999998</v>
      </c>
    </row>
    <row r="2161" spans="1:21" x14ac:dyDescent="0.2">
      <c r="A2161" t="s">
        <v>27</v>
      </c>
      <c r="B2161">
        <v>571800</v>
      </c>
      <c r="C2161" t="s">
        <v>6906</v>
      </c>
      <c r="D2161" t="s">
        <v>29</v>
      </c>
      <c r="E2161" t="s">
        <v>6915</v>
      </c>
      <c r="F2161">
        <v>4</v>
      </c>
      <c r="G2161">
        <v>13</v>
      </c>
      <c r="H2161" t="s">
        <v>11296</v>
      </c>
      <c r="J2161" t="s">
        <v>4215</v>
      </c>
      <c r="M2161" t="s">
        <v>11297</v>
      </c>
      <c r="N2161">
        <v>1.813871112</v>
      </c>
      <c r="O2161">
        <v>2.6633694910000001</v>
      </c>
      <c r="P2161">
        <v>-0.29586356800000002</v>
      </c>
      <c r="Q2161">
        <v>-0.59018158399999998</v>
      </c>
      <c r="S2161" s="13">
        <v>-1.399158567</v>
      </c>
      <c r="T2161">
        <v>-0.18881009400000001</v>
      </c>
      <c r="U2161">
        <v>-0.19029710699999999</v>
      </c>
    </row>
    <row r="2162" spans="1:21" x14ac:dyDescent="0.2">
      <c r="A2162" t="s">
        <v>968</v>
      </c>
      <c r="B2162">
        <v>679800</v>
      </c>
      <c r="C2162" t="s">
        <v>6914</v>
      </c>
      <c r="D2162" t="s">
        <v>969</v>
      </c>
      <c r="E2162" t="s">
        <v>6970</v>
      </c>
      <c r="F2162">
        <v>7</v>
      </c>
      <c r="G2162">
        <v>14</v>
      </c>
      <c r="H2162" t="s">
        <v>11298</v>
      </c>
      <c r="J2162" t="s">
        <v>6023</v>
      </c>
      <c r="M2162" t="s">
        <v>11299</v>
      </c>
      <c r="N2162">
        <v>1.8217074179999999</v>
      </c>
      <c r="O2162">
        <v>4.1700741289999996</v>
      </c>
      <c r="P2162">
        <v>0.189705977</v>
      </c>
      <c r="Q2162">
        <v>-1.7194070999999998E-2</v>
      </c>
      <c r="S2162" s="13">
        <v>-1.3993408869999999</v>
      </c>
      <c r="T2162">
        <v>-0.189606791</v>
      </c>
      <c r="U2162">
        <v>-0.22650166799999999</v>
      </c>
    </row>
    <row r="2163" spans="1:21" x14ac:dyDescent="0.2">
      <c r="A2163" t="s">
        <v>1811</v>
      </c>
      <c r="B2163">
        <v>227320</v>
      </c>
      <c r="C2163" t="s">
        <v>6961</v>
      </c>
      <c r="D2163" t="s">
        <v>1811</v>
      </c>
      <c r="E2163" t="s">
        <v>7085</v>
      </c>
      <c r="F2163">
        <v>15</v>
      </c>
      <c r="G2163">
        <v>9</v>
      </c>
      <c r="H2163" t="s">
        <v>11300</v>
      </c>
      <c r="J2163" t="s">
        <v>6417</v>
      </c>
      <c r="M2163" t="s">
        <v>11301</v>
      </c>
      <c r="N2163">
        <v>2.7247480949999998</v>
      </c>
      <c r="O2163">
        <v>7.0822175119999997</v>
      </c>
      <c r="P2163">
        <v>0.61298291999999999</v>
      </c>
      <c r="Q2163">
        <v>0.48262032500000002</v>
      </c>
      <c r="S2163" s="13">
        <v>-1.3998448429999999</v>
      </c>
      <c r="T2163">
        <v>-0.191808967</v>
      </c>
      <c r="U2163">
        <v>-0.32608592199999997</v>
      </c>
    </row>
    <row r="2164" spans="1:21" x14ac:dyDescent="0.2">
      <c r="A2164" t="s">
        <v>337</v>
      </c>
      <c r="B2164">
        <v>679160</v>
      </c>
      <c r="C2164" t="s">
        <v>6914</v>
      </c>
      <c r="D2164" t="s">
        <v>337</v>
      </c>
      <c r="E2164" t="s">
        <v>6974</v>
      </c>
      <c r="F2164">
        <v>13</v>
      </c>
      <c r="G2164">
        <v>15</v>
      </c>
      <c r="H2164" t="s">
        <v>11302</v>
      </c>
      <c r="J2164" t="s">
        <v>6041</v>
      </c>
      <c r="M2164" t="s">
        <v>11303</v>
      </c>
      <c r="N2164">
        <v>1.8217074179999999</v>
      </c>
      <c r="O2164">
        <v>4.1700741289999996</v>
      </c>
      <c r="P2164">
        <v>0.189705977</v>
      </c>
      <c r="Q2164">
        <v>-1.7194070999999998E-2</v>
      </c>
      <c r="S2164" s="13">
        <v>-1.4001106539999999</v>
      </c>
      <c r="T2164">
        <v>-0.19297049899999999</v>
      </c>
      <c r="U2164">
        <v>-0.227009401</v>
      </c>
    </row>
    <row r="2165" spans="1:21" x14ac:dyDescent="0.2">
      <c r="A2165" t="s">
        <v>1076</v>
      </c>
      <c r="B2165">
        <v>569320</v>
      </c>
      <c r="C2165" t="s">
        <v>6910</v>
      </c>
      <c r="D2165" t="s">
        <v>1077</v>
      </c>
      <c r="E2165" t="s">
        <v>6977</v>
      </c>
      <c r="F2165">
        <v>7</v>
      </c>
      <c r="G2165">
        <v>5</v>
      </c>
      <c r="H2165" t="s">
        <v>11304</v>
      </c>
      <c r="J2165" t="s">
        <v>2851</v>
      </c>
      <c r="M2165" t="s">
        <v>11305</v>
      </c>
      <c r="N2165">
        <v>1.9874741039999999</v>
      </c>
      <c r="O2165">
        <v>3.7453511220000002</v>
      </c>
      <c r="P2165">
        <v>0.451009722</v>
      </c>
      <c r="Q2165">
        <v>-0.102386592</v>
      </c>
      <c r="S2165" s="13">
        <v>-1.4001570800000001</v>
      </c>
      <c r="T2165">
        <v>-0.19317337100000001</v>
      </c>
      <c r="U2165">
        <v>-0.163742096</v>
      </c>
    </row>
    <row r="2166" spans="1:21" x14ac:dyDescent="0.2">
      <c r="A2166" t="s">
        <v>178</v>
      </c>
      <c r="B2166">
        <v>599600</v>
      </c>
      <c r="C2166" t="s">
        <v>6938</v>
      </c>
      <c r="D2166" t="s">
        <v>178</v>
      </c>
      <c r="E2166" t="s">
        <v>6970</v>
      </c>
      <c r="F2166">
        <v>14</v>
      </c>
      <c r="G2166">
        <v>14</v>
      </c>
      <c r="H2166" t="s">
        <v>11306</v>
      </c>
      <c r="J2166" t="s">
        <v>5042</v>
      </c>
      <c r="M2166" t="s">
        <v>11307</v>
      </c>
      <c r="N2166">
        <v>2.092758737</v>
      </c>
      <c r="O2166">
        <v>5.3323610669999999</v>
      </c>
      <c r="P2166">
        <v>0.70420098600000003</v>
      </c>
      <c r="Q2166">
        <v>0.41355372699999998</v>
      </c>
      <c r="S2166" s="13">
        <v>-1.400171762</v>
      </c>
      <c r="T2166">
        <v>-0.19323752699999999</v>
      </c>
      <c r="U2166">
        <v>-0.25453514799999999</v>
      </c>
    </row>
    <row r="2167" spans="1:21" x14ac:dyDescent="0.2">
      <c r="A2167" t="s">
        <v>1092</v>
      </c>
      <c r="B2167">
        <v>571080</v>
      </c>
      <c r="C2167" t="s">
        <v>6906</v>
      </c>
      <c r="D2167" t="s">
        <v>1092</v>
      </c>
      <c r="E2167" t="s">
        <v>6970</v>
      </c>
      <c r="F2167">
        <v>20</v>
      </c>
      <c r="G2167">
        <v>14</v>
      </c>
      <c r="H2167" t="s">
        <v>11308</v>
      </c>
      <c r="J2167" t="s">
        <v>1094</v>
      </c>
      <c r="M2167" t="s">
        <v>11309</v>
      </c>
      <c r="N2167">
        <v>1.813871112</v>
      </c>
      <c r="O2167">
        <v>2.6633694910000001</v>
      </c>
      <c r="P2167">
        <v>-0.29586356800000002</v>
      </c>
      <c r="Q2167">
        <v>-0.59018158399999998</v>
      </c>
      <c r="S2167" s="13">
        <v>-1.4002031049999999</v>
      </c>
      <c r="T2167">
        <v>-0.19337448600000001</v>
      </c>
      <c r="U2167">
        <v>-0.19082263099999999</v>
      </c>
    </row>
    <row r="2168" spans="1:21" x14ac:dyDescent="0.2">
      <c r="A2168" t="s">
        <v>1321</v>
      </c>
      <c r="B2168">
        <v>569240</v>
      </c>
      <c r="C2168" t="s">
        <v>6910</v>
      </c>
      <c r="D2168" t="s">
        <v>1321</v>
      </c>
      <c r="E2168" t="s">
        <v>7115</v>
      </c>
      <c r="F2168">
        <v>15</v>
      </c>
      <c r="G2168">
        <v>10</v>
      </c>
      <c r="H2168" t="s">
        <v>11310</v>
      </c>
      <c r="J2168" t="s">
        <v>2939</v>
      </c>
      <c r="M2168" t="s">
        <v>11311</v>
      </c>
      <c r="N2168">
        <v>1.9874741039999999</v>
      </c>
      <c r="O2168">
        <v>3.7453511220000002</v>
      </c>
      <c r="P2168">
        <v>0.451009722</v>
      </c>
      <c r="Q2168">
        <v>-0.102386592</v>
      </c>
      <c r="S2168" s="13">
        <v>-1.400243152</v>
      </c>
      <c r="T2168">
        <v>-0.19354948399999999</v>
      </c>
      <c r="U2168">
        <v>-0.163796995</v>
      </c>
    </row>
    <row r="2169" spans="1:21" x14ac:dyDescent="0.2">
      <c r="A2169" t="s">
        <v>907</v>
      </c>
      <c r="B2169">
        <v>571000</v>
      </c>
      <c r="C2169" t="s">
        <v>6906</v>
      </c>
      <c r="D2169" t="s">
        <v>907</v>
      </c>
      <c r="E2169" t="s">
        <v>6946</v>
      </c>
      <c r="F2169">
        <v>19</v>
      </c>
      <c r="G2169">
        <v>11</v>
      </c>
      <c r="H2169" t="s">
        <v>11312</v>
      </c>
      <c r="J2169" t="s">
        <v>1048</v>
      </c>
      <c r="M2169" t="s">
        <v>11313</v>
      </c>
      <c r="N2169">
        <v>1.813871112</v>
      </c>
      <c r="O2169">
        <v>2.6633694910000001</v>
      </c>
      <c r="P2169">
        <v>-0.29586356800000002</v>
      </c>
      <c r="Q2169">
        <v>-0.59018158399999998</v>
      </c>
      <c r="S2169" s="13">
        <v>-1.4003191639999999</v>
      </c>
      <c r="T2169">
        <v>-0.19388164099999999</v>
      </c>
      <c r="U2169">
        <v>-0.19088106099999999</v>
      </c>
    </row>
    <row r="2170" spans="1:21" x14ac:dyDescent="0.2">
      <c r="A2170" t="s">
        <v>572</v>
      </c>
      <c r="B2170">
        <v>594960</v>
      </c>
      <c r="C2170" t="s">
        <v>6927</v>
      </c>
      <c r="D2170" t="s">
        <v>572</v>
      </c>
      <c r="E2170" t="s">
        <v>7006</v>
      </c>
      <c r="F2170">
        <v>13</v>
      </c>
      <c r="G2170">
        <v>3</v>
      </c>
      <c r="H2170" t="s">
        <v>11314</v>
      </c>
      <c r="J2170" t="s">
        <v>11315</v>
      </c>
      <c r="M2170" t="s">
        <v>11316</v>
      </c>
      <c r="N2170">
        <v>1.982575982</v>
      </c>
      <c r="O2170">
        <v>3.4571926419999999</v>
      </c>
      <c r="P2170">
        <v>-0.114791479</v>
      </c>
      <c r="Q2170">
        <v>1.868949E-3</v>
      </c>
      <c r="S2170" s="13">
        <v>-1.4003880710000001</v>
      </c>
      <c r="T2170">
        <v>-0.19418274899999999</v>
      </c>
      <c r="U2170">
        <v>-0.23024423599999999</v>
      </c>
    </row>
    <row r="2171" spans="1:21" x14ac:dyDescent="0.2">
      <c r="A2171" t="s">
        <v>139</v>
      </c>
      <c r="B2171">
        <v>599160</v>
      </c>
      <c r="C2171" t="s">
        <v>6938</v>
      </c>
      <c r="D2171" t="s">
        <v>139</v>
      </c>
      <c r="E2171" t="s">
        <v>6939</v>
      </c>
      <c r="F2171">
        <v>17</v>
      </c>
      <c r="G2171">
        <v>2</v>
      </c>
      <c r="H2171" t="s">
        <v>11317</v>
      </c>
      <c r="J2171" t="s">
        <v>1115</v>
      </c>
      <c r="M2171" t="s">
        <v>11318</v>
      </c>
      <c r="N2171">
        <v>2.092758737</v>
      </c>
      <c r="O2171">
        <v>5.3323610669999999</v>
      </c>
      <c r="P2171">
        <v>0.70420098600000003</v>
      </c>
      <c r="Q2171">
        <v>0.41355372699999998</v>
      </c>
      <c r="S2171" s="13">
        <v>-1.4005496390000001</v>
      </c>
      <c r="T2171">
        <v>-0.19488876399999999</v>
      </c>
      <c r="U2171">
        <v>-0.25490743199999999</v>
      </c>
    </row>
    <row r="2172" spans="1:21" x14ac:dyDescent="0.2">
      <c r="A2172" t="s">
        <v>859</v>
      </c>
      <c r="B2172">
        <v>570480</v>
      </c>
      <c r="C2172" t="s">
        <v>6906</v>
      </c>
      <c r="D2172" t="s">
        <v>859</v>
      </c>
      <c r="E2172" t="s">
        <v>7115</v>
      </c>
      <c r="F2172">
        <v>19</v>
      </c>
      <c r="G2172">
        <v>10</v>
      </c>
      <c r="H2172" t="s">
        <v>11319</v>
      </c>
      <c r="J2172" t="s">
        <v>861</v>
      </c>
      <c r="M2172" t="s">
        <v>11320</v>
      </c>
      <c r="N2172">
        <v>1.813871112</v>
      </c>
      <c r="O2172">
        <v>2.6633694910000001</v>
      </c>
      <c r="P2172">
        <v>-0.29586356800000002</v>
      </c>
      <c r="Q2172">
        <v>-0.59018158399999998</v>
      </c>
      <c r="S2172" s="13">
        <v>-1.401073553</v>
      </c>
      <c r="T2172">
        <v>-0.197178146</v>
      </c>
      <c r="U2172">
        <v>-0.19126105400000001</v>
      </c>
    </row>
    <row r="2173" spans="1:21" x14ac:dyDescent="0.2">
      <c r="A2173" t="s">
        <v>1137</v>
      </c>
      <c r="B2173">
        <v>598480</v>
      </c>
      <c r="C2173" t="s">
        <v>6938</v>
      </c>
      <c r="D2173" t="s">
        <v>1137</v>
      </c>
      <c r="E2173" t="s">
        <v>7085</v>
      </c>
      <c r="F2173">
        <v>18</v>
      </c>
      <c r="G2173">
        <v>9</v>
      </c>
      <c r="H2173" t="s">
        <v>11321</v>
      </c>
      <c r="J2173" t="s">
        <v>1975</v>
      </c>
      <c r="M2173" t="s">
        <v>11322</v>
      </c>
      <c r="N2173">
        <v>2.092758737</v>
      </c>
      <c r="O2173">
        <v>5.3323610669999999</v>
      </c>
      <c r="P2173">
        <v>0.70420098600000003</v>
      </c>
      <c r="Q2173">
        <v>0.41355372699999998</v>
      </c>
      <c r="S2173" s="13">
        <v>-1.401133631</v>
      </c>
      <c r="T2173">
        <v>-0.19744067400000001</v>
      </c>
      <c r="U2173">
        <v>-0.25548340899999999</v>
      </c>
    </row>
    <row r="2174" spans="1:21" x14ac:dyDescent="0.2">
      <c r="A2174" t="s">
        <v>2089</v>
      </c>
      <c r="B2174">
        <v>678080</v>
      </c>
      <c r="C2174" t="s">
        <v>6914</v>
      </c>
      <c r="D2174" t="s">
        <v>2090</v>
      </c>
      <c r="E2174" t="s">
        <v>7085</v>
      </c>
      <c r="F2174">
        <v>3</v>
      </c>
      <c r="G2174">
        <v>9</v>
      </c>
      <c r="H2174" t="s">
        <v>11323</v>
      </c>
      <c r="J2174" t="s">
        <v>5939</v>
      </c>
      <c r="M2174" t="s">
        <v>11324</v>
      </c>
      <c r="N2174">
        <v>1.8217074179999999</v>
      </c>
      <c r="O2174">
        <v>4.1700741289999996</v>
      </c>
      <c r="P2174">
        <v>0.189705977</v>
      </c>
      <c r="Q2174">
        <v>-1.7194070999999998E-2</v>
      </c>
      <c r="S2174" s="13">
        <v>-1.401409637</v>
      </c>
      <c r="T2174">
        <v>-0.19864675500000001</v>
      </c>
      <c r="U2174">
        <v>-0.227867549</v>
      </c>
    </row>
    <row r="2175" spans="1:21" x14ac:dyDescent="0.2">
      <c r="A2175" t="s">
        <v>972</v>
      </c>
      <c r="B2175">
        <v>677920</v>
      </c>
      <c r="C2175" t="s">
        <v>6914</v>
      </c>
      <c r="D2175" t="s">
        <v>972</v>
      </c>
      <c r="E2175" t="s">
        <v>7085</v>
      </c>
      <c r="F2175">
        <v>17</v>
      </c>
      <c r="G2175">
        <v>9</v>
      </c>
      <c r="H2175" t="s">
        <v>11325</v>
      </c>
      <c r="J2175" t="s">
        <v>3745</v>
      </c>
      <c r="M2175" t="s">
        <v>11326</v>
      </c>
      <c r="N2175">
        <v>1.8217074179999999</v>
      </c>
      <c r="O2175">
        <v>4.1700741289999996</v>
      </c>
      <c r="P2175">
        <v>0.189705977</v>
      </c>
      <c r="Q2175">
        <v>-1.7194070999999998E-2</v>
      </c>
      <c r="S2175" s="13">
        <v>-1.401602078</v>
      </c>
      <c r="T2175">
        <v>-0.199487682</v>
      </c>
      <c r="U2175">
        <v>-0.22799482700000001</v>
      </c>
    </row>
    <row r="2176" spans="1:21" x14ac:dyDescent="0.2">
      <c r="A2176" t="s">
        <v>622</v>
      </c>
      <c r="B2176">
        <v>677920</v>
      </c>
      <c r="C2176" t="s">
        <v>6914</v>
      </c>
      <c r="D2176" t="s">
        <v>622</v>
      </c>
      <c r="E2176" t="s">
        <v>6928</v>
      </c>
      <c r="F2176">
        <v>10</v>
      </c>
      <c r="G2176">
        <v>16</v>
      </c>
      <c r="H2176" t="s">
        <v>11327</v>
      </c>
      <c r="J2176" t="s">
        <v>1867</v>
      </c>
      <c r="M2176" t="s">
        <v>11328</v>
      </c>
      <c r="N2176">
        <v>1.8217074179999999</v>
      </c>
      <c r="O2176">
        <v>4.1700741289999996</v>
      </c>
      <c r="P2176">
        <v>0.189705977</v>
      </c>
      <c r="Q2176">
        <v>-1.7194070999999998E-2</v>
      </c>
      <c r="S2176" s="13">
        <v>-1.401602078</v>
      </c>
      <c r="T2176">
        <v>-0.199487682</v>
      </c>
      <c r="U2176">
        <v>-0.22799482700000001</v>
      </c>
    </row>
    <row r="2177" spans="1:21" x14ac:dyDescent="0.2">
      <c r="A2177" t="s">
        <v>1055</v>
      </c>
      <c r="B2177">
        <v>441440</v>
      </c>
      <c r="C2177" t="s">
        <v>6945</v>
      </c>
      <c r="D2177" t="s">
        <v>1055</v>
      </c>
      <c r="E2177" t="s">
        <v>6970</v>
      </c>
      <c r="F2177">
        <v>11</v>
      </c>
      <c r="G2177">
        <v>14</v>
      </c>
      <c r="H2177" t="s">
        <v>11329</v>
      </c>
      <c r="J2177" t="s">
        <v>4760</v>
      </c>
      <c r="M2177" t="s">
        <v>11330</v>
      </c>
      <c r="N2177">
        <v>2.2220813349999999</v>
      </c>
      <c r="O2177">
        <v>6.5440947090000003</v>
      </c>
      <c r="P2177">
        <v>0.58228215500000002</v>
      </c>
      <c r="Q2177">
        <v>0.35188233000000002</v>
      </c>
      <c r="S2177" s="13">
        <v>-1.4018940179999999</v>
      </c>
      <c r="T2177">
        <v>-0.20076339100000001</v>
      </c>
      <c r="U2177">
        <v>-0.276086151</v>
      </c>
    </row>
    <row r="2178" spans="1:21" x14ac:dyDescent="0.2">
      <c r="A2178" t="s">
        <v>320</v>
      </c>
      <c r="B2178">
        <v>593280</v>
      </c>
      <c r="C2178" t="s">
        <v>6927</v>
      </c>
      <c r="D2178" t="s">
        <v>320</v>
      </c>
      <c r="E2178" t="s">
        <v>6907</v>
      </c>
      <c r="F2178">
        <v>13</v>
      </c>
      <c r="G2178">
        <v>4</v>
      </c>
      <c r="H2178" t="s">
        <v>11331</v>
      </c>
      <c r="J2178" t="s">
        <v>11332</v>
      </c>
      <c r="M2178" t="s">
        <v>11333</v>
      </c>
      <c r="N2178">
        <v>1.982575982</v>
      </c>
      <c r="O2178">
        <v>3.4571926419999999</v>
      </c>
      <c r="P2178">
        <v>-0.114791479</v>
      </c>
      <c r="Q2178">
        <v>1.868949E-3</v>
      </c>
      <c r="S2178" s="13">
        <v>-1.4021312800000001</v>
      </c>
      <c r="T2178">
        <v>-0.201800173</v>
      </c>
      <c r="U2178">
        <v>-0.231589868</v>
      </c>
    </row>
    <row r="2179" spans="1:21" x14ac:dyDescent="0.2">
      <c r="A2179" t="s">
        <v>880</v>
      </c>
      <c r="B2179">
        <v>567480</v>
      </c>
      <c r="C2179" t="s">
        <v>6910</v>
      </c>
      <c r="D2179" t="s">
        <v>880</v>
      </c>
      <c r="E2179" t="s">
        <v>6939</v>
      </c>
      <c r="F2179">
        <v>19</v>
      </c>
      <c r="G2179">
        <v>2</v>
      </c>
      <c r="H2179" t="s">
        <v>11334</v>
      </c>
      <c r="J2179" t="s">
        <v>3796</v>
      </c>
      <c r="M2179" t="s">
        <v>11335</v>
      </c>
      <c r="N2179">
        <v>1.9874741039999999</v>
      </c>
      <c r="O2179">
        <v>3.7453511220000002</v>
      </c>
      <c r="P2179">
        <v>0.451009722</v>
      </c>
      <c r="Q2179">
        <v>-0.102386592</v>
      </c>
      <c r="S2179" s="13">
        <v>-1.4021367250000001</v>
      </c>
      <c r="T2179">
        <v>-0.201823963</v>
      </c>
      <c r="U2179">
        <v>-0.16500651899999999</v>
      </c>
    </row>
    <row r="2180" spans="1:21" x14ac:dyDescent="0.2">
      <c r="A2180" t="s">
        <v>1436</v>
      </c>
      <c r="B2180">
        <v>569680</v>
      </c>
      <c r="C2180" t="s">
        <v>6906</v>
      </c>
      <c r="D2180" t="s">
        <v>1437</v>
      </c>
      <c r="E2180" t="s">
        <v>6907</v>
      </c>
      <c r="F2180">
        <v>6</v>
      </c>
      <c r="G2180">
        <v>4</v>
      </c>
      <c r="H2180" t="s">
        <v>11336</v>
      </c>
      <c r="J2180" t="s">
        <v>1892</v>
      </c>
      <c r="M2180" t="s">
        <v>11337</v>
      </c>
      <c r="N2180">
        <v>1.813871112</v>
      </c>
      <c r="O2180">
        <v>2.6633694910000001</v>
      </c>
      <c r="P2180">
        <v>-0.29586356800000002</v>
      </c>
      <c r="Q2180">
        <v>-0.59018158399999998</v>
      </c>
      <c r="S2180" s="13">
        <v>-1.402234151</v>
      </c>
      <c r="T2180">
        <v>-0.20224969300000001</v>
      </c>
      <c r="U2180">
        <v>-0.19184630699999999</v>
      </c>
    </row>
    <row r="2181" spans="1:21" x14ac:dyDescent="0.2">
      <c r="A2181" t="s">
        <v>1939</v>
      </c>
      <c r="B2181">
        <v>441000</v>
      </c>
      <c r="C2181" t="s">
        <v>6945</v>
      </c>
      <c r="D2181" t="s">
        <v>1939</v>
      </c>
      <c r="E2181" t="s">
        <v>6928</v>
      </c>
      <c r="F2181">
        <v>19</v>
      </c>
      <c r="G2181">
        <v>16</v>
      </c>
      <c r="H2181" t="s">
        <v>11338</v>
      </c>
      <c r="J2181" t="s">
        <v>3951</v>
      </c>
      <c r="M2181" t="s">
        <v>11339</v>
      </c>
      <c r="N2181">
        <v>2.2220813349999999</v>
      </c>
      <c r="O2181">
        <v>6.5440947090000003</v>
      </c>
      <c r="P2181">
        <v>0.58228215500000002</v>
      </c>
      <c r="Q2181">
        <v>0.35188233000000002</v>
      </c>
      <c r="S2181" s="13">
        <v>-1.402309042</v>
      </c>
      <c r="T2181">
        <v>-0.20257695100000001</v>
      </c>
      <c r="U2181">
        <v>-0.27647738300000002</v>
      </c>
    </row>
    <row r="2182" spans="1:21" x14ac:dyDescent="0.2">
      <c r="A2182" t="s">
        <v>1318</v>
      </c>
      <c r="B2182">
        <v>658000</v>
      </c>
      <c r="C2182" t="s">
        <v>6953</v>
      </c>
      <c r="D2182" t="s">
        <v>1318</v>
      </c>
      <c r="E2182" t="s">
        <v>6946</v>
      </c>
      <c r="F2182">
        <v>20</v>
      </c>
      <c r="G2182">
        <v>11</v>
      </c>
      <c r="H2182" t="s">
        <v>11340</v>
      </c>
      <c r="J2182" t="s">
        <v>2521</v>
      </c>
      <c r="M2182" t="s">
        <v>11341</v>
      </c>
      <c r="N2182">
        <v>1.921480887</v>
      </c>
      <c r="O2182">
        <v>3.0856645180000002</v>
      </c>
      <c r="P2182">
        <v>0.44706724399999997</v>
      </c>
      <c r="Q2182">
        <v>-0.354940863</v>
      </c>
      <c r="S2182" s="13">
        <v>-1.402452944</v>
      </c>
      <c r="T2182">
        <v>-0.20320576900000001</v>
      </c>
      <c r="U2182">
        <v>-0.170923769</v>
      </c>
    </row>
    <row r="2183" spans="1:21" x14ac:dyDescent="0.2">
      <c r="A2183" t="s">
        <v>1321</v>
      </c>
      <c r="B2183">
        <v>596520</v>
      </c>
      <c r="C2183" t="s">
        <v>6938</v>
      </c>
      <c r="D2183" t="s">
        <v>1321</v>
      </c>
      <c r="E2183" t="s">
        <v>7115</v>
      </c>
      <c r="F2183">
        <v>15</v>
      </c>
      <c r="G2183">
        <v>10</v>
      </c>
      <c r="H2183" t="s">
        <v>11342</v>
      </c>
      <c r="J2183" t="s">
        <v>3129</v>
      </c>
      <c r="M2183" t="s">
        <v>11343</v>
      </c>
      <c r="N2183">
        <v>2.092758737</v>
      </c>
      <c r="O2183">
        <v>5.3323610669999999</v>
      </c>
      <c r="P2183">
        <v>0.70420098600000003</v>
      </c>
      <c r="Q2183">
        <v>0.41355372699999998</v>
      </c>
      <c r="S2183" s="13">
        <v>-1.402816901</v>
      </c>
      <c r="T2183">
        <v>-0.20479618099999999</v>
      </c>
      <c r="U2183">
        <v>-0.257147862</v>
      </c>
    </row>
    <row r="2184" spans="1:21" x14ac:dyDescent="0.2">
      <c r="A2184" t="s">
        <v>1231</v>
      </c>
      <c r="B2184">
        <v>657600</v>
      </c>
      <c r="C2184" t="s">
        <v>6953</v>
      </c>
      <c r="D2184" t="s">
        <v>1231</v>
      </c>
      <c r="E2184" t="s">
        <v>7085</v>
      </c>
      <c r="F2184">
        <v>21</v>
      </c>
      <c r="G2184">
        <v>9</v>
      </c>
      <c r="H2184" t="s">
        <v>11344</v>
      </c>
      <c r="J2184" t="s">
        <v>1233</v>
      </c>
      <c r="M2184" t="s">
        <v>11345</v>
      </c>
      <c r="N2184">
        <v>1.921480887</v>
      </c>
      <c r="O2184">
        <v>3.0856645180000002</v>
      </c>
      <c r="P2184">
        <v>0.44706724399999997</v>
      </c>
      <c r="Q2184">
        <v>-0.354940863</v>
      </c>
      <c r="S2184" s="13">
        <v>-1.4028679930000001</v>
      </c>
      <c r="T2184">
        <v>-0.205019441</v>
      </c>
      <c r="U2184">
        <v>-0.17120291000000001</v>
      </c>
    </row>
    <row r="2185" spans="1:21" x14ac:dyDescent="0.2">
      <c r="A2185" t="s">
        <v>1031</v>
      </c>
      <c r="B2185">
        <v>440400</v>
      </c>
      <c r="C2185" t="s">
        <v>6945</v>
      </c>
      <c r="D2185" t="s">
        <v>1031</v>
      </c>
      <c r="E2185" t="s">
        <v>6956</v>
      </c>
      <c r="F2185">
        <v>13</v>
      </c>
      <c r="G2185">
        <v>7</v>
      </c>
      <c r="H2185" t="s">
        <v>11346</v>
      </c>
      <c r="J2185" t="s">
        <v>5971</v>
      </c>
      <c r="M2185" t="s">
        <v>11347</v>
      </c>
      <c r="N2185">
        <v>2.2220813349999999</v>
      </c>
      <c r="O2185">
        <v>6.5440947090000003</v>
      </c>
      <c r="P2185">
        <v>0.58228215500000002</v>
      </c>
      <c r="Q2185">
        <v>0.35188233000000002</v>
      </c>
      <c r="S2185" s="13">
        <v>-1.402874983</v>
      </c>
      <c r="T2185">
        <v>-0.20504998599999999</v>
      </c>
      <c r="U2185">
        <v>-0.27701144999999999</v>
      </c>
    </row>
    <row r="2186" spans="1:21" x14ac:dyDescent="0.2">
      <c r="A2186" t="s">
        <v>977</v>
      </c>
      <c r="B2186">
        <v>440320</v>
      </c>
      <c r="C2186" t="s">
        <v>6945</v>
      </c>
      <c r="D2186" t="s">
        <v>978</v>
      </c>
      <c r="E2186" t="s">
        <v>6915</v>
      </c>
      <c r="F2186">
        <v>5</v>
      </c>
      <c r="G2186">
        <v>13</v>
      </c>
      <c r="H2186" t="s">
        <v>11348</v>
      </c>
      <c r="J2186" t="s">
        <v>3761</v>
      </c>
      <c r="M2186" t="s">
        <v>11349</v>
      </c>
      <c r="N2186">
        <v>2.2220813349999999</v>
      </c>
      <c r="O2186">
        <v>6.5440947090000003</v>
      </c>
      <c r="P2186">
        <v>0.58228215500000002</v>
      </c>
      <c r="Q2186">
        <v>0.35188233000000002</v>
      </c>
      <c r="S2186" s="13">
        <v>-1.4029504420000001</v>
      </c>
      <c r="T2186">
        <v>-0.20537972400000001</v>
      </c>
      <c r="U2186">
        <v>-0.27708270899999998</v>
      </c>
    </row>
    <row r="2187" spans="1:21" x14ac:dyDescent="0.2">
      <c r="A2187" t="s">
        <v>1383</v>
      </c>
      <c r="B2187">
        <v>523920</v>
      </c>
      <c r="C2187" t="s">
        <v>6942</v>
      </c>
      <c r="D2187" t="s">
        <v>1384</v>
      </c>
      <c r="E2187" t="s">
        <v>6956</v>
      </c>
      <c r="F2187">
        <v>6</v>
      </c>
      <c r="G2187">
        <v>7</v>
      </c>
      <c r="H2187" t="s">
        <v>11350</v>
      </c>
      <c r="J2187" t="s">
        <v>2216</v>
      </c>
      <c r="M2187" t="s">
        <v>11351</v>
      </c>
      <c r="N2187">
        <v>2.0902262079999998</v>
      </c>
      <c r="O2187">
        <v>4.2704203920000001</v>
      </c>
      <c r="P2187">
        <v>0.23425843900000001</v>
      </c>
      <c r="Q2187">
        <v>1.6181978999999999E-2</v>
      </c>
      <c r="S2187" s="13">
        <v>-1.403019061</v>
      </c>
      <c r="T2187">
        <v>-0.20567957000000001</v>
      </c>
      <c r="U2187">
        <v>-0.26581015000000002</v>
      </c>
    </row>
    <row r="2188" spans="1:21" x14ac:dyDescent="0.2">
      <c r="A2188" t="s">
        <v>963</v>
      </c>
      <c r="B2188">
        <v>569040</v>
      </c>
      <c r="C2188" t="s">
        <v>6906</v>
      </c>
      <c r="D2188" t="s">
        <v>963</v>
      </c>
      <c r="E2188" t="s">
        <v>6939</v>
      </c>
      <c r="F2188">
        <v>20</v>
      </c>
      <c r="G2188">
        <v>2</v>
      </c>
      <c r="H2188" t="s">
        <v>11352</v>
      </c>
      <c r="J2188" t="s">
        <v>965</v>
      </c>
      <c r="M2188" t="s">
        <v>11353</v>
      </c>
      <c r="N2188">
        <v>1.813871112</v>
      </c>
      <c r="O2188">
        <v>2.6633694910000001</v>
      </c>
      <c r="P2188">
        <v>-0.29586356800000002</v>
      </c>
      <c r="Q2188">
        <v>-0.59018158399999998</v>
      </c>
      <c r="S2188" s="13">
        <v>-1.4031626290000001</v>
      </c>
      <c r="T2188">
        <v>-0.20630693</v>
      </c>
      <c r="U2188">
        <v>-0.192315078</v>
      </c>
    </row>
    <row r="2189" spans="1:21" x14ac:dyDescent="0.2">
      <c r="A2189" t="s">
        <v>880</v>
      </c>
      <c r="B2189">
        <v>595720</v>
      </c>
      <c r="C2189" t="s">
        <v>6938</v>
      </c>
      <c r="D2189" t="s">
        <v>880</v>
      </c>
      <c r="E2189" t="s">
        <v>6939</v>
      </c>
      <c r="F2189">
        <v>19</v>
      </c>
      <c r="G2189">
        <v>2</v>
      </c>
      <c r="H2189" t="s">
        <v>11354</v>
      </c>
      <c r="J2189" t="s">
        <v>882</v>
      </c>
      <c r="M2189" t="s">
        <v>11355</v>
      </c>
      <c r="N2189">
        <v>2.092758737</v>
      </c>
      <c r="O2189">
        <v>5.3323610669999999</v>
      </c>
      <c r="P2189">
        <v>0.70420098600000003</v>
      </c>
      <c r="Q2189">
        <v>0.41355372699999998</v>
      </c>
      <c r="S2189" s="13">
        <v>-1.403503951</v>
      </c>
      <c r="T2189">
        <v>-0.20779842800000001</v>
      </c>
      <c r="U2189">
        <v>-0.25782906900000002</v>
      </c>
    </row>
    <row r="2190" spans="1:21" x14ac:dyDescent="0.2">
      <c r="A2190" t="s">
        <v>1582</v>
      </c>
      <c r="B2190">
        <v>509000</v>
      </c>
      <c r="C2190" t="s">
        <v>6931</v>
      </c>
      <c r="D2190" t="s">
        <v>1583</v>
      </c>
      <c r="E2190" t="s">
        <v>7006</v>
      </c>
      <c r="F2190">
        <v>9</v>
      </c>
      <c r="G2190">
        <v>3</v>
      </c>
      <c r="H2190" t="s">
        <v>11356</v>
      </c>
      <c r="N2190">
        <v>1.9323965059999999</v>
      </c>
      <c r="O2190">
        <v>3.0528020530000002</v>
      </c>
      <c r="P2190">
        <v>2.6493138999999999E-2</v>
      </c>
      <c r="Q2190">
        <v>-0.38692188</v>
      </c>
      <c r="S2190" s="13">
        <v>-1.403692267</v>
      </c>
      <c r="T2190">
        <v>-0.20862132899999999</v>
      </c>
      <c r="U2190">
        <v>-0.15166987700000001</v>
      </c>
    </row>
    <row r="2191" spans="1:21" x14ac:dyDescent="0.2">
      <c r="A2191" t="s">
        <v>27</v>
      </c>
      <c r="B2191">
        <v>656520</v>
      </c>
      <c r="C2191" t="s">
        <v>6953</v>
      </c>
      <c r="D2191" t="s">
        <v>29</v>
      </c>
      <c r="E2191" t="s">
        <v>6915</v>
      </c>
      <c r="F2191">
        <v>4</v>
      </c>
      <c r="G2191">
        <v>13</v>
      </c>
      <c r="H2191" t="s">
        <v>11357</v>
      </c>
      <c r="J2191" t="s">
        <v>182</v>
      </c>
      <c r="M2191" t="s">
        <v>11358</v>
      </c>
      <c r="N2191">
        <v>1.921480887</v>
      </c>
      <c r="O2191">
        <v>3.0856645180000002</v>
      </c>
      <c r="P2191">
        <v>0.44706724399999997</v>
      </c>
      <c r="Q2191">
        <v>-0.354940863</v>
      </c>
      <c r="S2191" s="13">
        <v>-1.403988628</v>
      </c>
      <c r="T2191">
        <v>-0.209916357</v>
      </c>
      <c r="U2191">
        <v>-0.17195748799999999</v>
      </c>
    </row>
    <row r="2192" spans="1:21" x14ac:dyDescent="0.2">
      <c r="A2192" t="s">
        <v>1729</v>
      </c>
      <c r="B2192">
        <v>568280</v>
      </c>
      <c r="C2192" t="s">
        <v>6906</v>
      </c>
      <c r="D2192" t="s">
        <v>1729</v>
      </c>
      <c r="E2192" t="s">
        <v>6907</v>
      </c>
      <c r="F2192">
        <v>16</v>
      </c>
      <c r="G2192">
        <v>4</v>
      </c>
      <c r="H2192" t="s">
        <v>11359</v>
      </c>
      <c r="J2192" t="s">
        <v>1731</v>
      </c>
      <c r="M2192" t="s">
        <v>11360</v>
      </c>
      <c r="N2192">
        <v>1.813871112</v>
      </c>
      <c r="O2192">
        <v>2.6633694910000001</v>
      </c>
      <c r="P2192">
        <v>-0.29586356800000002</v>
      </c>
      <c r="Q2192">
        <v>-0.59018158399999998</v>
      </c>
      <c r="S2192" s="13">
        <v>-1.404265197</v>
      </c>
      <c r="T2192">
        <v>-0.2111249</v>
      </c>
      <c r="U2192">
        <v>-0.192872402</v>
      </c>
    </row>
    <row r="2193" spans="1:21" x14ac:dyDescent="0.2">
      <c r="A2193" t="s">
        <v>1336</v>
      </c>
      <c r="B2193">
        <v>522480</v>
      </c>
      <c r="C2193" t="s">
        <v>6942</v>
      </c>
      <c r="D2193" t="s">
        <v>1336</v>
      </c>
      <c r="E2193" t="s">
        <v>6915</v>
      </c>
      <c r="F2193">
        <v>15</v>
      </c>
      <c r="G2193">
        <v>13</v>
      </c>
      <c r="H2193" t="s">
        <v>11361</v>
      </c>
      <c r="J2193" t="s">
        <v>2901</v>
      </c>
      <c r="M2193" t="s">
        <v>11362</v>
      </c>
      <c r="N2193">
        <v>2.0902262079999998</v>
      </c>
      <c r="O2193">
        <v>4.2704203920000001</v>
      </c>
      <c r="P2193">
        <v>0.23425843900000001</v>
      </c>
      <c r="Q2193">
        <v>1.6181978999999999E-2</v>
      </c>
      <c r="S2193" s="13">
        <v>-1.4044324050000001</v>
      </c>
      <c r="T2193">
        <v>-0.211855561</v>
      </c>
      <c r="U2193">
        <v>-0.26706184500000002</v>
      </c>
    </row>
    <row r="2194" spans="1:21" x14ac:dyDescent="0.2">
      <c r="A2194" t="s">
        <v>1494</v>
      </c>
      <c r="B2194">
        <v>590920</v>
      </c>
      <c r="C2194" t="s">
        <v>6927</v>
      </c>
      <c r="D2194" t="s">
        <v>1494</v>
      </c>
      <c r="E2194" t="s">
        <v>7115</v>
      </c>
      <c r="F2194">
        <v>12</v>
      </c>
      <c r="G2194">
        <v>10</v>
      </c>
      <c r="H2194" t="s">
        <v>11363</v>
      </c>
      <c r="J2194" t="s">
        <v>11364</v>
      </c>
      <c r="M2194" t="s">
        <v>11365</v>
      </c>
      <c r="N2194">
        <v>1.982575982</v>
      </c>
      <c r="O2194">
        <v>3.4571926419999999</v>
      </c>
      <c r="P2194">
        <v>-0.114791479</v>
      </c>
      <c r="Q2194">
        <v>1.868949E-3</v>
      </c>
      <c r="S2194" s="13">
        <v>-1.404580073</v>
      </c>
      <c r="T2194">
        <v>-0.21250084</v>
      </c>
      <c r="U2194">
        <v>-0.23348723099999999</v>
      </c>
    </row>
    <row r="2195" spans="1:21" x14ac:dyDescent="0.2">
      <c r="A2195" t="s">
        <v>616</v>
      </c>
      <c r="B2195">
        <v>675280</v>
      </c>
      <c r="C2195" t="s">
        <v>6914</v>
      </c>
      <c r="D2195" t="s">
        <v>616</v>
      </c>
      <c r="E2195" t="s">
        <v>6974</v>
      </c>
      <c r="F2195">
        <v>17</v>
      </c>
      <c r="G2195">
        <v>15</v>
      </c>
      <c r="H2195" t="s">
        <v>11366</v>
      </c>
      <c r="J2195" t="s">
        <v>5795</v>
      </c>
      <c r="M2195" t="s">
        <v>11367</v>
      </c>
      <c r="N2195">
        <v>1.8217074179999999</v>
      </c>
      <c r="O2195">
        <v>4.1700741289999996</v>
      </c>
      <c r="P2195">
        <v>0.189705977</v>
      </c>
      <c r="Q2195">
        <v>-1.7194070999999998E-2</v>
      </c>
      <c r="S2195" s="13">
        <v>-1.4047773690000001</v>
      </c>
      <c r="T2195">
        <v>-0.21336297500000001</v>
      </c>
      <c r="U2195">
        <v>-0.230100308</v>
      </c>
    </row>
    <row r="2196" spans="1:21" x14ac:dyDescent="0.2">
      <c r="A2196" t="s">
        <v>253</v>
      </c>
      <c r="B2196">
        <v>564800</v>
      </c>
      <c r="C2196" t="s">
        <v>6910</v>
      </c>
      <c r="D2196" t="s">
        <v>254</v>
      </c>
      <c r="E2196" t="s">
        <v>6939</v>
      </c>
      <c r="F2196">
        <v>4</v>
      </c>
      <c r="G2196">
        <v>2</v>
      </c>
      <c r="H2196" t="s">
        <v>11368</v>
      </c>
      <c r="J2196" t="s">
        <v>5825</v>
      </c>
      <c r="M2196" t="s">
        <v>11369</v>
      </c>
      <c r="N2196">
        <v>1.9874741039999999</v>
      </c>
      <c r="O2196">
        <v>3.7453511220000002</v>
      </c>
      <c r="P2196">
        <v>0.451009722</v>
      </c>
      <c r="Q2196">
        <v>-0.102386592</v>
      </c>
      <c r="S2196" s="13">
        <v>-1.405020119</v>
      </c>
      <c r="T2196">
        <v>-0.214423739</v>
      </c>
      <c r="U2196">
        <v>-0.166854789</v>
      </c>
    </row>
    <row r="2197" spans="1:21" x14ac:dyDescent="0.2">
      <c r="A2197" t="s">
        <v>924</v>
      </c>
      <c r="B2197">
        <v>590400</v>
      </c>
      <c r="C2197" t="s">
        <v>6927</v>
      </c>
      <c r="D2197" t="s">
        <v>924</v>
      </c>
      <c r="E2197" t="s">
        <v>7115</v>
      </c>
      <c r="F2197">
        <v>17</v>
      </c>
      <c r="G2197">
        <v>10</v>
      </c>
      <c r="H2197" t="s">
        <v>11370</v>
      </c>
      <c r="J2197" t="s">
        <v>11371</v>
      </c>
      <c r="M2197" t="s">
        <v>11372</v>
      </c>
      <c r="N2197">
        <v>1.982575982</v>
      </c>
      <c r="O2197">
        <v>3.4571926419999999</v>
      </c>
      <c r="P2197">
        <v>-0.114791479</v>
      </c>
      <c r="Q2197">
        <v>1.868949E-3</v>
      </c>
      <c r="S2197" s="13">
        <v>-1.4051196379999999</v>
      </c>
      <c r="T2197">
        <v>-0.214858614</v>
      </c>
      <c r="U2197">
        <v>-0.23390641100000001</v>
      </c>
    </row>
    <row r="2198" spans="1:21" x14ac:dyDescent="0.2">
      <c r="A2198" t="s">
        <v>2412</v>
      </c>
      <c r="B2198">
        <v>507840</v>
      </c>
      <c r="C2198" t="s">
        <v>6931</v>
      </c>
      <c r="D2198" t="s">
        <v>2412</v>
      </c>
      <c r="E2198" t="s">
        <v>6956</v>
      </c>
      <c r="F2198">
        <v>14</v>
      </c>
      <c r="G2198">
        <v>7</v>
      </c>
      <c r="H2198" t="s">
        <v>11373</v>
      </c>
      <c r="N2198">
        <v>1.9323965059999999</v>
      </c>
      <c r="O2198">
        <v>3.0528020530000002</v>
      </c>
      <c r="P2198">
        <v>2.6493138999999999E-2</v>
      </c>
      <c r="Q2198">
        <v>-0.38692188</v>
      </c>
      <c r="S2198" s="13">
        <v>-1.405216477</v>
      </c>
      <c r="T2198">
        <v>-0.21528177900000001</v>
      </c>
      <c r="U2198">
        <v>-0.152444723</v>
      </c>
    </row>
    <row r="2199" spans="1:21" x14ac:dyDescent="0.2">
      <c r="A2199" t="s">
        <v>491</v>
      </c>
      <c r="B2199">
        <v>507520</v>
      </c>
      <c r="C2199" t="s">
        <v>6931</v>
      </c>
      <c r="D2199" t="s">
        <v>491</v>
      </c>
      <c r="E2199" t="s">
        <v>6924</v>
      </c>
      <c r="F2199">
        <v>15</v>
      </c>
      <c r="G2199">
        <v>6</v>
      </c>
      <c r="H2199" t="s">
        <v>11374</v>
      </c>
      <c r="N2199">
        <v>1.9323965059999999</v>
      </c>
      <c r="O2199">
        <v>3.0528020530000002</v>
      </c>
      <c r="P2199">
        <v>2.6493138999999999E-2</v>
      </c>
      <c r="Q2199">
        <v>-0.38692188</v>
      </c>
      <c r="S2199" s="13">
        <v>-1.405636949</v>
      </c>
      <c r="T2199">
        <v>-0.21711914399999999</v>
      </c>
      <c r="U2199">
        <v>-0.152658717</v>
      </c>
    </row>
    <row r="2200" spans="1:21" x14ac:dyDescent="0.2">
      <c r="A2200" t="s">
        <v>451</v>
      </c>
      <c r="B2200">
        <v>589840</v>
      </c>
      <c r="C2200" t="s">
        <v>6927</v>
      </c>
      <c r="D2200" t="s">
        <v>452</v>
      </c>
      <c r="E2200" t="s">
        <v>6907</v>
      </c>
      <c r="F2200">
        <v>9</v>
      </c>
      <c r="G2200">
        <v>4</v>
      </c>
      <c r="H2200" t="s">
        <v>11375</v>
      </c>
      <c r="J2200" t="s">
        <v>11376</v>
      </c>
      <c r="M2200" t="s">
        <v>11377</v>
      </c>
      <c r="N2200">
        <v>1.982575982</v>
      </c>
      <c r="O2200">
        <v>3.4571926419999999</v>
      </c>
      <c r="P2200">
        <v>-0.114791479</v>
      </c>
      <c r="Q2200">
        <v>1.868949E-3</v>
      </c>
      <c r="S2200" s="13">
        <v>-1.4057007079999999</v>
      </c>
      <c r="T2200">
        <v>-0.217397755</v>
      </c>
      <c r="U2200">
        <v>-0.234358289</v>
      </c>
    </row>
    <row r="2201" spans="1:21" x14ac:dyDescent="0.2">
      <c r="A2201" t="s">
        <v>607</v>
      </c>
      <c r="B2201">
        <v>567240</v>
      </c>
      <c r="C2201" t="s">
        <v>6906</v>
      </c>
      <c r="D2201" t="s">
        <v>607</v>
      </c>
      <c r="E2201" t="s">
        <v>6915</v>
      </c>
      <c r="F2201">
        <v>18</v>
      </c>
      <c r="G2201">
        <v>13</v>
      </c>
      <c r="H2201" t="s">
        <v>11378</v>
      </c>
      <c r="J2201" t="s">
        <v>1643</v>
      </c>
      <c r="M2201" t="s">
        <v>11379</v>
      </c>
      <c r="N2201">
        <v>1.813871112</v>
      </c>
      <c r="O2201">
        <v>2.6633694910000001</v>
      </c>
      <c r="P2201">
        <v>-0.29586356800000002</v>
      </c>
      <c r="Q2201">
        <v>-0.59018158399999998</v>
      </c>
      <c r="S2201" s="13">
        <v>-1.4057739739999999</v>
      </c>
      <c r="T2201">
        <v>-0.21771790999999999</v>
      </c>
      <c r="U2201">
        <v>-0.193636216</v>
      </c>
    </row>
    <row r="2202" spans="1:21" x14ac:dyDescent="0.2">
      <c r="A2202" t="s">
        <v>2911</v>
      </c>
      <c r="B2202">
        <v>563880</v>
      </c>
      <c r="C2202" t="s">
        <v>6910</v>
      </c>
      <c r="D2202" t="s">
        <v>2912</v>
      </c>
      <c r="E2202" t="s">
        <v>6946</v>
      </c>
      <c r="F2202">
        <v>6</v>
      </c>
      <c r="G2202">
        <v>11</v>
      </c>
      <c r="H2202" t="s">
        <v>11380</v>
      </c>
      <c r="J2202" t="s">
        <v>2914</v>
      </c>
      <c r="M2202" t="s">
        <v>11381</v>
      </c>
      <c r="N2202">
        <v>1.9874741039999999</v>
      </c>
      <c r="O2202">
        <v>3.7453511220000002</v>
      </c>
      <c r="P2202">
        <v>0.451009722</v>
      </c>
      <c r="Q2202">
        <v>-0.102386592</v>
      </c>
      <c r="S2202" s="13">
        <v>-1.406009941</v>
      </c>
      <c r="T2202">
        <v>-0.21874903500000001</v>
      </c>
      <c r="U2202">
        <v>-0.16749108700000001</v>
      </c>
    </row>
    <row r="2203" spans="1:21" x14ac:dyDescent="0.2">
      <c r="A2203" t="s">
        <v>380</v>
      </c>
      <c r="B2203">
        <v>507120</v>
      </c>
      <c r="C2203" t="s">
        <v>6931</v>
      </c>
      <c r="D2203" t="s">
        <v>380</v>
      </c>
      <c r="E2203" t="s">
        <v>6928</v>
      </c>
      <c r="F2203">
        <v>16</v>
      </c>
      <c r="G2203">
        <v>16</v>
      </c>
      <c r="H2203" t="s">
        <v>11382</v>
      </c>
      <c r="N2203">
        <v>1.9323965059999999</v>
      </c>
      <c r="O2203">
        <v>3.0528020530000002</v>
      </c>
      <c r="P2203">
        <v>2.6493138999999999E-2</v>
      </c>
      <c r="Q2203">
        <v>-0.38692188</v>
      </c>
      <c r="S2203" s="13">
        <v>-1.4061625390000001</v>
      </c>
      <c r="T2203">
        <v>-0.21941585</v>
      </c>
      <c r="U2203">
        <v>-0.15292635900000001</v>
      </c>
    </row>
    <row r="2204" spans="1:21" x14ac:dyDescent="0.2">
      <c r="A2204" t="s">
        <v>222</v>
      </c>
      <c r="B2204">
        <v>654240</v>
      </c>
      <c r="C2204" t="s">
        <v>6953</v>
      </c>
      <c r="D2204" t="s">
        <v>222</v>
      </c>
      <c r="E2204" t="s">
        <v>6924</v>
      </c>
      <c r="F2204">
        <v>20</v>
      </c>
      <c r="G2204">
        <v>6</v>
      </c>
      <c r="H2204" t="s">
        <v>11383</v>
      </c>
      <c r="J2204" t="s">
        <v>3386</v>
      </c>
      <c r="M2204" t="s">
        <v>11384</v>
      </c>
      <c r="N2204">
        <v>1.921480887</v>
      </c>
      <c r="O2204">
        <v>3.0856645180000002</v>
      </c>
      <c r="P2204">
        <v>0.44706724399999997</v>
      </c>
      <c r="Q2204">
        <v>-0.354940863</v>
      </c>
      <c r="S2204" s="13">
        <v>-1.4063544109999999</v>
      </c>
      <c r="T2204">
        <v>-0.22025428899999999</v>
      </c>
      <c r="U2204">
        <v>-0.17355480400000001</v>
      </c>
    </row>
    <row r="2205" spans="1:21" x14ac:dyDescent="0.2">
      <c r="A2205" t="s">
        <v>1368</v>
      </c>
      <c r="B2205">
        <v>592360</v>
      </c>
      <c r="C2205" t="s">
        <v>6938</v>
      </c>
      <c r="D2205" t="s">
        <v>1368</v>
      </c>
      <c r="E2205" t="s">
        <v>6956</v>
      </c>
      <c r="F2205">
        <v>16</v>
      </c>
      <c r="G2205">
        <v>7</v>
      </c>
      <c r="H2205" t="s">
        <v>11385</v>
      </c>
      <c r="J2205" t="s">
        <v>3216</v>
      </c>
      <c r="M2205" t="s">
        <v>11386</v>
      </c>
      <c r="N2205">
        <v>2.092758737</v>
      </c>
      <c r="O2205">
        <v>5.3323610669999999</v>
      </c>
      <c r="P2205">
        <v>0.70420098600000003</v>
      </c>
      <c r="Q2205">
        <v>0.41355372699999998</v>
      </c>
      <c r="S2205" s="13">
        <v>-1.406389557</v>
      </c>
      <c r="T2205">
        <v>-0.22040786800000001</v>
      </c>
      <c r="U2205">
        <v>-0.26070186099999998</v>
      </c>
    </row>
    <row r="2206" spans="1:21" x14ac:dyDescent="0.2">
      <c r="A2206" t="s">
        <v>1356</v>
      </c>
      <c r="B2206">
        <v>654040</v>
      </c>
      <c r="C2206" t="s">
        <v>6953</v>
      </c>
      <c r="D2206" t="s">
        <v>1356</v>
      </c>
      <c r="E2206" t="s">
        <v>6921</v>
      </c>
      <c r="F2206">
        <v>19</v>
      </c>
      <c r="G2206">
        <v>8</v>
      </c>
      <c r="H2206" t="s">
        <v>11387</v>
      </c>
      <c r="J2206" t="s">
        <v>4483</v>
      </c>
      <c r="M2206" t="s">
        <v>11388</v>
      </c>
      <c r="N2206">
        <v>1.921480887</v>
      </c>
      <c r="O2206">
        <v>3.0856645180000002</v>
      </c>
      <c r="P2206">
        <v>0.44706724399999997</v>
      </c>
      <c r="Q2206">
        <v>-0.354940863</v>
      </c>
      <c r="S2206" s="13">
        <v>-1.4065619359999999</v>
      </c>
      <c r="T2206">
        <v>-0.22116112499999999</v>
      </c>
      <c r="U2206">
        <v>-0.17369520099999999</v>
      </c>
    </row>
    <row r="2207" spans="1:21" x14ac:dyDescent="0.2">
      <c r="A2207" t="s">
        <v>2077</v>
      </c>
      <c r="B2207">
        <v>506600</v>
      </c>
      <c r="C2207" t="s">
        <v>6931</v>
      </c>
      <c r="D2207" t="s">
        <v>2077</v>
      </c>
      <c r="E2207" t="s">
        <v>6915</v>
      </c>
      <c r="F2207">
        <v>20</v>
      </c>
      <c r="G2207">
        <v>13</v>
      </c>
      <c r="H2207" t="s">
        <v>11389</v>
      </c>
      <c r="N2207">
        <v>1.9323965059999999</v>
      </c>
      <c r="O2207">
        <v>3.0528020530000002</v>
      </c>
      <c r="P2207">
        <v>2.6493138999999999E-2</v>
      </c>
      <c r="Q2207">
        <v>-0.38692188</v>
      </c>
      <c r="S2207" s="13">
        <v>-1.4068458049999999</v>
      </c>
      <c r="T2207">
        <v>-0.22240156899999999</v>
      </c>
      <c r="U2207">
        <v>-0.15327453899999999</v>
      </c>
    </row>
    <row r="2208" spans="1:21" x14ac:dyDescent="0.2">
      <c r="A2208" t="s">
        <v>2443</v>
      </c>
      <c r="B2208">
        <v>566440</v>
      </c>
      <c r="C2208" t="s">
        <v>6906</v>
      </c>
      <c r="D2208" t="s">
        <v>2444</v>
      </c>
      <c r="E2208" t="s">
        <v>7006</v>
      </c>
      <c r="F2208">
        <v>1</v>
      </c>
      <c r="G2208">
        <v>3</v>
      </c>
      <c r="H2208" t="s">
        <v>11390</v>
      </c>
      <c r="J2208" t="s">
        <v>4453</v>
      </c>
      <c r="M2208" t="s">
        <v>11391</v>
      </c>
      <c r="N2208">
        <v>1.813871112</v>
      </c>
      <c r="O2208">
        <v>2.6633694910000001</v>
      </c>
      <c r="P2208">
        <v>-0.29586356800000002</v>
      </c>
      <c r="Q2208">
        <v>-0.59018158399999998</v>
      </c>
      <c r="S2208" s="13">
        <v>-1.4069345710000001</v>
      </c>
      <c r="T2208">
        <v>-0.222789457</v>
      </c>
      <c r="U2208">
        <v>-0.19422468100000001</v>
      </c>
    </row>
    <row r="2209" spans="1:21" x14ac:dyDescent="0.2">
      <c r="A2209" t="s">
        <v>1295</v>
      </c>
      <c r="B2209">
        <v>588600</v>
      </c>
      <c r="C2209" t="s">
        <v>6927</v>
      </c>
      <c r="D2209" t="s">
        <v>1296</v>
      </c>
      <c r="E2209" t="s">
        <v>6921</v>
      </c>
      <c r="F2209">
        <v>5</v>
      </c>
      <c r="G2209">
        <v>8</v>
      </c>
      <c r="H2209" t="s">
        <v>11392</v>
      </c>
      <c r="J2209" t="s">
        <v>11393</v>
      </c>
      <c r="M2209" t="s">
        <v>11394</v>
      </c>
      <c r="N2209">
        <v>1.982575982</v>
      </c>
      <c r="O2209">
        <v>3.4571926419999999</v>
      </c>
      <c r="P2209">
        <v>-0.114791479</v>
      </c>
      <c r="Q2209">
        <v>1.868949E-3</v>
      </c>
      <c r="S2209" s="13">
        <v>-1.406987362</v>
      </c>
      <c r="T2209">
        <v>-0.22302013900000001</v>
      </c>
      <c r="U2209">
        <v>-0.235360551</v>
      </c>
    </row>
    <row r="2210" spans="1:21" x14ac:dyDescent="0.2">
      <c r="A2210" t="s">
        <v>749</v>
      </c>
      <c r="B2210">
        <v>562960</v>
      </c>
      <c r="C2210" t="s">
        <v>6910</v>
      </c>
      <c r="D2210" t="s">
        <v>749</v>
      </c>
      <c r="E2210" t="s">
        <v>6946</v>
      </c>
      <c r="F2210">
        <v>13</v>
      </c>
      <c r="G2210">
        <v>11</v>
      </c>
      <c r="H2210" t="s">
        <v>11395</v>
      </c>
      <c r="J2210" t="s">
        <v>5837</v>
      </c>
      <c r="M2210" t="s">
        <v>11396</v>
      </c>
      <c r="N2210">
        <v>1.9874741039999999</v>
      </c>
      <c r="O2210">
        <v>3.7453511220000002</v>
      </c>
      <c r="P2210">
        <v>0.451009722</v>
      </c>
      <c r="Q2210">
        <v>-0.102386592</v>
      </c>
      <c r="S2210" s="13">
        <v>-1.406999763</v>
      </c>
      <c r="T2210">
        <v>-0.22307433099999999</v>
      </c>
      <c r="U2210">
        <v>-0.16812832</v>
      </c>
    </row>
    <row r="2211" spans="1:21" x14ac:dyDescent="0.2">
      <c r="A2211" t="s">
        <v>218</v>
      </c>
      <c r="B2211">
        <v>506280</v>
      </c>
      <c r="C2211" t="s">
        <v>6931</v>
      </c>
      <c r="D2211" t="s">
        <v>218</v>
      </c>
      <c r="E2211" t="s">
        <v>6918</v>
      </c>
      <c r="F2211">
        <v>22</v>
      </c>
      <c r="G2211">
        <v>1</v>
      </c>
      <c r="H2211" t="s">
        <v>11397</v>
      </c>
      <c r="N2211">
        <v>1.9323965059999999</v>
      </c>
      <c r="O2211">
        <v>3.0528020530000002</v>
      </c>
      <c r="P2211">
        <v>2.6493138999999999E-2</v>
      </c>
      <c r="Q2211">
        <v>-0.38692188</v>
      </c>
      <c r="S2211" s="13">
        <v>-1.407266277</v>
      </c>
      <c r="T2211">
        <v>-0.224238934</v>
      </c>
      <c r="U2211">
        <v>-0.15348894199999999</v>
      </c>
    </row>
    <row r="2212" spans="1:21" x14ac:dyDescent="0.2">
      <c r="A2212" t="s">
        <v>157</v>
      </c>
      <c r="B2212">
        <v>562680</v>
      </c>
      <c r="C2212" t="s">
        <v>6910</v>
      </c>
      <c r="D2212" t="s">
        <v>157</v>
      </c>
      <c r="E2212" t="s">
        <v>6946</v>
      </c>
      <c r="F2212">
        <v>14</v>
      </c>
      <c r="G2212">
        <v>11</v>
      </c>
      <c r="H2212" t="s">
        <v>11398</v>
      </c>
      <c r="J2212" t="s">
        <v>5645</v>
      </c>
      <c r="M2212" t="s">
        <v>11399</v>
      </c>
      <c r="N2212">
        <v>1.9874741039999999</v>
      </c>
      <c r="O2212">
        <v>3.7453511220000002</v>
      </c>
      <c r="P2212">
        <v>0.451009722</v>
      </c>
      <c r="Q2212">
        <v>-0.102386592</v>
      </c>
      <c r="S2212" s="13">
        <v>-1.4073010130000001</v>
      </c>
      <c r="T2212">
        <v>-0.22439072600000001</v>
      </c>
      <c r="U2212">
        <v>-0.16832244599999999</v>
      </c>
    </row>
    <row r="2213" spans="1:21" x14ac:dyDescent="0.2">
      <c r="A2213" t="s">
        <v>2902</v>
      </c>
      <c r="B2213">
        <v>566120</v>
      </c>
      <c r="C2213" t="s">
        <v>6906</v>
      </c>
      <c r="D2213" t="s">
        <v>2903</v>
      </c>
      <c r="E2213" t="s">
        <v>6977</v>
      </c>
      <c r="F2213">
        <v>6</v>
      </c>
      <c r="G2213">
        <v>5</v>
      </c>
      <c r="H2213" t="s">
        <v>11400</v>
      </c>
      <c r="J2213" t="s">
        <v>2905</v>
      </c>
      <c r="M2213" t="s">
        <v>11401</v>
      </c>
      <c r="N2213">
        <v>1.813871112</v>
      </c>
      <c r="O2213">
        <v>2.6633694910000001</v>
      </c>
      <c r="P2213">
        <v>-0.29586356800000002</v>
      </c>
      <c r="Q2213">
        <v>-0.59018158399999998</v>
      </c>
      <c r="S2213" s="13">
        <v>-1.4073988099999999</v>
      </c>
      <c r="T2213">
        <v>-0.22481807600000001</v>
      </c>
      <c r="U2213">
        <v>-0.19446029100000001</v>
      </c>
    </row>
    <row r="2214" spans="1:21" x14ac:dyDescent="0.2">
      <c r="A2214" t="s">
        <v>13</v>
      </c>
      <c r="B2214">
        <v>562560</v>
      </c>
      <c r="C2214" t="s">
        <v>6910</v>
      </c>
      <c r="D2214" t="s">
        <v>13</v>
      </c>
      <c r="E2214" t="s">
        <v>6921</v>
      </c>
      <c r="F2214">
        <v>22</v>
      </c>
      <c r="G2214">
        <v>8</v>
      </c>
      <c r="H2214" t="s">
        <v>11402</v>
      </c>
      <c r="J2214" t="s">
        <v>258</v>
      </c>
      <c r="M2214" t="s">
        <v>11403</v>
      </c>
      <c r="N2214">
        <v>1.9874741039999999</v>
      </c>
      <c r="O2214">
        <v>3.7453511220000002</v>
      </c>
      <c r="P2214">
        <v>0.451009722</v>
      </c>
      <c r="Q2214">
        <v>-0.102386592</v>
      </c>
      <c r="S2214" s="13">
        <v>-1.407430121</v>
      </c>
      <c r="T2214">
        <v>-0.22495489499999999</v>
      </c>
      <c r="U2214">
        <v>-0.16840566900000001</v>
      </c>
    </row>
    <row r="2215" spans="1:21" x14ac:dyDescent="0.2">
      <c r="A2215" t="s">
        <v>1155</v>
      </c>
      <c r="B2215">
        <v>588160</v>
      </c>
      <c r="C2215" t="s">
        <v>6927</v>
      </c>
      <c r="D2215" t="s">
        <v>1156</v>
      </c>
      <c r="E2215" t="s">
        <v>6970</v>
      </c>
      <c r="F2215">
        <v>8</v>
      </c>
      <c r="G2215">
        <v>14</v>
      </c>
      <c r="H2215" t="s">
        <v>11404</v>
      </c>
      <c r="J2215" t="s">
        <v>11405</v>
      </c>
      <c r="M2215" t="s">
        <v>11406</v>
      </c>
      <c r="N2215">
        <v>1.982575982</v>
      </c>
      <c r="O2215">
        <v>3.4571926419999999</v>
      </c>
      <c r="P2215">
        <v>-0.114791479</v>
      </c>
      <c r="Q2215">
        <v>1.868949E-3</v>
      </c>
      <c r="S2215" s="13">
        <v>-1.4074439160000001</v>
      </c>
      <c r="T2215">
        <v>-0.22501517900000001</v>
      </c>
      <c r="U2215">
        <v>-0.235716749</v>
      </c>
    </row>
    <row r="2216" spans="1:21" x14ac:dyDescent="0.2">
      <c r="A2216" t="s">
        <v>1989</v>
      </c>
      <c r="B2216">
        <v>590920</v>
      </c>
      <c r="C2216" t="s">
        <v>6938</v>
      </c>
      <c r="D2216" t="s">
        <v>1990</v>
      </c>
      <c r="E2216" t="s">
        <v>6921</v>
      </c>
      <c r="F2216">
        <v>9</v>
      </c>
      <c r="G2216">
        <v>8</v>
      </c>
      <c r="H2216" t="s">
        <v>11407</v>
      </c>
      <c r="J2216" t="s">
        <v>2288</v>
      </c>
      <c r="M2216" t="s">
        <v>11408</v>
      </c>
      <c r="N2216">
        <v>2.092758737</v>
      </c>
      <c r="O2216">
        <v>5.3323610669999999</v>
      </c>
      <c r="P2216">
        <v>0.70420098600000003</v>
      </c>
      <c r="Q2216">
        <v>0.41355372699999998</v>
      </c>
      <c r="S2216" s="13">
        <v>-1.4076262450000001</v>
      </c>
      <c r="T2216">
        <v>-0.225811914</v>
      </c>
      <c r="U2216">
        <v>-0.261938899</v>
      </c>
    </row>
    <row r="2217" spans="1:21" x14ac:dyDescent="0.2">
      <c r="A2217" t="s">
        <v>889</v>
      </c>
      <c r="B2217">
        <v>518720</v>
      </c>
      <c r="C2217" t="s">
        <v>6942</v>
      </c>
      <c r="D2217" t="s">
        <v>889</v>
      </c>
      <c r="E2217" t="s">
        <v>6921</v>
      </c>
      <c r="F2217">
        <v>16</v>
      </c>
      <c r="G2217">
        <v>8</v>
      </c>
      <c r="H2217" t="s">
        <v>11409</v>
      </c>
      <c r="J2217" t="s">
        <v>891</v>
      </c>
      <c r="M2217" t="s">
        <v>11410</v>
      </c>
      <c r="N2217">
        <v>2.0902262079999998</v>
      </c>
      <c r="O2217">
        <v>4.2704203920000001</v>
      </c>
      <c r="P2217">
        <v>0.23425843900000001</v>
      </c>
      <c r="Q2217">
        <v>1.6181978999999999E-2</v>
      </c>
      <c r="S2217" s="13">
        <v>-1.408122804</v>
      </c>
      <c r="T2217">
        <v>-0.227981762</v>
      </c>
      <c r="U2217">
        <v>-0.27034726999999997</v>
      </c>
    </row>
    <row r="2218" spans="1:21" x14ac:dyDescent="0.2">
      <c r="A2218" t="s">
        <v>2054</v>
      </c>
      <c r="B2218">
        <v>505600</v>
      </c>
      <c r="C2218" t="s">
        <v>6931</v>
      </c>
      <c r="D2218" t="s">
        <v>2054</v>
      </c>
      <c r="E2218" t="s">
        <v>6911</v>
      </c>
      <c r="F2218">
        <v>15</v>
      </c>
      <c r="G2218">
        <v>12</v>
      </c>
      <c r="H2218" t="s">
        <v>11411</v>
      </c>
      <c r="N2218">
        <v>1.9323965059999999</v>
      </c>
      <c r="O2218">
        <v>3.0528020530000002</v>
      </c>
      <c r="P2218">
        <v>2.6493138999999999E-2</v>
      </c>
      <c r="Q2218">
        <v>-0.38692188</v>
      </c>
      <c r="S2218" s="13">
        <v>-1.408159779</v>
      </c>
      <c r="T2218">
        <v>-0.228143336</v>
      </c>
      <c r="U2218">
        <v>-0.15394490199999999</v>
      </c>
    </row>
    <row r="2219" spans="1:21" x14ac:dyDescent="0.2">
      <c r="A2219" t="s">
        <v>2385</v>
      </c>
      <c r="B2219">
        <v>672320</v>
      </c>
      <c r="C2219" t="s">
        <v>6914</v>
      </c>
      <c r="D2219" t="s">
        <v>2385</v>
      </c>
      <c r="E2219" t="s">
        <v>6911</v>
      </c>
      <c r="F2219">
        <v>19</v>
      </c>
      <c r="G2219">
        <v>12</v>
      </c>
      <c r="H2219" t="s">
        <v>11412</v>
      </c>
      <c r="J2219" t="s">
        <v>3783</v>
      </c>
      <c r="M2219" t="s">
        <v>11413</v>
      </c>
      <c r="N2219">
        <v>1.8217074179999999</v>
      </c>
      <c r="O2219">
        <v>4.1700741289999996</v>
      </c>
      <c r="P2219">
        <v>0.189705977</v>
      </c>
      <c r="Q2219">
        <v>-1.7194070999999998E-2</v>
      </c>
      <c r="S2219" s="13">
        <v>-1.408337543</v>
      </c>
      <c r="T2219">
        <v>-0.228920123</v>
      </c>
      <c r="U2219">
        <v>-0.23247320099999999</v>
      </c>
    </row>
    <row r="2220" spans="1:21" x14ac:dyDescent="0.2">
      <c r="A2220" t="s">
        <v>2149</v>
      </c>
      <c r="B2220">
        <v>505440</v>
      </c>
      <c r="C2220" t="s">
        <v>6931</v>
      </c>
      <c r="D2220" t="s">
        <v>2149</v>
      </c>
      <c r="E2220" t="s">
        <v>7085</v>
      </c>
      <c r="F2220">
        <v>13</v>
      </c>
      <c r="G2220">
        <v>9</v>
      </c>
      <c r="H2220" t="s">
        <v>11414</v>
      </c>
      <c r="N2220">
        <v>1.9323965059999999</v>
      </c>
      <c r="O2220">
        <v>3.0528020530000002</v>
      </c>
      <c r="P2220">
        <v>2.6493138999999999E-2</v>
      </c>
      <c r="Q2220">
        <v>-0.38692188</v>
      </c>
      <c r="S2220" s="13">
        <v>-1.408370015</v>
      </c>
      <c r="T2220">
        <v>-0.22906201800000001</v>
      </c>
      <c r="U2220">
        <v>-0.154052256</v>
      </c>
    </row>
    <row r="2221" spans="1:21" x14ac:dyDescent="0.2">
      <c r="A2221" t="s">
        <v>1668</v>
      </c>
      <c r="B2221">
        <v>518360</v>
      </c>
      <c r="C2221" t="s">
        <v>6942</v>
      </c>
      <c r="D2221" t="s">
        <v>1668</v>
      </c>
      <c r="E2221" t="s">
        <v>6915</v>
      </c>
      <c r="F2221">
        <v>10</v>
      </c>
      <c r="G2221">
        <v>13</v>
      </c>
      <c r="H2221" t="s">
        <v>11415</v>
      </c>
      <c r="J2221" t="s">
        <v>4852</v>
      </c>
      <c r="M2221" t="s">
        <v>11416</v>
      </c>
      <c r="N2221">
        <v>2.0902262079999998</v>
      </c>
      <c r="O2221">
        <v>4.2704203920000001</v>
      </c>
      <c r="P2221">
        <v>0.23425843900000001</v>
      </c>
      <c r="Q2221">
        <v>1.6181978999999999E-2</v>
      </c>
      <c r="S2221" s="13">
        <v>-1.4084761400000001</v>
      </c>
      <c r="T2221">
        <v>-0.22952576</v>
      </c>
      <c r="U2221">
        <v>-0.27066314000000002</v>
      </c>
    </row>
    <row r="2222" spans="1:21" x14ac:dyDescent="0.2">
      <c r="A2222" t="s">
        <v>1150</v>
      </c>
      <c r="B2222">
        <v>561400</v>
      </c>
      <c r="C2222" t="s">
        <v>6910</v>
      </c>
      <c r="D2222" t="s">
        <v>1150</v>
      </c>
      <c r="E2222" t="s">
        <v>7006</v>
      </c>
      <c r="F2222">
        <v>16</v>
      </c>
      <c r="G2222">
        <v>3</v>
      </c>
      <c r="H2222" t="s">
        <v>11417</v>
      </c>
      <c r="J2222" t="s">
        <v>1567</v>
      </c>
      <c r="M2222" t="s">
        <v>11418</v>
      </c>
      <c r="N2222">
        <v>1.9874741039999999</v>
      </c>
      <c r="O2222">
        <v>3.7453511220000002</v>
      </c>
      <c r="P2222">
        <v>0.451009722</v>
      </c>
      <c r="Q2222">
        <v>-0.102386592</v>
      </c>
      <c r="S2222" s="13">
        <v>-1.408678157</v>
      </c>
      <c r="T2222">
        <v>-0.230408529</v>
      </c>
      <c r="U2222">
        <v>-0.16921098500000001</v>
      </c>
    </row>
    <row r="2223" spans="1:21" x14ac:dyDescent="0.2">
      <c r="A2223" t="s">
        <v>765</v>
      </c>
      <c r="B2223">
        <v>561320</v>
      </c>
      <c r="C2223" t="s">
        <v>6910</v>
      </c>
      <c r="D2223" t="s">
        <v>766</v>
      </c>
      <c r="E2223" t="s">
        <v>7006</v>
      </c>
      <c r="F2223">
        <v>4</v>
      </c>
      <c r="G2223">
        <v>3</v>
      </c>
      <c r="H2223" t="s">
        <v>11419</v>
      </c>
      <c r="J2223" t="s">
        <v>1682</v>
      </c>
      <c r="M2223" t="s">
        <v>11420</v>
      </c>
      <c r="N2223">
        <v>1.9874741039999999</v>
      </c>
      <c r="O2223">
        <v>3.7453511220000002</v>
      </c>
      <c r="P2223">
        <v>0.451009722</v>
      </c>
      <c r="Q2223">
        <v>-0.102386592</v>
      </c>
      <c r="S2223" s="13">
        <v>-1.408764229</v>
      </c>
      <c r="T2223">
        <v>-0.23078464100000001</v>
      </c>
      <c r="U2223">
        <v>-0.169266579</v>
      </c>
    </row>
    <row r="2224" spans="1:21" x14ac:dyDescent="0.2">
      <c r="A2224" t="s">
        <v>494</v>
      </c>
      <c r="B2224">
        <v>651400</v>
      </c>
      <c r="C2224" t="s">
        <v>6953</v>
      </c>
      <c r="D2224" t="s">
        <v>495</v>
      </c>
      <c r="E2224" t="s">
        <v>6939</v>
      </c>
      <c r="F2224">
        <v>5</v>
      </c>
      <c r="G2224">
        <v>2</v>
      </c>
      <c r="H2224" t="s">
        <v>11421</v>
      </c>
      <c r="J2224" t="s">
        <v>497</v>
      </c>
      <c r="M2224" t="s">
        <v>11422</v>
      </c>
      <c r="N2224">
        <v>1.921480887</v>
      </c>
      <c r="O2224">
        <v>3.0856645180000002</v>
      </c>
      <c r="P2224">
        <v>0.44706724399999997</v>
      </c>
      <c r="Q2224">
        <v>-0.354940863</v>
      </c>
      <c r="S2224" s="13">
        <v>-1.409301264</v>
      </c>
      <c r="T2224">
        <v>-0.23313136200000001</v>
      </c>
      <c r="U2224">
        <v>-0.17555269600000001</v>
      </c>
    </row>
    <row r="2225" spans="1:21" x14ac:dyDescent="0.2">
      <c r="A2225" t="s">
        <v>1494</v>
      </c>
      <c r="B2225">
        <v>651320</v>
      </c>
      <c r="C2225" t="s">
        <v>6953</v>
      </c>
      <c r="D2225" t="s">
        <v>1494</v>
      </c>
      <c r="E2225" t="s">
        <v>7115</v>
      </c>
      <c r="F2225">
        <v>12</v>
      </c>
      <c r="G2225">
        <v>10</v>
      </c>
      <c r="H2225" t="s">
        <v>11423</v>
      </c>
      <c r="J2225" t="s">
        <v>3923</v>
      </c>
      <c r="M2225" t="s">
        <v>11424</v>
      </c>
      <c r="N2225">
        <v>1.921480887</v>
      </c>
      <c r="O2225">
        <v>3.0856645180000002</v>
      </c>
      <c r="P2225">
        <v>0.44706724399999997</v>
      </c>
      <c r="Q2225">
        <v>-0.354940863</v>
      </c>
      <c r="S2225" s="13">
        <v>-1.409384274</v>
      </c>
      <c r="T2225">
        <v>-0.23349409700000001</v>
      </c>
      <c r="U2225">
        <v>-0.17560910800000001</v>
      </c>
    </row>
    <row r="2226" spans="1:21" x14ac:dyDescent="0.2">
      <c r="A2226" t="s">
        <v>988</v>
      </c>
      <c r="B2226">
        <v>671360</v>
      </c>
      <c r="C2226" t="s">
        <v>6914</v>
      </c>
      <c r="D2226" t="s">
        <v>988</v>
      </c>
      <c r="E2226" t="s">
        <v>6974</v>
      </c>
      <c r="F2226">
        <v>16</v>
      </c>
      <c r="G2226">
        <v>15</v>
      </c>
      <c r="H2226" t="s">
        <v>11425</v>
      </c>
      <c r="J2226" t="s">
        <v>6431</v>
      </c>
      <c r="M2226" t="s">
        <v>11426</v>
      </c>
      <c r="N2226">
        <v>1.8217074179999999</v>
      </c>
      <c r="O2226">
        <v>4.1700741289999996</v>
      </c>
      <c r="P2226">
        <v>0.189705977</v>
      </c>
      <c r="Q2226">
        <v>-1.7194070999999998E-2</v>
      </c>
      <c r="S2226" s="13">
        <v>-1.409492194</v>
      </c>
      <c r="T2226">
        <v>-0.23396568400000001</v>
      </c>
      <c r="U2226">
        <v>-0.23324558100000001</v>
      </c>
    </row>
    <row r="2227" spans="1:21" x14ac:dyDescent="0.2">
      <c r="A2227" t="s">
        <v>511</v>
      </c>
      <c r="B2227">
        <v>650640</v>
      </c>
      <c r="C2227" t="s">
        <v>6953</v>
      </c>
      <c r="D2227" t="s">
        <v>511</v>
      </c>
      <c r="E2227" t="s">
        <v>6911</v>
      </c>
      <c r="F2227">
        <v>21</v>
      </c>
      <c r="G2227">
        <v>12</v>
      </c>
      <c r="H2227" t="s">
        <v>11427</v>
      </c>
      <c r="J2227" t="s">
        <v>513</v>
      </c>
      <c r="M2227" t="s">
        <v>11428</v>
      </c>
      <c r="N2227">
        <v>1.921480887</v>
      </c>
      <c r="O2227">
        <v>3.0856645180000002</v>
      </c>
      <c r="P2227">
        <v>0.44706724399999997</v>
      </c>
      <c r="Q2227">
        <v>-0.354940863</v>
      </c>
      <c r="S2227" s="13">
        <v>-1.4100898580000001</v>
      </c>
      <c r="T2227">
        <v>-0.23657734</v>
      </c>
      <c r="U2227">
        <v>-0.17608890599999999</v>
      </c>
    </row>
    <row r="2228" spans="1:21" x14ac:dyDescent="0.2">
      <c r="A2228" t="s">
        <v>1356</v>
      </c>
      <c r="B2228">
        <v>670760</v>
      </c>
      <c r="C2228" t="s">
        <v>6914</v>
      </c>
      <c r="D2228" t="s">
        <v>1356</v>
      </c>
      <c r="E2228" t="s">
        <v>6921</v>
      </c>
      <c r="F2228">
        <v>19</v>
      </c>
      <c r="G2228">
        <v>8</v>
      </c>
      <c r="H2228" t="s">
        <v>11429</v>
      </c>
      <c r="J2228" t="s">
        <v>3481</v>
      </c>
      <c r="M2228" t="s">
        <v>11430</v>
      </c>
      <c r="N2228">
        <v>1.8217074179999999</v>
      </c>
      <c r="O2228">
        <v>4.1700741289999996</v>
      </c>
      <c r="P2228">
        <v>0.189705977</v>
      </c>
      <c r="Q2228">
        <v>-1.7194070999999998E-2</v>
      </c>
      <c r="S2228" s="13">
        <v>-1.410213851</v>
      </c>
      <c r="T2228">
        <v>-0.23711916</v>
      </c>
      <c r="U2228">
        <v>-0.23372901600000001</v>
      </c>
    </row>
    <row r="2229" spans="1:21" x14ac:dyDescent="0.2">
      <c r="A2229" t="s">
        <v>352</v>
      </c>
      <c r="B2229">
        <v>559880</v>
      </c>
      <c r="C2229" t="s">
        <v>6910</v>
      </c>
      <c r="D2229" t="s">
        <v>352</v>
      </c>
      <c r="E2229" t="s">
        <v>6928</v>
      </c>
      <c r="F2229">
        <v>17</v>
      </c>
      <c r="G2229">
        <v>16</v>
      </c>
      <c r="H2229" t="s">
        <v>11431</v>
      </c>
      <c r="J2229" t="s">
        <v>6169</v>
      </c>
      <c r="M2229" t="s">
        <v>11432</v>
      </c>
      <c r="N2229">
        <v>1.9874741039999999</v>
      </c>
      <c r="O2229">
        <v>3.7453511220000002</v>
      </c>
      <c r="P2229">
        <v>0.451009722</v>
      </c>
      <c r="Q2229">
        <v>-0.102386592</v>
      </c>
      <c r="S2229" s="13">
        <v>-1.4103135149999999</v>
      </c>
      <c r="T2229">
        <v>-0.23755467</v>
      </c>
      <c r="U2229">
        <v>-0.17026849299999999</v>
      </c>
    </row>
    <row r="2230" spans="1:21" x14ac:dyDescent="0.2">
      <c r="A2230" t="s">
        <v>1150</v>
      </c>
      <c r="B2230">
        <v>587720</v>
      </c>
      <c r="C2230" t="s">
        <v>6938</v>
      </c>
      <c r="D2230" t="s">
        <v>1150</v>
      </c>
      <c r="E2230" t="s">
        <v>7006</v>
      </c>
      <c r="F2230">
        <v>16</v>
      </c>
      <c r="G2230">
        <v>3</v>
      </c>
      <c r="H2230" t="s">
        <v>11433</v>
      </c>
      <c r="J2230" t="s">
        <v>3466</v>
      </c>
      <c r="M2230" t="s">
        <v>11434</v>
      </c>
      <c r="N2230">
        <v>2.092758737</v>
      </c>
      <c r="O2230">
        <v>5.3323610669999999</v>
      </c>
      <c r="P2230">
        <v>0.70420098600000003</v>
      </c>
      <c r="Q2230">
        <v>0.41355372699999998</v>
      </c>
      <c r="S2230" s="13">
        <v>-1.410374442</v>
      </c>
      <c r="T2230">
        <v>-0.237820905</v>
      </c>
      <c r="U2230">
        <v>-0.26470055199999998</v>
      </c>
    </row>
    <row r="2231" spans="1:21" x14ac:dyDescent="0.2">
      <c r="A2231" t="s">
        <v>951</v>
      </c>
      <c r="B2231">
        <v>670440</v>
      </c>
      <c r="C2231" t="s">
        <v>6914</v>
      </c>
      <c r="D2231" t="s">
        <v>951</v>
      </c>
      <c r="E2231" t="s">
        <v>6970</v>
      </c>
      <c r="F2231">
        <v>16</v>
      </c>
      <c r="G2231">
        <v>14</v>
      </c>
      <c r="H2231" t="s">
        <v>11435</v>
      </c>
      <c r="J2231" t="s">
        <v>1977</v>
      </c>
      <c r="M2231" t="s">
        <v>11436</v>
      </c>
      <c r="N2231">
        <v>1.8217074179999999</v>
      </c>
      <c r="O2231">
        <v>4.1700741289999996</v>
      </c>
      <c r="P2231">
        <v>0.189705977</v>
      </c>
      <c r="Q2231">
        <v>-1.7194070999999998E-2</v>
      </c>
      <c r="S2231" s="13">
        <v>-1.410598735</v>
      </c>
      <c r="T2231">
        <v>-0.23880101300000001</v>
      </c>
      <c r="U2231">
        <v>-0.23398706899999999</v>
      </c>
    </row>
    <row r="2232" spans="1:21" x14ac:dyDescent="0.2">
      <c r="A2232" t="s">
        <v>385</v>
      </c>
      <c r="B2232">
        <v>670360</v>
      </c>
      <c r="C2232" t="s">
        <v>6914</v>
      </c>
      <c r="D2232" t="s">
        <v>386</v>
      </c>
      <c r="E2232" t="s">
        <v>6928</v>
      </c>
      <c r="F2232">
        <v>7</v>
      </c>
      <c r="G2232">
        <v>16</v>
      </c>
      <c r="H2232" t="s">
        <v>11437</v>
      </c>
      <c r="J2232" t="s">
        <v>3499</v>
      </c>
      <c r="M2232" t="s">
        <v>11438</v>
      </c>
      <c r="N2232">
        <v>1.8217074179999999</v>
      </c>
      <c r="O2232">
        <v>4.1700741289999996</v>
      </c>
      <c r="P2232">
        <v>0.189705977</v>
      </c>
      <c r="Q2232">
        <v>-1.7194070999999998E-2</v>
      </c>
      <c r="S2232" s="13">
        <v>-1.4106949559999999</v>
      </c>
      <c r="T2232">
        <v>-0.23922147699999999</v>
      </c>
      <c r="U2232">
        <v>-0.234051606</v>
      </c>
    </row>
    <row r="2233" spans="1:21" x14ac:dyDescent="0.2">
      <c r="A2233" t="s">
        <v>1052</v>
      </c>
      <c r="B2233">
        <v>563840</v>
      </c>
      <c r="C2233" t="s">
        <v>6906</v>
      </c>
      <c r="D2233" t="s">
        <v>1052</v>
      </c>
      <c r="E2233" t="s">
        <v>7085</v>
      </c>
      <c r="F2233">
        <v>19</v>
      </c>
      <c r="G2233">
        <v>9</v>
      </c>
      <c r="H2233" t="s">
        <v>11439</v>
      </c>
      <c r="J2233" t="s">
        <v>1054</v>
      </c>
      <c r="M2233" t="s">
        <v>11440</v>
      </c>
      <c r="N2233">
        <v>1.813871112</v>
      </c>
      <c r="O2233">
        <v>2.6633694910000001</v>
      </c>
      <c r="P2233">
        <v>-0.29586356800000002</v>
      </c>
      <c r="Q2233">
        <v>-0.59018158399999998</v>
      </c>
      <c r="S2233" s="13">
        <v>-1.4107065139999999</v>
      </c>
      <c r="T2233">
        <v>-0.23927198399999999</v>
      </c>
      <c r="U2233">
        <v>-0.19614271799999999</v>
      </c>
    </row>
    <row r="2234" spans="1:21" x14ac:dyDescent="0.2">
      <c r="A2234" t="s">
        <v>277</v>
      </c>
      <c r="B2234">
        <v>649960</v>
      </c>
      <c r="C2234" t="s">
        <v>6953</v>
      </c>
      <c r="D2234" t="s">
        <v>277</v>
      </c>
      <c r="E2234" t="s">
        <v>7085</v>
      </c>
      <c r="F2234">
        <v>22</v>
      </c>
      <c r="G2234">
        <v>9</v>
      </c>
      <c r="H2234" t="s">
        <v>11441</v>
      </c>
      <c r="J2234" t="s">
        <v>5301</v>
      </c>
      <c r="M2234" t="s">
        <v>11442</v>
      </c>
      <c r="N2234">
        <v>1.921480887</v>
      </c>
      <c r="O2234">
        <v>3.0856645180000002</v>
      </c>
      <c r="P2234">
        <v>0.44706724399999997</v>
      </c>
      <c r="Q2234">
        <v>-0.354940863</v>
      </c>
      <c r="S2234" s="13">
        <v>-1.410795443</v>
      </c>
      <c r="T2234">
        <v>-0.23966058300000001</v>
      </c>
      <c r="U2234">
        <v>-0.17656923399999999</v>
      </c>
    </row>
    <row r="2235" spans="1:21" x14ac:dyDescent="0.2">
      <c r="A2235" t="s">
        <v>333</v>
      </c>
      <c r="B2235">
        <v>669920</v>
      </c>
      <c r="C2235" t="s">
        <v>6914</v>
      </c>
      <c r="D2235" t="s">
        <v>334</v>
      </c>
      <c r="E2235" t="s">
        <v>6915</v>
      </c>
      <c r="F2235">
        <v>2</v>
      </c>
      <c r="G2235">
        <v>13</v>
      </c>
      <c r="H2235" t="s">
        <v>11443</v>
      </c>
      <c r="J2235" t="s">
        <v>336</v>
      </c>
      <c r="M2235" t="s">
        <v>11444</v>
      </c>
      <c r="N2235">
        <v>1.8217074179999999</v>
      </c>
      <c r="O2235">
        <v>4.1700741289999996</v>
      </c>
      <c r="P2235">
        <v>0.189705977</v>
      </c>
      <c r="Q2235">
        <v>-1.7194070999999998E-2</v>
      </c>
      <c r="S2235" s="13">
        <v>-1.411224171</v>
      </c>
      <c r="T2235">
        <v>-0.24153402600000001</v>
      </c>
      <c r="U2235">
        <v>-0.23440673200000001</v>
      </c>
    </row>
    <row r="2236" spans="1:21" x14ac:dyDescent="0.2">
      <c r="A2236" t="s">
        <v>1137</v>
      </c>
      <c r="B2236">
        <v>669880</v>
      </c>
      <c r="C2236" t="s">
        <v>6914</v>
      </c>
      <c r="D2236" t="s">
        <v>1137</v>
      </c>
      <c r="E2236" t="s">
        <v>7085</v>
      </c>
      <c r="F2236">
        <v>18</v>
      </c>
      <c r="G2236">
        <v>9</v>
      </c>
      <c r="H2236" t="s">
        <v>11445</v>
      </c>
      <c r="J2236" t="s">
        <v>4724</v>
      </c>
      <c r="M2236" t="s">
        <v>11446</v>
      </c>
      <c r="N2236">
        <v>1.8217074179999999</v>
      </c>
      <c r="O2236">
        <v>4.1700741289999996</v>
      </c>
      <c r="P2236">
        <v>0.189705977</v>
      </c>
      <c r="Q2236">
        <v>-1.7194070999999998E-2</v>
      </c>
      <c r="S2236" s="13">
        <v>-1.411272281</v>
      </c>
      <c r="T2236">
        <v>-0.24174425699999999</v>
      </c>
      <c r="U2236">
        <v>-0.23443902999999999</v>
      </c>
    </row>
    <row r="2237" spans="1:21" x14ac:dyDescent="0.2">
      <c r="A2237" t="s">
        <v>880</v>
      </c>
      <c r="B2237">
        <v>669560</v>
      </c>
      <c r="C2237" t="s">
        <v>6914</v>
      </c>
      <c r="D2237" t="s">
        <v>880</v>
      </c>
      <c r="E2237" t="s">
        <v>6939</v>
      </c>
      <c r="F2237">
        <v>19</v>
      </c>
      <c r="G2237">
        <v>2</v>
      </c>
      <c r="H2237" t="s">
        <v>11447</v>
      </c>
      <c r="J2237" t="s">
        <v>1923</v>
      </c>
      <c r="M2237" t="s">
        <v>11448</v>
      </c>
      <c r="N2237">
        <v>1.8217074179999999</v>
      </c>
      <c r="O2237">
        <v>4.1700741289999996</v>
      </c>
      <c r="P2237">
        <v>0.189705977</v>
      </c>
      <c r="Q2237">
        <v>-1.7194070999999998E-2</v>
      </c>
      <c r="S2237" s="13">
        <v>-1.411657165</v>
      </c>
      <c r="T2237">
        <v>-0.243426111</v>
      </c>
      <c r="U2237">
        <v>-0.234697505</v>
      </c>
    </row>
    <row r="2238" spans="1:21" x14ac:dyDescent="0.2">
      <c r="A2238" t="s">
        <v>1939</v>
      </c>
      <c r="B2238">
        <v>563120</v>
      </c>
      <c r="C2238" t="s">
        <v>6906</v>
      </c>
      <c r="D2238" t="s">
        <v>1939</v>
      </c>
      <c r="E2238" t="s">
        <v>6928</v>
      </c>
      <c r="F2238">
        <v>19</v>
      </c>
      <c r="G2238">
        <v>16</v>
      </c>
      <c r="H2238" t="s">
        <v>11449</v>
      </c>
      <c r="J2238" t="s">
        <v>4199</v>
      </c>
      <c r="M2238" t="s">
        <v>11450</v>
      </c>
      <c r="N2238">
        <v>1.813871112</v>
      </c>
      <c r="O2238">
        <v>2.6633694910000001</v>
      </c>
      <c r="P2238">
        <v>-0.29586356800000002</v>
      </c>
      <c r="Q2238">
        <v>-0.59018158399999998</v>
      </c>
      <c r="S2238" s="13">
        <v>-1.4117510520000001</v>
      </c>
      <c r="T2238">
        <v>-0.24383637599999999</v>
      </c>
      <c r="U2238">
        <v>-0.19667536799999999</v>
      </c>
    </row>
    <row r="2239" spans="1:21" x14ac:dyDescent="0.2">
      <c r="A2239" t="s">
        <v>2149</v>
      </c>
      <c r="B2239">
        <v>430880</v>
      </c>
      <c r="C2239" t="s">
        <v>6945</v>
      </c>
      <c r="D2239" t="s">
        <v>2149</v>
      </c>
      <c r="E2239" t="s">
        <v>7085</v>
      </c>
      <c r="F2239">
        <v>13</v>
      </c>
      <c r="G2239">
        <v>9</v>
      </c>
      <c r="H2239" t="s">
        <v>11451</v>
      </c>
      <c r="J2239" t="s">
        <v>3304</v>
      </c>
      <c r="M2239" t="s">
        <v>11452</v>
      </c>
      <c r="N2239">
        <v>2.2220813349999999</v>
      </c>
      <c r="O2239">
        <v>6.5440947090000003</v>
      </c>
      <c r="P2239">
        <v>0.58228215500000002</v>
      </c>
      <c r="Q2239">
        <v>0.35188233000000002</v>
      </c>
      <c r="S2239" s="13">
        <v>-1.411854591</v>
      </c>
      <c r="T2239">
        <v>-0.24428881699999999</v>
      </c>
      <c r="U2239">
        <v>-0.28557439400000001</v>
      </c>
    </row>
    <row r="2240" spans="1:21" x14ac:dyDescent="0.2">
      <c r="A2240" t="s">
        <v>2871</v>
      </c>
      <c r="B2240">
        <v>502080</v>
      </c>
      <c r="C2240" t="s">
        <v>6931</v>
      </c>
      <c r="D2240" t="s">
        <v>2871</v>
      </c>
      <c r="E2240" t="s">
        <v>6907</v>
      </c>
      <c r="F2240">
        <v>21</v>
      </c>
      <c r="G2240">
        <v>4</v>
      </c>
      <c r="H2240" t="s">
        <v>11453</v>
      </c>
      <c r="N2240">
        <v>1.9323965059999999</v>
      </c>
      <c r="O2240">
        <v>3.0528020530000002</v>
      </c>
      <c r="P2240">
        <v>2.6493138999999999E-2</v>
      </c>
      <c r="Q2240">
        <v>-0.38692188</v>
      </c>
      <c r="S2240" s="13">
        <v>-1.412784968</v>
      </c>
      <c r="T2240">
        <v>-0.248354354</v>
      </c>
      <c r="U2240">
        <v>-0.15631284500000001</v>
      </c>
    </row>
    <row r="2241" spans="1:21" x14ac:dyDescent="0.2">
      <c r="A2241" t="s">
        <v>361</v>
      </c>
      <c r="B2241">
        <v>562360</v>
      </c>
      <c r="C2241" t="s">
        <v>6906</v>
      </c>
      <c r="D2241" t="s">
        <v>361</v>
      </c>
      <c r="E2241" t="s">
        <v>6921</v>
      </c>
      <c r="F2241">
        <v>21</v>
      </c>
      <c r="G2241">
        <v>8</v>
      </c>
      <c r="H2241" t="s">
        <v>11454</v>
      </c>
      <c r="J2241" t="s">
        <v>4175</v>
      </c>
      <c r="M2241" t="s">
        <v>11455</v>
      </c>
      <c r="N2241">
        <v>1.813871112</v>
      </c>
      <c r="O2241">
        <v>2.6633694910000001</v>
      </c>
      <c r="P2241">
        <v>-0.29586356800000002</v>
      </c>
      <c r="Q2241">
        <v>-0.59018158399999998</v>
      </c>
      <c r="S2241" s="13">
        <v>-1.4128536199999999</v>
      </c>
      <c r="T2241">
        <v>-0.248654345</v>
      </c>
      <c r="U2241">
        <v>-0.197238319</v>
      </c>
    </row>
    <row r="2242" spans="1:21" x14ac:dyDescent="0.2">
      <c r="A2242" t="s">
        <v>1073</v>
      </c>
      <c r="B2242">
        <v>557280</v>
      </c>
      <c r="C2242" t="s">
        <v>6910</v>
      </c>
      <c r="D2242" t="s">
        <v>1073</v>
      </c>
      <c r="E2242" t="s">
        <v>7115</v>
      </c>
      <c r="F2242">
        <v>18</v>
      </c>
      <c r="G2242">
        <v>10</v>
      </c>
      <c r="H2242" t="s">
        <v>11456</v>
      </c>
      <c r="J2242" t="s">
        <v>2004</v>
      </c>
      <c r="M2242" t="s">
        <v>11457</v>
      </c>
      <c r="N2242">
        <v>1.9874741039999999</v>
      </c>
      <c r="O2242">
        <v>3.7453511220000002</v>
      </c>
      <c r="P2242">
        <v>0.451009722</v>
      </c>
      <c r="Q2242">
        <v>-0.102386592</v>
      </c>
      <c r="S2242" s="13">
        <v>-1.413110839</v>
      </c>
      <c r="T2242">
        <v>-0.24977833299999999</v>
      </c>
      <c r="U2242">
        <v>-0.17208337800000001</v>
      </c>
    </row>
    <row r="2243" spans="1:21" x14ac:dyDescent="0.2">
      <c r="A2243" t="s">
        <v>2457</v>
      </c>
      <c r="B2243">
        <v>584240</v>
      </c>
      <c r="C2243" t="s">
        <v>6938</v>
      </c>
      <c r="D2243" t="s">
        <v>2458</v>
      </c>
      <c r="E2243" t="s">
        <v>7115</v>
      </c>
      <c r="F2243">
        <v>5</v>
      </c>
      <c r="G2243">
        <v>10</v>
      </c>
      <c r="H2243" t="s">
        <v>11458</v>
      </c>
      <c r="J2243" t="s">
        <v>3577</v>
      </c>
      <c r="M2243" t="s">
        <v>11459</v>
      </c>
      <c r="N2243">
        <v>2.092758737</v>
      </c>
      <c r="O2243">
        <v>5.3323610669999999</v>
      </c>
      <c r="P2243">
        <v>0.70420098600000003</v>
      </c>
      <c r="Q2243">
        <v>0.41355372699999998</v>
      </c>
      <c r="S2243" s="13">
        <v>-1.413363105</v>
      </c>
      <c r="T2243">
        <v>-0.25088068200000002</v>
      </c>
      <c r="U2243">
        <v>-0.26772391899999998</v>
      </c>
    </row>
    <row r="2244" spans="1:21" x14ac:dyDescent="0.2">
      <c r="A2244" t="s">
        <v>1989</v>
      </c>
      <c r="B2244">
        <v>429280</v>
      </c>
      <c r="C2244" t="s">
        <v>6945</v>
      </c>
      <c r="D2244" t="s">
        <v>1990</v>
      </c>
      <c r="E2244" t="s">
        <v>6921</v>
      </c>
      <c r="F2244">
        <v>9</v>
      </c>
      <c r="G2244">
        <v>8</v>
      </c>
      <c r="H2244" t="s">
        <v>11460</v>
      </c>
      <c r="J2244" t="s">
        <v>5119</v>
      </c>
      <c r="M2244" t="s">
        <v>11461</v>
      </c>
      <c r="N2244">
        <v>2.2220813349999999</v>
      </c>
      <c r="O2244">
        <v>6.5440947090000003</v>
      </c>
      <c r="P2244">
        <v>0.58228215500000002</v>
      </c>
      <c r="Q2244">
        <v>0.35188233000000002</v>
      </c>
      <c r="S2244" s="13">
        <v>-1.413363768</v>
      </c>
      <c r="T2244">
        <v>-0.25088357900000002</v>
      </c>
      <c r="U2244">
        <v>-0.28703026300000001</v>
      </c>
    </row>
    <row r="2245" spans="1:21" x14ac:dyDescent="0.2">
      <c r="A2245" t="s">
        <v>765</v>
      </c>
      <c r="B2245">
        <v>501560</v>
      </c>
      <c r="C2245" t="s">
        <v>6931</v>
      </c>
      <c r="D2245" t="s">
        <v>766</v>
      </c>
      <c r="E2245" t="s">
        <v>7006</v>
      </c>
      <c r="F2245">
        <v>4</v>
      </c>
      <c r="G2245">
        <v>3</v>
      </c>
      <c r="H2245" t="s">
        <v>11462</v>
      </c>
      <c r="N2245">
        <v>1.9323965059999999</v>
      </c>
      <c r="O2245">
        <v>3.0528020530000002</v>
      </c>
      <c r="P2245">
        <v>2.6493138999999999E-2</v>
      </c>
      <c r="Q2245">
        <v>-0.38692188</v>
      </c>
      <c r="S2245" s="13">
        <v>-1.4134682350000001</v>
      </c>
      <c r="T2245">
        <v>-0.25134007200000003</v>
      </c>
      <c r="U2245">
        <v>-0.15666375099999999</v>
      </c>
    </row>
    <row r="2246" spans="1:21" x14ac:dyDescent="0.2">
      <c r="A2246" t="s">
        <v>995</v>
      </c>
      <c r="B2246">
        <v>668000</v>
      </c>
      <c r="C2246" t="s">
        <v>6914</v>
      </c>
      <c r="D2246" t="s">
        <v>995</v>
      </c>
      <c r="E2246" t="s">
        <v>6907</v>
      </c>
      <c r="F2246">
        <v>20</v>
      </c>
      <c r="G2246">
        <v>4</v>
      </c>
      <c r="H2246" t="s">
        <v>11463</v>
      </c>
      <c r="J2246" t="s">
        <v>997</v>
      </c>
      <c r="M2246" t="s">
        <v>11464</v>
      </c>
      <c r="N2246">
        <v>1.8217074179999999</v>
      </c>
      <c r="O2246">
        <v>4.1700741289999996</v>
      </c>
      <c r="P2246">
        <v>0.189705977</v>
      </c>
      <c r="Q2246">
        <v>-1.7194070999999998E-2</v>
      </c>
      <c r="S2246" s="13">
        <v>-1.413533473</v>
      </c>
      <c r="T2246">
        <v>-0.25162514800000002</v>
      </c>
      <c r="U2246">
        <v>-0.23595977900000001</v>
      </c>
    </row>
    <row r="2247" spans="1:21" x14ac:dyDescent="0.2">
      <c r="A2247" t="s">
        <v>637</v>
      </c>
      <c r="B2247">
        <v>647240</v>
      </c>
      <c r="C2247" t="s">
        <v>6953</v>
      </c>
      <c r="D2247" t="s">
        <v>637</v>
      </c>
      <c r="E2247" t="s">
        <v>6977</v>
      </c>
      <c r="F2247">
        <v>19</v>
      </c>
      <c r="G2247">
        <v>5</v>
      </c>
      <c r="H2247" t="s">
        <v>11465</v>
      </c>
      <c r="J2247" t="s">
        <v>3292</v>
      </c>
      <c r="M2247" t="s">
        <v>11466</v>
      </c>
      <c r="N2247">
        <v>1.921480887</v>
      </c>
      <c r="O2247">
        <v>3.0856645180000002</v>
      </c>
      <c r="P2247">
        <v>0.44706724399999997</v>
      </c>
      <c r="Q2247">
        <v>-0.354940863</v>
      </c>
      <c r="S2247" s="13">
        <v>-1.4136177809999999</v>
      </c>
      <c r="T2247">
        <v>-0.25199355400000001</v>
      </c>
      <c r="U2247">
        <v>-0.178495878</v>
      </c>
    </row>
    <row r="2248" spans="1:21" x14ac:dyDescent="0.2">
      <c r="A2248" t="s">
        <v>1897</v>
      </c>
      <c r="B2248">
        <v>513040</v>
      </c>
      <c r="C2248" t="s">
        <v>6942</v>
      </c>
      <c r="D2248" t="s">
        <v>1897</v>
      </c>
      <c r="E2248" t="s">
        <v>7085</v>
      </c>
      <c r="F2248">
        <v>14</v>
      </c>
      <c r="G2248">
        <v>9</v>
      </c>
      <c r="H2248" t="s">
        <v>11467</v>
      </c>
      <c r="J2248" t="s">
        <v>4818</v>
      </c>
      <c r="M2248" t="s">
        <v>11468</v>
      </c>
      <c r="N2248">
        <v>2.0902262079999998</v>
      </c>
      <c r="O2248">
        <v>4.2704203920000001</v>
      </c>
      <c r="P2248">
        <v>0.23425843900000001</v>
      </c>
      <c r="Q2248">
        <v>1.6181978999999999E-2</v>
      </c>
      <c r="S2248" s="13">
        <v>-1.4136976619999999</v>
      </c>
      <c r="T2248">
        <v>-0.25234261800000002</v>
      </c>
      <c r="U2248">
        <v>-0.27535797499999998</v>
      </c>
    </row>
    <row r="2249" spans="1:21" x14ac:dyDescent="0.2">
      <c r="A2249" t="s">
        <v>889</v>
      </c>
      <c r="B2249">
        <v>582040</v>
      </c>
      <c r="C2249" t="s">
        <v>6927</v>
      </c>
      <c r="D2249" t="s">
        <v>889</v>
      </c>
      <c r="E2249" t="s">
        <v>6921</v>
      </c>
      <c r="F2249">
        <v>16</v>
      </c>
      <c r="G2249">
        <v>8</v>
      </c>
      <c r="H2249" t="s">
        <v>11469</v>
      </c>
      <c r="J2249" t="s">
        <v>11470</v>
      </c>
      <c r="M2249" t="s">
        <v>11471</v>
      </c>
      <c r="N2249">
        <v>1.982575982</v>
      </c>
      <c r="O2249">
        <v>3.4571926419999999</v>
      </c>
      <c r="P2249">
        <v>-0.114791479</v>
      </c>
      <c r="Q2249">
        <v>1.868949E-3</v>
      </c>
      <c r="S2249" s="13">
        <v>-1.413794177</v>
      </c>
      <c r="T2249">
        <v>-0.25276436499999999</v>
      </c>
      <c r="U2249">
        <v>-0.24070167200000001</v>
      </c>
    </row>
    <row r="2250" spans="1:21" x14ac:dyDescent="0.2">
      <c r="A2250" t="s">
        <v>325</v>
      </c>
      <c r="B2250">
        <v>512600</v>
      </c>
      <c r="C2250" t="s">
        <v>6942</v>
      </c>
      <c r="D2250" t="s">
        <v>326</v>
      </c>
      <c r="E2250" t="s">
        <v>6921</v>
      </c>
      <c r="F2250">
        <v>2</v>
      </c>
      <c r="G2250">
        <v>8</v>
      </c>
      <c r="H2250" t="s">
        <v>11472</v>
      </c>
      <c r="J2250" t="s">
        <v>328</v>
      </c>
      <c r="M2250" t="s">
        <v>11473</v>
      </c>
      <c r="N2250">
        <v>2.0902262079999998</v>
      </c>
      <c r="O2250">
        <v>4.2704203920000001</v>
      </c>
      <c r="P2250">
        <v>0.23425843900000001</v>
      </c>
      <c r="Q2250">
        <v>1.6181978999999999E-2</v>
      </c>
      <c r="S2250" s="13">
        <v>-1.4141295169999999</v>
      </c>
      <c r="T2250">
        <v>-0.25422972599999999</v>
      </c>
      <c r="U2250">
        <v>-0.27574855199999998</v>
      </c>
    </row>
    <row r="2251" spans="1:21" x14ac:dyDescent="0.2">
      <c r="A2251" t="s">
        <v>714</v>
      </c>
      <c r="B2251">
        <v>583320</v>
      </c>
      <c r="C2251" t="s">
        <v>6938</v>
      </c>
      <c r="D2251" t="s">
        <v>715</v>
      </c>
      <c r="E2251" t="s">
        <v>6956</v>
      </c>
      <c r="F2251">
        <v>5</v>
      </c>
      <c r="G2251">
        <v>7</v>
      </c>
      <c r="H2251" t="s">
        <v>11474</v>
      </c>
      <c r="J2251" t="s">
        <v>1817</v>
      </c>
      <c r="M2251" t="s">
        <v>11475</v>
      </c>
      <c r="N2251">
        <v>2.092758737</v>
      </c>
      <c r="O2251">
        <v>5.3323610669999999</v>
      </c>
      <c r="P2251">
        <v>0.70420098600000003</v>
      </c>
      <c r="Q2251">
        <v>0.41355372699999998</v>
      </c>
      <c r="S2251" s="13">
        <v>-1.414153212</v>
      </c>
      <c r="T2251">
        <v>-0.254333266</v>
      </c>
      <c r="U2251">
        <v>-0.26852672999999999</v>
      </c>
    </row>
    <row r="2252" spans="1:21" x14ac:dyDescent="0.2">
      <c r="A2252" t="s">
        <v>1620</v>
      </c>
      <c r="B2252">
        <v>581640</v>
      </c>
      <c r="C2252" t="s">
        <v>6927</v>
      </c>
      <c r="D2252" t="s">
        <v>1620</v>
      </c>
      <c r="E2252" t="s">
        <v>6911</v>
      </c>
      <c r="F2252">
        <v>18</v>
      </c>
      <c r="G2252">
        <v>12</v>
      </c>
      <c r="H2252" t="s">
        <v>11476</v>
      </c>
      <c r="J2252" t="s">
        <v>11477</v>
      </c>
      <c r="M2252" t="s">
        <v>11478</v>
      </c>
      <c r="N2252">
        <v>1.982575982</v>
      </c>
      <c r="O2252">
        <v>3.4571926419999999</v>
      </c>
      <c r="P2252">
        <v>-0.114791479</v>
      </c>
      <c r="Q2252">
        <v>1.868949E-3</v>
      </c>
      <c r="S2252" s="13">
        <v>-1.414209227</v>
      </c>
      <c r="T2252">
        <v>-0.25457803699999998</v>
      </c>
      <c r="U2252">
        <v>-0.24102948499999999</v>
      </c>
    </row>
    <row r="2253" spans="1:21" x14ac:dyDescent="0.2">
      <c r="A2253" t="s">
        <v>1703</v>
      </c>
      <c r="B2253">
        <v>583120</v>
      </c>
      <c r="C2253" t="s">
        <v>6938</v>
      </c>
      <c r="D2253" t="s">
        <v>1703</v>
      </c>
      <c r="E2253" t="s">
        <v>6928</v>
      </c>
      <c r="F2253">
        <v>21</v>
      </c>
      <c r="G2253">
        <v>16</v>
      </c>
      <c r="H2253" t="s">
        <v>11479</v>
      </c>
      <c r="J2253" t="s">
        <v>1705</v>
      </c>
      <c r="M2253" t="s">
        <v>11480</v>
      </c>
      <c r="N2253">
        <v>2.092758737</v>
      </c>
      <c r="O2253">
        <v>5.3323610669999999</v>
      </c>
      <c r="P2253">
        <v>0.70420098600000003</v>
      </c>
      <c r="Q2253">
        <v>0.41355372699999998</v>
      </c>
      <c r="S2253" s="13">
        <v>-1.4143249739999999</v>
      </c>
      <c r="T2253">
        <v>-0.25508382800000001</v>
      </c>
      <c r="U2253">
        <v>-0.26870145099999998</v>
      </c>
    </row>
    <row r="2254" spans="1:21" x14ac:dyDescent="0.2">
      <c r="A2254" t="s">
        <v>1251</v>
      </c>
      <c r="B2254">
        <v>667120</v>
      </c>
      <c r="C2254" t="s">
        <v>6914</v>
      </c>
      <c r="D2254" t="s">
        <v>1251</v>
      </c>
      <c r="E2254" t="s">
        <v>6907</v>
      </c>
      <c r="F2254">
        <v>17</v>
      </c>
      <c r="G2254">
        <v>4</v>
      </c>
      <c r="H2254" t="s">
        <v>11481</v>
      </c>
      <c r="J2254" t="s">
        <v>3152</v>
      </c>
      <c r="M2254" t="s">
        <v>11482</v>
      </c>
      <c r="N2254">
        <v>1.8217074179999999</v>
      </c>
      <c r="O2254">
        <v>4.1700741289999996</v>
      </c>
      <c r="P2254">
        <v>0.189705977</v>
      </c>
      <c r="Q2254">
        <v>-1.7194070999999998E-2</v>
      </c>
      <c r="S2254" s="13">
        <v>-1.414591903</v>
      </c>
      <c r="T2254">
        <v>-0.25625024600000001</v>
      </c>
      <c r="U2254">
        <v>-0.23667345200000001</v>
      </c>
    </row>
    <row r="2255" spans="1:21" x14ac:dyDescent="0.2">
      <c r="A2255" t="s">
        <v>650</v>
      </c>
      <c r="B2255">
        <v>582480</v>
      </c>
      <c r="C2255" t="s">
        <v>6938</v>
      </c>
      <c r="D2255" t="s">
        <v>651</v>
      </c>
      <c r="E2255" t="s">
        <v>7085</v>
      </c>
      <c r="F2255">
        <v>9</v>
      </c>
      <c r="G2255">
        <v>9</v>
      </c>
      <c r="H2255" t="s">
        <v>11483</v>
      </c>
      <c r="J2255" t="s">
        <v>2673</v>
      </c>
      <c r="M2255" t="s">
        <v>11484</v>
      </c>
      <c r="N2255">
        <v>2.092758737</v>
      </c>
      <c r="O2255">
        <v>5.3323610669999999</v>
      </c>
      <c r="P2255">
        <v>0.70420098600000003</v>
      </c>
      <c r="Q2255">
        <v>0.41355372699999998</v>
      </c>
      <c r="S2255" s="13">
        <v>-1.4148746139999999</v>
      </c>
      <c r="T2255">
        <v>-0.25748562600000002</v>
      </c>
      <c r="U2255">
        <v>-0.26926103000000001</v>
      </c>
    </row>
    <row r="2256" spans="1:21" x14ac:dyDescent="0.2">
      <c r="A2256" t="s">
        <v>232</v>
      </c>
      <c r="B2256">
        <v>666800</v>
      </c>
      <c r="C2256" t="s">
        <v>6914</v>
      </c>
      <c r="D2256" t="s">
        <v>233</v>
      </c>
      <c r="E2256" t="s">
        <v>7085</v>
      </c>
      <c r="F2256">
        <v>1</v>
      </c>
      <c r="G2256">
        <v>9</v>
      </c>
      <c r="H2256" t="s">
        <v>11485</v>
      </c>
      <c r="J2256" t="s">
        <v>476</v>
      </c>
      <c r="M2256" t="s">
        <v>11486</v>
      </c>
      <c r="N2256">
        <v>1.8217074179999999</v>
      </c>
      <c r="O2256">
        <v>4.1700741289999996</v>
      </c>
      <c r="P2256">
        <v>0.189705977</v>
      </c>
      <c r="Q2256">
        <v>-1.7194070999999998E-2</v>
      </c>
      <c r="S2256" s="13">
        <v>-1.4149767870000001</v>
      </c>
      <c r="T2256">
        <v>-0.2579321</v>
      </c>
      <c r="U2256">
        <v>-0.23693326100000001</v>
      </c>
    </row>
    <row r="2257" spans="1:21" x14ac:dyDescent="0.2">
      <c r="A2257" t="s">
        <v>348</v>
      </c>
      <c r="B2257">
        <v>500240</v>
      </c>
      <c r="C2257" t="s">
        <v>6931</v>
      </c>
      <c r="D2257" t="s">
        <v>349</v>
      </c>
      <c r="E2257" t="s">
        <v>6907</v>
      </c>
      <c r="F2257">
        <v>1</v>
      </c>
      <c r="G2257">
        <v>4</v>
      </c>
      <c r="H2257" t="s">
        <v>11487</v>
      </c>
      <c r="J2257" t="s">
        <v>811</v>
      </c>
      <c r="M2257" t="s">
        <v>11488</v>
      </c>
      <c r="N2257">
        <v>1.9323965059999999</v>
      </c>
      <c r="O2257">
        <v>3.0528020530000002</v>
      </c>
      <c r="P2257">
        <v>2.6493138999999999E-2</v>
      </c>
      <c r="Q2257">
        <v>-0.38692188</v>
      </c>
      <c r="S2257" s="13">
        <v>-1.415202681</v>
      </c>
      <c r="T2257">
        <v>-0.25891920400000001</v>
      </c>
      <c r="U2257">
        <v>-0.157555791</v>
      </c>
    </row>
    <row r="2258" spans="1:21" x14ac:dyDescent="0.2">
      <c r="A2258" t="s">
        <v>656</v>
      </c>
      <c r="B2258">
        <v>579680</v>
      </c>
      <c r="C2258" t="s">
        <v>6927</v>
      </c>
      <c r="D2258" t="s">
        <v>656</v>
      </c>
      <c r="E2258" t="s">
        <v>6956</v>
      </c>
      <c r="F2258">
        <v>24</v>
      </c>
      <c r="G2258">
        <v>7</v>
      </c>
      <c r="H2258" t="s">
        <v>11489</v>
      </c>
      <c r="J2258" t="s">
        <v>11490</v>
      </c>
      <c r="M2258" t="s">
        <v>11491</v>
      </c>
      <c r="N2258">
        <v>1.982575982</v>
      </c>
      <c r="O2258">
        <v>3.4571926419999999</v>
      </c>
      <c r="P2258">
        <v>-0.114791479</v>
      </c>
      <c r="Q2258">
        <v>1.868949E-3</v>
      </c>
      <c r="S2258" s="13">
        <v>-1.4162429700000001</v>
      </c>
      <c r="T2258">
        <v>-0.26346503199999999</v>
      </c>
      <c r="U2258">
        <v>-0.242639354</v>
      </c>
    </row>
    <row r="2259" spans="1:21" x14ac:dyDescent="0.2">
      <c r="A2259" t="s">
        <v>441</v>
      </c>
      <c r="B2259">
        <v>499040</v>
      </c>
      <c r="C2259" t="s">
        <v>6931</v>
      </c>
      <c r="D2259" t="s">
        <v>442</v>
      </c>
      <c r="E2259" t="s">
        <v>6907</v>
      </c>
      <c r="F2259">
        <v>7</v>
      </c>
      <c r="G2259">
        <v>4</v>
      </c>
      <c r="H2259" t="s">
        <v>11492</v>
      </c>
      <c r="N2259">
        <v>1.9323965059999999</v>
      </c>
      <c r="O2259">
        <v>3.0528020530000002</v>
      </c>
      <c r="P2259">
        <v>2.6493138999999999E-2</v>
      </c>
      <c r="Q2259">
        <v>-0.38692188</v>
      </c>
      <c r="S2259" s="13">
        <v>-1.4167794490000001</v>
      </c>
      <c r="T2259">
        <v>-0.26580932400000001</v>
      </c>
      <c r="U2259">
        <v>-0.158368328</v>
      </c>
    </row>
    <row r="2260" spans="1:21" x14ac:dyDescent="0.2">
      <c r="A2260" t="s">
        <v>932</v>
      </c>
      <c r="B2260">
        <v>665160</v>
      </c>
      <c r="C2260" t="s">
        <v>6914</v>
      </c>
      <c r="D2260" t="s">
        <v>932</v>
      </c>
      <c r="E2260" t="s">
        <v>7006</v>
      </c>
      <c r="F2260">
        <v>12</v>
      </c>
      <c r="G2260">
        <v>3</v>
      </c>
      <c r="H2260" t="s">
        <v>11493</v>
      </c>
      <c r="J2260" t="s">
        <v>6637</v>
      </c>
      <c r="M2260" t="s">
        <v>11494</v>
      </c>
      <c r="N2260">
        <v>1.8217074179999999</v>
      </c>
      <c r="O2260">
        <v>4.1700741289999996</v>
      </c>
      <c r="P2260">
        <v>0.189705977</v>
      </c>
      <c r="Q2260">
        <v>-1.7194070999999998E-2</v>
      </c>
      <c r="S2260" s="13">
        <v>-1.416949316</v>
      </c>
      <c r="T2260">
        <v>-0.2665516</v>
      </c>
      <c r="U2260">
        <v>-0.238267225</v>
      </c>
    </row>
    <row r="2261" spans="1:21" x14ac:dyDescent="0.2">
      <c r="A2261" t="s">
        <v>944</v>
      </c>
      <c r="B2261">
        <v>425240</v>
      </c>
      <c r="C2261" t="s">
        <v>6945</v>
      </c>
      <c r="D2261" t="s">
        <v>944</v>
      </c>
      <c r="E2261" t="s">
        <v>6924</v>
      </c>
      <c r="F2261">
        <v>12</v>
      </c>
      <c r="G2261">
        <v>6</v>
      </c>
      <c r="H2261" t="s">
        <v>11495</v>
      </c>
      <c r="J2261" t="s">
        <v>6147</v>
      </c>
      <c r="M2261" t="s">
        <v>11496</v>
      </c>
      <c r="N2261">
        <v>2.2220813349999999</v>
      </c>
      <c r="O2261">
        <v>6.5440947090000003</v>
      </c>
      <c r="P2261">
        <v>0.58228215500000002</v>
      </c>
      <c r="Q2261">
        <v>0.35188233000000002</v>
      </c>
      <c r="S2261" s="13">
        <v>-1.4171744420000001</v>
      </c>
      <c r="T2261">
        <v>-0.26753535099999998</v>
      </c>
      <c r="U2261">
        <v>-0.29072820100000002</v>
      </c>
    </row>
    <row r="2262" spans="1:21" x14ac:dyDescent="0.2">
      <c r="A2262" t="s">
        <v>1330</v>
      </c>
      <c r="B2262">
        <v>553440</v>
      </c>
      <c r="C2262" t="s">
        <v>6910</v>
      </c>
      <c r="D2262" t="s">
        <v>1330</v>
      </c>
      <c r="E2262" t="s">
        <v>6915</v>
      </c>
      <c r="F2262">
        <v>23</v>
      </c>
      <c r="G2262">
        <v>13</v>
      </c>
      <c r="H2262" t="s">
        <v>11497</v>
      </c>
      <c r="J2262" t="s">
        <v>3594</v>
      </c>
      <c r="M2262" t="s">
        <v>11498</v>
      </c>
      <c r="N2262">
        <v>1.9874741039999999</v>
      </c>
      <c r="O2262">
        <v>3.7453511220000002</v>
      </c>
      <c r="P2262">
        <v>0.451009722</v>
      </c>
      <c r="Q2262">
        <v>-0.102386592</v>
      </c>
      <c r="S2262" s="13">
        <v>-1.41724227</v>
      </c>
      <c r="T2262">
        <v>-0.26783174300000001</v>
      </c>
      <c r="U2262">
        <v>-0.174777774</v>
      </c>
    </row>
    <row r="2263" spans="1:21" x14ac:dyDescent="0.2">
      <c r="A2263" t="s">
        <v>749</v>
      </c>
      <c r="B2263">
        <v>578640</v>
      </c>
      <c r="C2263" t="s">
        <v>6927</v>
      </c>
      <c r="D2263" t="s">
        <v>749</v>
      </c>
      <c r="E2263" t="s">
        <v>6946</v>
      </c>
      <c r="F2263">
        <v>13</v>
      </c>
      <c r="G2263">
        <v>11</v>
      </c>
      <c r="H2263" t="s">
        <v>11499</v>
      </c>
      <c r="J2263" t="s">
        <v>11500</v>
      </c>
      <c r="M2263" t="s">
        <v>11501</v>
      </c>
      <c r="N2263">
        <v>1.982575982</v>
      </c>
      <c r="O2263">
        <v>3.4571926419999999</v>
      </c>
      <c r="P2263">
        <v>-0.114791479</v>
      </c>
      <c r="Q2263">
        <v>1.868949E-3</v>
      </c>
      <c r="S2263" s="13">
        <v>-1.4173220989999999</v>
      </c>
      <c r="T2263">
        <v>-0.26818058</v>
      </c>
      <c r="U2263">
        <v>-0.24349599899999999</v>
      </c>
    </row>
    <row r="2264" spans="1:21" x14ac:dyDescent="0.2">
      <c r="A2264" t="s">
        <v>2499</v>
      </c>
      <c r="B2264">
        <v>643440</v>
      </c>
      <c r="C2264" t="s">
        <v>6953</v>
      </c>
      <c r="D2264" t="s">
        <v>2500</v>
      </c>
      <c r="E2264" t="s">
        <v>6977</v>
      </c>
      <c r="F2264">
        <v>9</v>
      </c>
      <c r="G2264">
        <v>5</v>
      </c>
      <c r="H2264" t="s">
        <v>11502</v>
      </c>
      <c r="J2264" t="s">
        <v>4457</v>
      </c>
      <c r="M2264" t="s">
        <v>11503</v>
      </c>
      <c r="N2264">
        <v>1.921480887</v>
      </c>
      <c r="O2264">
        <v>3.0856645180000002</v>
      </c>
      <c r="P2264">
        <v>0.44706724399999997</v>
      </c>
      <c r="Q2264">
        <v>-0.354940863</v>
      </c>
      <c r="S2264" s="13">
        <v>-1.4175607530000001</v>
      </c>
      <c r="T2264">
        <v>-0.26922344100000001</v>
      </c>
      <c r="U2264">
        <v>-0.181201904</v>
      </c>
    </row>
    <row r="2265" spans="1:21" x14ac:dyDescent="0.2">
      <c r="A2265" t="s">
        <v>342</v>
      </c>
      <c r="B2265">
        <v>509080</v>
      </c>
      <c r="C2265" t="s">
        <v>6942</v>
      </c>
      <c r="D2265" t="s">
        <v>342</v>
      </c>
      <c r="E2265" t="s">
        <v>6956</v>
      </c>
      <c r="F2265">
        <v>15</v>
      </c>
      <c r="G2265">
        <v>7</v>
      </c>
      <c r="H2265" t="s">
        <v>11504</v>
      </c>
      <c r="J2265" t="s">
        <v>4688</v>
      </c>
      <c r="M2265" t="s">
        <v>11505</v>
      </c>
      <c r="N2265">
        <v>2.0902262079999998</v>
      </c>
      <c r="O2265">
        <v>4.2704203920000001</v>
      </c>
      <c r="P2265">
        <v>0.23425843900000001</v>
      </c>
      <c r="Q2265">
        <v>1.6181978999999999E-2</v>
      </c>
      <c r="S2265" s="13">
        <v>-1.4175843589999999</v>
      </c>
      <c r="T2265">
        <v>-0.269326595</v>
      </c>
      <c r="U2265">
        <v>-0.27888587399999998</v>
      </c>
    </row>
    <row r="2266" spans="1:21" x14ac:dyDescent="0.2">
      <c r="A2266" t="s">
        <v>361</v>
      </c>
      <c r="B2266">
        <v>498360</v>
      </c>
      <c r="C2266" t="s">
        <v>6931</v>
      </c>
      <c r="D2266" t="s">
        <v>361</v>
      </c>
      <c r="E2266" t="s">
        <v>6921</v>
      </c>
      <c r="F2266">
        <v>21</v>
      </c>
      <c r="G2266">
        <v>8</v>
      </c>
      <c r="H2266" t="s">
        <v>11506</v>
      </c>
      <c r="N2266">
        <v>1.9323965059999999</v>
      </c>
      <c r="O2266">
        <v>3.0528020530000002</v>
      </c>
      <c r="P2266">
        <v>2.6493138999999999E-2</v>
      </c>
      <c r="Q2266">
        <v>-0.38692188</v>
      </c>
      <c r="S2266" s="13">
        <v>-1.417672952</v>
      </c>
      <c r="T2266">
        <v>-0.26971372500000002</v>
      </c>
      <c r="U2266">
        <v>-0.15882944199999999</v>
      </c>
    </row>
    <row r="2267" spans="1:21" x14ac:dyDescent="0.2">
      <c r="A2267" t="s">
        <v>2239</v>
      </c>
      <c r="B2267">
        <v>579120</v>
      </c>
      <c r="C2267" t="s">
        <v>6938</v>
      </c>
      <c r="D2267" t="s">
        <v>2240</v>
      </c>
      <c r="E2267" t="s">
        <v>6924</v>
      </c>
      <c r="F2267">
        <v>9</v>
      </c>
      <c r="G2267">
        <v>6</v>
      </c>
      <c r="H2267" t="s">
        <v>11507</v>
      </c>
      <c r="J2267" t="s">
        <v>5371</v>
      </c>
      <c r="M2267" t="s">
        <v>11508</v>
      </c>
      <c r="N2267">
        <v>2.092758737</v>
      </c>
      <c r="O2267">
        <v>5.3323610669999999</v>
      </c>
      <c r="P2267">
        <v>0.70420098600000003</v>
      </c>
      <c r="Q2267">
        <v>0.41355372699999998</v>
      </c>
      <c r="S2267" s="13">
        <v>-1.4177602199999999</v>
      </c>
      <c r="T2267">
        <v>-0.27009506599999999</v>
      </c>
      <c r="U2267">
        <v>-0.27221070800000002</v>
      </c>
    </row>
    <row r="2268" spans="1:21" x14ac:dyDescent="0.2">
      <c r="A2268" t="s">
        <v>753</v>
      </c>
      <c r="B2268">
        <v>508800</v>
      </c>
      <c r="C2268" t="s">
        <v>6942</v>
      </c>
      <c r="D2268" t="s">
        <v>753</v>
      </c>
      <c r="E2268" t="s">
        <v>6911</v>
      </c>
      <c r="F2268">
        <v>10</v>
      </c>
      <c r="G2268">
        <v>12</v>
      </c>
      <c r="H2268" t="s">
        <v>11509</v>
      </c>
      <c r="J2268" t="s">
        <v>3550</v>
      </c>
      <c r="M2268" t="s">
        <v>11510</v>
      </c>
      <c r="N2268">
        <v>2.0902262079999998</v>
      </c>
      <c r="O2268">
        <v>4.2704203920000001</v>
      </c>
      <c r="P2268">
        <v>0.23425843900000001</v>
      </c>
      <c r="Q2268">
        <v>1.6181978999999999E-2</v>
      </c>
      <c r="S2268" s="13">
        <v>-1.4178591760000001</v>
      </c>
      <c r="T2268">
        <v>-0.27052748199999999</v>
      </c>
      <c r="U2268">
        <v>-0.27913641</v>
      </c>
    </row>
    <row r="2269" spans="1:21" x14ac:dyDescent="0.2">
      <c r="A2269" t="s">
        <v>522</v>
      </c>
      <c r="B2269">
        <v>498200</v>
      </c>
      <c r="C2269" t="s">
        <v>6931</v>
      </c>
      <c r="D2269" t="s">
        <v>522</v>
      </c>
      <c r="E2269" t="s">
        <v>6977</v>
      </c>
      <c r="F2269">
        <v>15</v>
      </c>
      <c r="G2269">
        <v>5</v>
      </c>
      <c r="H2269" t="s">
        <v>11511</v>
      </c>
      <c r="N2269">
        <v>1.9323965059999999</v>
      </c>
      <c r="O2269">
        <v>3.0528020530000002</v>
      </c>
      <c r="P2269">
        <v>2.6493138999999999E-2</v>
      </c>
      <c r="Q2269">
        <v>-0.38692188</v>
      </c>
      <c r="S2269" s="13">
        <v>-1.417883188</v>
      </c>
      <c r="T2269">
        <v>-0.27063240799999999</v>
      </c>
      <c r="U2269">
        <v>-0.15893800999999999</v>
      </c>
    </row>
    <row r="2270" spans="1:21" x14ac:dyDescent="0.2">
      <c r="A2270" t="s">
        <v>1137</v>
      </c>
      <c r="B2270">
        <v>498000</v>
      </c>
      <c r="C2270" t="s">
        <v>6931</v>
      </c>
      <c r="D2270" t="s">
        <v>1137</v>
      </c>
      <c r="E2270" t="s">
        <v>7085</v>
      </c>
      <c r="F2270">
        <v>18</v>
      </c>
      <c r="G2270">
        <v>9</v>
      </c>
      <c r="H2270" t="s">
        <v>11512</v>
      </c>
      <c r="N2270">
        <v>1.9323965059999999</v>
      </c>
      <c r="O2270">
        <v>3.0528020530000002</v>
      </c>
      <c r="P2270">
        <v>2.6493138999999999E-2</v>
      </c>
      <c r="Q2270">
        <v>-0.38692188</v>
      </c>
      <c r="S2270" s="13">
        <v>-1.4181459830000001</v>
      </c>
      <c r="T2270">
        <v>-0.27178076099999998</v>
      </c>
      <c r="U2270">
        <v>-0.15907375900000001</v>
      </c>
    </row>
    <row r="2271" spans="1:21" x14ac:dyDescent="0.2">
      <c r="A2271" t="s">
        <v>74</v>
      </c>
      <c r="B2271">
        <v>558680</v>
      </c>
      <c r="C2271" t="s">
        <v>6906</v>
      </c>
      <c r="D2271" t="s">
        <v>75</v>
      </c>
      <c r="E2271" t="s">
        <v>6970</v>
      </c>
      <c r="F2271">
        <v>3</v>
      </c>
      <c r="G2271">
        <v>14</v>
      </c>
      <c r="H2271" t="s">
        <v>11513</v>
      </c>
      <c r="J2271" t="s">
        <v>274</v>
      </c>
      <c r="M2271" t="s">
        <v>11514</v>
      </c>
      <c r="N2271">
        <v>1.813871112</v>
      </c>
      <c r="O2271">
        <v>2.6633694910000001</v>
      </c>
      <c r="P2271">
        <v>-0.29586356800000002</v>
      </c>
      <c r="Q2271">
        <v>-0.59018158399999998</v>
      </c>
      <c r="S2271" s="13">
        <v>-1.418192369</v>
      </c>
      <c r="T2271">
        <v>-0.27198346000000001</v>
      </c>
      <c r="U2271">
        <v>-0.199974557</v>
      </c>
    </row>
    <row r="2272" spans="1:21" x14ac:dyDescent="0.2">
      <c r="A2272" t="s">
        <v>1343</v>
      </c>
      <c r="B2272">
        <v>507760</v>
      </c>
      <c r="C2272" t="s">
        <v>6942</v>
      </c>
      <c r="D2272" t="s">
        <v>1344</v>
      </c>
      <c r="E2272" t="s">
        <v>7085</v>
      </c>
      <c r="F2272">
        <v>7</v>
      </c>
      <c r="G2272">
        <v>9</v>
      </c>
      <c r="H2272" t="s">
        <v>11515</v>
      </c>
      <c r="J2272" t="s">
        <v>2138</v>
      </c>
      <c r="M2272" t="s">
        <v>11516</v>
      </c>
      <c r="N2272">
        <v>2.0902262079999998</v>
      </c>
      <c r="O2272">
        <v>4.2704203920000001</v>
      </c>
      <c r="P2272">
        <v>0.23425843900000001</v>
      </c>
      <c r="Q2272">
        <v>1.6181978999999999E-2</v>
      </c>
      <c r="S2272" s="13">
        <v>-1.4188799249999999</v>
      </c>
      <c r="T2272">
        <v>-0.27498792</v>
      </c>
      <c r="U2272">
        <v>-0.28006823800000002</v>
      </c>
    </row>
    <row r="2273" spans="1:21" x14ac:dyDescent="0.2">
      <c r="A2273" t="s">
        <v>2488</v>
      </c>
      <c r="B2273">
        <v>497360</v>
      </c>
      <c r="C2273" t="s">
        <v>6931</v>
      </c>
      <c r="D2273" t="s">
        <v>2488</v>
      </c>
      <c r="E2273" t="s">
        <v>6907</v>
      </c>
      <c r="F2273">
        <v>10</v>
      </c>
      <c r="G2273">
        <v>4</v>
      </c>
      <c r="H2273" t="s">
        <v>11517</v>
      </c>
      <c r="N2273">
        <v>1.9323965059999999</v>
      </c>
      <c r="O2273">
        <v>3.0528020530000002</v>
      </c>
      <c r="P2273">
        <v>2.6493138999999999E-2</v>
      </c>
      <c r="Q2273">
        <v>-0.38692188</v>
      </c>
      <c r="S2273" s="13">
        <v>-1.4189869260000001</v>
      </c>
      <c r="T2273">
        <v>-0.27545549200000002</v>
      </c>
      <c r="U2273">
        <v>-0.159508441</v>
      </c>
    </row>
    <row r="2274" spans="1:21" x14ac:dyDescent="0.2">
      <c r="A2274" t="s">
        <v>1150</v>
      </c>
      <c r="B2274">
        <v>507640</v>
      </c>
      <c r="C2274" t="s">
        <v>6942</v>
      </c>
      <c r="D2274" t="s">
        <v>1150</v>
      </c>
      <c r="E2274" t="s">
        <v>7006</v>
      </c>
      <c r="F2274">
        <v>16</v>
      </c>
      <c r="G2274">
        <v>3</v>
      </c>
      <c r="H2274" t="s">
        <v>11518</v>
      </c>
      <c r="J2274" t="s">
        <v>1152</v>
      </c>
      <c r="M2274" t="s">
        <v>11519</v>
      </c>
      <c r="N2274">
        <v>2.0902262079999998</v>
      </c>
      <c r="O2274">
        <v>4.2704203920000001</v>
      </c>
      <c r="P2274">
        <v>0.23425843900000001</v>
      </c>
      <c r="Q2274">
        <v>1.6181978999999999E-2</v>
      </c>
      <c r="S2274" s="13">
        <v>-1.4189977030000001</v>
      </c>
      <c r="T2274">
        <v>-0.27550258599999999</v>
      </c>
      <c r="U2274">
        <v>-0.28017588599999999</v>
      </c>
    </row>
    <row r="2275" spans="1:21" x14ac:dyDescent="0.2">
      <c r="A2275" t="s">
        <v>697</v>
      </c>
      <c r="B2275">
        <v>663440</v>
      </c>
      <c r="C2275" t="s">
        <v>6914</v>
      </c>
      <c r="D2275" t="s">
        <v>698</v>
      </c>
      <c r="E2275" t="s">
        <v>7115</v>
      </c>
      <c r="F2275">
        <v>3</v>
      </c>
      <c r="G2275">
        <v>10</v>
      </c>
      <c r="H2275" t="s">
        <v>11520</v>
      </c>
      <c r="J2275" t="s">
        <v>3197</v>
      </c>
      <c r="M2275" t="s">
        <v>11521</v>
      </c>
      <c r="N2275">
        <v>1.8217074179999999</v>
      </c>
      <c r="O2275">
        <v>4.1700741289999996</v>
      </c>
      <c r="P2275">
        <v>0.189705977</v>
      </c>
      <c r="Q2275">
        <v>-1.7194070999999998E-2</v>
      </c>
      <c r="S2275" s="13">
        <v>-1.4190180649999999</v>
      </c>
      <c r="T2275">
        <v>-0.27559156400000001</v>
      </c>
      <c r="U2275">
        <v>-0.239670677</v>
      </c>
    </row>
    <row r="2276" spans="1:21" x14ac:dyDescent="0.2">
      <c r="A2276" t="s">
        <v>1144</v>
      </c>
      <c r="B2276">
        <v>576560</v>
      </c>
      <c r="C2276" t="s">
        <v>6938</v>
      </c>
      <c r="D2276" t="s">
        <v>1145</v>
      </c>
      <c r="E2276" t="s">
        <v>6974</v>
      </c>
      <c r="F2276">
        <v>7</v>
      </c>
      <c r="G2276">
        <v>15</v>
      </c>
      <c r="H2276" t="s">
        <v>11522</v>
      </c>
      <c r="J2276" t="s">
        <v>3606</v>
      </c>
      <c r="M2276" t="s">
        <v>11523</v>
      </c>
      <c r="N2276">
        <v>2.092758737</v>
      </c>
      <c r="O2276">
        <v>5.3323610669999999</v>
      </c>
      <c r="P2276">
        <v>0.70420098600000003</v>
      </c>
      <c r="Q2276">
        <v>0.41355372699999998</v>
      </c>
      <c r="S2276" s="13">
        <v>-1.4199587769999999</v>
      </c>
      <c r="T2276">
        <v>-0.27970225900000001</v>
      </c>
      <c r="U2276">
        <v>-0.27447160500000001</v>
      </c>
    </row>
    <row r="2277" spans="1:21" x14ac:dyDescent="0.2">
      <c r="A2277" t="s">
        <v>1092</v>
      </c>
      <c r="B2277">
        <v>422240</v>
      </c>
      <c r="C2277" t="s">
        <v>6945</v>
      </c>
      <c r="D2277" t="s">
        <v>1092</v>
      </c>
      <c r="E2277" t="s">
        <v>6970</v>
      </c>
      <c r="F2277">
        <v>20</v>
      </c>
      <c r="G2277">
        <v>14</v>
      </c>
      <c r="H2277" t="s">
        <v>11524</v>
      </c>
      <c r="J2277" t="s">
        <v>6279</v>
      </c>
      <c r="M2277" t="s">
        <v>11525</v>
      </c>
      <c r="N2277">
        <v>2.2220813349999999</v>
      </c>
      <c r="O2277">
        <v>6.5440947090000003</v>
      </c>
      <c r="P2277">
        <v>0.58228215500000002</v>
      </c>
      <c r="Q2277">
        <v>0.35188233000000002</v>
      </c>
      <c r="S2277" s="13">
        <v>-1.42000415</v>
      </c>
      <c r="T2277">
        <v>-0.27990052900000001</v>
      </c>
      <c r="U2277">
        <v>-0.29349470999999999</v>
      </c>
    </row>
    <row r="2278" spans="1:21" x14ac:dyDescent="0.2">
      <c r="A2278" t="s">
        <v>13</v>
      </c>
      <c r="B2278">
        <v>496480</v>
      </c>
      <c r="C2278" t="s">
        <v>6931</v>
      </c>
      <c r="D2278" t="s">
        <v>13</v>
      </c>
      <c r="E2278" t="s">
        <v>6921</v>
      </c>
      <c r="F2278">
        <v>22</v>
      </c>
      <c r="G2278">
        <v>8</v>
      </c>
      <c r="H2278" t="s">
        <v>11526</v>
      </c>
      <c r="N2278">
        <v>1.9323965059999999</v>
      </c>
      <c r="O2278">
        <v>3.0528020530000002</v>
      </c>
      <c r="P2278">
        <v>2.6493138999999999E-2</v>
      </c>
      <c r="Q2278">
        <v>-0.38692188</v>
      </c>
      <c r="S2278" s="13">
        <v>-1.420143223</v>
      </c>
      <c r="T2278">
        <v>-0.28050824600000002</v>
      </c>
      <c r="U2278">
        <v>-0.16010684</v>
      </c>
    </row>
    <row r="2279" spans="1:21" x14ac:dyDescent="0.2">
      <c r="A2279" t="s">
        <v>1764</v>
      </c>
      <c r="B2279">
        <v>557120</v>
      </c>
      <c r="C2279" t="s">
        <v>6906</v>
      </c>
      <c r="D2279" t="s">
        <v>1764</v>
      </c>
      <c r="E2279" t="s">
        <v>7115</v>
      </c>
      <c r="F2279">
        <v>20</v>
      </c>
      <c r="G2279">
        <v>10</v>
      </c>
      <c r="H2279" t="s">
        <v>11527</v>
      </c>
      <c r="J2279" t="s">
        <v>1766</v>
      </c>
      <c r="M2279" t="s">
        <v>11528</v>
      </c>
      <c r="N2279">
        <v>1.813871112</v>
      </c>
      <c r="O2279">
        <v>2.6633694910000001</v>
      </c>
      <c r="P2279">
        <v>-0.29586356800000002</v>
      </c>
      <c r="Q2279">
        <v>-0.59018158399999998</v>
      </c>
      <c r="S2279" s="13">
        <v>-1.4204555350000001</v>
      </c>
      <c r="T2279">
        <v>-0.281872976</v>
      </c>
      <c r="U2279">
        <v>-0.201139707</v>
      </c>
    </row>
    <row r="2280" spans="1:21" x14ac:dyDescent="0.2">
      <c r="A2280" t="s">
        <v>259</v>
      </c>
      <c r="B2280">
        <v>640600</v>
      </c>
      <c r="C2280" t="s">
        <v>6953</v>
      </c>
      <c r="D2280" t="s">
        <v>260</v>
      </c>
      <c r="E2280" t="s">
        <v>6956</v>
      </c>
      <c r="F2280">
        <v>1</v>
      </c>
      <c r="G2280">
        <v>7</v>
      </c>
      <c r="H2280" t="s">
        <v>11529</v>
      </c>
      <c r="J2280" t="s">
        <v>2164</v>
      </c>
      <c r="M2280" t="s">
        <v>11530</v>
      </c>
      <c r="N2280">
        <v>1.921480887</v>
      </c>
      <c r="O2280">
        <v>3.0856645180000002</v>
      </c>
      <c r="P2280">
        <v>0.44706724399999997</v>
      </c>
      <c r="Q2280">
        <v>-0.354940863</v>
      </c>
      <c r="S2280" s="13">
        <v>-1.4205076059999999</v>
      </c>
      <c r="T2280">
        <v>-0.282100515</v>
      </c>
      <c r="U2280">
        <v>-0.18323537000000001</v>
      </c>
    </row>
    <row r="2281" spans="1:21" x14ac:dyDescent="0.2">
      <c r="A2281" t="s">
        <v>1659</v>
      </c>
      <c r="B2281">
        <v>496040</v>
      </c>
      <c r="C2281" t="s">
        <v>6931</v>
      </c>
      <c r="D2281" t="s">
        <v>1660</v>
      </c>
      <c r="E2281" t="s">
        <v>6946</v>
      </c>
      <c r="F2281">
        <v>8</v>
      </c>
      <c r="G2281">
        <v>11</v>
      </c>
      <c r="H2281" t="s">
        <v>11531</v>
      </c>
      <c r="N2281">
        <v>1.9323965059999999</v>
      </c>
      <c r="O2281">
        <v>3.0528020530000002</v>
      </c>
      <c r="P2281">
        <v>2.6493138999999999E-2</v>
      </c>
      <c r="Q2281">
        <v>-0.38692188</v>
      </c>
      <c r="S2281" s="13">
        <v>-1.420721372</v>
      </c>
      <c r="T2281">
        <v>-0.28303462299999999</v>
      </c>
      <c r="U2281">
        <v>-0.160406348</v>
      </c>
    </row>
    <row r="2282" spans="1:21" x14ac:dyDescent="0.2">
      <c r="A2282" t="s">
        <v>1675</v>
      </c>
      <c r="B2282">
        <v>575000</v>
      </c>
      <c r="C2282" t="s">
        <v>6938</v>
      </c>
      <c r="D2282" t="s">
        <v>1675</v>
      </c>
      <c r="E2282" t="s">
        <v>6915</v>
      </c>
      <c r="F2282">
        <v>21</v>
      </c>
      <c r="G2282">
        <v>13</v>
      </c>
      <c r="H2282" t="s">
        <v>11532</v>
      </c>
      <c r="J2282" t="s">
        <v>4550</v>
      </c>
      <c r="M2282" t="s">
        <v>11533</v>
      </c>
      <c r="N2282">
        <v>2.092758737</v>
      </c>
      <c r="O2282">
        <v>5.3323610669999999</v>
      </c>
      <c r="P2282">
        <v>0.70420098600000003</v>
      </c>
      <c r="Q2282">
        <v>0.41355372699999998</v>
      </c>
      <c r="S2282" s="13">
        <v>-1.4212985229999999</v>
      </c>
      <c r="T2282">
        <v>-0.28555664200000003</v>
      </c>
      <c r="U2282">
        <v>-0.275855134</v>
      </c>
    </row>
    <row r="2283" spans="1:21" x14ac:dyDescent="0.2">
      <c r="A2283" t="s">
        <v>547</v>
      </c>
      <c r="B2283">
        <v>505240</v>
      </c>
      <c r="C2283" t="s">
        <v>6942</v>
      </c>
      <c r="D2283" t="s">
        <v>548</v>
      </c>
      <c r="E2283" t="s">
        <v>6970</v>
      </c>
      <c r="F2283">
        <v>5</v>
      </c>
      <c r="G2283">
        <v>14</v>
      </c>
      <c r="H2283" t="s">
        <v>11534</v>
      </c>
      <c r="J2283" t="s">
        <v>550</v>
      </c>
      <c r="M2283" t="s">
        <v>11535</v>
      </c>
      <c r="N2283">
        <v>2.0902262079999998</v>
      </c>
      <c r="O2283">
        <v>4.2704203920000001</v>
      </c>
      <c r="P2283">
        <v>0.23425843900000001</v>
      </c>
      <c r="Q2283">
        <v>1.6181978999999999E-2</v>
      </c>
      <c r="S2283" s="13">
        <v>-1.4213532769999999</v>
      </c>
      <c r="T2283">
        <v>-0.28579590599999999</v>
      </c>
      <c r="U2283">
        <v>-0.28233445600000001</v>
      </c>
    </row>
    <row r="2284" spans="1:21" x14ac:dyDescent="0.2">
      <c r="A2284" t="s">
        <v>1426</v>
      </c>
      <c r="B2284">
        <v>556400</v>
      </c>
      <c r="C2284" t="s">
        <v>6906</v>
      </c>
      <c r="D2284" t="s">
        <v>1426</v>
      </c>
      <c r="E2284" t="s">
        <v>6907</v>
      </c>
      <c r="F2284">
        <v>15</v>
      </c>
      <c r="G2284">
        <v>4</v>
      </c>
      <c r="H2284" t="s">
        <v>11536</v>
      </c>
      <c r="J2284" t="s">
        <v>2281</v>
      </c>
      <c r="M2284" t="s">
        <v>11537</v>
      </c>
      <c r="N2284">
        <v>1.813871112</v>
      </c>
      <c r="O2284">
        <v>2.6633694910000001</v>
      </c>
      <c r="P2284">
        <v>-0.29586356800000002</v>
      </c>
      <c r="Q2284">
        <v>-0.59018158399999998</v>
      </c>
      <c r="S2284" s="13">
        <v>-1.421500073</v>
      </c>
      <c r="T2284">
        <v>-0.28643736800000003</v>
      </c>
      <c r="U2284">
        <v>-0.201678524</v>
      </c>
    </row>
    <row r="2285" spans="1:21" x14ac:dyDescent="0.2">
      <c r="A2285" t="s">
        <v>462</v>
      </c>
      <c r="B2285">
        <v>549440</v>
      </c>
      <c r="C2285" t="s">
        <v>6910</v>
      </c>
      <c r="D2285" t="s">
        <v>462</v>
      </c>
      <c r="E2285" t="s">
        <v>6956</v>
      </c>
      <c r="F2285">
        <v>20</v>
      </c>
      <c r="G2285">
        <v>7</v>
      </c>
      <c r="H2285" t="s">
        <v>11538</v>
      </c>
      <c r="J2285" t="s">
        <v>3686</v>
      </c>
      <c r="M2285" t="s">
        <v>11539</v>
      </c>
      <c r="N2285">
        <v>1.9874741039999999</v>
      </c>
      <c r="O2285">
        <v>3.7453511220000002</v>
      </c>
      <c r="P2285">
        <v>0.451009722</v>
      </c>
      <c r="Q2285">
        <v>-0.102386592</v>
      </c>
      <c r="S2285" s="13">
        <v>-1.4215458439999999</v>
      </c>
      <c r="T2285">
        <v>-0.286637378</v>
      </c>
      <c r="U2285">
        <v>-0.177602326</v>
      </c>
    </row>
    <row r="2286" spans="1:21" x14ac:dyDescent="0.2">
      <c r="A2286" t="s">
        <v>361</v>
      </c>
      <c r="B2286">
        <v>639360</v>
      </c>
      <c r="C2286" t="s">
        <v>6953</v>
      </c>
      <c r="D2286" t="s">
        <v>361</v>
      </c>
      <c r="E2286" t="s">
        <v>6921</v>
      </c>
      <c r="F2286">
        <v>21</v>
      </c>
      <c r="G2286">
        <v>8</v>
      </c>
      <c r="H2286" t="s">
        <v>11540</v>
      </c>
      <c r="J2286" t="s">
        <v>1469</v>
      </c>
      <c r="M2286" t="s">
        <v>11541</v>
      </c>
      <c r="N2286">
        <v>1.921480887</v>
      </c>
      <c r="O2286">
        <v>3.0856645180000002</v>
      </c>
      <c r="P2286">
        <v>0.44706724399999997</v>
      </c>
      <c r="Q2286">
        <v>-0.354940863</v>
      </c>
      <c r="S2286" s="13">
        <v>-1.42179426</v>
      </c>
      <c r="T2286">
        <v>-0.28772289899999998</v>
      </c>
      <c r="U2286">
        <v>-0.18412621600000001</v>
      </c>
    </row>
    <row r="2287" spans="1:21" x14ac:dyDescent="0.2">
      <c r="A2287" t="s">
        <v>796</v>
      </c>
      <c r="B2287">
        <v>574320</v>
      </c>
      <c r="C2287" t="s">
        <v>6927</v>
      </c>
      <c r="D2287" t="s">
        <v>796</v>
      </c>
      <c r="E2287" t="s">
        <v>6918</v>
      </c>
      <c r="F2287">
        <v>13</v>
      </c>
      <c r="G2287">
        <v>1</v>
      </c>
      <c r="H2287" t="s">
        <v>11542</v>
      </c>
      <c r="J2287" t="s">
        <v>11543</v>
      </c>
      <c r="M2287" t="s">
        <v>11544</v>
      </c>
      <c r="N2287">
        <v>1.982575982</v>
      </c>
      <c r="O2287">
        <v>3.4571926419999999</v>
      </c>
      <c r="P2287">
        <v>-0.114791479</v>
      </c>
      <c r="Q2287">
        <v>1.868949E-3</v>
      </c>
      <c r="S2287" s="13">
        <v>-1.4218046360000001</v>
      </c>
      <c r="T2287">
        <v>-0.28776824099999998</v>
      </c>
      <c r="U2287">
        <v>-0.24707257199999999</v>
      </c>
    </row>
    <row r="2288" spans="1:21" x14ac:dyDescent="0.2">
      <c r="A2288" t="s">
        <v>1688</v>
      </c>
      <c r="B2288">
        <v>574280</v>
      </c>
      <c r="C2288" t="s">
        <v>6938</v>
      </c>
      <c r="D2288" t="s">
        <v>1688</v>
      </c>
      <c r="E2288" t="s">
        <v>6915</v>
      </c>
      <c r="F2288">
        <v>22</v>
      </c>
      <c r="G2288">
        <v>13</v>
      </c>
      <c r="H2288" t="s">
        <v>11545</v>
      </c>
      <c r="J2288" t="s">
        <v>5317</v>
      </c>
      <c r="M2288" t="s">
        <v>11546</v>
      </c>
      <c r="N2288">
        <v>2.092758737</v>
      </c>
      <c r="O2288">
        <v>5.3323610669999999</v>
      </c>
      <c r="P2288">
        <v>0.70420098600000003</v>
      </c>
      <c r="Q2288">
        <v>0.41355372699999998</v>
      </c>
      <c r="S2288" s="13">
        <v>-1.421916867</v>
      </c>
      <c r="T2288">
        <v>-0.28825866500000003</v>
      </c>
      <c r="U2288">
        <v>-0.27649517499999998</v>
      </c>
    </row>
    <row r="2289" spans="1:21" x14ac:dyDescent="0.2">
      <c r="A2289" t="s">
        <v>703</v>
      </c>
      <c r="B2289">
        <v>574200</v>
      </c>
      <c r="C2289" t="s">
        <v>6927</v>
      </c>
      <c r="D2289" t="s">
        <v>704</v>
      </c>
      <c r="E2289" t="s">
        <v>6924</v>
      </c>
      <c r="F2289">
        <v>8</v>
      </c>
      <c r="G2289">
        <v>6</v>
      </c>
      <c r="H2289" t="s">
        <v>11547</v>
      </c>
      <c r="J2289" t="s">
        <v>11548</v>
      </c>
      <c r="M2289" t="s">
        <v>11549</v>
      </c>
      <c r="N2289">
        <v>1.982575982</v>
      </c>
      <c r="O2289">
        <v>3.4571926419999999</v>
      </c>
      <c r="P2289">
        <v>-0.114791479</v>
      </c>
      <c r="Q2289">
        <v>1.868949E-3</v>
      </c>
      <c r="S2289" s="13">
        <v>-1.4219291510000001</v>
      </c>
      <c r="T2289">
        <v>-0.28831234300000003</v>
      </c>
      <c r="U2289">
        <v>-0.24717234299999999</v>
      </c>
    </row>
    <row r="2290" spans="1:21" x14ac:dyDescent="0.2">
      <c r="A2290" t="s">
        <v>494</v>
      </c>
      <c r="B2290">
        <v>555960</v>
      </c>
      <c r="C2290" t="s">
        <v>6906</v>
      </c>
      <c r="D2290" t="s">
        <v>495</v>
      </c>
      <c r="E2290" t="s">
        <v>6939</v>
      </c>
      <c r="F2290">
        <v>5</v>
      </c>
      <c r="G2290">
        <v>2</v>
      </c>
      <c r="H2290" t="s">
        <v>11550</v>
      </c>
      <c r="J2290" t="s">
        <v>4415</v>
      </c>
      <c r="M2290" t="s">
        <v>11551</v>
      </c>
      <c r="N2290">
        <v>1.813871112</v>
      </c>
      <c r="O2290">
        <v>2.6633694910000001</v>
      </c>
      <c r="P2290">
        <v>-0.29586356800000002</v>
      </c>
      <c r="Q2290">
        <v>-0.59018158399999998</v>
      </c>
      <c r="S2290" s="13">
        <v>-1.422138401</v>
      </c>
      <c r="T2290">
        <v>-0.28922671799999999</v>
      </c>
      <c r="U2290">
        <v>-0.20200813100000001</v>
      </c>
    </row>
    <row r="2291" spans="1:21" x14ac:dyDescent="0.2">
      <c r="A2291" t="s">
        <v>1783</v>
      </c>
      <c r="B2291">
        <v>573880</v>
      </c>
      <c r="C2291" t="s">
        <v>6938</v>
      </c>
      <c r="D2291" t="s">
        <v>1783</v>
      </c>
      <c r="E2291" t="s">
        <v>6915</v>
      </c>
      <c r="F2291">
        <v>11</v>
      </c>
      <c r="G2291">
        <v>13</v>
      </c>
      <c r="H2291" t="s">
        <v>11552</v>
      </c>
      <c r="J2291" t="s">
        <v>3705</v>
      </c>
      <c r="M2291" t="s">
        <v>11553</v>
      </c>
      <c r="N2291">
        <v>2.092758737</v>
      </c>
      <c r="O2291">
        <v>5.3323610669999999</v>
      </c>
      <c r="P2291">
        <v>0.70420098600000003</v>
      </c>
      <c r="Q2291">
        <v>0.41355372699999998</v>
      </c>
      <c r="S2291" s="13">
        <v>-1.4222603920000001</v>
      </c>
      <c r="T2291">
        <v>-0.28975978800000002</v>
      </c>
      <c r="U2291">
        <v>-0.27685116100000001</v>
      </c>
    </row>
    <row r="2292" spans="1:21" x14ac:dyDescent="0.2">
      <c r="A2292" t="s">
        <v>511</v>
      </c>
      <c r="B2292">
        <v>660600</v>
      </c>
      <c r="C2292" t="s">
        <v>6914</v>
      </c>
      <c r="D2292" t="s">
        <v>511</v>
      </c>
      <c r="E2292" t="s">
        <v>6911</v>
      </c>
      <c r="F2292">
        <v>21</v>
      </c>
      <c r="G2292">
        <v>12</v>
      </c>
      <c r="H2292" t="s">
        <v>11554</v>
      </c>
      <c r="J2292" t="s">
        <v>5137</v>
      </c>
      <c r="M2292" t="s">
        <v>11555</v>
      </c>
      <c r="N2292">
        <v>1.8217074179999999</v>
      </c>
      <c r="O2292">
        <v>4.1700741289999996</v>
      </c>
      <c r="P2292">
        <v>0.189705977</v>
      </c>
      <c r="Q2292">
        <v>-1.7194070999999998E-2</v>
      </c>
      <c r="S2292" s="13">
        <v>-1.4224339079999999</v>
      </c>
      <c r="T2292">
        <v>-0.29051801599999999</v>
      </c>
      <c r="U2292">
        <v>-0.241997977</v>
      </c>
    </row>
    <row r="2293" spans="1:21" x14ac:dyDescent="0.2">
      <c r="A2293" t="s">
        <v>361</v>
      </c>
      <c r="B2293">
        <v>573440</v>
      </c>
      <c r="C2293" t="s">
        <v>6927</v>
      </c>
      <c r="D2293" t="s">
        <v>361</v>
      </c>
      <c r="E2293" t="s">
        <v>6921</v>
      </c>
      <c r="F2293">
        <v>21</v>
      </c>
      <c r="G2293">
        <v>8</v>
      </c>
      <c r="H2293" t="s">
        <v>11556</v>
      </c>
      <c r="J2293" t="s">
        <v>11557</v>
      </c>
      <c r="M2293" t="s">
        <v>11558</v>
      </c>
      <c r="N2293">
        <v>1.982575982</v>
      </c>
      <c r="O2293">
        <v>3.4571926419999999</v>
      </c>
      <c r="P2293">
        <v>-0.114791479</v>
      </c>
      <c r="Q2293">
        <v>1.868949E-3</v>
      </c>
      <c r="S2293" s="13">
        <v>-1.4227177449999999</v>
      </c>
      <c r="T2293">
        <v>-0.29175832000000002</v>
      </c>
      <c r="U2293">
        <v>-0.24780475800000001</v>
      </c>
    </row>
    <row r="2294" spans="1:21" x14ac:dyDescent="0.2">
      <c r="A2294" t="s">
        <v>2341</v>
      </c>
      <c r="B2294">
        <v>573360</v>
      </c>
      <c r="C2294" t="s">
        <v>6927</v>
      </c>
      <c r="D2294" t="s">
        <v>2341</v>
      </c>
      <c r="E2294" t="s">
        <v>6921</v>
      </c>
      <c r="F2294">
        <v>14</v>
      </c>
      <c r="G2294">
        <v>8</v>
      </c>
      <c r="H2294" t="s">
        <v>11559</v>
      </c>
      <c r="J2294" t="s">
        <v>11560</v>
      </c>
      <c r="M2294" t="s">
        <v>11561</v>
      </c>
      <c r="N2294">
        <v>1.982575982</v>
      </c>
      <c r="O2294">
        <v>3.4571926419999999</v>
      </c>
      <c r="P2294">
        <v>-0.114791479</v>
      </c>
      <c r="Q2294">
        <v>1.868949E-3</v>
      </c>
      <c r="S2294" s="13">
        <v>-1.4228007549999999</v>
      </c>
      <c r="T2294">
        <v>-0.29212105399999999</v>
      </c>
      <c r="U2294">
        <v>-0.247871382</v>
      </c>
    </row>
    <row r="2295" spans="1:21" x14ac:dyDescent="0.2">
      <c r="A2295" t="s">
        <v>191</v>
      </c>
      <c r="B2295">
        <v>660160</v>
      </c>
      <c r="C2295" t="s">
        <v>6914</v>
      </c>
      <c r="D2295" t="s">
        <v>192</v>
      </c>
      <c r="E2295" t="s">
        <v>6911</v>
      </c>
      <c r="F2295">
        <v>1</v>
      </c>
      <c r="G2295">
        <v>12</v>
      </c>
      <c r="H2295" t="s">
        <v>11562</v>
      </c>
      <c r="J2295" t="s">
        <v>2729</v>
      </c>
      <c r="M2295" t="s">
        <v>11563</v>
      </c>
      <c r="N2295">
        <v>1.8217074179999999</v>
      </c>
      <c r="O2295">
        <v>4.1700741289999996</v>
      </c>
      <c r="P2295">
        <v>0.189705977</v>
      </c>
      <c r="Q2295">
        <v>-1.7194070999999998E-2</v>
      </c>
      <c r="S2295" s="13">
        <v>-1.4229631229999999</v>
      </c>
      <c r="T2295">
        <v>-0.29283056499999999</v>
      </c>
      <c r="U2295">
        <v>-0.242359663</v>
      </c>
    </row>
    <row r="2296" spans="1:21" x14ac:dyDescent="0.2">
      <c r="A2296" t="s">
        <v>134</v>
      </c>
      <c r="B2296">
        <v>660120</v>
      </c>
      <c r="C2296" t="s">
        <v>6914</v>
      </c>
      <c r="D2296" t="s">
        <v>135</v>
      </c>
      <c r="E2296" t="s">
        <v>6970</v>
      </c>
      <c r="F2296">
        <v>1</v>
      </c>
      <c r="G2296">
        <v>14</v>
      </c>
      <c r="H2296" t="s">
        <v>11564</v>
      </c>
      <c r="J2296" t="s">
        <v>6371</v>
      </c>
      <c r="M2296" t="s">
        <v>11565</v>
      </c>
      <c r="N2296">
        <v>1.8217074179999999</v>
      </c>
      <c r="O2296">
        <v>4.1700741289999996</v>
      </c>
      <c r="P2296">
        <v>0.189705977</v>
      </c>
      <c r="Q2296">
        <v>-1.7194070999999998E-2</v>
      </c>
      <c r="S2296" s="13">
        <v>-1.4230112340000001</v>
      </c>
      <c r="T2296">
        <v>-0.29304079700000002</v>
      </c>
      <c r="U2296">
        <v>-0.24239255800000001</v>
      </c>
    </row>
    <row r="2297" spans="1:21" x14ac:dyDescent="0.2">
      <c r="A2297" t="s">
        <v>1582</v>
      </c>
      <c r="B2297">
        <v>572640</v>
      </c>
      <c r="C2297" t="s">
        <v>6938</v>
      </c>
      <c r="D2297" t="s">
        <v>1583</v>
      </c>
      <c r="E2297" t="s">
        <v>7006</v>
      </c>
      <c r="F2297">
        <v>9</v>
      </c>
      <c r="G2297">
        <v>3</v>
      </c>
      <c r="H2297" t="s">
        <v>11566</v>
      </c>
      <c r="J2297" t="s">
        <v>3476</v>
      </c>
      <c r="M2297" t="s">
        <v>11567</v>
      </c>
      <c r="N2297">
        <v>2.092758737</v>
      </c>
      <c r="O2297">
        <v>5.3323610669999999</v>
      </c>
      <c r="P2297">
        <v>0.70420098600000003</v>
      </c>
      <c r="Q2297">
        <v>0.41355372699999998</v>
      </c>
      <c r="S2297" s="13">
        <v>-1.4233253180000001</v>
      </c>
      <c r="T2297">
        <v>-0.294413272</v>
      </c>
      <c r="U2297">
        <v>-0.27795657699999998</v>
      </c>
    </row>
    <row r="2298" spans="1:21" x14ac:dyDescent="0.2">
      <c r="A2298" t="s">
        <v>812</v>
      </c>
      <c r="B2298">
        <v>572760</v>
      </c>
      <c r="C2298" t="s">
        <v>6927</v>
      </c>
      <c r="D2298" t="s">
        <v>813</v>
      </c>
      <c r="E2298" t="s">
        <v>7115</v>
      </c>
      <c r="F2298">
        <v>7</v>
      </c>
      <c r="G2298">
        <v>10</v>
      </c>
      <c r="H2298" t="s">
        <v>11568</v>
      </c>
      <c r="J2298" t="s">
        <v>11569</v>
      </c>
      <c r="M2298" t="s">
        <v>11570</v>
      </c>
      <c r="N2298">
        <v>1.982575982</v>
      </c>
      <c r="O2298">
        <v>3.4571926419999999</v>
      </c>
      <c r="P2298">
        <v>-0.114791479</v>
      </c>
      <c r="Q2298">
        <v>1.868949E-3</v>
      </c>
      <c r="S2298" s="13">
        <v>-1.4234233300000001</v>
      </c>
      <c r="T2298">
        <v>-0.29484156299999997</v>
      </c>
      <c r="U2298">
        <v>-0.248371385</v>
      </c>
    </row>
    <row r="2299" spans="1:21" x14ac:dyDescent="0.2">
      <c r="A2299" t="s">
        <v>139</v>
      </c>
      <c r="B2299">
        <v>503120</v>
      </c>
      <c r="C2299" t="s">
        <v>6942</v>
      </c>
      <c r="D2299" t="s">
        <v>139</v>
      </c>
      <c r="E2299" t="s">
        <v>6939</v>
      </c>
      <c r="F2299">
        <v>17</v>
      </c>
      <c r="G2299">
        <v>2</v>
      </c>
      <c r="H2299" t="s">
        <v>11571</v>
      </c>
      <c r="J2299" t="s">
        <v>141</v>
      </c>
      <c r="M2299" t="s">
        <v>11572</v>
      </c>
      <c r="N2299">
        <v>2.0902262079999998</v>
      </c>
      <c r="O2299">
        <v>4.2704203920000001</v>
      </c>
      <c r="P2299">
        <v>0.23425843900000001</v>
      </c>
      <c r="Q2299">
        <v>1.6181978999999999E-2</v>
      </c>
      <c r="S2299" s="13">
        <v>-1.423434034</v>
      </c>
      <c r="T2299">
        <v>-0.29488833800000003</v>
      </c>
      <c r="U2299">
        <v>-0.284250159</v>
      </c>
    </row>
    <row r="2300" spans="1:21" x14ac:dyDescent="0.2">
      <c r="A2300" t="s">
        <v>693</v>
      </c>
      <c r="B2300">
        <v>659400</v>
      </c>
      <c r="C2300" t="s">
        <v>6914</v>
      </c>
      <c r="D2300" t="s">
        <v>693</v>
      </c>
      <c r="E2300" t="s">
        <v>6977</v>
      </c>
      <c r="F2300">
        <v>22</v>
      </c>
      <c r="G2300">
        <v>5</v>
      </c>
      <c r="H2300" t="s">
        <v>11573</v>
      </c>
      <c r="J2300" t="s">
        <v>6815</v>
      </c>
      <c r="M2300" t="s">
        <v>11574</v>
      </c>
      <c r="N2300">
        <v>1.8217074179999999</v>
      </c>
      <c r="O2300">
        <v>4.1700741289999996</v>
      </c>
      <c r="P2300">
        <v>0.189705977</v>
      </c>
      <c r="Q2300">
        <v>-1.7194070999999998E-2</v>
      </c>
      <c r="S2300" s="13">
        <v>-1.423877222</v>
      </c>
      <c r="T2300">
        <v>-0.29682496800000002</v>
      </c>
      <c r="U2300">
        <v>-0.24298510400000001</v>
      </c>
    </row>
    <row r="2301" spans="1:21" x14ac:dyDescent="0.2">
      <c r="A2301" t="s">
        <v>511</v>
      </c>
      <c r="B2301">
        <v>572200</v>
      </c>
      <c r="C2301" t="s">
        <v>6927</v>
      </c>
      <c r="D2301" t="s">
        <v>511</v>
      </c>
      <c r="E2301" t="s">
        <v>6911</v>
      </c>
      <c r="F2301">
        <v>21</v>
      </c>
      <c r="G2301">
        <v>12</v>
      </c>
      <c r="H2301" t="s">
        <v>11575</v>
      </c>
      <c r="J2301" t="s">
        <v>11576</v>
      </c>
      <c r="M2301" t="s">
        <v>11577</v>
      </c>
      <c r="N2301">
        <v>1.982575982</v>
      </c>
      <c r="O2301">
        <v>3.4571926419999999</v>
      </c>
      <c r="P2301">
        <v>-0.114791479</v>
      </c>
      <c r="Q2301">
        <v>1.868949E-3</v>
      </c>
      <c r="S2301" s="13">
        <v>-1.4240044000000001</v>
      </c>
      <c r="T2301">
        <v>-0.297380704</v>
      </c>
      <c r="U2301">
        <v>-0.24883857500000001</v>
      </c>
    </row>
    <row r="2302" spans="1:21" x14ac:dyDescent="0.2">
      <c r="A2302" t="s">
        <v>1593</v>
      </c>
      <c r="B2302">
        <v>571680</v>
      </c>
      <c r="C2302" t="s">
        <v>6938</v>
      </c>
      <c r="D2302" t="s">
        <v>1593</v>
      </c>
      <c r="E2302" t="s">
        <v>6939</v>
      </c>
      <c r="F2302">
        <v>14</v>
      </c>
      <c r="G2302">
        <v>2</v>
      </c>
      <c r="H2302" t="s">
        <v>11578</v>
      </c>
      <c r="J2302" t="s">
        <v>4940</v>
      </c>
      <c r="M2302" t="s">
        <v>11579</v>
      </c>
      <c r="N2302">
        <v>2.092758737</v>
      </c>
      <c r="O2302">
        <v>5.3323610669999999</v>
      </c>
      <c r="P2302">
        <v>0.70420098600000003</v>
      </c>
      <c r="Q2302">
        <v>0.41355372699999998</v>
      </c>
      <c r="S2302" s="13">
        <v>-1.424149777</v>
      </c>
      <c r="T2302">
        <v>-0.29801596899999999</v>
      </c>
      <c r="U2302">
        <v>-0.27881431899999998</v>
      </c>
    </row>
    <row r="2303" spans="1:21" x14ac:dyDescent="0.2">
      <c r="A2303" t="s">
        <v>988</v>
      </c>
      <c r="B2303">
        <v>554560</v>
      </c>
      <c r="C2303" t="s">
        <v>6906</v>
      </c>
      <c r="D2303" t="s">
        <v>988</v>
      </c>
      <c r="E2303" t="s">
        <v>6974</v>
      </c>
      <c r="F2303">
        <v>16</v>
      </c>
      <c r="G2303">
        <v>15</v>
      </c>
      <c r="H2303" t="s">
        <v>11580</v>
      </c>
      <c r="J2303" t="s">
        <v>1631</v>
      </c>
      <c r="M2303" t="s">
        <v>11581</v>
      </c>
      <c r="N2303">
        <v>1.813871112</v>
      </c>
      <c r="O2303">
        <v>2.6633694910000001</v>
      </c>
      <c r="P2303">
        <v>-0.29586356800000002</v>
      </c>
      <c r="Q2303">
        <v>-0.59018158399999998</v>
      </c>
      <c r="S2303" s="13">
        <v>-1.4241694469999999</v>
      </c>
      <c r="T2303">
        <v>-0.29810192499999999</v>
      </c>
      <c r="U2303">
        <v>-0.20305854800000001</v>
      </c>
    </row>
    <row r="2304" spans="1:21" x14ac:dyDescent="0.2">
      <c r="A2304" t="s">
        <v>1137</v>
      </c>
      <c r="B2304">
        <v>502320</v>
      </c>
      <c r="C2304" t="s">
        <v>6942</v>
      </c>
      <c r="D2304" t="s">
        <v>1137</v>
      </c>
      <c r="E2304" t="s">
        <v>7085</v>
      </c>
      <c r="F2304">
        <v>18</v>
      </c>
      <c r="G2304">
        <v>9</v>
      </c>
      <c r="H2304" t="s">
        <v>11582</v>
      </c>
      <c r="J2304" t="s">
        <v>1280</v>
      </c>
      <c r="M2304" t="s">
        <v>11583</v>
      </c>
      <c r="N2304">
        <v>2.0902262079999998</v>
      </c>
      <c r="O2304">
        <v>4.2704203920000001</v>
      </c>
      <c r="P2304">
        <v>0.23425843900000001</v>
      </c>
      <c r="Q2304">
        <v>1.6181978999999999E-2</v>
      </c>
      <c r="S2304" s="13">
        <v>-1.4242192250000001</v>
      </c>
      <c r="T2304">
        <v>-0.29831944399999999</v>
      </c>
      <c r="U2304">
        <v>-0.28497526699999998</v>
      </c>
    </row>
    <row r="2305" spans="1:21" x14ac:dyDescent="0.2">
      <c r="A2305" t="s">
        <v>1112</v>
      </c>
      <c r="B2305">
        <v>571920</v>
      </c>
      <c r="C2305" t="s">
        <v>6927</v>
      </c>
      <c r="D2305" t="s">
        <v>1112</v>
      </c>
      <c r="E2305" t="s">
        <v>6924</v>
      </c>
      <c r="F2305">
        <v>23</v>
      </c>
      <c r="G2305">
        <v>6</v>
      </c>
      <c r="H2305" t="s">
        <v>11584</v>
      </c>
      <c r="J2305" t="s">
        <v>11585</v>
      </c>
      <c r="M2305" t="s">
        <v>11586</v>
      </c>
      <c r="N2305">
        <v>1.982575982</v>
      </c>
      <c r="O2305">
        <v>3.4571926419999999</v>
      </c>
      <c r="P2305">
        <v>-0.114791479</v>
      </c>
      <c r="Q2305">
        <v>1.868949E-3</v>
      </c>
      <c r="S2305" s="13">
        <v>-1.424294934</v>
      </c>
      <c r="T2305">
        <v>-0.29865027500000002</v>
      </c>
      <c r="U2305">
        <v>-0.24907235799999999</v>
      </c>
    </row>
    <row r="2306" spans="1:21" x14ac:dyDescent="0.2">
      <c r="A2306" t="s">
        <v>977</v>
      </c>
      <c r="B2306">
        <v>546840</v>
      </c>
      <c r="C2306" t="s">
        <v>6910</v>
      </c>
      <c r="D2306" t="s">
        <v>978</v>
      </c>
      <c r="E2306" t="s">
        <v>6915</v>
      </c>
      <c r="F2306">
        <v>5</v>
      </c>
      <c r="G2306">
        <v>13</v>
      </c>
      <c r="H2306" t="s">
        <v>11587</v>
      </c>
      <c r="J2306" t="s">
        <v>3701</v>
      </c>
      <c r="M2306" t="s">
        <v>11588</v>
      </c>
      <c r="N2306">
        <v>1.9874741039999999</v>
      </c>
      <c r="O2306">
        <v>3.7453511220000002</v>
      </c>
      <c r="P2306">
        <v>0.451009722</v>
      </c>
      <c r="Q2306">
        <v>-0.102386592</v>
      </c>
      <c r="S2306" s="13">
        <v>-1.424343167</v>
      </c>
      <c r="T2306">
        <v>-0.29886104099999999</v>
      </c>
      <c r="U2306">
        <v>-0.17944818500000001</v>
      </c>
    </row>
    <row r="2307" spans="1:21" x14ac:dyDescent="0.2">
      <c r="A2307" t="s">
        <v>2118</v>
      </c>
      <c r="B2307">
        <v>493160</v>
      </c>
      <c r="C2307" t="s">
        <v>6931</v>
      </c>
      <c r="D2307" t="s">
        <v>2119</v>
      </c>
      <c r="E2307" t="s">
        <v>6974</v>
      </c>
      <c r="F2307">
        <v>4</v>
      </c>
      <c r="G2307">
        <v>15</v>
      </c>
      <c r="H2307" t="s">
        <v>11589</v>
      </c>
      <c r="N2307">
        <v>1.9323965059999999</v>
      </c>
      <c r="O2307">
        <v>3.0528020530000002</v>
      </c>
      <c r="P2307">
        <v>2.6493138999999999E-2</v>
      </c>
      <c r="Q2307">
        <v>-0.38692188</v>
      </c>
      <c r="S2307" s="13">
        <v>-1.4245056169999999</v>
      </c>
      <c r="T2307">
        <v>-0.299570911</v>
      </c>
      <c r="U2307">
        <v>-0.16237188599999999</v>
      </c>
    </row>
    <row r="2308" spans="1:21" x14ac:dyDescent="0.2">
      <c r="A2308" t="s">
        <v>1275</v>
      </c>
      <c r="B2308">
        <v>492960</v>
      </c>
      <c r="C2308" t="s">
        <v>6931</v>
      </c>
      <c r="D2308" t="s">
        <v>1276</v>
      </c>
      <c r="E2308" t="s">
        <v>7085</v>
      </c>
      <c r="F2308">
        <v>5</v>
      </c>
      <c r="G2308">
        <v>9</v>
      </c>
      <c r="H2308" t="s">
        <v>11590</v>
      </c>
      <c r="N2308">
        <v>1.9323965059999999</v>
      </c>
      <c r="O2308">
        <v>3.0528020530000002</v>
      </c>
      <c r="P2308">
        <v>2.6493138999999999E-2</v>
      </c>
      <c r="Q2308">
        <v>-0.38692188</v>
      </c>
      <c r="S2308" s="13">
        <v>-1.4247684119999999</v>
      </c>
      <c r="T2308">
        <v>-0.30071926399999999</v>
      </c>
      <c r="U2308">
        <v>-0.162508713</v>
      </c>
    </row>
    <row r="2309" spans="1:21" x14ac:dyDescent="0.2">
      <c r="A2309" t="s">
        <v>572</v>
      </c>
      <c r="B2309">
        <v>636480</v>
      </c>
      <c r="C2309" t="s">
        <v>6953</v>
      </c>
      <c r="D2309" t="s">
        <v>572</v>
      </c>
      <c r="E2309" t="s">
        <v>7006</v>
      </c>
      <c r="F2309">
        <v>13</v>
      </c>
      <c r="G2309">
        <v>3</v>
      </c>
      <c r="H2309" t="s">
        <v>11591</v>
      </c>
      <c r="J2309" t="s">
        <v>3911</v>
      </c>
      <c r="M2309" t="s">
        <v>11592</v>
      </c>
      <c r="N2309">
        <v>1.921480887</v>
      </c>
      <c r="O2309">
        <v>3.0856645180000002</v>
      </c>
      <c r="P2309">
        <v>0.44706724399999997</v>
      </c>
      <c r="Q2309">
        <v>-0.354940863</v>
      </c>
      <c r="S2309" s="13">
        <v>-1.4247826180000001</v>
      </c>
      <c r="T2309">
        <v>-0.30078134000000001</v>
      </c>
      <c r="U2309">
        <v>-0.18620235600000001</v>
      </c>
    </row>
    <row r="2310" spans="1:21" x14ac:dyDescent="0.2">
      <c r="A2310" t="s">
        <v>389</v>
      </c>
      <c r="B2310">
        <v>571440</v>
      </c>
      <c r="C2310" t="s">
        <v>6927</v>
      </c>
      <c r="D2310" t="s">
        <v>389</v>
      </c>
      <c r="E2310" t="s">
        <v>6974</v>
      </c>
      <c r="F2310">
        <v>11</v>
      </c>
      <c r="G2310">
        <v>15</v>
      </c>
      <c r="H2310" t="s">
        <v>11593</v>
      </c>
      <c r="J2310" t="s">
        <v>11594</v>
      </c>
      <c r="M2310" t="s">
        <v>11595</v>
      </c>
      <c r="N2310">
        <v>1.982575982</v>
      </c>
      <c r="O2310">
        <v>3.4571926419999999</v>
      </c>
      <c r="P2310">
        <v>-0.114791479</v>
      </c>
      <c r="Q2310">
        <v>1.868949E-3</v>
      </c>
      <c r="S2310" s="13">
        <v>-1.4247929939999999</v>
      </c>
      <c r="T2310">
        <v>-0.30082668200000001</v>
      </c>
      <c r="U2310">
        <v>-0.249473423</v>
      </c>
    </row>
    <row r="2311" spans="1:21" x14ac:dyDescent="0.2">
      <c r="A2311" t="s">
        <v>1160</v>
      </c>
      <c r="B2311">
        <v>570800</v>
      </c>
      <c r="C2311" t="s">
        <v>6927</v>
      </c>
      <c r="D2311" t="s">
        <v>1160</v>
      </c>
      <c r="E2311" t="s">
        <v>6907</v>
      </c>
      <c r="F2311">
        <v>22</v>
      </c>
      <c r="G2311">
        <v>4</v>
      </c>
      <c r="H2311" t="s">
        <v>11596</v>
      </c>
      <c r="J2311" t="s">
        <v>11597</v>
      </c>
      <c r="M2311" t="s">
        <v>11598</v>
      </c>
      <c r="N2311">
        <v>1.982575982</v>
      </c>
      <c r="O2311">
        <v>3.4571926419999999</v>
      </c>
      <c r="P2311">
        <v>-0.114791479</v>
      </c>
      <c r="Q2311">
        <v>1.868949E-3</v>
      </c>
      <c r="S2311" s="13">
        <v>-1.425457073</v>
      </c>
      <c r="T2311">
        <v>-0.30372855700000001</v>
      </c>
      <c r="U2311">
        <v>-0.25000875299999997</v>
      </c>
    </row>
    <row r="2312" spans="1:21" x14ac:dyDescent="0.2">
      <c r="A2312" t="s">
        <v>148</v>
      </c>
      <c r="B2312">
        <v>501040</v>
      </c>
      <c r="C2312" t="s">
        <v>6942</v>
      </c>
      <c r="D2312" t="s">
        <v>148</v>
      </c>
      <c r="E2312" t="s">
        <v>6915</v>
      </c>
      <c r="F2312">
        <v>17</v>
      </c>
      <c r="G2312">
        <v>13</v>
      </c>
      <c r="H2312" t="s">
        <v>11599</v>
      </c>
      <c r="J2312" t="s">
        <v>1271</v>
      </c>
      <c r="M2312" t="s">
        <v>11600</v>
      </c>
      <c r="N2312">
        <v>2.0902262079999998</v>
      </c>
      <c r="O2312">
        <v>4.2704203920000001</v>
      </c>
      <c r="P2312">
        <v>0.23425843900000001</v>
      </c>
      <c r="Q2312">
        <v>1.6181978999999999E-2</v>
      </c>
      <c r="S2312" s="13">
        <v>-1.425475531</v>
      </c>
      <c r="T2312">
        <v>-0.30380921500000002</v>
      </c>
      <c r="U2312">
        <v>-0.28613796400000002</v>
      </c>
    </row>
    <row r="2313" spans="1:21" x14ac:dyDescent="0.2">
      <c r="A2313" t="s">
        <v>494</v>
      </c>
      <c r="B2313">
        <v>500920</v>
      </c>
      <c r="C2313" t="s">
        <v>6942</v>
      </c>
      <c r="D2313" t="s">
        <v>495</v>
      </c>
      <c r="E2313" t="s">
        <v>6939</v>
      </c>
      <c r="F2313">
        <v>5</v>
      </c>
      <c r="G2313">
        <v>2</v>
      </c>
      <c r="H2313" t="s">
        <v>11601</v>
      </c>
      <c r="J2313" t="s">
        <v>3510</v>
      </c>
      <c r="M2313" t="s">
        <v>11602</v>
      </c>
      <c r="N2313">
        <v>2.0902262079999998</v>
      </c>
      <c r="O2313">
        <v>4.2704203920000001</v>
      </c>
      <c r="P2313">
        <v>0.23425843900000001</v>
      </c>
      <c r="Q2313">
        <v>1.6181978999999999E-2</v>
      </c>
      <c r="S2313" s="13">
        <v>-1.42559331</v>
      </c>
      <c r="T2313">
        <v>-0.30432387999999999</v>
      </c>
      <c r="U2313">
        <v>-0.28624712699999999</v>
      </c>
    </row>
    <row r="2314" spans="1:21" x14ac:dyDescent="0.2">
      <c r="A2314" t="s">
        <v>607</v>
      </c>
      <c r="B2314">
        <v>569760</v>
      </c>
      <c r="C2314" t="s">
        <v>6938</v>
      </c>
      <c r="D2314" t="s">
        <v>607</v>
      </c>
      <c r="E2314" t="s">
        <v>6915</v>
      </c>
      <c r="F2314">
        <v>18</v>
      </c>
      <c r="G2314">
        <v>13</v>
      </c>
      <c r="H2314" t="s">
        <v>11603</v>
      </c>
      <c r="J2314" t="s">
        <v>3418</v>
      </c>
      <c r="M2314" t="s">
        <v>11604</v>
      </c>
      <c r="N2314">
        <v>2.092758737</v>
      </c>
      <c r="O2314">
        <v>5.3323610669999999</v>
      </c>
      <c r="P2314">
        <v>0.70420098600000003</v>
      </c>
      <c r="Q2314">
        <v>0.41355372699999998</v>
      </c>
      <c r="S2314" s="13">
        <v>-1.4257986949999999</v>
      </c>
      <c r="T2314">
        <v>-0.305221364</v>
      </c>
      <c r="U2314">
        <v>-0.280534903</v>
      </c>
    </row>
    <row r="2315" spans="1:21" x14ac:dyDescent="0.2">
      <c r="A2315" t="s">
        <v>1321</v>
      </c>
      <c r="B2315">
        <v>500680</v>
      </c>
      <c r="C2315" t="s">
        <v>6942</v>
      </c>
      <c r="D2315" t="s">
        <v>1321</v>
      </c>
      <c r="E2315" t="s">
        <v>7115</v>
      </c>
      <c r="F2315">
        <v>15</v>
      </c>
      <c r="G2315">
        <v>10</v>
      </c>
      <c r="H2315" t="s">
        <v>11605</v>
      </c>
      <c r="J2315" t="s">
        <v>1323</v>
      </c>
      <c r="M2315" t="s">
        <v>11606</v>
      </c>
      <c r="N2315">
        <v>2.0902262079999998</v>
      </c>
      <c r="O2315">
        <v>4.2704203920000001</v>
      </c>
      <c r="P2315">
        <v>0.23425843900000001</v>
      </c>
      <c r="Q2315">
        <v>1.6181978999999999E-2</v>
      </c>
      <c r="S2315" s="13">
        <v>-1.425828868</v>
      </c>
      <c r="T2315">
        <v>-0.30535321199999998</v>
      </c>
      <c r="U2315">
        <v>-0.28646553499999999</v>
      </c>
    </row>
    <row r="2316" spans="1:21" x14ac:dyDescent="0.2">
      <c r="A2316" t="s">
        <v>1118</v>
      </c>
      <c r="B2316">
        <v>500480</v>
      </c>
      <c r="C2316" t="s">
        <v>6942</v>
      </c>
      <c r="D2316" t="s">
        <v>1118</v>
      </c>
      <c r="E2316" t="s">
        <v>6924</v>
      </c>
      <c r="F2316">
        <v>13</v>
      </c>
      <c r="G2316">
        <v>6</v>
      </c>
      <c r="H2316" t="s">
        <v>11607</v>
      </c>
      <c r="J2316" t="s">
        <v>4930</v>
      </c>
      <c r="M2316" t="s">
        <v>11608</v>
      </c>
      <c r="N2316">
        <v>2.0902262079999998</v>
      </c>
      <c r="O2316">
        <v>4.2704203920000001</v>
      </c>
      <c r="P2316">
        <v>0.23425843900000001</v>
      </c>
      <c r="Q2316">
        <v>1.6181978999999999E-2</v>
      </c>
      <c r="S2316" s="13">
        <v>-1.426025165</v>
      </c>
      <c r="T2316">
        <v>-0.30621098899999999</v>
      </c>
      <c r="U2316">
        <v>-0.28664762500000002</v>
      </c>
    </row>
    <row r="2317" spans="1:21" x14ac:dyDescent="0.2">
      <c r="A2317" t="s">
        <v>311</v>
      </c>
      <c r="B2317">
        <v>569440</v>
      </c>
      <c r="C2317" t="s">
        <v>6938</v>
      </c>
      <c r="D2317" t="s">
        <v>311</v>
      </c>
      <c r="E2317" t="s">
        <v>7006</v>
      </c>
      <c r="F2317">
        <v>18</v>
      </c>
      <c r="G2317">
        <v>3</v>
      </c>
      <c r="H2317" t="s">
        <v>11609</v>
      </c>
      <c r="J2317" t="s">
        <v>1914</v>
      </c>
      <c r="M2317" t="s">
        <v>11610</v>
      </c>
      <c r="N2317">
        <v>2.092758737</v>
      </c>
      <c r="O2317">
        <v>5.3323610669999999</v>
      </c>
      <c r="P2317">
        <v>0.70420098600000003</v>
      </c>
      <c r="Q2317">
        <v>0.41355372699999998</v>
      </c>
      <c r="S2317" s="13">
        <v>-1.426073514</v>
      </c>
      <c r="T2317">
        <v>-0.30642226299999997</v>
      </c>
      <c r="U2317">
        <v>-0.28082233099999998</v>
      </c>
    </row>
    <row r="2318" spans="1:21" x14ac:dyDescent="0.2">
      <c r="A2318" t="s">
        <v>2149</v>
      </c>
      <c r="B2318">
        <v>545200</v>
      </c>
      <c r="C2318" t="s">
        <v>6910</v>
      </c>
      <c r="D2318" t="s">
        <v>2149</v>
      </c>
      <c r="E2318" t="s">
        <v>7085</v>
      </c>
      <c r="F2318">
        <v>13</v>
      </c>
      <c r="G2318">
        <v>9</v>
      </c>
      <c r="H2318" t="s">
        <v>11611</v>
      </c>
      <c r="J2318" t="s">
        <v>3774</v>
      </c>
      <c r="M2318" t="s">
        <v>11612</v>
      </c>
      <c r="N2318">
        <v>1.9874741039999999</v>
      </c>
      <c r="O2318">
        <v>3.7453511220000002</v>
      </c>
      <c r="P2318">
        <v>0.451009722</v>
      </c>
      <c r="Q2318">
        <v>-0.102386592</v>
      </c>
      <c r="S2318" s="13">
        <v>-1.4261076319999999</v>
      </c>
      <c r="T2318">
        <v>-0.30657135099999999</v>
      </c>
      <c r="U2318">
        <v>-0.18061654399999999</v>
      </c>
    </row>
    <row r="2319" spans="1:21" x14ac:dyDescent="0.2">
      <c r="A2319" t="s">
        <v>718</v>
      </c>
      <c r="B2319">
        <v>568880</v>
      </c>
      <c r="C2319" t="s">
        <v>6938</v>
      </c>
      <c r="D2319" t="s">
        <v>718</v>
      </c>
      <c r="E2319" t="s">
        <v>6924</v>
      </c>
      <c r="F2319">
        <v>14</v>
      </c>
      <c r="G2319">
        <v>6</v>
      </c>
      <c r="H2319" t="s">
        <v>11613</v>
      </c>
      <c r="J2319" t="s">
        <v>2837</v>
      </c>
      <c r="M2319" t="s">
        <v>11614</v>
      </c>
      <c r="N2319">
        <v>2.092758737</v>
      </c>
      <c r="O2319">
        <v>5.3323610669999999</v>
      </c>
      <c r="P2319">
        <v>0.70420098600000003</v>
      </c>
      <c r="Q2319">
        <v>0.41355372699999998</v>
      </c>
      <c r="S2319" s="13">
        <v>-1.4265544489999999</v>
      </c>
      <c r="T2319">
        <v>-0.308523836</v>
      </c>
      <c r="U2319">
        <v>-0.28132578800000002</v>
      </c>
    </row>
    <row r="2320" spans="1:21" x14ac:dyDescent="0.2">
      <c r="A2320" t="s">
        <v>408</v>
      </c>
      <c r="B2320">
        <v>634480</v>
      </c>
      <c r="C2320" t="s">
        <v>6953</v>
      </c>
      <c r="D2320" t="s">
        <v>408</v>
      </c>
      <c r="E2320" t="s">
        <v>6918</v>
      </c>
      <c r="F2320">
        <v>10</v>
      </c>
      <c r="G2320">
        <v>1</v>
      </c>
      <c r="H2320" t="s">
        <v>11615</v>
      </c>
      <c r="J2320" t="s">
        <v>410</v>
      </c>
      <c r="M2320" t="s">
        <v>11616</v>
      </c>
      <c r="N2320">
        <v>1.921480887</v>
      </c>
      <c r="O2320">
        <v>3.0856645180000002</v>
      </c>
      <c r="P2320">
        <v>0.44706724399999997</v>
      </c>
      <c r="Q2320">
        <v>-0.354940863</v>
      </c>
      <c r="S2320" s="13">
        <v>-1.426857866</v>
      </c>
      <c r="T2320">
        <v>-0.30984970099999998</v>
      </c>
      <c r="U2320">
        <v>-0.18764998099999999</v>
      </c>
    </row>
    <row r="2321" spans="1:21" x14ac:dyDescent="0.2">
      <c r="A2321" t="s">
        <v>470</v>
      </c>
      <c r="B2321">
        <v>656720</v>
      </c>
      <c r="C2321" t="s">
        <v>6914</v>
      </c>
      <c r="D2321" t="s">
        <v>470</v>
      </c>
      <c r="E2321" t="s">
        <v>6970</v>
      </c>
      <c r="F2321">
        <v>22</v>
      </c>
      <c r="G2321">
        <v>14</v>
      </c>
      <c r="H2321" t="s">
        <v>11617</v>
      </c>
      <c r="J2321" t="s">
        <v>589</v>
      </c>
      <c r="M2321" t="s">
        <v>11618</v>
      </c>
      <c r="N2321">
        <v>1.8217074179999999</v>
      </c>
      <c r="O2321">
        <v>4.1700741289999996</v>
      </c>
      <c r="P2321">
        <v>0.189705977</v>
      </c>
      <c r="Q2321">
        <v>-1.7194070999999998E-2</v>
      </c>
      <c r="S2321" s="13">
        <v>-1.4271006230000001</v>
      </c>
      <c r="T2321">
        <v>-0.31091049300000001</v>
      </c>
      <c r="U2321">
        <v>-0.24519782100000001</v>
      </c>
    </row>
    <row r="2322" spans="1:21" x14ac:dyDescent="0.2">
      <c r="A2322" t="s">
        <v>1174</v>
      </c>
      <c r="B2322">
        <v>192800</v>
      </c>
      <c r="C2322" t="s">
        <v>6961</v>
      </c>
      <c r="D2322" t="s">
        <v>1174</v>
      </c>
      <c r="E2322" t="s">
        <v>7085</v>
      </c>
      <c r="F2322">
        <v>16</v>
      </c>
      <c r="G2322">
        <v>9</v>
      </c>
      <c r="H2322" t="s">
        <v>11619</v>
      </c>
      <c r="J2322" t="s">
        <v>5973</v>
      </c>
      <c r="M2322" t="s">
        <v>11620</v>
      </c>
      <c r="N2322">
        <v>2.7247480949999998</v>
      </c>
      <c r="O2322">
        <v>7.0822175119999997</v>
      </c>
      <c r="P2322">
        <v>0.61298291999999999</v>
      </c>
      <c r="Q2322">
        <v>0.48262032500000002</v>
      </c>
      <c r="S2322" s="13">
        <v>-1.4271714010000001</v>
      </c>
      <c r="T2322">
        <v>-0.31121977499999998</v>
      </c>
      <c r="U2322">
        <v>-0.361950512</v>
      </c>
    </row>
    <row r="2323" spans="1:21" x14ac:dyDescent="0.2">
      <c r="A2323" t="s">
        <v>1811</v>
      </c>
      <c r="B2323">
        <v>568160</v>
      </c>
      <c r="C2323" t="s">
        <v>6938</v>
      </c>
      <c r="D2323" t="s">
        <v>1811</v>
      </c>
      <c r="E2323" t="s">
        <v>7085</v>
      </c>
      <c r="F2323">
        <v>15</v>
      </c>
      <c r="G2323">
        <v>9</v>
      </c>
      <c r="H2323" t="s">
        <v>11621</v>
      </c>
      <c r="J2323" t="s">
        <v>4908</v>
      </c>
      <c r="M2323" t="s">
        <v>11622</v>
      </c>
      <c r="N2323">
        <v>2.092758737</v>
      </c>
      <c r="O2323">
        <v>5.3323610669999999</v>
      </c>
      <c r="P2323">
        <v>0.70420098600000003</v>
      </c>
      <c r="Q2323">
        <v>0.41355372699999998</v>
      </c>
      <c r="S2323" s="13">
        <v>-1.427172793</v>
      </c>
      <c r="T2323">
        <v>-0.31122585899999999</v>
      </c>
      <c r="U2323">
        <v>-0.28197394799999997</v>
      </c>
    </row>
    <row r="2324" spans="1:21" x14ac:dyDescent="0.2">
      <c r="A2324" t="s">
        <v>375</v>
      </c>
      <c r="B2324">
        <v>544120</v>
      </c>
      <c r="C2324" t="s">
        <v>6910</v>
      </c>
      <c r="D2324" t="s">
        <v>375</v>
      </c>
      <c r="E2324" t="s">
        <v>6977</v>
      </c>
      <c r="F2324">
        <v>12</v>
      </c>
      <c r="G2324">
        <v>5</v>
      </c>
      <c r="H2324" t="s">
        <v>11623</v>
      </c>
      <c r="J2324" t="s">
        <v>1604</v>
      </c>
      <c r="M2324" t="s">
        <v>11624</v>
      </c>
      <c r="N2324">
        <v>1.9874741039999999</v>
      </c>
      <c r="O2324">
        <v>3.7453511220000002</v>
      </c>
      <c r="P2324">
        <v>0.451009722</v>
      </c>
      <c r="Q2324">
        <v>-0.102386592</v>
      </c>
      <c r="S2324" s="13">
        <v>-1.427269597</v>
      </c>
      <c r="T2324">
        <v>-0.31164887299999999</v>
      </c>
      <c r="U2324">
        <v>-0.181387671</v>
      </c>
    </row>
    <row r="2325" spans="1:21" x14ac:dyDescent="0.2">
      <c r="A2325" t="s">
        <v>337</v>
      </c>
      <c r="B2325">
        <v>634040</v>
      </c>
      <c r="C2325" t="s">
        <v>6953</v>
      </c>
      <c r="D2325" t="s">
        <v>337</v>
      </c>
      <c r="E2325" t="s">
        <v>6974</v>
      </c>
      <c r="F2325">
        <v>13</v>
      </c>
      <c r="G2325">
        <v>15</v>
      </c>
      <c r="H2325" t="s">
        <v>11625</v>
      </c>
      <c r="J2325" t="s">
        <v>2803</v>
      </c>
      <c r="M2325" t="s">
        <v>11626</v>
      </c>
      <c r="N2325">
        <v>1.921480887</v>
      </c>
      <c r="O2325">
        <v>3.0856645180000002</v>
      </c>
      <c r="P2325">
        <v>0.44706724399999997</v>
      </c>
      <c r="Q2325">
        <v>-0.354940863</v>
      </c>
      <c r="S2325" s="13">
        <v>-1.4273144209999999</v>
      </c>
      <c r="T2325">
        <v>-0.31184474099999998</v>
      </c>
      <c r="U2325">
        <v>-0.187969107</v>
      </c>
    </row>
    <row r="2326" spans="1:21" x14ac:dyDescent="0.2">
      <c r="A2326" t="s">
        <v>389</v>
      </c>
      <c r="B2326">
        <v>567720</v>
      </c>
      <c r="C2326" t="s">
        <v>6938</v>
      </c>
      <c r="D2326" t="s">
        <v>389</v>
      </c>
      <c r="E2326" t="s">
        <v>6974</v>
      </c>
      <c r="F2326">
        <v>11</v>
      </c>
      <c r="G2326">
        <v>15</v>
      </c>
      <c r="H2326" t="s">
        <v>11627</v>
      </c>
      <c r="J2326" t="s">
        <v>5559</v>
      </c>
      <c r="M2326" t="s">
        <v>11628</v>
      </c>
      <c r="N2326">
        <v>2.092758737</v>
      </c>
      <c r="O2326">
        <v>5.3323610669999999</v>
      </c>
      <c r="P2326">
        <v>0.70420098600000003</v>
      </c>
      <c r="Q2326">
        <v>0.41355372699999998</v>
      </c>
      <c r="S2326" s="13">
        <v>-1.42755067</v>
      </c>
      <c r="T2326">
        <v>-0.31287709499999999</v>
      </c>
      <c r="U2326">
        <v>-0.28237052299999998</v>
      </c>
    </row>
    <row r="2327" spans="1:21" x14ac:dyDescent="0.2">
      <c r="A2327" t="s">
        <v>225</v>
      </c>
      <c r="B2327">
        <v>656280</v>
      </c>
      <c r="C2327" t="s">
        <v>6914</v>
      </c>
      <c r="D2327" t="s">
        <v>225</v>
      </c>
      <c r="E2327" t="s">
        <v>6918</v>
      </c>
      <c r="F2327">
        <v>20</v>
      </c>
      <c r="G2327">
        <v>1</v>
      </c>
      <c r="H2327" t="s">
        <v>11629</v>
      </c>
      <c r="J2327" t="s">
        <v>5853</v>
      </c>
      <c r="M2327" t="s">
        <v>11630</v>
      </c>
      <c r="N2327">
        <v>1.8217074179999999</v>
      </c>
      <c r="O2327">
        <v>4.1700741289999996</v>
      </c>
      <c r="P2327">
        <v>0.189705977</v>
      </c>
      <c r="Q2327">
        <v>-1.7194070999999998E-2</v>
      </c>
      <c r="S2327" s="13">
        <v>-1.4276298380000001</v>
      </c>
      <c r="T2327">
        <v>-0.31322304200000001</v>
      </c>
      <c r="U2327">
        <v>-0.24556218299999999</v>
      </c>
    </row>
    <row r="2328" spans="1:21" x14ac:dyDescent="0.2">
      <c r="A2328" t="s">
        <v>1062</v>
      </c>
      <c r="B2328">
        <v>568560</v>
      </c>
      <c r="C2328" t="s">
        <v>6927</v>
      </c>
      <c r="D2328" t="s">
        <v>1062</v>
      </c>
      <c r="E2328" t="s">
        <v>6924</v>
      </c>
      <c r="F2328">
        <v>17</v>
      </c>
      <c r="G2328">
        <v>6</v>
      </c>
      <c r="H2328" t="s">
        <v>11631</v>
      </c>
      <c r="J2328" t="s">
        <v>11632</v>
      </c>
      <c r="M2328" t="s">
        <v>11633</v>
      </c>
      <c r="N2328">
        <v>1.982575982</v>
      </c>
      <c r="O2328">
        <v>3.4571926419999999</v>
      </c>
      <c r="P2328">
        <v>-0.114791479</v>
      </c>
      <c r="Q2328">
        <v>1.868949E-3</v>
      </c>
      <c r="S2328" s="13">
        <v>-1.427781352</v>
      </c>
      <c r="T2328">
        <v>-0.31388512200000002</v>
      </c>
      <c r="U2328">
        <v>-0.25188761999999998</v>
      </c>
    </row>
    <row r="2329" spans="1:21" x14ac:dyDescent="0.2">
      <c r="A2329" t="s">
        <v>23</v>
      </c>
      <c r="B2329">
        <v>568520</v>
      </c>
      <c r="C2329" t="s">
        <v>6927</v>
      </c>
      <c r="D2329" t="s">
        <v>23</v>
      </c>
      <c r="E2329" t="s">
        <v>6907</v>
      </c>
      <c r="F2329">
        <v>18</v>
      </c>
      <c r="G2329">
        <v>4</v>
      </c>
      <c r="H2329" t="s">
        <v>11634</v>
      </c>
      <c r="J2329" t="s">
        <v>11635</v>
      </c>
      <c r="M2329" t="s">
        <v>11636</v>
      </c>
      <c r="N2329">
        <v>1.982575982</v>
      </c>
      <c r="O2329">
        <v>3.4571926419999999</v>
      </c>
      <c r="P2329">
        <v>-0.114791479</v>
      </c>
      <c r="Q2329">
        <v>1.868949E-3</v>
      </c>
      <c r="S2329" s="13">
        <v>-1.427822857</v>
      </c>
      <c r="T2329">
        <v>-0.31406648999999998</v>
      </c>
      <c r="U2329">
        <v>-0.25192124500000002</v>
      </c>
    </row>
    <row r="2330" spans="1:21" x14ac:dyDescent="0.2">
      <c r="A2330" t="s">
        <v>448</v>
      </c>
      <c r="B2330">
        <v>656040</v>
      </c>
      <c r="C2330" t="s">
        <v>6914</v>
      </c>
      <c r="D2330" t="s">
        <v>448</v>
      </c>
      <c r="E2330" t="s">
        <v>6974</v>
      </c>
      <c r="F2330">
        <v>22</v>
      </c>
      <c r="G2330">
        <v>15</v>
      </c>
      <c r="H2330" t="s">
        <v>11637</v>
      </c>
      <c r="J2330" t="s">
        <v>4828</v>
      </c>
      <c r="M2330" t="s">
        <v>11638</v>
      </c>
      <c r="N2330">
        <v>1.8217074179999999</v>
      </c>
      <c r="O2330">
        <v>4.1700741289999996</v>
      </c>
      <c r="P2330">
        <v>0.189705977</v>
      </c>
      <c r="Q2330">
        <v>-1.7194070999999998E-2</v>
      </c>
      <c r="S2330" s="13">
        <v>-1.427918501</v>
      </c>
      <c r="T2330">
        <v>-0.31448443199999998</v>
      </c>
      <c r="U2330">
        <v>-0.24576105500000001</v>
      </c>
    </row>
    <row r="2331" spans="1:21" x14ac:dyDescent="0.2">
      <c r="A2331" t="s">
        <v>1736</v>
      </c>
      <c r="B2331">
        <v>633240</v>
      </c>
      <c r="C2331" t="s">
        <v>6953</v>
      </c>
      <c r="D2331" t="s">
        <v>1736</v>
      </c>
      <c r="E2331" t="s">
        <v>6924</v>
      </c>
      <c r="F2331">
        <v>16</v>
      </c>
      <c r="G2331">
        <v>6</v>
      </c>
      <c r="H2331" t="s">
        <v>11639</v>
      </c>
      <c r="J2331" t="s">
        <v>5401</v>
      </c>
      <c r="M2331" t="s">
        <v>11640</v>
      </c>
      <c r="N2331">
        <v>1.921480887</v>
      </c>
      <c r="O2331">
        <v>3.0856645180000002</v>
      </c>
      <c r="P2331">
        <v>0.44706724399999997</v>
      </c>
      <c r="Q2331">
        <v>-0.354940863</v>
      </c>
      <c r="S2331" s="13">
        <v>-1.42814452</v>
      </c>
      <c r="T2331">
        <v>-0.31547208599999998</v>
      </c>
      <c r="U2331">
        <v>-0.188549938</v>
      </c>
    </row>
    <row r="2332" spans="1:21" x14ac:dyDescent="0.2">
      <c r="A2332" t="s">
        <v>435</v>
      </c>
      <c r="B2332">
        <v>633200</v>
      </c>
      <c r="C2332" t="s">
        <v>6953</v>
      </c>
      <c r="D2332" t="s">
        <v>435</v>
      </c>
      <c r="E2332" t="s">
        <v>6915</v>
      </c>
      <c r="F2332">
        <v>14</v>
      </c>
      <c r="G2332">
        <v>13</v>
      </c>
      <c r="H2332" t="s">
        <v>11641</v>
      </c>
      <c r="J2332" t="s">
        <v>437</v>
      </c>
      <c r="M2332" t="s">
        <v>11642</v>
      </c>
      <c r="N2332">
        <v>1.921480887</v>
      </c>
      <c r="O2332">
        <v>3.0856645180000002</v>
      </c>
      <c r="P2332">
        <v>0.44706724399999997</v>
      </c>
      <c r="Q2332">
        <v>-0.354940863</v>
      </c>
      <c r="S2332" s="13">
        <v>-1.428186025</v>
      </c>
      <c r="T2332">
        <v>-0.31565345299999997</v>
      </c>
      <c r="U2332">
        <v>-0.188579</v>
      </c>
    </row>
    <row r="2333" spans="1:21" x14ac:dyDescent="0.2">
      <c r="A2333" t="s">
        <v>592</v>
      </c>
      <c r="B2333">
        <v>498200</v>
      </c>
      <c r="C2333" t="s">
        <v>6942</v>
      </c>
      <c r="D2333" t="s">
        <v>593</v>
      </c>
      <c r="E2333" t="s">
        <v>6946</v>
      </c>
      <c r="F2333">
        <v>9</v>
      </c>
      <c r="G2333">
        <v>11</v>
      </c>
      <c r="H2333" t="s">
        <v>11643</v>
      </c>
      <c r="J2333" t="s">
        <v>2450</v>
      </c>
      <c r="M2333" t="s">
        <v>11644</v>
      </c>
      <c r="N2333">
        <v>2.0902262079999998</v>
      </c>
      <c r="O2333">
        <v>4.2704203920000001</v>
      </c>
      <c r="P2333">
        <v>0.23425843900000001</v>
      </c>
      <c r="Q2333">
        <v>1.6181978999999999E-2</v>
      </c>
      <c r="S2333" s="13">
        <v>-1.4282629609999999</v>
      </c>
      <c r="T2333">
        <v>-0.31598964200000002</v>
      </c>
      <c r="U2333">
        <v>-0.288728869</v>
      </c>
    </row>
    <row r="2334" spans="1:21" x14ac:dyDescent="0.2">
      <c r="A2334" t="s">
        <v>1783</v>
      </c>
      <c r="B2334">
        <v>655680</v>
      </c>
      <c r="C2334" t="s">
        <v>6914</v>
      </c>
      <c r="D2334" t="s">
        <v>1783</v>
      </c>
      <c r="E2334" t="s">
        <v>6915</v>
      </c>
      <c r="F2334">
        <v>11</v>
      </c>
      <c r="G2334">
        <v>13</v>
      </c>
      <c r="H2334" t="s">
        <v>11645</v>
      </c>
      <c r="J2334" t="s">
        <v>6573</v>
      </c>
      <c r="M2334" t="s">
        <v>11646</v>
      </c>
      <c r="N2334">
        <v>1.8217074179999999</v>
      </c>
      <c r="O2334">
        <v>4.1700741289999996</v>
      </c>
      <c r="P2334">
        <v>0.189705977</v>
      </c>
      <c r="Q2334">
        <v>-1.7194070999999998E-2</v>
      </c>
      <c r="S2334" s="13">
        <v>-1.428351495</v>
      </c>
      <c r="T2334">
        <v>-0.316376518</v>
      </c>
      <c r="U2334">
        <v>-0.246059534</v>
      </c>
    </row>
    <row r="2335" spans="1:21" x14ac:dyDescent="0.2">
      <c r="A2335" t="s">
        <v>741</v>
      </c>
      <c r="B2335">
        <v>568000</v>
      </c>
      <c r="C2335" t="s">
        <v>6927</v>
      </c>
      <c r="D2335" t="s">
        <v>741</v>
      </c>
      <c r="E2335" t="s">
        <v>6946</v>
      </c>
      <c r="F2335">
        <v>17</v>
      </c>
      <c r="G2335">
        <v>11</v>
      </c>
      <c r="H2335" t="s">
        <v>11647</v>
      </c>
      <c r="J2335" t="s">
        <v>11648</v>
      </c>
      <c r="M2335" t="s">
        <v>11649</v>
      </c>
      <c r="N2335">
        <v>1.982575982</v>
      </c>
      <c r="O2335">
        <v>3.4571926419999999</v>
      </c>
      <c r="P2335">
        <v>-0.114791479</v>
      </c>
      <c r="Q2335">
        <v>1.868949E-3</v>
      </c>
      <c r="S2335" s="13">
        <v>-1.4283624210000001</v>
      </c>
      <c r="T2335">
        <v>-0.31642426400000001</v>
      </c>
      <c r="U2335">
        <v>-0.25235860999999998</v>
      </c>
    </row>
    <row r="2336" spans="1:21" x14ac:dyDescent="0.2">
      <c r="A2336" t="s">
        <v>2239</v>
      </c>
      <c r="B2336">
        <v>497760</v>
      </c>
      <c r="C2336" t="s">
        <v>6942</v>
      </c>
      <c r="D2336" t="s">
        <v>2240</v>
      </c>
      <c r="E2336" t="s">
        <v>6924</v>
      </c>
      <c r="F2336">
        <v>9</v>
      </c>
      <c r="G2336">
        <v>6</v>
      </c>
      <c r="H2336" t="s">
        <v>11650</v>
      </c>
      <c r="J2336" t="s">
        <v>2585</v>
      </c>
      <c r="M2336" t="s">
        <v>11651</v>
      </c>
      <c r="N2336">
        <v>2.0902262079999998</v>
      </c>
      <c r="O2336">
        <v>4.2704203920000001</v>
      </c>
      <c r="P2336">
        <v>0.23425843900000001</v>
      </c>
      <c r="Q2336">
        <v>1.6181978999999999E-2</v>
      </c>
      <c r="S2336" s="13">
        <v>-1.4286948159999999</v>
      </c>
      <c r="T2336">
        <v>-0.31787675100000001</v>
      </c>
      <c r="U2336">
        <v>-0.28913166299999998</v>
      </c>
    </row>
    <row r="2337" spans="1:21" x14ac:dyDescent="0.2">
      <c r="A2337" t="s">
        <v>853</v>
      </c>
      <c r="B2337">
        <v>489920</v>
      </c>
      <c r="C2337" t="s">
        <v>6931</v>
      </c>
      <c r="D2337" t="s">
        <v>854</v>
      </c>
      <c r="E2337" t="s">
        <v>6946</v>
      </c>
      <c r="F2337">
        <v>5</v>
      </c>
      <c r="G2337">
        <v>11</v>
      </c>
      <c r="H2337" t="s">
        <v>11652</v>
      </c>
      <c r="N2337">
        <v>1.9323965059999999</v>
      </c>
      <c r="O2337">
        <v>3.0528020530000002</v>
      </c>
      <c r="P2337">
        <v>2.6493138999999999E-2</v>
      </c>
      <c r="Q2337">
        <v>-0.38692188</v>
      </c>
      <c r="S2337" s="13">
        <v>-1.428762893</v>
      </c>
      <c r="T2337">
        <v>-0.31817423500000003</v>
      </c>
      <c r="U2337">
        <v>-0.16459380200000001</v>
      </c>
    </row>
    <row r="2338" spans="1:21" x14ac:dyDescent="0.2">
      <c r="A2338" t="s">
        <v>1321</v>
      </c>
      <c r="B2338">
        <v>655240</v>
      </c>
      <c r="C2338" t="s">
        <v>6914</v>
      </c>
      <c r="D2338" t="s">
        <v>1321</v>
      </c>
      <c r="E2338" t="s">
        <v>7115</v>
      </c>
      <c r="F2338">
        <v>15</v>
      </c>
      <c r="G2338">
        <v>10</v>
      </c>
      <c r="H2338" t="s">
        <v>11653</v>
      </c>
      <c r="J2338" t="s">
        <v>3163</v>
      </c>
      <c r="M2338" t="s">
        <v>11654</v>
      </c>
      <c r="N2338">
        <v>1.8217074179999999</v>
      </c>
      <c r="O2338">
        <v>4.1700741289999996</v>
      </c>
      <c r="P2338">
        <v>0.189705977</v>
      </c>
      <c r="Q2338">
        <v>-1.7194070999999998E-2</v>
      </c>
      <c r="S2338" s="13">
        <v>-1.4288807100000001</v>
      </c>
      <c r="T2338">
        <v>-0.31868906699999999</v>
      </c>
      <c r="U2338">
        <v>-0.24642461900000001</v>
      </c>
    </row>
    <row r="2339" spans="1:21" x14ac:dyDescent="0.2">
      <c r="A2339" t="s">
        <v>1598</v>
      </c>
      <c r="B2339">
        <v>489680</v>
      </c>
      <c r="C2339" t="s">
        <v>6931</v>
      </c>
      <c r="D2339" t="s">
        <v>1598</v>
      </c>
      <c r="E2339" t="s">
        <v>6970</v>
      </c>
      <c r="F2339">
        <v>17</v>
      </c>
      <c r="G2339">
        <v>14</v>
      </c>
      <c r="H2339" t="s">
        <v>11655</v>
      </c>
      <c r="N2339">
        <v>1.9323965059999999</v>
      </c>
      <c r="O2339">
        <v>3.0528020530000002</v>
      </c>
      <c r="P2339">
        <v>2.6493138999999999E-2</v>
      </c>
      <c r="Q2339">
        <v>-0.38692188</v>
      </c>
      <c r="S2339" s="13">
        <v>-1.4290782470000001</v>
      </c>
      <c r="T2339">
        <v>-0.31955225799999998</v>
      </c>
      <c r="U2339">
        <v>-0.16475884199999999</v>
      </c>
    </row>
    <row r="2340" spans="1:21" x14ac:dyDescent="0.2">
      <c r="A2340" t="s">
        <v>1498</v>
      </c>
      <c r="B2340">
        <v>565920</v>
      </c>
      <c r="C2340" t="s">
        <v>6938</v>
      </c>
      <c r="D2340" t="s">
        <v>1498</v>
      </c>
      <c r="E2340" t="s">
        <v>6911</v>
      </c>
      <c r="F2340">
        <v>17</v>
      </c>
      <c r="G2340">
        <v>12</v>
      </c>
      <c r="H2340" t="s">
        <v>11656</v>
      </c>
      <c r="J2340" t="s">
        <v>1500</v>
      </c>
      <c r="M2340" t="s">
        <v>11657</v>
      </c>
      <c r="N2340">
        <v>2.092758737</v>
      </c>
      <c r="O2340">
        <v>5.3323610669999999</v>
      </c>
      <c r="P2340">
        <v>0.70420098600000003</v>
      </c>
      <c r="Q2340">
        <v>0.41355372699999998</v>
      </c>
      <c r="S2340" s="13">
        <v>-1.42909653</v>
      </c>
      <c r="T2340">
        <v>-0.319632152</v>
      </c>
      <c r="U2340">
        <v>-0.28399665600000001</v>
      </c>
    </row>
    <row r="2341" spans="1:21" x14ac:dyDescent="0.2">
      <c r="A2341" t="s">
        <v>42</v>
      </c>
      <c r="B2341">
        <v>565360</v>
      </c>
      <c r="C2341" t="s">
        <v>6938</v>
      </c>
      <c r="D2341" t="s">
        <v>42</v>
      </c>
      <c r="E2341" t="s">
        <v>6977</v>
      </c>
      <c r="F2341">
        <v>13</v>
      </c>
      <c r="G2341">
        <v>5</v>
      </c>
      <c r="H2341" t="s">
        <v>11658</v>
      </c>
      <c r="J2341" t="s">
        <v>2374</v>
      </c>
      <c r="M2341" t="s">
        <v>11659</v>
      </c>
      <c r="N2341">
        <v>2.092758737</v>
      </c>
      <c r="O2341">
        <v>5.3323610669999999</v>
      </c>
      <c r="P2341">
        <v>0.70420098600000003</v>
      </c>
      <c r="Q2341">
        <v>0.41355372699999998</v>
      </c>
      <c r="S2341" s="13">
        <v>-1.4295774649999999</v>
      </c>
      <c r="T2341">
        <v>-0.32173372500000003</v>
      </c>
      <c r="U2341">
        <v>-0.284503809</v>
      </c>
    </row>
    <row r="2342" spans="1:21" x14ac:dyDescent="0.2">
      <c r="A2342" t="s">
        <v>1295</v>
      </c>
      <c r="B2342">
        <v>496440</v>
      </c>
      <c r="C2342" t="s">
        <v>6942</v>
      </c>
      <c r="D2342" t="s">
        <v>1296</v>
      </c>
      <c r="E2342" t="s">
        <v>6921</v>
      </c>
      <c r="F2342">
        <v>5</v>
      </c>
      <c r="G2342">
        <v>8</v>
      </c>
      <c r="H2342" t="s">
        <v>11660</v>
      </c>
      <c r="J2342" t="s">
        <v>3240</v>
      </c>
      <c r="M2342" t="s">
        <v>11661</v>
      </c>
      <c r="N2342">
        <v>2.0902262079999998</v>
      </c>
      <c r="O2342">
        <v>4.2704203920000001</v>
      </c>
      <c r="P2342">
        <v>0.23425843900000001</v>
      </c>
      <c r="Q2342">
        <v>1.6181978999999999E-2</v>
      </c>
      <c r="S2342" s="13">
        <v>-1.4299903810000001</v>
      </c>
      <c r="T2342">
        <v>-0.32353807699999998</v>
      </c>
      <c r="U2342">
        <v>-0.290342292</v>
      </c>
    </row>
    <row r="2343" spans="1:21" x14ac:dyDescent="0.2">
      <c r="A2343" t="s">
        <v>1133</v>
      </c>
      <c r="B2343">
        <v>541200</v>
      </c>
      <c r="C2343" t="s">
        <v>6910</v>
      </c>
      <c r="D2343" t="s">
        <v>1134</v>
      </c>
      <c r="E2343" t="s">
        <v>6907</v>
      </c>
      <c r="F2343">
        <v>8</v>
      </c>
      <c r="G2343">
        <v>4</v>
      </c>
      <c r="H2343" t="s">
        <v>11662</v>
      </c>
      <c r="J2343" t="s">
        <v>3714</v>
      </c>
      <c r="M2343" t="s">
        <v>11663</v>
      </c>
      <c r="N2343">
        <v>1.9874741039999999</v>
      </c>
      <c r="O2343">
        <v>3.7453511220000002</v>
      </c>
      <c r="P2343">
        <v>0.451009722</v>
      </c>
      <c r="Q2343">
        <v>-0.102386592</v>
      </c>
      <c r="S2343" s="13">
        <v>-1.4304112069999999</v>
      </c>
      <c r="T2343">
        <v>-0.32537698599999998</v>
      </c>
      <c r="U2343">
        <v>-0.18347945199999999</v>
      </c>
    </row>
    <row r="2344" spans="1:21" x14ac:dyDescent="0.2">
      <c r="A2344" t="s">
        <v>444</v>
      </c>
      <c r="B2344">
        <v>564320</v>
      </c>
      <c r="C2344" t="s">
        <v>6938</v>
      </c>
      <c r="D2344" t="s">
        <v>445</v>
      </c>
      <c r="E2344" t="s">
        <v>7006</v>
      </c>
      <c r="F2344">
        <v>2</v>
      </c>
      <c r="G2344">
        <v>3</v>
      </c>
      <c r="H2344" t="s">
        <v>11664</v>
      </c>
      <c r="J2344" t="s">
        <v>1325</v>
      </c>
      <c r="M2344" t="s">
        <v>11665</v>
      </c>
      <c r="N2344">
        <v>2.092758737</v>
      </c>
      <c r="O2344">
        <v>5.3323610669999999</v>
      </c>
      <c r="P2344">
        <v>0.70420098600000003</v>
      </c>
      <c r="Q2344">
        <v>0.41355372699999998</v>
      </c>
      <c r="S2344" s="13">
        <v>-1.430470629</v>
      </c>
      <c r="T2344">
        <v>-0.325636647</v>
      </c>
      <c r="U2344">
        <v>-0.28544723700000002</v>
      </c>
    </row>
    <row r="2345" spans="1:21" x14ac:dyDescent="0.2">
      <c r="A2345" t="s">
        <v>572</v>
      </c>
      <c r="B2345">
        <v>541040</v>
      </c>
      <c r="C2345" t="s">
        <v>6910</v>
      </c>
      <c r="D2345" t="s">
        <v>572</v>
      </c>
      <c r="E2345" t="s">
        <v>7006</v>
      </c>
      <c r="F2345">
        <v>13</v>
      </c>
      <c r="G2345">
        <v>3</v>
      </c>
      <c r="H2345" t="s">
        <v>11666</v>
      </c>
      <c r="J2345" t="s">
        <v>5405</v>
      </c>
      <c r="M2345" t="s">
        <v>11667</v>
      </c>
      <c r="N2345">
        <v>1.9874741039999999</v>
      </c>
      <c r="O2345">
        <v>3.7453511220000002</v>
      </c>
      <c r="P2345">
        <v>0.451009722</v>
      </c>
      <c r="Q2345">
        <v>-0.102386592</v>
      </c>
      <c r="S2345" s="13">
        <v>-1.4305833489999999</v>
      </c>
      <c r="T2345">
        <v>-0.326129212</v>
      </c>
      <c r="U2345">
        <v>-0.18359436200000001</v>
      </c>
    </row>
    <row r="2346" spans="1:21" x14ac:dyDescent="0.2">
      <c r="A2346" t="s">
        <v>3235</v>
      </c>
      <c r="B2346">
        <v>630880</v>
      </c>
      <c r="C2346" t="s">
        <v>6953</v>
      </c>
      <c r="D2346" t="s">
        <v>3236</v>
      </c>
      <c r="E2346" t="s">
        <v>6946</v>
      </c>
      <c r="F2346">
        <v>2</v>
      </c>
      <c r="G2346">
        <v>11</v>
      </c>
      <c r="H2346" t="s">
        <v>11668</v>
      </c>
      <c r="J2346" t="s">
        <v>4602</v>
      </c>
      <c r="M2346" t="s">
        <v>11669</v>
      </c>
      <c r="N2346">
        <v>1.921480887</v>
      </c>
      <c r="O2346">
        <v>3.0856645180000002</v>
      </c>
      <c r="P2346">
        <v>0.44706724399999997</v>
      </c>
      <c r="Q2346">
        <v>-0.354940863</v>
      </c>
      <c r="S2346" s="13">
        <v>-1.430593314</v>
      </c>
      <c r="T2346">
        <v>-0.32617275200000001</v>
      </c>
      <c r="U2346">
        <v>-0.190267929</v>
      </c>
    </row>
    <row r="2347" spans="1:21" x14ac:dyDescent="0.2">
      <c r="A2347" t="s">
        <v>2089</v>
      </c>
      <c r="B2347">
        <v>549880</v>
      </c>
      <c r="C2347" t="s">
        <v>6906</v>
      </c>
      <c r="D2347" t="s">
        <v>2090</v>
      </c>
      <c r="E2347" t="s">
        <v>7085</v>
      </c>
      <c r="F2347">
        <v>3</v>
      </c>
      <c r="G2347">
        <v>9</v>
      </c>
      <c r="H2347" t="s">
        <v>11670</v>
      </c>
      <c r="J2347" t="s">
        <v>4284</v>
      </c>
      <c r="M2347" t="s">
        <v>11671</v>
      </c>
      <c r="N2347">
        <v>1.813871112</v>
      </c>
      <c r="O2347">
        <v>2.6633694910000001</v>
      </c>
      <c r="P2347">
        <v>-0.29586356800000002</v>
      </c>
      <c r="Q2347">
        <v>-0.59018158399999998</v>
      </c>
      <c r="S2347" s="13">
        <v>-1.4309589439999999</v>
      </c>
      <c r="T2347">
        <v>-0.32777047300000001</v>
      </c>
      <c r="U2347">
        <v>-0.20658849700000001</v>
      </c>
    </row>
    <row r="2348" spans="1:21" x14ac:dyDescent="0.2">
      <c r="A2348" t="s">
        <v>2035</v>
      </c>
      <c r="B2348">
        <v>630480</v>
      </c>
      <c r="C2348" t="s">
        <v>6953</v>
      </c>
      <c r="D2348" t="s">
        <v>2035</v>
      </c>
      <c r="E2348" t="s">
        <v>7115</v>
      </c>
      <c r="F2348">
        <v>14</v>
      </c>
      <c r="G2348">
        <v>10</v>
      </c>
      <c r="H2348" t="s">
        <v>11672</v>
      </c>
      <c r="J2348" t="s">
        <v>3306</v>
      </c>
      <c r="M2348" t="s">
        <v>11673</v>
      </c>
      <c r="N2348">
        <v>1.921480887</v>
      </c>
      <c r="O2348">
        <v>3.0856645180000002</v>
      </c>
      <c r="P2348">
        <v>0.44706724399999997</v>
      </c>
      <c r="Q2348">
        <v>-0.354940863</v>
      </c>
      <c r="S2348" s="13">
        <v>-1.4310083629999999</v>
      </c>
      <c r="T2348">
        <v>-0.32798642500000003</v>
      </c>
      <c r="U2348">
        <v>-0.19055978900000001</v>
      </c>
    </row>
    <row r="2349" spans="1:21" x14ac:dyDescent="0.2">
      <c r="A2349" t="s">
        <v>1783</v>
      </c>
      <c r="B2349">
        <v>540600</v>
      </c>
      <c r="C2349" t="s">
        <v>6910</v>
      </c>
      <c r="D2349" t="s">
        <v>1783</v>
      </c>
      <c r="E2349" t="s">
        <v>6915</v>
      </c>
      <c r="F2349">
        <v>11</v>
      </c>
      <c r="G2349">
        <v>13</v>
      </c>
      <c r="H2349" t="s">
        <v>11674</v>
      </c>
      <c r="J2349" t="s">
        <v>4323</v>
      </c>
      <c r="M2349" t="s">
        <v>11675</v>
      </c>
      <c r="N2349">
        <v>1.9874741039999999</v>
      </c>
      <c r="O2349">
        <v>3.7453511220000002</v>
      </c>
      <c r="P2349">
        <v>0.451009722</v>
      </c>
      <c r="Q2349">
        <v>-0.102386592</v>
      </c>
      <c r="S2349" s="13">
        <v>-1.4310567430000001</v>
      </c>
      <c r="T2349">
        <v>-0.328197831</v>
      </c>
      <c r="U2349">
        <v>-0.18391052099999999</v>
      </c>
    </row>
    <row r="2350" spans="1:21" x14ac:dyDescent="0.2">
      <c r="A2350" t="s">
        <v>239</v>
      </c>
      <c r="B2350">
        <v>653400</v>
      </c>
      <c r="C2350" t="s">
        <v>6914</v>
      </c>
      <c r="D2350" t="s">
        <v>240</v>
      </c>
      <c r="E2350" t="s">
        <v>6977</v>
      </c>
      <c r="F2350">
        <v>1</v>
      </c>
      <c r="G2350">
        <v>5</v>
      </c>
      <c r="H2350" t="s">
        <v>11676</v>
      </c>
      <c r="J2350" t="s">
        <v>242</v>
      </c>
      <c r="M2350" t="s">
        <v>11677</v>
      </c>
      <c r="N2350">
        <v>1.8217074179999999</v>
      </c>
      <c r="O2350">
        <v>4.1700741289999996</v>
      </c>
      <c r="P2350">
        <v>0.189705977</v>
      </c>
      <c r="Q2350">
        <v>-1.7194070999999998E-2</v>
      </c>
      <c r="S2350" s="13">
        <v>-1.4310937909999999</v>
      </c>
      <c r="T2350">
        <v>-0.32835972600000002</v>
      </c>
      <c r="U2350">
        <v>-0.24795467600000001</v>
      </c>
    </row>
    <row r="2351" spans="1:21" x14ac:dyDescent="0.2">
      <c r="A2351" t="s">
        <v>995</v>
      </c>
      <c r="B2351">
        <v>540080</v>
      </c>
      <c r="C2351" t="s">
        <v>6910</v>
      </c>
      <c r="D2351" t="s">
        <v>995</v>
      </c>
      <c r="E2351" t="s">
        <v>6907</v>
      </c>
      <c r="F2351">
        <v>20</v>
      </c>
      <c r="G2351">
        <v>4</v>
      </c>
      <c r="H2351" t="s">
        <v>11678</v>
      </c>
      <c r="J2351" t="s">
        <v>4796</v>
      </c>
      <c r="M2351" t="s">
        <v>11679</v>
      </c>
      <c r="N2351">
        <v>1.9874741039999999</v>
      </c>
      <c r="O2351">
        <v>3.7453511220000002</v>
      </c>
      <c r="P2351">
        <v>0.451009722</v>
      </c>
      <c r="Q2351">
        <v>-0.102386592</v>
      </c>
      <c r="S2351" s="13">
        <v>-1.431616207</v>
      </c>
      <c r="T2351">
        <v>-0.33064256400000003</v>
      </c>
      <c r="U2351">
        <v>-0.18428446000000001</v>
      </c>
    </row>
    <row r="2352" spans="1:21" x14ac:dyDescent="0.2">
      <c r="A2352" t="s">
        <v>1108</v>
      </c>
      <c r="B2352">
        <v>487600</v>
      </c>
      <c r="C2352" t="s">
        <v>6931</v>
      </c>
      <c r="D2352" t="s">
        <v>1109</v>
      </c>
      <c r="E2352" t="s">
        <v>6977</v>
      </c>
      <c r="F2352">
        <v>3</v>
      </c>
      <c r="G2352">
        <v>5</v>
      </c>
      <c r="H2352" t="s">
        <v>11680</v>
      </c>
      <c r="J2352" t="s">
        <v>3061</v>
      </c>
      <c r="M2352" t="s">
        <v>11681</v>
      </c>
      <c r="N2352">
        <v>1.9323965059999999</v>
      </c>
      <c r="O2352">
        <v>3.0528020530000002</v>
      </c>
      <c r="P2352">
        <v>2.6493138999999999E-2</v>
      </c>
      <c r="Q2352">
        <v>-0.38692188</v>
      </c>
      <c r="S2352" s="13">
        <v>-1.4318113130000001</v>
      </c>
      <c r="T2352">
        <v>-0.331495133</v>
      </c>
      <c r="U2352">
        <v>-0.16619181699999999</v>
      </c>
    </row>
    <row r="2353" spans="1:21" x14ac:dyDescent="0.2">
      <c r="A2353" t="s">
        <v>1617</v>
      </c>
      <c r="B2353">
        <v>629320</v>
      </c>
      <c r="C2353" t="s">
        <v>6953</v>
      </c>
      <c r="D2353" t="s">
        <v>1617</v>
      </c>
      <c r="E2353" t="s">
        <v>7115</v>
      </c>
      <c r="F2353">
        <v>16</v>
      </c>
      <c r="G2353">
        <v>10</v>
      </c>
      <c r="H2353" t="s">
        <v>11682</v>
      </c>
      <c r="J2353" t="s">
        <v>2505</v>
      </c>
      <c r="M2353" t="s">
        <v>11683</v>
      </c>
      <c r="N2353">
        <v>1.921480887</v>
      </c>
      <c r="O2353">
        <v>3.0856645180000002</v>
      </c>
      <c r="P2353">
        <v>0.44706724399999997</v>
      </c>
      <c r="Q2353">
        <v>-0.354940863</v>
      </c>
      <c r="S2353" s="13">
        <v>-1.432212007</v>
      </c>
      <c r="T2353">
        <v>-0.333246074</v>
      </c>
      <c r="U2353">
        <v>-0.19140729300000001</v>
      </c>
    </row>
    <row r="2354" spans="1:21" x14ac:dyDescent="0.2">
      <c r="A2354" t="s">
        <v>1163</v>
      </c>
      <c r="B2354">
        <v>487280</v>
      </c>
      <c r="C2354" t="s">
        <v>6931</v>
      </c>
      <c r="D2354" t="s">
        <v>1164</v>
      </c>
      <c r="E2354" t="s">
        <v>6918</v>
      </c>
      <c r="F2354">
        <v>6</v>
      </c>
      <c r="G2354">
        <v>1</v>
      </c>
      <c r="H2354" t="s">
        <v>11684</v>
      </c>
      <c r="N2354">
        <v>1.9323965059999999</v>
      </c>
      <c r="O2354">
        <v>3.0528020530000002</v>
      </c>
      <c r="P2354">
        <v>2.6493138999999999E-2</v>
      </c>
      <c r="Q2354">
        <v>-0.38692188</v>
      </c>
      <c r="S2354" s="13">
        <v>-1.4322317849999999</v>
      </c>
      <c r="T2354">
        <v>-0.33333249799999998</v>
      </c>
      <c r="U2354">
        <v>-0.166412695</v>
      </c>
    </row>
    <row r="2355" spans="1:21" x14ac:dyDescent="0.2">
      <c r="A2355" t="s">
        <v>1222</v>
      </c>
      <c r="B2355">
        <v>629160</v>
      </c>
      <c r="C2355" t="s">
        <v>6953</v>
      </c>
      <c r="D2355" t="s">
        <v>1223</v>
      </c>
      <c r="E2355" t="s">
        <v>6907</v>
      </c>
      <c r="F2355">
        <v>3</v>
      </c>
      <c r="G2355">
        <v>4</v>
      </c>
      <c r="H2355" t="s">
        <v>11685</v>
      </c>
      <c r="J2355" t="s">
        <v>5383</v>
      </c>
      <c r="M2355" t="s">
        <v>11686</v>
      </c>
      <c r="N2355">
        <v>1.921480887</v>
      </c>
      <c r="O2355">
        <v>3.0856645180000002</v>
      </c>
      <c r="P2355">
        <v>0.44706724399999997</v>
      </c>
      <c r="Q2355">
        <v>-0.354940863</v>
      </c>
      <c r="S2355" s="13">
        <v>-1.4323780269999999</v>
      </c>
      <c r="T2355">
        <v>-0.33397154299999998</v>
      </c>
      <c r="U2355">
        <v>-0.19152432</v>
      </c>
    </row>
    <row r="2356" spans="1:21" x14ac:dyDescent="0.2">
      <c r="A2356" t="s">
        <v>1073</v>
      </c>
      <c r="B2356">
        <v>628960</v>
      </c>
      <c r="C2356" t="s">
        <v>6953</v>
      </c>
      <c r="D2356" t="s">
        <v>1073</v>
      </c>
      <c r="E2356" t="s">
        <v>7115</v>
      </c>
      <c r="F2356">
        <v>18</v>
      </c>
      <c r="G2356">
        <v>10</v>
      </c>
      <c r="H2356" t="s">
        <v>11687</v>
      </c>
      <c r="J2356" t="s">
        <v>5287</v>
      </c>
      <c r="M2356" t="s">
        <v>11688</v>
      </c>
      <c r="N2356">
        <v>1.921480887</v>
      </c>
      <c r="O2356">
        <v>3.0856645180000002</v>
      </c>
      <c r="P2356">
        <v>0.44706724399999997</v>
      </c>
      <c r="Q2356">
        <v>-0.354940863</v>
      </c>
      <c r="S2356" s="13">
        <v>-1.4325855519999999</v>
      </c>
      <c r="T2356">
        <v>-0.334878379</v>
      </c>
      <c r="U2356">
        <v>-0.191670648</v>
      </c>
    </row>
    <row r="2357" spans="1:21" x14ac:dyDescent="0.2">
      <c r="A2357" t="s">
        <v>1773</v>
      </c>
      <c r="B2357">
        <v>563840</v>
      </c>
      <c r="C2357" t="s">
        <v>6927</v>
      </c>
      <c r="D2357" t="s">
        <v>1773</v>
      </c>
      <c r="E2357" t="s">
        <v>6970</v>
      </c>
      <c r="F2357">
        <v>15</v>
      </c>
      <c r="G2357">
        <v>14</v>
      </c>
      <c r="H2357" t="s">
        <v>11689</v>
      </c>
      <c r="J2357" t="s">
        <v>11690</v>
      </c>
      <c r="M2357" t="s">
        <v>11691</v>
      </c>
      <c r="N2357">
        <v>1.982575982</v>
      </c>
      <c r="O2357">
        <v>3.4571926419999999</v>
      </c>
      <c r="P2357">
        <v>-0.114791479</v>
      </c>
      <c r="Q2357">
        <v>1.868949E-3</v>
      </c>
      <c r="S2357" s="13">
        <v>-1.432678938</v>
      </c>
      <c r="T2357">
        <v>-0.33528645600000001</v>
      </c>
      <c r="U2357">
        <v>-0.25587347300000002</v>
      </c>
    </row>
    <row r="2358" spans="1:21" x14ac:dyDescent="0.2">
      <c r="A2358" t="s">
        <v>2270</v>
      </c>
      <c r="B2358">
        <v>563800</v>
      </c>
      <c r="C2358" t="s">
        <v>6927</v>
      </c>
      <c r="D2358" t="s">
        <v>2271</v>
      </c>
      <c r="E2358" t="s">
        <v>6921</v>
      </c>
      <c r="F2358">
        <v>8</v>
      </c>
      <c r="G2358">
        <v>8</v>
      </c>
      <c r="H2358" t="s">
        <v>11692</v>
      </c>
      <c r="J2358" t="s">
        <v>11693</v>
      </c>
      <c r="M2358" t="s">
        <v>11694</v>
      </c>
      <c r="N2358">
        <v>1.982575982</v>
      </c>
      <c r="O2358">
        <v>3.4571926419999999</v>
      </c>
      <c r="P2358">
        <v>-0.114791479</v>
      </c>
      <c r="Q2358">
        <v>1.868949E-3</v>
      </c>
      <c r="S2358" s="13">
        <v>-1.432720443</v>
      </c>
      <c r="T2358">
        <v>-0.335467823</v>
      </c>
      <c r="U2358">
        <v>-0.255907408</v>
      </c>
    </row>
    <row r="2359" spans="1:21" x14ac:dyDescent="0.2">
      <c r="A2359" t="s">
        <v>598</v>
      </c>
      <c r="B2359">
        <v>628720</v>
      </c>
      <c r="C2359" t="s">
        <v>6953</v>
      </c>
      <c r="D2359" t="s">
        <v>598</v>
      </c>
      <c r="E2359" t="s">
        <v>7006</v>
      </c>
      <c r="F2359">
        <v>22</v>
      </c>
      <c r="G2359">
        <v>3</v>
      </c>
      <c r="H2359" t="s">
        <v>11695</v>
      </c>
      <c r="J2359" t="s">
        <v>600</v>
      </c>
      <c r="M2359" t="s">
        <v>11696</v>
      </c>
      <c r="N2359">
        <v>1.921480887</v>
      </c>
      <c r="O2359">
        <v>3.0856645180000002</v>
      </c>
      <c r="P2359">
        <v>0.44706724399999997</v>
      </c>
      <c r="Q2359">
        <v>-0.354940863</v>
      </c>
      <c r="S2359" s="13">
        <v>-1.4328345819999999</v>
      </c>
      <c r="T2359">
        <v>-0.33596658299999999</v>
      </c>
      <c r="U2359">
        <v>-0.19184630699999999</v>
      </c>
    </row>
    <row r="2360" spans="1:21" x14ac:dyDescent="0.2">
      <c r="A2360" t="s">
        <v>956</v>
      </c>
      <c r="B2360">
        <v>548560</v>
      </c>
      <c r="C2360" t="s">
        <v>6906</v>
      </c>
      <c r="D2360" t="s">
        <v>956</v>
      </c>
      <c r="E2360" t="s">
        <v>6974</v>
      </c>
      <c r="F2360">
        <v>15</v>
      </c>
      <c r="G2360">
        <v>15</v>
      </c>
      <c r="H2360" t="s">
        <v>11697</v>
      </c>
      <c r="J2360" t="s">
        <v>958</v>
      </c>
      <c r="M2360" t="s">
        <v>11698</v>
      </c>
      <c r="N2360">
        <v>1.813871112</v>
      </c>
      <c r="O2360">
        <v>2.6633694910000001</v>
      </c>
      <c r="P2360">
        <v>-0.29586356800000002</v>
      </c>
      <c r="Q2360">
        <v>-0.59018158399999998</v>
      </c>
      <c r="S2360" s="13">
        <v>-1.43287393</v>
      </c>
      <c r="T2360">
        <v>-0.33613852500000002</v>
      </c>
      <c r="U2360">
        <v>-0.20758933299999999</v>
      </c>
    </row>
    <row r="2361" spans="1:21" x14ac:dyDescent="0.2">
      <c r="A2361" t="s">
        <v>1739</v>
      </c>
      <c r="B2361">
        <v>486600</v>
      </c>
      <c r="C2361" t="s">
        <v>6931</v>
      </c>
      <c r="D2361" t="s">
        <v>1739</v>
      </c>
      <c r="E2361" t="s">
        <v>7085</v>
      </c>
      <c r="F2361">
        <v>10</v>
      </c>
      <c r="G2361">
        <v>9</v>
      </c>
      <c r="H2361" t="s">
        <v>11699</v>
      </c>
      <c r="N2361">
        <v>1.9323965059999999</v>
      </c>
      <c r="O2361">
        <v>3.0528020530000002</v>
      </c>
      <c r="P2361">
        <v>2.6493138999999999E-2</v>
      </c>
      <c r="Q2361">
        <v>-0.38692188</v>
      </c>
      <c r="S2361" s="13">
        <v>-1.433125287</v>
      </c>
      <c r="T2361">
        <v>-0.33723689899999998</v>
      </c>
      <c r="U2361">
        <v>-0.166882434</v>
      </c>
    </row>
    <row r="2362" spans="1:21" x14ac:dyDescent="0.2">
      <c r="A2362" t="s">
        <v>932</v>
      </c>
      <c r="B2362">
        <v>548240</v>
      </c>
      <c r="C2362" t="s">
        <v>6906</v>
      </c>
      <c r="D2362" t="s">
        <v>932</v>
      </c>
      <c r="E2362" t="s">
        <v>7006</v>
      </c>
      <c r="F2362">
        <v>12</v>
      </c>
      <c r="G2362">
        <v>3</v>
      </c>
      <c r="H2362" t="s">
        <v>11700</v>
      </c>
      <c r="J2362" t="s">
        <v>11701</v>
      </c>
      <c r="M2362" t="s">
        <v>11702</v>
      </c>
      <c r="N2362">
        <v>1.813871112</v>
      </c>
      <c r="O2362">
        <v>2.6633694910000001</v>
      </c>
      <c r="P2362">
        <v>-0.29586356800000002</v>
      </c>
      <c r="Q2362">
        <v>-0.59018158399999998</v>
      </c>
      <c r="S2362" s="13">
        <v>-1.433338169</v>
      </c>
      <c r="T2362">
        <v>-0.33816714399999998</v>
      </c>
      <c r="U2362">
        <v>-0.20783230799999999</v>
      </c>
    </row>
    <row r="2363" spans="1:21" x14ac:dyDescent="0.2">
      <c r="A2363" t="s">
        <v>551</v>
      </c>
      <c r="B2363">
        <v>563160</v>
      </c>
      <c r="C2363" t="s">
        <v>6927</v>
      </c>
      <c r="D2363" t="s">
        <v>551</v>
      </c>
      <c r="E2363" t="s">
        <v>6928</v>
      </c>
      <c r="F2363">
        <v>11</v>
      </c>
      <c r="G2363">
        <v>16</v>
      </c>
      <c r="H2363" t="s">
        <v>11703</v>
      </c>
      <c r="J2363" t="s">
        <v>11704</v>
      </c>
      <c r="M2363" t="s">
        <v>11705</v>
      </c>
      <c r="N2363">
        <v>1.982575982</v>
      </c>
      <c r="O2363">
        <v>3.4571926419999999</v>
      </c>
      <c r="P2363">
        <v>-0.114791479</v>
      </c>
      <c r="Q2363">
        <v>1.868949E-3</v>
      </c>
      <c r="S2363" s="13">
        <v>-1.433384523</v>
      </c>
      <c r="T2363">
        <v>-0.33836969900000002</v>
      </c>
      <c r="U2363">
        <v>-0.25645073299999999</v>
      </c>
    </row>
    <row r="2364" spans="1:21" x14ac:dyDescent="0.2">
      <c r="A2364" t="s">
        <v>462</v>
      </c>
      <c r="B2364">
        <v>628160</v>
      </c>
      <c r="C2364" t="s">
        <v>6953</v>
      </c>
      <c r="D2364" t="s">
        <v>462</v>
      </c>
      <c r="E2364" t="s">
        <v>6956</v>
      </c>
      <c r="F2364">
        <v>20</v>
      </c>
      <c r="G2364">
        <v>7</v>
      </c>
      <c r="H2364" t="s">
        <v>11706</v>
      </c>
      <c r="J2364" t="s">
        <v>5053</v>
      </c>
      <c r="M2364" t="s">
        <v>11707</v>
      </c>
      <c r="N2364">
        <v>1.921480887</v>
      </c>
      <c r="O2364">
        <v>3.0856645180000002</v>
      </c>
      <c r="P2364">
        <v>0.44706724399999997</v>
      </c>
      <c r="Q2364">
        <v>-0.354940863</v>
      </c>
      <c r="S2364" s="13">
        <v>-1.4334156520000001</v>
      </c>
      <c r="T2364">
        <v>-0.33850572400000001</v>
      </c>
      <c r="U2364">
        <v>-0.19225645399999999</v>
      </c>
    </row>
    <row r="2365" spans="1:21" x14ac:dyDescent="0.2">
      <c r="A2365" t="s">
        <v>988</v>
      </c>
      <c r="B2365">
        <v>560680</v>
      </c>
      <c r="C2365" t="s">
        <v>6938</v>
      </c>
      <c r="D2365" t="s">
        <v>988</v>
      </c>
      <c r="E2365" t="s">
        <v>6974</v>
      </c>
      <c r="F2365">
        <v>16</v>
      </c>
      <c r="G2365">
        <v>15</v>
      </c>
      <c r="H2365" t="s">
        <v>11708</v>
      </c>
      <c r="J2365" t="s">
        <v>5621</v>
      </c>
      <c r="M2365" t="s">
        <v>11709</v>
      </c>
      <c r="N2365">
        <v>2.092758737</v>
      </c>
      <c r="O2365">
        <v>5.3323610669999999</v>
      </c>
      <c r="P2365">
        <v>0.70420098600000003</v>
      </c>
      <c r="Q2365">
        <v>0.41355372699999998</v>
      </c>
      <c r="S2365" s="13">
        <v>-1.433596702</v>
      </c>
      <c r="T2365">
        <v>-0.33929687400000003</v>
      </c>
      <c r="U2365">
        <v>-0.288765471</v>
      </c>
    </row>
    <row r="2366" spans="1:21" x14ac:dyDescent="0.2">
      <c r="A2366" t="s">
        <v>796</v>
      </c>
      <c r="B2366">
        <v>486000</v>
      </c>
      <c r="C2366" t="s">
        <v>6931</v>
      </c>
      <c r="D2366" t="s">
        <v>796</v>
      </c>
      <c r="E2366" t="s">
        <v>6918</v>
      </c>
      <c r="F2366">
        <v>13</v>
      </c>
      <c r="G2366">
        <v>1</v>
      </c>
      <c r="H2366" t="s">
        <v>11710</v>
      </c>
      <c r="N2366">
        <v>1.9323965059999999</v>
      </c>
      <c r="O2366">
        <v>3.0528020530000002</v>
      </c>
      <c r="P2366">
        <v>2.6493138999999999E-2</v>
      </c>
      <c r="Q2366">
        <v>-0.38692188</v>
      </c>
      <c r="S2366" s="13">
        <v>-1.4339136720000001</v>
      </c>
      <c r="T2366">
        <v>-0.34068195899999998</v>
      </c>
      <c r="U2366">
        <v>-0.16729733199999999</v>
      </c>
    </row>
    <row r="2367" spans="1:21" x14ac:dyDescent="0.2">
      <c r="A2367" t="s">
        <v>1118</v>
      </c>
      <c r="B2367">
        <v>407480</v>
      </c>
      <c r="C2367" t="s">
        <v>6945</v>
      </c>
      <c r="D2367" t="s">
        <v>1118</v>
      </c>
      <c r="E2367" t="s">
        <v>6924</v>
      </c>
      <c r="F2367">
        <v>13</v>
      </c>
      <c r="G2367">
        <v>6</v>
      </c>
      <c r="H2367" t="s">
        <v>11711</v>
      </c>
      <c r="J2367" t="s">
        <v>5987</v>
      </c>
      <c r="M2367" t="s">
        <v>11712</v>
      </c>
      <c r="N2367">
        <v>2.2220813349999999</v>
      </c>
      <c r="O2367">
        <v>6.5440947090000003</v>
      </c>
      <c r="P2367">
        <v>0.58228215500000002</v>
      </c>
      <c r="Q2367">
        <v>0.35188233000000002</v>
      </c>
      <c r="S2367" s="13">
        <v>-1.433926314</v>
      </c>
      <c r="T2367">
        <v>-0.34073720400000002</v>
      </c>
      <c r="U2367">
        <v>-0.30736865099999999</v>
      </c>
    </row>
    <row r="2368" spans="1:21" x14ac:dyDescent="0.2">
      <c r="A2368" t="s">
        <v>1198</v>
      </c>
      <c r="B2368">
        <v>492280</v>
      </c>
      <c r="C2368" t="s">
        <v>6942</v>
      </c>
      <c r="D2368" t="s">
        <v>1199</v>
      </c>
      <c r="E2368" t="s">
        <v>6924</v>
      </c>
      <c r="F2368">
        <v>2</v>
      </c>
      <c r="G2368">
        <v>6</v>
      </c>
      <c r="H2368" t="s">
        <v>11713</v>
      </c>
      <c r="J2368" t="s">
        <v>1646</v>
      </c>
      <c r="M2368" t="s">
        <v>11714</v>
      </c>
      <c r="N2368">
        <v>2.0902262079999998</v>
      </c>
      <c r="O2368">
        <v>4.2704203920000001</v>
      </c>
      <c r="P2368">
        <v>0.23425843900000001</v>
      </c>
      <c r="Q2368">
        <v>1.6181978999999999E-2</v>
      </c>
      <c r="S2368" s="13">
        <v>-1.434073376</v>
      </c>
      <c r="T2368">
        <v>-0.34137983</v>
      </c>
      <c r="U2368">
        <v>-0.294179835</v>
      </c>
    </row>
    <row r="2369" spans="1:21" x14ac:dyDescent="0.2">
      <c r="A2369" t="s">
        <v>801</v>
      </c>
      <c r="B2369">
        <v>627520</v>
      </c>
      <c r="C2369" t="s">
        <v>6953</v>
      </c>
      <c r="D2369" t="s">
        <v>801</v>
      </c>
      <c r="E2369" t="s">
        <v>6911</v>
      </c>
      <c r="F2369">
        <v>23</v>
      </c>
      <c r="G2369">
        <v>12</v>
      </c>
      <c r="H2369" t="s">
        <v>11715</v>
      </c>
      <c r="J2369" t="s">
        <v>1194</v>
      </c>
      <c r="M2369" t="s">
        <v>11716</v>
      </c>
      <c r="N2369">
        <v>1.921480887</v>
      </c>
      <c r="O2369">
        <v>3.0856645180000002</v>
      </c>
      <c r="P2369">
        <v>0.44706724399999997</v>
      </c>
      <c r="Q2369">
        <v>-0.354940863</v>
      </c>
      <c r="S2369" s="13">
        <v>-1.434079731</v>
      </c>
      <c r="T2369">
        <v>-0.34140759999999998</v>
      </c>
      <c r="U2369">
        <v>-0.19272566799999999</v>
      </c>
    </row>
    <row r="2370" spans="1:21" x14ac:dyDescent="0.2">
      <c r="A2370" t="s">
        <v>598</v>
      </c>
      <c r="B2370">
        <v>650840</v>
      </c>
      <c r="C2370" t="s">
        <v>6914</v>
      </c>
      <c r="D2370" t="s">
        <v>598</v>
      </c>
      <c r="E2370" t="s">
        <v>7006</v>
      </c>
      <c r="F2370">
        <v>22</v>
      </c>
      <c r="G2370">
        <v>3</v>
      </c>
      <c r="H2370" t="s">
        <v>11717</v>
      </c>
      <c r="J2370" t="s">
        <v>2967</v>
      </c>
      <c r="M2370" t="s">
        <v>11718</v>
      </c>
      <c r="N2370">
        <v>1.8217074179999999</v>
      </c>
      <c r="O2370">
        <v>4.1700741289999996</v>
      </c>
      <c r="P2370">
        <v>0.189705977</v>
      </c>
      <c r="Q2370">
        <v>-1.7194070999999998E-2</v>
      </c>
      <c r="S2370" s="13">
        <v>-1.434172861</v>
      </c>
      <c r="T2370">
        <v>-0.34181455599999999</v>
      </c>
      <c r="U2370">
        <v>-0.25009245800000002</v>
      </c>
    </row>
    <row r="2371" spans="1:21" x14ac:dyDescent="0.2">
      <c r="A2371" t="s">
        <v>2054</v>
      </c>
      <c r="B2371">
        <v>492120</v>
      </c>
      <c r="C2371" t="s">
        <v>6942</v>
      </c>
      <c r="D2371" t="s">
        <v>2054</v>
      </c>
      <c r="E2371" t="s">
        <v>6911</v>
      </c>
      <c r="F2371">
        <v>15</v>
      </c>
      <c r="G2371">
        <v>12</v>
      </c>
      <c r="H2371" t="s">
        <v>11719</v>
      </c>
      <c r="J2371" t="s">
        <v>4614</v>
      </c>
      <c r="M2371" t="s">
        <v>11720</v>
      </c>
      <c r="N2371">
        <v>2.0902262079999998</v>
      </c>
      <c r="O2371">
        <v>4.2704203920000001</v>
      </c>
      <c r="P2371">
        <v>0.23425843900000001</v>
      </c>
      <c r="Q2371">
        <v>1.6181978999999999E-2</v>
      </c>
      <c r="S2371" s="13">
        <v>-1.434230414</v>
      </c>
      <c r="T2371">
        <v>-0.34206605200000001</v>
      </c>
      <c r="U2371">
        <v>-0.29432811199999998</v>
      </c>
    </row>
    <row r="2372" spans="1:21" x14ac:dyDescent="0.2">
      <c r="A2372" t="s">
        <v>1598</v>
      </c>
      <c r="B2372">
        <v>559880</v>
      </c>
      <c r="C2372" t="s">
        <v>6938</v>
      </c>
      <c r="D2372" t="s">
        <v>1598</v>
      </c>
      <c r="E2372" t="s">
        <v>6970</v>
      </c>
      <c r="F2372">
        <v>17</v>
      </c>
      <c r="G2372">
        <v>14</v>
      </c>
      <c r="H2372" t="s">
        <v>11721</v>
      </c>
      <c r="J2372" t="s">
        <v>5663</v>
      </c>
      <c r="M2372" t="s">
        <v>11722</v>
      </c>
      <c r="N2372">
        <v>2.092758737</v>
      </c>
      <c r="O2372">
        <v>5.3323610669999999</v>
      </c>
      <c r="P2372">
        <v>0.70420098600000003</v>
      </c>
      <c r="Q2372">
        <v>0.41355372699999998</v>
      </c>
      <c r="S2372" s="13">
        <v>-1.4342837509999999</v>
      </c>
      <c r="T2372">
        <v>-0.34229912200000001</v>
      </c>
      <c r="U2372">
        <v>-0.289498164</v>
      </c>
    </row>
    <row r="2373" spans="1:21" x14ac:dyDescent="0.2">
      <c r="A2373" t="s">
        <v>1383</v>
      </c>
      <c r="B2373">
        <v>562280</v>
      </c>
      <c r="C2373" t="s">
        <v>6927</v>
      </c>
      <c r="D2373" t="s">
        <v>1384</v>
      </c>
      <c r="E2373" t="s">
        <v>6956</v>
      </c>
      <c r="F2373">
        <v>6</v>
      </c>
      <c r="G2373">
        <v>7</v>
      </c>
      <c r="H2373" t="s">
        <v>11723</v>
      </c>
      <c r="J2373" t="s">
        <v>11724</v>
      </c>
      <c r="M2373" t="s">
        <v>11725</v>
      </c>
      <c r="N2373">
        <v>1.982575982</v>
      </c>
      <c r="O2373">
        <v>3.4571926419999999</v>
      </c>
      <c r="P2373">
        <v>-0.114791479</v>
      </c>
      <c r="Q2373">
        <v>1.868949E-3</v>
      </c>
      <c r="S2373" s="13">
        <v>-1.434297632</v>
      </c>
      <c r="T2373">
        <v>-0.342359778</v>
      </c>
      <c r="U2373">
        <v>-0.257198916</v>
      </c>
    </row>
    <row r="2374" spans="1:21" x14ac:dyDescent="0.2">
      <c r="A2374" t="s">
        <v>1714</v>
      </c>
      <c r="B2374">
        <v>537280</v>
      </c>
      <c r="C2374" t="s">
        <v>6910</v>
      </c>
      <c r="D2374" t="s">
        <v>1715</v>
      </c>
      <c r="E2374" t="s">
        <v>6915</v>
      </c>
      <c r="F2374">
        <v>7</v>
      </c>
      <c r="G2374">
        <v>13</v>
      </c>
      <c r="H2374" t="s">
        <v>11726</v>
      </c>
      <c r="J2374" t="s">
        <v>3003</v>
      </c>
      <c r="M2374" t="s">
        <v>11727</v>
      </c>
      <c r="N2374">
        <v>1.9874741039999999</v>
      </c>
      <c r="O2374">
        <v>3.7453511220000002</v>
      </c>
      <c r="P2374">
        <v>0.451009722</v>
      </c>
      <c r="Q2374">
        <v>-0.102386592</v>
      </c>
      <c r="S2374" s="13">
        <v>-1.4346287090000001</v>
      </c>
      <c r="T2374">
        <v>-0.34380650899999998</v>
      </c>
      <c r="U2374">
        <v>-0.18630353299999999</v>
      </c>
    </row>
    <row r="2375" spans="1:21" x14ac:dyDescent="0.2">
      <c r="A2375" t="s">
        <v>134</v>
      </c>
      <c r="B2375">
        <v>183280</v>
      </c>
      <c r="C2375" t="s">
        <v>6961</v>
      </c>
      <c r="D2375" t="s">
        <v>135</v>
      </c>
      <c r="E2375" t="s">
        <v>6970</v>
      </c>
      <c r="F2375">
        <v>1</v>
      </c>
      <c r="G2375">
        <v>14</v>
      </c>
      <c r="H2375" t="s">
        <v>11728</v>
      </c>
      <c r="J2375" t="s">
        <v>6283</v>
      </c>
      <c r="M2375" t="s">
        <v>11729</v>
      </c>
      <c r="N2375">
        <v>2.7247480949999998</v>
      </c>
      <c r="O2375">
        <v>7.0822175119999997</v>
      </c>
      <c r="P2375">
        <v>0.61298291999999999</v>
      </c>
      <c r="Q2375">
        <v>0.48262032500000002</v>
      </c>
      <c r="S2375" s="13">
        <v>-1.434707577</v>
      </c>
      <c r="T2375">
        <v>-0.34415114499999999</v>
      </c>
      <c r="U2375">
        <v>-0.372385568</v>
      </c>
    </row>
    <row r="2376" spans="1:21" x14ac:dyDescent="0.2">
      <c r="A2376" t="s">
        <v>1659</v>
      </c>
      <c r="B2376">
        <v>561840</v>
      </c>
      <c r="C2376" t="s">
        <v>6927</v>
      </c>
      <c r="D2376" t="s">
        <v>1660</v>
      </c>
      <c r="E2376" t="s">
        <v>6946</v>
      </c>
      <c r="F2376">
        <v>8</v>
      </c>
      <c r="G2376">
        <v>11</v>
      </c>
      <c r="H2376" t="s">
        <v>11730</v>
      </c>
      <c r="J2376" t="s">
        <v>11731</v>
      </c>
      <c r="M2376" t="s">
        <v>11732</v>
      </c>
      <c r="N2376">
        <v>1.982575982</v>
      </c>
      <c r="O2376">
        <v>3.4571926419999999</v>
      </c>
      <c r="P2376">
        <v>-0.114791479</v>
      </c>
      <c r="Q2376">
        <v>1.868949E-3</v>
      </c>
      <c r="S2376" s="13">
        <v>-1.434754187</v>
      </c>
      <c r="T2376">
        <v>-0.34435481699999998</v>
      </c>
      <c r="U2376">
        <v>-0.25757349099999999</v>
      </c>
    </row>
    <row r="2377" spans="1:21" x14ac:dyDescent="0.2">
      <c r="A2377" t="s">
        <v>746</v>
      </c>
      <c r="B2377">
        <v>626840</v>
      </c>
      <c r="C2377" t="s">
        <v>6953</v>
      </c>
      <c r="D2377" t="s">
        <v>746</v>
      </c>
      <c r="E2377" t="s">
        <v>6974</v>
      </c>
      <c r="F2377">
        <v>19</v>
      </c>
      <c r="G2377">
        <v>15</v>
      </c>
      <c r="H2377" t="s">
        <v>11733</v>
      </c>
      <c r="J2377" t="s">
        <v>5303</v>
      </c>
      <c r="M2377" t="s">
        <v>11734</v>
      </c>
      <c r="N2377">
        <v>1.921480887</v>
      </c>
      <c r="O2377">
        <v>3.0856645180000002</v>
      </c>
      <c r="P2377">
        <v>0.44706724399999997</v>
      </c>
      <c r="Q2377">
        <v>-0.354940863</v>
      </c>
      <c r="S2377" s="13">
        <v>-1.4347853159999999</v>
      </c>
      <c r="T2377">
        <v>-0.34449084299999999</v>
      </c>
      <c r="U2377">
        <v>-0.19322476499999999</v>
      </c>
    </row>
    <row r="2378" spans="1:21" x14ac:dyDescent="0.2">
      <c r="A2378" t="s">
        <v>2040</v>
      </c>
      <c r="B2378">
        <v>650320</v>
      </c>
      <c r="C2378" t="s">
        <v>6914</v>
      </c>
      <c r="D2378" t="s">
        <v>2040</v>
      </c>
      <c r="E2378" t="s">
        <v>6946</v>
      </c>
      <c r="F2378">
        <v>18</v>
      </c>
      <c r="G2378">
        <v>11</v>
      </c>
      <c r="H2378" t="s">
        <v>11735</v>
      </c>
      <c r="J2378" t="s">
        <v>6729</v>
      </c>
      <c r="M2378" t="s">
        <v>11736</v>
      </c>
      <c r="N2378">
        <v>1.8217074179999999</v>
      </c>
      <c r="O2378">
        <v>4.1700741289999996</v>
      </c>
      <c r="P2378">
        <v>0.189705977</v>
      </c>
      <c r="Q2378">
        <v>-1.7194070999999998E-2</v>
      </c>
      <c r="S2378" s="13">
        <v>-1.4347982969999999</v>
      </c>
      <c r="T2378">
        <v>-0.34454756800000003</v>
      </c>
      <c r="U2378">
        <v>-0.25052798300000001</v>
      </c>
    </row>
    <row r="2379" spans="1:21" x14ac:dyDescent="0.2">
      <c r="A2379" t="s">
        <v>1484</v>
      </c>
      <c r="B2379">
        <v>485280</v>
      </c>
      <c r="C2379" t="s">
        <v>6931</v>
      </c>
      <c r="D2379" t="s">
        <v>1484</v>
      </c>
      <c r="E2379" t="s">
        <v>6977</v>
      </c>
      <c r="F2379">
        <v>16</v>
      </c>
      <c r="G2379">
        <v>5</v>
      </c>
      <c r="H2379" t="s">
        <v>11737</v>
      </c>
      <c r="N2379">
        <v>1.9323965059999999</v>
      </c>
      <c r="O2379">
        <v>3.0528020530000002</v>
      </c>
      <c r="P2379">
        <v>2.6493138999999999E-2</v>
      </c>
      <c r="Q2379">
        <v>-0.38692188</v>
      </c>
      <c r="S2379" s="13">
        <v>-1.4348597329999999</v>
      </c>
      <c r="T2379">
        <v>-0.34481603100000002</v>
      </c>
      <c r="U2379">
        <v>-0.167795734</v>
      </c>
    </row>
    <row r="2380" spans="1:21" x14ac:dyDescent="0.2">
      <c r="A2380" t="s">
        <v>300</v>
      </c>
      <c r="B2380">
        <v>626520</v>
      </c>
      <c r="C2380" t="s">
        <v>6953</v>
      </c>
      <c r="D2380" t="s">
        <v>300</v>
      </c>
      <c r="E2380" t="s">
        <v>7006</v>
      </c>
      <c r="F2380">
        <v>19</v>
      </c>
      <c r="G2380">
        <v>3</v>
      </c>
      <c r="H2380" t="s">
        <v>11738</v>
      </c>
      <c r="J2380" t="s">
        <v>4545</v>
      </c>
      <c r="M2380" t="s">
        <v>11739</v>
      </c>
      <c r="N2380">
        <v>1.921480887</v>
      </c>
      <c r="O2380">
        <v>3.0856645180000002</v>
      </c>
      <c r="P2380">
        <v>0.44706724399999997</v>
      </c>
      <c r="Q2380">
        <v>-0.354940863</v>
      </c>
      <c r="S2380" s="13">
        <v>-1.435117355</v>
      </c>
      <c r="T2380">
        <v>-0.345941781</v>
      </c>
      <c r="U2380">
        <v>-0.193459832</v>
      </c>
    </row>
    <row r="2381" spans="1:21" x14ac:dyDescent="0.2">
      <c r="A2381" t="s">
        <v>998</v>
      </c>
      <c r="B2381">
        <v>626480</v>
      </c>
      <c r="C2381" t="s">
        <v>6953</v>
      </c>
      <c r="D2381" t="s">
        <v>998</v>
      </c>
      <c r="E2381" t="s">
        <v>6970</v>
      </c>
      <c r="F2381">
        <v>13</v>
      </c>
      <c r="G2381">
        <v>14</v>
      </c>
      <c r="H2381" t="s">
        <v>11740</v>
      </c>
      <c r="J2381" t="s">
        <v>3602</v>
      </c>
      <c r="M2381" t="s">
        <v>11741</v>
      </c>
      <c r="N2381">
        <v>1.921480887</v>
      </c>
      <c r="O2381">
        <v>3.0856645180000002</v>
      </c>
      <c r="P2381">
        <v>0.44706724399999997</v>
      </c>
      <c r="Q2381">
        <v>-0.354940863</v>
      </c>
      <c r="S2381" s="13">
        <v>-1.43515886</v>
      </c>
      <c r="T2381">
        <v>-0.34612314799999999</v>
      </c>
      <c r="U2381">
        <v>-0.19348922499999999</v>
      </c>
    </row>
    <row r="2382" spans="1:21" x14ac:dyDescent="0.2">
      <c r="A2382" t="s">
        <v>1494</v>
      </c>
      <c r="B2382">
        <v>491040</v>
      </c>
      <c r="C2382" t="s">
        <v>6942</v>
      </c>
      <c r="D2382" t="s">
        <v>1494</v>
      </c>
      <c r="E2382" t="s">
        <v>7115</v>
      </c>
      <c r="F2382">
        <v>12</v>
      </c>
      <c r="G2382">
        <v>10</v>
      </c>
      <c r="H2382" t="s">
        <v>11742</v>
      </c>
      <c r="J2382" t="s">
        <v>4315</v>
      </c>
      <c r="M2382" t="s">
        <v>11743</v>
      </c>
      <c r="N2382">
        <v>2.0902262079999998</v>
      </c>
      <c r="O2382">
        <v>4.2704203920000001</v>
      </c>
      <c r="P2382">
        <v>0.23425843900000001</v>
      </c>
      <c r="Q2382">
        <v>1.6181978999999999E-2</v>
      </c>
      <c r="S2382" s="13">
        <v>-1.4352904230000001</v>
      </c>
      <c r="T2382">
        <v>-0.34669804500000001</v>
      </c>
      <c r="U2382">
        <v>-0.29533030900000001</v>
      </c>
    </row>
    <row r="2383" spans="1:21" x14ac:dyDescent="0.2">
      <c r="A2383" t="s">
        <v>1794</v>
      </c>
      <c r="B2383">
        <v>561280</v>
      </c>
      <c r="C2383" t="s">
        <v>6927</v>
      </c>
      <c r="D2383" t="s">
        <v>1794</v>
      </c>
      <c r="E2383" t="s">
        <v>7115</v>
      </c>
      <c r="F2383">
        <v>13</v>
      </c>
      <c r="G2383">
        <v>10</v>
      </c>
      <c r="H2383" t="s">
        <v>11744</v>
      </c>
      <c r="J2383" t="s">
        <v>11745</v>
      </c>
      <c r="M2383" t="s">
        <v>11746</v>
      </c>
      <c r="N2383">
        <v>1.982575982</v>
      </c>
      <c r="O2383">
        <v>3.4571926419999999</v>
      </c>
      <c r="P2383">
        <v>-0.114791479</v>
      </c>
      <c r="Q2383">
        <v>1.868949E-3</v>
      </c>
      <c r="S2383" s="13">
        <v>-1.4353352559999999</v>
      </c>
      <c r="T2383">
        <v>-0.34689395899999997</v>
      </c>
      <c r="U2383">
        <v>-0.258050691</v>
      </c>
    </row>
    <row r="2384" spans="1:21" x14ac:dyDescent="0.2">
      <c r="A2384" t="s">
        <v>632</v>
      </c>
      <c r="B2384">
        <v>536320</v>
      </c>
      <c r="C2384" t="s">
        <v>6910</v>
      </c>
      <c r="D2384" t="s">
        <v>632</v>
      </c>
      <c r="E2384" t="s">
        <v>6924</v>
      </c>
      <c r="F2384">
        <v>18</v>
      </c>
      <c r="G2384">
        <v>6</v>
      </c>
      <c r="H2384" t="s">
        <v>11747</v>
      </c>
      <c r="J2384" t="s">
        <v>2132</v>
      </c>
      <c r="M2384" t="s">
        <v>11748</v>
      </c>
      <c r="N2384">
        <v>1.9874741039999999</v>
      </c>
      <c r="O2384">
        <v>3.7453511220000002</v>
      </c>
      <c r="P2384">
        <v>0.451009722</v>
      </c>
      <c r="Q2384">
        <v>-0.102386592</v>
      </c>
      <c r="S2384" s="13">
        <v>-1.4356615669999999</v>
      </c>
      <c r="T2384">
        <v>-0.34831986100000001</v>
      </c>
      <c r="U2384">
        <v>-0.18699795299999999</v>
      </c>
    </row>
    <row r="2385" spans="1:21" x14ac:dyDescent="0.2">
      <c r="A2385" t="s">
        <v>1971</v>
      </c>
      <c r="B2385">
        <v>625960</v>
      </c>
      <c r="C2385" t="s">
        <v>6953</v>
      </c>
      <c r="D2385" t="s">
        <v>1971</v>
      </c>
      <c r="E2385" t="s">
        <v>7115</v>
      </c>
      <c r="F2385">
        <v>10</v>
      </c>
      <c r="G2385">
        <v>10</v>
      </c>
      <c r="H2385" t="s">
        <v>11749</v>
      </c>
      <c r="J2385" t="s">
        <v>3016</v>
      </c>
      <c r="M2385" t="s">
        <v>11750</v>
      </c>
      <c r="N2385">
        <v>1.921480887</v>
      </c>
      <c r="O2385">
        <v>3.0856645180000002</v>
      </c>
      <c r="P2385">
        <v>0.44706724399999997</v>
      </c>
      <c r="Q2385">
        <v>-0.354940863</v>
      </c>
      <c r="S2385" s="13">
        <v>-1.435698425</v>
      </c>
      <c r="T2385">
        <v>-0.34848092200000003</v>
      </c>
      <c r="U2385">
        <v>-0.193871507</v>
      </c>
    </row>
    <row r="2386" spans="1:21" x14ac:dyDescent="0.2">
      <c r="A2386" t="s">
        <v>1119</v>
      </c>
      <c r="B2386">
        <v>558200</v>
      </c>
      <c r="C2386" t="s">
        <v>6938</v>
      </c>
      <c r="D2386" t="s">
        <v>1120</v>
      </c>
      <c r="E2386" t="s">
        <v>6915</v>
      </c>
      <c r="F2386">
        <v>9</v>
      </c>
      <c r="G2386">
        <v>13</v>
      </c>
      <c r="H2386" t="s">
        <v>11751</v>
      </c>
      <c r="J2386" t="s">
        <v>3643</v>
      </c>
      <c r="M2386" t="s">
        <v>11752</v>
      </c>
      <c r="N2386">
        <v>2.092758737</v>
      </c>
      <c r="O2386">
        <v>5.3323610669999999</v>
      </c>
      <c r="P2386">
        <v>0.70420098600000003</v>
      </c>
      <c r="Q2386">
        <v>0.41355372699999998</v>
      </c>
      <c r="S2386" s="13">
        <v>-1.4357265539999999</v>
      </c>
      <c r="T2386">
        <v>-0.348603842</v>
      </c>
      <c r="U2386">
        <v>-0.29104085400000002</v>
      </c>
    </row>
    <row r="2387" spans="1:21" x14ac:dyDescent="0.2">
      <c r="A2387" t="s">
        <v>23</v>
      </c>
      <c r="B2387">
        <v>536240</v>
      </c>
      <c r="C2387" t="s">
        <v>6910</v>
      </c>
      <c r="D2387" t="s">
        <v>23</v>
      </c>
      <c r="E2387" t="s">
        <v>6907</v>
      </c>
      <c r="F2387">
        <v>18</v>
      </c>
      <c r="G2387">
        <v>4</v>
      </c>
      <c r="H2387" t="s">
        <v>11753</v>
      </c>
      <c r="J2387" t="s">
        <v>3728</v>
      </c>
      <c r="M2387" t="s">
        <v>11754</v>
      </c>
      <c r="N2387">
        <v>1.9874741039999999</v>
      </c>
      <c r="O2387">
        <v>3.7453511220000002</v>
      </c>
      <c r="P2387">
        <v>0.451009722</v>
      </c>
      <c r="Q2387">
        <v>-0.102386592</v>
      </c>
      <c r="S2387" s="13">
        <v>-1.435747638</v>
      </c>
      <c r="T2387">
        <v>-0.34869597400000002</v>
      </c>
      <c r="U2387">
        <v>-0.18705587100000001</v>
      </c>
    </row>
    <row r="2388" spans="1:21" x14ac:dyDescent="0.2">
      <c r="A2388" t="s">
        <v>2385</v>
      </c>
      <c r="B2388">
        <v>536160</v>
      </c>
      <c r="C2388" t="s">
        <v>6910</v>
      </c>
      <c r="D2388" t="s">
        <v>2385</v>
      </c>
      <c r="E2388" t="s">
        <v>6911</v>
      </c>
      <c r="F2388">
        <v>19</v>
      </c>
      <c r="G2388">
        <v>12</v>
      </c>
      <c r="H2388" t="s">
        <v>11755</v>
      </c>
      <c r="J2388" t="s">
        <v>2639</v>
      </c>
      <c r="M2388" t="s">
        <v>11756</v>
      </c>
      <c r="N2388">
        <v>1.9874741039999999</v>
      </c>
      <c r="O2388">
        <v>3.7453511220000002</v>
      </c>
      <c r="P2388">
        <v>0.451009722</v>
      </c>
      <c r="Q2388">
        <v>-0.102386592</v>
      </c>
      <c r="S2388" s="13">
        <v>-1.43583371</v>
      </c>
      <c r="T2388">
        <v>-0.349072086</v>
      </c>
      <c r="U2388">
        <v>-0.187113797</v>
      </c>
    </row>
    <row r="2389" spans="1:21" x14ac:dyDescent="0.2">
      <c r="A2389" t="s">
        <v>172</v>
      </c>
      <c r="B2389">
        <v>490160</v>
      </c>
      <c r="C2389" t="s">
        <v>6942</v>
      </c>
      <c r="D2389" t="s">
        <v>172</v>
      </c>
      <c r="E2389" t="s">
        <v>7006</v>
      </c>
      <c r="F2389">
        <v>11</v>
      </c>
      <c r="G2389">
        <v>3</v>
      </c>
      <c r="H2389" t="s">
        <v>11757</v>
      </c>
      <c r="J2389" t="s">
        <v>4942</v>
      </c>
      <c r="M2389" t="s">
        <v>11758</v>
      </c>
      <c r="N2389">
        <v>2.0902262079999998</v>
      </c>
      <c r="O2389">
        <v>4.2704203920000001</v>
      </c>
      <c r="P2389">
        <v>0.23425843900000001</v>
      </c>
      <c r="Q2389">
        <v>1.6181978999999999E-2</v>
      </c>
      <c r="S2389" s="13">
        <v>-1.4361541330000001</v>
      </c>
      <c r="T2389">
        <v>-0.35047226199999998</v>
      </c>
      <c r="U2389">
        <v>-0.296148627</v>
      </c>
    </row>
    <row r="2390" spans="1:21" x14ac:dyDescent="0.2">
      <c r="A2390" t="s">
        <v>1073</v>
      </c>
      <c r="B2390">
        <v>489960</v>
      </c>
      <c r="C2390" t="s">
        <v>6942</v>
      </c>
      <c r="D2390" t="s">
        <v>1073</v>
      </c>
      <c r="E2390" t="s">
        <v>7115</v>
      </c>
      <c r="F2390">
        <v>18</v>
      </c>
      <c r="G2390">
        <v>10</v>
      </c>
      <c r="H2390" t="s">
        <v>11759</v>
      </c>
      <c r="J2390" t="s">
        <v>1075</v>
      </c>
      <c r="M2390" t="s">
        <v>11760</v>
      </c>
      <c r="N2390">
        <v>2.0902262079999998</v>
      </c>
      <c r="O2390">
        <v>4.2704203920000001</v>
      </c>
      <c r="P2390">
        <v>0.23425843900000001</v>
      </c>
      <c r="Q2390">
        <v>1.6181978999999999E-2</v>
      </c>
      <c r="S2390" s="13">
        <v>-1.4363504309999999</v>
      </c>
      <c r="T2390">
        <v>-0.35133003899999998</v>
      </c>
      <c r="U2390">
        <v>-0.296334824</v>
      </c>
    </row>
    <row r="2391" spans="1:21" x14ac:dyDescent="0.2">
      <c r="A2391" t="s">
        <v>458</v>
      </c>
      <c r="B2391">
        <v>625200</v>
      </c>
      <c r="C2391" t="s">
        <v>6953</v>
      </c>
      <c r="D2391" t="s">
        <v>459</v>
      </c>
      <c r="E2391" t="s">
        <v>6921</v>
      </c>
      <c r="F2391">
        <v>4</v>
      </c>
      <c r="G2391">
        <v>8</v>
      </c>
      <c r="H2391" t="s">
        <v>11761</v>
      </c>
      <c r="J2391" t="s">
        <v>5275</v>
      </c>
      <c r="M2391" t="s">
        <v>11762</v>
      </c>
      <c r="N2391">
        <v>1.921480887</v>
      </c>
      <c r="O2391">
        <v>3.0856645180000002</v>
      </c>
      <c r="P2391">
        <v>0.44706724399999997</v>
      </c>
      <c r="Q2391">
        <v>-0.354940863</v>
      </c>
      <c r="S2391" s="13">
        <v>-1.4364870190000001</v>
      </c>
      <c r="T2391">
        <v>-0.35192689900000002</v>
      </c>
      <c r="U2391">
        <v>-0.194430833</v>
      </c>
    </row>
    <row r="2392" spans="1:21" x14ac:dyDescent="0.2">
      <c r="A2392" t="s">
        <v>2149</v>
      </c>
      <c r="B2392">
        <v>557160</v>
      </c>
      <c r="C2392" t="s">
        <v>6938</v>
      </c>
      <c r="D2392" t="s">
        <v>2149</v>
      </c>
      <c r="E2392" t="s">
        <v>7085</v>
      </c>
      <c r="F2392">
        <v>13</v>
      </c>
      <c r="G2392">
        <v>9</v>
      </c>
      <c r="H2392" t="s">
        <v>11763</v>
      </c>
      <c r="J2392" t="s">
        <v>4734</v>
      </c>
      <c r="M2392" t="s">
        <v>11764</v>
      </c>
      <c r="N2392">
        <v>2.092758737</v>
      </c>
      <c r="O2392">
        <v>5.3323610669999999</v>
      </c>
      <c r="P2392">
        <v>0.70420098600000003</v>
      </c>
      <c r="Q2392">
        <v>0.41355372699999998</v>
      </c>
      <c r="S2392" s="13">
        <v>-1.436619718</v>
      </c>
      <c r="T2392">
        <v>-0.352506763</v>
      </c>
      <c r="U2392">
        <v>-0.29199860700000002</v>
      </c>
    </row>
    <row r="2393" spans="1:21" x14ac:dyDescent="0.2">
      <c r="A2393" t="s">
        <v>1349</v>
      </c>
      <c r="B2393">
        <v>648720</v>
      </c>
      <c r="C2393" t="s">
        <v>6914</v>
      </c>
      <c r="D2393" t="s">
        <v>1350</v>
      </c>
      <c r="E2393" t="s">
        <v>6939</v>
      </c>
      <c r="F2393">
        <v>6</v>
      </c>
      <c r="G2393">
        <v>2</v>
      </c>
      <c r="H2393" t="s">
        <v>11765</v>
      </c>
      <c r="J2393" t="s">
        <v>1352</v>
      </c>
      <c r="M2393" t="s">
        <v>11766</v>
      </c>
      <c r="N2393">
        <v>1.8217074179999999</v>
      </c>
      <c r="O2393">
        <v>4.1700741289999996</v>
      </c>
      <c r="P2393">
        <v>0.189705977</v>
      </c>
      <c r="Q2393">
        <v>-1.7194070999999998E-2</v>
      </c>
      <c r="S2393" s="13">
        <v>-1.4367227149999999</v>
      </c>
      <c r="T2393">
        <v>-0.35295683700000002</v>
      </c>
      <c r="U2393">
        <v>-0.25187080899999997</v>
      </c>
    </row>
    <row r="2394" spans="1:21" x14ac:dyDescent="0.2">
      <c r="A2394" t="s">
        <v>1208</v>
      </c>
      <c r="B2394">
        <v>489560</v>
      </c>
      <c r="C2394" t="s">
        <v>6942</v>
      </c>
      <c r="D2394" t="s">
        <v>1208</v>
      </c>
      <c r="E2394" t="s">
        <v>6921</v>
      </c>
      <c r="F2394">
        <v>15</v>
      </c>
      <c r="G2394">
        <v>8</v>
      </c>
      <c r="H2394" t="s">
        <v>11767</v>
      </c>
      <c r="J2394" t="s">
        <v>1725</v>
      </c>
      <c r="M2394" t="s">
        <v>11768</v>
      </c>
      <c r="N2394">
        <v>2.0902262079999998</v>
      </c>
      <c r="O2394">
        <v>4.2704203920000001</v>
      </c>
      <c r="P2394">
        <v>0.23425843900000001</v>
      </c>
      <c r="Q2394">
        <v>1.6181978999999999E-2</v>
      </c>
      <c r="S2394" s="13">
        <v>-1.4367430269999999</v>
      </c>
      <c r="T2394">
        <v>-0.35304559200000002</v>
      </c>
      <c r="U2394">
        <v>-0.29670745700000001</v>
      </c>
    </row>
    <row r="2395" spans="1:21" x14ac:dyDescent="0.2">
      <c r="A2395" t="s">
        <v>889</v>
      </c>
      <c r="B2395">
        <v>483840</v>
      </c>
      <c r="C2395" t="s">
        <v>6931</v>
      </c>
      <c r="D2395" t="s">
        <v>889</v>
      </c>
      <c r="E2395" t="s">
        <v>6921</v>
      </c>
      <c r="F2395">
        <v>16</v>
      </c>
      <c r="G2395">
        <v>8</v>
      </c>
      <c r="H2395" t="s">
        <v>11769</v>
      </c>
      <c r="N2395">
        <v>1.9323965059999999</v>
      </c>
      <c r="O2395">
        <v>3.0528020530000002</v>
      </c>
      <c r="P2395">
        <v>2.6493138999999999E-2</v>
      </c>
      <c r="Q2395">
        <v>-0.38692188</v>
      </c>
      <c r="S2395" s="13">
        <v>-1.4367518560000001</v>
      </c>
      <c r="T2395">
        <v>-0.353084175</v>
      </c>
      <c r="U2395">
        <v>-0.168794256</v>
      </c>
    </row>
    <row r="2396" spans="1:21" x14ac:dyDescent="0.2">
      <c r="A2396" t="s">
        <v>415</v>
      </c>
      <c r="B2396">
        <v>545760</v>
      </c>
      <c r="C2396" t="s">
        <v>6906</v>
      </c>
      <c r="D2396" t="s">
        <v>415</v>
      </c>
      <c r="E2396" t="s">
        <v>6924</v>
      </c>
      <c r="F2396">
        <v>19</v>
      </c>
      <c r="G2396">
        <v>6</v>
      </c>
      <c r="H2396" t="s">
        <v>11770</v>
      </c>
      <c r="J2396" t="s">
        <v>417</v>
      </c>
      <c r="M2396" t="s">
        <v>11771</v>
      </c>
      <c r="N2396">
        <v>1.813871112</v>
      </c>
      <c r="O2396">
        <v>2.6633694910000001</v>
      </c>
      <c r="P2396">
        <v>-0.29586356800000002</v>
      </c>
      <c r="Q2396">
        <v>-0.59018158399999998</v>
      </c>
      <c r="S2396" s="13">
        <v>-1.436936022</v>
      </c>
      <c r="T2396">
        <v>-0.35388893900000001</v>
      </c>
      <c r="U2396">
        <v>-0.209719985</v>
      </c>
    </row>
    <row r="2397" spans="1:21" x14ac:dyDescent="0.2">
      <c r="A2397" t="s">
        <v>1055</v>
      </c>
      <c r="B2397">
        <v>545440</v>
      </c>
      <c r="C2397" t="s">
        <v>6906</v>
      </c>
      <c r="D2397" t="s">
        <v>1055</v>
      </c>
      <c r="E2397" t="s">
        <v>6970</v>
      </c>
      <c r="F2397">
        <v>11</v>
      </c>
      <c r="G2397">
        <v>14</v>
      </c>
      <c r="H2397" t="s">
        <v>11772</v>
      </c>
      <c r="J2397" t="s">
        <v>11773</v>
      </c>
      <c r="M2397" t="s">
        <v>11774</v>
      </c>
      <c r="N2397">
        <v>1.813871112</v>
      </c>
      <c r="O2397">
        <v>2.6633694910000001</v>
      </c>
      <c r="P2397">
        <v>-0.29586356800000002</v>
      </c>
      <c r="Q2397">
        <v>-0.59018158399999998</v>
      </c>
      <c r="S2397" s="13">
        <v>-1.4374002610000001</v>
      </c>
      <c r="T2397">
        <v>-0.355917557</v>
      </c>
      <c r="U2397">
        <v>-0.20996415500000001</v>
      </c>
    </row>
    <row r="2398" spans="1:21" x14ac:dyDescent="0.2">
      <c r="A2398" t="s">
        <v>625</v>
      </c>
      <c r="B2398">
        <v>534280</v>
      </c>
      <c r="C2398" t="s">
        <v>6910</v>
      </c>
      <c r="D2398" t="s">
        <v>625</v>
      </c>
      <c r="E2398" t="s">
        <v>6918</v>
      </c>
      <c r="F2398">
        <v>11</v>
      </c>
      <c r="G2398">
        <v>1</v>
      </c>
      <c r="H2398" t="s">
        <v>11775</v>
      </c>
      <c r="J2398" t="s">
        <v>3200</v>
      </c>
      <c r="M2398" t="s">
        <v>11776</v>
      </c>
      <c r="N2398">
        <v>1.9874741039999999</v>
      </c>
      <c r="O2398">
        <v>3.7453511220000002</v>
      </c>
      <c r="P2398">
        <v>0.451009722</v>
      </c>
      <c r="Q2398">
        <v>-0.102386592</v>
      </c>
      <c r="S2398" s="13">
        <v>-1.4378563900000001</v>
      </c>
      <c r="T2398">
        <v>-0.35791073499999998</v>
      </c>
      <c r="U2398">
        <v>-0.18847729199999999</v>
      </c>
    </row>
    <row r="2399" spans="1:21" x14ac:dyDescent="0.2">
      <c r="A2399" t="s">
        <v>1544</v>
      </c>
      <c r="B2399">
        <v>488200</v>
      </c>
      <c r="C2399" t="s">
        <v>6942</v>
      </c>
      <c r="D2399" t="s">
        <v>1545</v>
      </c>
      <c r="E2399" t="s">
        <v>6924</v>
      </c>
      <c r="F2399">
        <v>6</v>
      </c>
      <c r="G2399">
        <v>6</v>
      </c>
      <c r="H2399" t="s">
        <v>11777</v>
      </c>
      <c r="J2399" t="s">
        <v>1667</v>
      </c>
      <c r="M2399" t="s">
        <v>11778</v>
      </c>
      <c r="N2399">
        <v>2.0902262079999998</v>
      </c>
      <c r="O2399">
        <v>4.2704203920000001</v>
      </c>
      <c r="P2399">
        <v>0.23425843900000001</v>
      </c>
      <c r="Q2399">
        <v>1.6181978999999999E-2</v>
      </c>
      <c r="S2399" s="13">
        <v>-1.4380778519999999</v>
      </c>
      <c r="T2399">
        <v>-0.35887847299999998</v>
      </c>
      <c r="U2399">
        <v>-0.29797680599999998</v>
      </c>
    </row>
    <row r="2400" spans="1:21" x14ac:dyDescent="0.2">
      <c r="A2400" t="s">
        <v>38</v>
      </c>
      <c r="B2400">
        <v>623600</v>
      </c>
      <c r="C2400" t="s">
        <v>6953</v>
      </c>
      <c r="D2400" t="s">
        <v>38</v>
      </c>
      <c r="E2400" t="s">
        <v>6939</v>
      </c>
      <c r="F2400">
        <v>24</v>
      </c>
      <c r="G2400">
        <v>2</v>
      </c>
      <c r="H2400" t="s">
        <v>11779</v>
      </c>
      <c r="J2400" t="s">
        <v>838</v>
      </c>
      <c r="M2400" t="s">
        <v>11780</v>
      </c>
      <c r="N2400">
        <v>1.921480887</v>
      </c>
      <c r="O2400">
        <v>3.0856645180000002</v>
      </c>
      <c r="P2400">
        <v>0.44706724399999997</v>
      </c>
      <c r="Q2400">
        <v>-0.354940863</v>
      </c>
      <c r="S2400" s="13">
        <v>-1.4381472179999999</v>
      </c>
      <c r="T2400">
        <v>-0.35918158900000002</v>
      </c>
      <c r="U2400">
        <v>-0.19561072099999999</v>
      </c>
    </row>
    <row r="2401" spans="1:21" x14ac:dyDescent="0.2">
      <c r="A2401" t="s">
        <v>2421</v>
      </c>
      <c r="B2401">
        <v>558520</v>
      </c>
      <c r="C2401" t="s">
        <v>6927</v>
      </c>
      <c r="D2401" t="s">
        <v>2422</v>
      </c>
      <c r="E2401" t="s">
        <v>7085</v>
      </c>
      <c r="F2401">
        <v>8</v>
      </c>
      <c r="G2401">
        <v>9</v>
      </c>
      <c r="H2401" t="s">
        <v>11781</v>
      </c>
      <c r="J2401" t="s">
        <v>11782</v>
      </c>
      <c r="M2401" t="s">
        <v>11783</v>
      </c>
      <c r="N2401">
        <v>1.982575982</v>
      </c>
      <c r="O2401">
        <v>3.4571926419999999</v>
      </c>
      <c r="P2401">
        <v>-0.114791479</v>
      </c>
      <c r="Q2401">
        <v>1.868949E-3</v>
      </c>
      <c r="S2401" s="13">
        <v>-1.438199099</v>
      </c>
      <c r="T2401">
        <v>-0.35940829800000001</v>
      </c>
      <c r="U2401">
        <v>-0.26041029599999999</v>
      </c>
    </row>
    <row r="2402" spans="1:21" x14ac:dyDescent="0.2">
      <c r="A2402" t="s">
        <v>1256</v>
      </c>
      <c r="B2402">
        <v>488000</v>
      </c>
      <c r="C2402" t="s">
        <v>6942</v>
      </c>
      <c r="D2402" t="s">
        <v>1257</v>
      </c>
      <c r="E2402" t="s">
        <v>6946</v>
      </c>
      <c r="F2402">
        <v>7</v>
      </c>
      <c r="G2402">
        <v>11</v>
      </c>
      <c r="H2402" t="s">
        <v>11784</v>
      </c>
      <c r="J2402" t="s">
        <v>4491</v>
      </c>
      <c r="M2402" t="s">
        <v>11785</v>
      </c>
      <c r="N2402">
        <v>2.0902262079999998</v>
      </c>
      <c r="O2402">
        <v>4.2704203920000001</v>
      </c>
      <c r="P2402">
        <v>0.23425843900000001</v>
      </c>
      <c r="Q2402">
        <v>1.6181978999999999E-2</v>
      </c>
      <c r="S2402" s="13">
        <v>-1.43827415</v>
      </c>
      <c r="T2402">
        <v>-0.35973624999999998</v>
      </c>
      <c r="U2402">
        <v>-0.29816378900000001</v>
      </c>
    </row>
    <row r="2403" spans="1:21" x14ac:dyDescent="0.2">
      <c r="A2403" t="s">
        <v>2791</v>
      </c>
      <c r="B2403">
        <v>533880</v>
      </c>
      <c r="C2403" t="s">
        <v>6910</v>
      </c>
      <c r="D2403" t="s">
        <v>2792</v>
      </c>
      <c r="E2403" t="s">
        <v>6921</v>
      </c>
      <c r="F2403">
        <v>6</v>
      </c>
      <c r="G2403">
        <v>8</v>
      </c>
      <c r="H2403" t="s">
        <v>11786</v>
      </c>
      <c r="J2403" t="s">
        <v>6047</v>
      </c>
      <c r="M2403" t="s">
        <v>11787</v>
      </c>
      <c r="N2403">
        <v>1.9874741039999999</v>
      </c>
      <c r="O2403">
        <v>3.7453511220000002</v>
      </c>
      <c r="P2403">
        <v>0.451009722</v>
      </c>
      <c r="Q2403">
        <v>-0.102386592</v>
      </c>
      <c r="S2403" s="13">
        <v>-1.438286747</v>
      </c>
      <c r="T2403">
        <v>-0.35979129799999998</v>
      </c>
      <c r="U2403">
        <v>-0.18876794999999999</v>
      </c>
    </row>
    <row r="2404" spans="1:21" x14ac:dyDescent="0.2">
      <c r="A2404" t="s">
        <v>1683</v>
      </c>
      <c r="B2404">
        <v>554960</v>
      </c>
      <c r="C2404" t="s">
        <v>6938</v>
      </c>
      <c r="D2404" t="s">
        <v>1683</v>
      </c>
      <c r="E2404" t="s">
        <v>6915</v>
      </c>
      <c r="F2404">
        <v>16</v>
      </c>
      <c r="G2404">
        <v>13</v>
      </c>
      <c r="H2404" t="s">
        <v>11788</v>
      </c>
      <c r="J2404" t="s">
        <v>3359</v>
      </c>
      <c r="M2404" t="s">
        <v>11789</v>
      </c>
      <c r="N2404">
        <v>2.092758737</v>
      </c>
      <c r="O2404">
        <v>5.3323610669999999</v>
      </c>
      <c r="P2404">
        <v>0.70420098600000003</v>
      </c>
      <c r="Q2404">
        <v>0.41355372699999998</v>
      </c>
      <c r="S2404" s="13">
        <v>-1.4385091029999999</v>
      </c>
      <c r="T2404">
        <v>-0.36076294399999997</v>
      </c>
      <c r="U2404">
        <v>-0.294031608</v>
      </c>
    </row>
    <row r="2405" spans="1:21" x14ac:dyDescent="0.2">
      <c r="A2405" t="s">
        <v>392</v>
      </c>
      <c r="B2405">
        <v>482480</v>
      </c>
      <c r="C2405" t="s">
        <v>6931</v>
      </c>
      <c r="D2405" t="s">
        <v>392</v>
      </c>
      <c r="E2405" t="s">
        <v>7006</v>
      </c>
      <c r="F2405">
        <v>21</v>
      </c>
      <c r="G2405">
        <v>3</v>
      </c>
      <c r="H2405" t="s">
        <v>11790</v>
      </c>
      <c r="N2405">
        <v>1.9323965059999999</v>
      </c>
      <c r="O2405">
        <v>3.0528020530000002</v>
      </c>
      <c r="P2405">
        <v>2.6493138999999999E-2</v>
      </c>
      <c r="Q2405">
        <v>-0.38692188</v>
      </c>
      <c r="S2405" s="13">
        <v>-1.4385388610000001</v>
      </c>
      <c r="T2405">
        <v>-0.360892977</v>
      </c>
      <c r="U2405">
        <v>-0.169739417</v>
      </c>
    </row>
    <row r="2406" spans="1:21" x14ac:dyDescent="0.2">
      <c r="A2406" t="s">
        <v>491</v>
      </c>
      <c r="B2406">
        <v>623160</v>
      </c>
      <c r="C2406" t="s">
        <v>6953</v>
      </c>
      <c r="D2406" t="s">
        <v>491</v>
      </c>
      <c r="E2406" t="s">
        <v>6924</v>
      </c>
      <c r="F2406">
        <v>15</v>
      </c>
      <c r="G2406">
        <v>6</v>
      </c>
      <c r="H2406" t="s">
        <v>11791</v>
      </c>
      <c r="J2406" t="s">
        <v>5071</v>
      </c>
      <c r="M2406" t="s">
        <v>11792</v>
      </c>
      <c r="N2406">
        <v>1.921480887</v>
      </c>
      <c r="O2406">
        <v>3.0856645180000002</v>
      </c>
      <c r="P2406">
        <v>0.44706724399999997</v>
      </c>
      <c r="Q2406">
        <v>-0.354940863</v>
      </c>
      <c r="S2406" s="13">
        <v>-1.4386037730000001</v>
      </c>
      <c r="T2406">
        <v>-0.361176628</v>
      </c>
      <c r="U2406">
        <v>-0.19593575299999999</v>
      </c>
    </row>
    <row r="2407" spans="1:21" x14ac:dyDescent="0.2">
      <c r="A2407" t="s">
        <v>2080</v>
      </c>
      <c r="B2407">
        <v>623160</v>
      </c>
      <c r="C2407" t="s">
        <v>6953</v>
      </c>
      <c r="D2407" t="s">
        <v>2080</v>
      </c>
      <c r="E2407" t="s">
        <v>6970</v>
      </c>
      <c r="F2407">
        <v>12</v>
      </c>
      <c r="G2407">
        <v>14</v>
      </c>
      <c r="H2407" t="s">
        <v>11793</v>
      </c>
      <c r="J2407" t="s">
        <v>2437</v>
      </c>
      <c r="M2407" t="s">
        <v>11794</v>
      </c>
      <c r="N2407">
        <v>1.921480887</v>
      </c>
      <c r="O2407">
        <v>3.0856645180000002</v>
      </c>
      <c r="P2407">
        <v>0.44706724399999997</v>
      </c>
      <c r="Q2407">
        <v>-0.354940863</v>
      </c>
      <c r="S2407" s="13">
        <v>-1.4386037730000001</v>
      </c>
      <c r="T2407">
        <v>-0.361176628</v>
      </c>
      <c r="U2407">
        <v>-0.19593575299999999</v>
      </c>
    </row>
    <row r="2408" spans="1:21" x14ac:dyDescent="0.2">
      <c r="A2408" t="s">
        <v>807</v>
      </c>
      <c r="B2408">
        <v>482200</v>
      </c>
      <c r="C2408" t="s">
        <v>6931</v>
      </c>
      <c r="D2408" t="s">
        <v>807</v>
      </c>
      <c r="E2408" t="s">
        <v>6977</v>
      </c>
      <c r="F2408">
        <v>14</v>
      </c>
      <c r="G2408">
        <v>5</v>
      </c>
      <c r="H2408" t="s">
        <v>11795</v>
      </c>
      <c r="N2408">
        <v>1.9323965059999999</v>
      </c>
      <c r="O2408">
        <v>3.0528020530000002</v>
      </c>
      <c r="P2408">
        <v>2.6493138999999999E-2</v>
      </c>
      <c r="Q2408">
        <v>-0.38692188</v>
      </c>
      <c r="S2408" s="13">
        <v>-1.4389067740000001</v>
      </c>
      <c r="T2408">
        <v>-0.36250067200000002</v>
      </c>
      <c r="U2408">
        <v>-0.169934265</v>
      </c>
    </row>
    <row r="2409" spans="1:21" x14ac:dyDescent="0.2">
      <c r="A2409" t="s">
        <v>422</v>
      </c>
      <c r="B2409">
        <v>177920</v>
      </c>
      <c r="C2409" t="s">
        <v>6961</v>
      </c>
      <c r="D2409" t="s">
        <v>423</v>
      </c>
      <c r="E2409" t="s">
        <v>6974</v>
      </c>
      <c r="F2409">
        <v>3</v>
      </c>
      <c r="G2409">
        <v>15</v>
      </c>
      <c r="H2409" t="s">
        <v>11796</v>
      </c>
      <c r="J2409" t="s">
        <v>6351</v>
      </c>
      <c r="M2409" t="s">
        <v>11797</v>
      </c>
      <c r="N2409">
        <v>2.7247480949999998</v>
      </c>
      <c r="O2409">
        <v>7.0822175119999997</v>
      </c>
      <c r="P2409">
        <v>0.61298291999999999</v>
      </c>
      <c r="Q2409">
        <v>0.48262032500000002</v>
      </c>
      <c r="S2409" s="13">
        <v>-1.4389506350000001</v>
      </c>
      <c r="T2409">
        <v>-0.362692336</v>
      </c>
      <c r="U2409">
        <v>-0.37837300400000001</v>
      </c>
    </row>
    <row r="2410" spans="1:21" x14ac:dyDescent="0.2">
      <c r="A2410" t="s">
        <v>968</v>
      </c>
      <c r="B2410">
        <v>622360</v>
      </c>
      <c r="C2410" t="s">
        <v>6953</v>
      </c>
      <c r="D2410" t="s">
        <v>969</v>
      </c>
      <c r="E2410" t="s">
        <v>6970</v>
      </c>
      <c r="F2410">
        <v>7</v>
      </c>
      <c r="G2410">
        <v>14</v>
      </c>
      <c r="H2410" t="s">
        <v>11798</v>
      </c>
      <c r="J2410" t="s">
        <v>5339</v>
      </c>
      <c r="M2410" t="s">
        <v>11799</v>
      </c>
      <c r="N2410">
        <v>1.921480887</v>
      </c>
      <c r="O2410">
        <v>3.0856645180000002</v>
      </c>
      <c r="P2410">
        <v>0.44706724399999997</v>
      </c>
      <c r="Q2410">
        <v>-0.354940863</v>
      </c>
      <c r="S2410" s="13">
        <v>-1.4394338719999999</v>
      </c>
      <c r="T2410">
        <v>-0.364803973</v>
      </c>
      <c r="U2410">
        <v>-0.19652734399999999</v>
      </c>
    </row>
    <row r="2411" spans="1:21" x14ac:dyDescent="0.2">
      <c r="A2411" t="s">
        <v>2270</v>
      </c>
      <c r="B2411">
        <v>532720</v>
      </c>
      <c r="C2411" t="s">
        <v>6910</v>
      </c>
      <c r="D2411" t="s">
        <v>2271</v>
      </c>
      <c r="E2411" t="s">
        <v>6921</v>
      </c>
      <c r="F2411">
        <v>8</v>
      </c>
      <c r="G2411">
        <v>8</v>
      </c>
      <c r="H2411" t="s">
        <v>11800</v>
      </c>
      <c r="J2411" t="s">
        <v>4493</v>
      </c>
      <c r="M2411" t="s">
        <v>11801</v>
      </c>
      <c r="N2411">
        <v>1.9874741039999999</v>
      </c>
      <c r="O2411">
        <v>3.7453511220000002</v>
      </c>
      <c r="P2411">
        <v>0.451009722</v>
      </c>
      <c r="Q2411">
        <v>-0.102386592</v>
      </c>
      <c r="S2411" s="13">
        <v>-1.4395347839999999</v>
      </c>
      <c r="T2411">
        <v>-0.36524493299999999</v>
      </c>
      <c r="U2411">
        <v>-0.189611961</v>
      </c>
    </row>
    <row r="2412" spans="1:21" x14ac:dyDescent="0.2">
      <c r="A2412" t="s">
        <v>2108</v>
      </c>
      <c r="B2412">
        <v>532680</v>
      </c>
      <c r="C2412" t="s">
        <v>6910</v>
      </c>
      <c r="D2412" t="s">
        <v>2108</v>
      </c>
      <c r="E2412" t="s">
        <v>6956</v>
      </c>
      <c r="F2412">
        <v>17</v>
      </c>
      <c r="G2412">
        <v>7</v>
      </c>
      <c r="H2412" t="s">
        <v>11802</v>
      </c>
      <c r="J2412" t="s">
        <v>3722</v>
      </c>
      <c r="M2412" t="s">
        <v>11803</v>
      </c>
      <c r="N2412">
        <v>1.9874741039999999</v>
      </c>
      <c r="O2412">
        <v>3.7453511220000002</v>
      </c>
      <c r="P2412">
        <v>0.451009722</v>
      </c>
      <c r="Q2412">
        <v>-0.102386592</v>
      </c>
      <c r="S2412" s="13">
        <v>-1.4395778189999999</v>
      </c>
      <c r="T2412">
        <v>-0.36543298899999999</v>
      </c>
      <c r="U2412">
        <v>-0.18964109500000001</v>
      </c>
    </row>
    <row r="2413" spans="1:21" x14ac:dyDescent="0.2">
      <c r="A2413" t="s">
        <v>832</v>
      </c>
      <c r="B2413">
        <v>553440</v>
      </c>
      <c r="C2413" t="s">
        <v>6938</v>
      </c>
      <c r="D2413" t="s">
        <v>832</v>
      </c>
      <c r="E2413" t="s">
        <v>6924</v>
      </c>
      <c r="F2413">
        <v>21</v>
      </c>
      <c r="G2413">
        <v>6</v>
      </c>
      <c r="H2413" t="s">
        <v>11804</v>
      </c>
      <c r="J2413" t="s">
        <v>2360</v>
      </c>
      <c r="M2413" t="s">
        <v>11805</v>
      </c>
      <c r="N2413">
        <v>2.092758737</v>
      </c>
      <c r="O2413">
        <v>5.3323610669999999</v>
      </c>
      <c r="P2413">
        <v>0.70420098600000003</v>
      </c>
      <c r="Q2413">
        <v>0.41355372699999998</v>
      </c>
      <c r="S2413" s="13">
        <v>-1.439814497</v>
      </c>
      <c r="T2413">
        <v>-0.36646721500000001</v>
      </c>
      <c r="U2413">
        <v>-0.295441807</v>
      </c>
    </row>
    <row r="2414" spans="1:21" x14ac:dyDescent="0.2">
      <c r="A2414" t="s">
        <v>1971</v>
      </c>
      <c r="B2414">
        <v>553080</v>
      </c>
      <c r="C2414" t="s">
        <v>6938</v>
      </c>
      <c r="D2414" t="s">
        <v>1971</v>
      </c>
      <c r="E2414" t="s">
        <v>7115</v>
      </c>
      <c r="F2414">
        <v>10</v>
      </c>
      <c r="G2414">
        <v>10</v>
      </c>
      <c r="H2414" t="s">
        <v>11806</v>
      </c>
      <c r="J2414" t="s">
        <v>3931</v>
      </c>
      <c r="M2414" t="s">
        <v>11807</v>
      </c>
      <c r="N2414">
        <v>2.092758737</v>
      </c>
      <c r="O2414">
        <v>5.3323610669999999</v>
      </c>
      <c r="P2414">
        <v>0.70420098600000003</v>
      </c>
      <c r="Q2414">
        <v>0.41355372699999998</v>
      </c>
      <c r="S2414" s="13">
        <v>-1.4401236690000001</v>
      </c>
      <c r="T2414">
        <v>-0.36781822600000003</v>
      </c>
      <c r="U2414">
        <v>-0.29577647299999998</v>
      </c>
    </row>
    <row r="2415" spans="1:21" x14ac:dyDescent="0.2">
      <c r="A2415" t="s">
        <v>947</v>
      </c>
      <c r="B2415">
        <v>532160</v>
      </c>
      <c r="C2415" t="s">
        <v>6910</v>
      </c>
      <c r="D2415" t="s">
        <v>948</v>
      </c>
      <c r="E2415" t="s">
        <v>6921</v>
      </c>
      <c r="F2415">
        <v>7</v>
      </c>
      <c r="G2415">
        <v>8</v>
      </c>
      <c r="H2415" t="s">
        <v>11808</v>
      </c>
      <c r="J2415" t="s">
        <v>950</v>
      </c>
      <c r="M2415" t="s">
        <v>11809</v>
      </c>
      <c r="N2415">
        <v>1.9874741039999999</v>
      </c>
      <c r="O2415">
        <v>3.7453511220000002</v>
      </c>
      <c r="P2415">
        <v>0.451009722</v>
      </c>
      <c r="Q2415">
        <v>-0.102386592</v>
      </c>
      <c r="S2415" s="13">
        <v>-1.440137284</v>
      </c>
      <c r="T2415">
        <v>-0.36787772200000002</v>
      </c>
      <c r="U2415">
        <v>-0.19002000299999999</v>
      </c>
    </row>
    <row r="2416" spans="1:21" x14ac:dyDescent="0.2">
      <c r="A2416" t="s">
        <v>311</v>
      </c>
      <c r="B2416">
        <v>531640</v>
      </c>
      <c r="C2416" t="s">
        <v>6910</v>
      </c>
      <c r="D2416" t="s">
        <v>311</v>
      </c>
      <c r="E2416" t="s">
        <v>7006</v>
      </c>
      <c r="F2416">
        <v>18</v>
      </c>
      <c r="G2416">
        <v>3</v>
      </c>
      <c r="H2416" t="s">
        <v>11810</v>
      </c>
      <c r="J2416" t="s">
        <v>4996</v>
      </c>
      <c r="M2416" t="s">
        <v>11811</v>
      </c>
      <c r="N2416">
        <v>1.9874741039999999</v>
      </c>
      <c r="O2416">
        <v>3.7453511220000002</v>
      </c>
      <c r="P2416">
        <v>0.451009722</v>
      </c>
      <c r="Q2416">
        <v>-0.102386592</v>
      </c>
      <c r="S2416" s="13">
        <v>-1.440696749</v>
      </c>
      <c r="T2416">
        <v>-0.37032245400000002</v>
      </c>
      <c r="U2416">
        <v>-0.190399242</v>
      </c>
    </row>
    <row r="2417" spans="1:21" x14ac:dyDescent="0.2">
      <c r="A2417" t="s">
        <v>650</v>
      </c>
      <c r="B2417">
        <v>645320</v>
      </c>
      <c r="C2417" t="s">
        <v>6914</v>
      </c>
      <c r="D2417" t="s">
        <v>651</v>
      </c>
      <c r="E2417" t="s">
        <v>7085</v>
      </c>
      <c r="F2417">
        <v>9</v>
      </c>
      <c r="G2417">
        <v>9</v>
      </c>
      <c r="H2417" t="s">
        <v>11812</v>
      </c>
      <c r="J2417" t="s">
        <v>653</v>
      </c>
      <c r="M2417" t="s">
        <v>11813</v>
      </c>
      <c r="N2417">
        <v>1.8217074179999999</v>
      </c>
      <c r="O2417">
        <v>4.1700741289999996</v>
      </c>
      <c r="P2417">
        <v>0.189705977</v>
      </c>
      <c r="Q2417">
        <v>-1.7194070999999998E-2</v>
      </c>
      <c r="S2417" s="13">
        <v>-1.440812105</v>
      </c>
      <c r="T2417">
        <v>-0.37082653300000001</v>
      </c>
      <c r="U2417">
        <v>-0.25473817300000001</v>
      </c>
    </row>
    <row r="2418" spans="1:21" x14ac:dyDescent="0.2">
      <c r="A2418" t="s">
        <v>106</v>
      </c>
      <c r="B2418">
        <v>531360</v>
      </c>
      <c r="C2418" t="s">
        <v>6910</v>
      </c>
      <c r="D2418" t="s">
        <v>107</v>
      </c>
      <c r="E2418" t="s">
        <v>6907</v>
      </c>
      <c r="F2418">
        <v>2</v>
      </c>
      <c r="G2418">
        <v>4</v>
      </c>
      <c r="H2418" t="s">
        <v>11814</v>
      </c>
      <c r="J2418" t="s">
        <v>11815</v>
      </c>
      <c r="M2418" t="s">
        <v>11816</v>
      </c>
      <c r="N2418">
        <v>1.9874741039999999</v>
      </c>
      <c r="O2418">
        <v>3.7453511220000002</v>
      </c>
      <c r="P2418">
        <v>0.451009722</v>
      </c>
      <c r="Q2418">
        <v>-0.102386592</v>
      </c>
      <c r="S2418" s="13">
        <v>-1.4409979989999999</v>
      </c>
      <c r="T2418">
        <v>-0.37163884899999999</v>
      </c>
      <c r="U2418">
        <v>-0.19060358499999999</v>
      </c>
    </row>
    <row r="2419" spans="1:21" x14ac:dyDescent="0.2">
      <c r="A2419" t="s">
        <v>1422</v>
      </c>
      <c r="B2419">
        <v>399880</v>
      </c>
      <c r="C2419" t="s">
        <v>6945</v>
      </c>
      <c r="D2419" t="s">
        <v>1423</v>
      </c>
      <c r="E2419" t="s">
        <v>6956</v>
      </c>
      <c r="F2419">
        <v>4</v>
      </c>
      <c r="G2419">
        <v>7</v>
      </c>
      <c r="H2419" t="s">
        <v>11817</v>
      </c>
      <c r="J2419" t="s">
        <v>5927</v>
      </c>
      <c r="M2419" t="s">
        <v>11818</v>
      </c>
      <c r="N2419">
        <v>2.2220813349999999</v>
      </c>
      <c r="O2419">
        <v>6.5440947090000003</v>
      </c>
      <c r="P2419">
        <v>0.58228215500000002</v>
      </c>
      <c r="Q2419">
        <v>0.35188233000000002</v>
      </c>
      <c r="S2419" s="13">
        <v>-1.441094908</v>
      </c>
      <c r="T2419">
        <v>-0.37206232099999997</v>
      </c>
      <c r="U2419">
        <v>-0.314689098</v>
      </c>
    </row>
    <row r="2420" spans="1:21" x14ac:dyDescent="0.2">
      <c r="A2420" t="s">
        <v>1365</v>
      </c>
      <c r="B2420">
        <v>644640</v>
      </c>
      <c r="C2420" t="s">
        <v>6914</v>
      </c>
      <c r="D2420" t="s">
        <v>1365</v>
      </c>
      <c r="E2420" t="s">
        <v>6970</v>
      </c>
      <c r="F2420">
        <v>21</v>
      </c>
      <c r="G2420">
        <v>14</v>
      </c>
      <c r="H2420" t="s">
        <v>11819</v>
      </c>
      <c r="J2420" t="s">
        <v>2474</v>
      </c>
      <c r="M2420" t="s">
        <v>11820</v>
      </c>
      <c r="N2420">
        <v>1.8217074179999999</v>
      </c>
      <c r="O2420">
        <v>4.1700741289999996</v>
      </c>
      <c r="P2420">
        <v>0.189705977</v>
      </c>
      <c r="Q2420">
        <v>-1.7194070999999998E-2</v>
      </c>
      <c r="S2420" s="13">
        <v>-1.441629982</v>
      </c>
      <c r="T2420">
        <v>-0.37440047199999998</v>
      </c>
      <c r="U2420">
        <v>-0.25531392400000003</v>
      </c>
    </row>
    <row r="2421" spans="1:21" x14ac:dyDescent="0.2">
      <c r="A2421" t="s">
        <v>1082</v>
      </c>
      <c r="B2421">
        <v>542360</v>
      </c>
      <c r="C2421" t="s">
        <v>6906</v>
      </c>
      <c r="D2421" t="s">
        <v>1082</v>
      </c>
      <c r="E2421" t="s">
        <v>7115</v>
      </c>
      <c r="F2421">
        <v>21</v>
      </c>
      <c r="G2421">
        <v>10</v>
      </c>
      <c r="H2421" t="s">
        <v>11821</v>
      </c>
      <c r="J2421" t="s">
        <v>1084</v>
      </c>
      <c r="M2421" t="s">
        <v>11822</v>
      </c>
      <c r="N2421">
        <v>1.813871112</v>
      </c>
      <c r="O2421">
        <v>2.6633694910000001</v>
      </c>
      <c r="P2421">
        <v>-0.29586356800000002</v>
      </c>
      <c r="Q2421">
        <v>-0.59018158399999998</v>
      </c>
      <c r="S2421" s="13">
        <v>-1.441868562</v>
      </c>
      <c r="T2421">
        <v>-0.37544301200000002</v>
      </c>
      <c r="U2421">
        <v>-0.212321337</v>
      </c>
    </row>
    <row r="2422" spans="1:21" x14ac:dyDescent="0.2">
      <c r="A2422" t="s">
        <v>426</v>
      </c>
      <c r="B2422">
        <v>644360</v>
      </c>
      <c r="C2422" t="s">
        <v>6914</v>
      </c>
      <c r="D2422" t="s">
        <v>426</v>
      </c>
      <c r="E2422" t="s">
        <v>6911</v>
      </c>
      <c r="F2422">
        <v>22</v>
      </c>
      <c r="G2422">
        <v>12</v>
      </c>
      <c r="H2422" t="s">
        <v>11823</v>
      </c>
      <c r="J2422" t="s">
        <v>3748</v>
      </c>
      <c r="M2422" t="s">
        <v>11824</v>
      </c>
      <c r="N2422">
        <v>1.8217074179999999</v>
      </c>
      <c r="O2422">
        <v>4.1700741289999996</v>
      </c>
      <c r="P2422">
        <v>0.189705977</v>
      </c>
      <c r="Q2422">
        <v>-1.7194070999999998E-2</v>
      </c>
      <c r="S2422" s="13">
        <v>-1.441966756</v>
      </c>
      <c r="T2422">
        <v>-0.37587209399999999</v>
      </c>
      <c r="U2422">
        <v>-0.255551221</v>
      </c>
    </row>
    <row r="2423" spans="1:21" x14ac:dyDescent="0.2">
      <c r="A2423" t="s">
        <v>1190</v>
      </c>
      <c r="B2423">
        <v>483800</v>
      </c>
      <c r="C2423" t="s">
        <v>6942</v>
      </c>
      <c r="D2423" t="s">
        <v>1190</v>
      </c>
      <c r="E2423" t="s">
        <v>6921</v>
      </c>
      <c r="F2423">
        <v>17</v>
      </c>
      <c r="G2423">
        <v>8</v>
      </c>
      <c r="H2423" t="s">
        <v>11825</v>
      </c>
      <c r="J2423" t="s">
        <v>1192</v>
      </c>
      <c r="M2423" t="s">
        <v>11826</v>
      </c>
      <c r="N2423">
        <v>2.0902262079999998</v>
      </c>
      <c r="O2423">
        <v>4.2704203920000001</v>
      </c>
      <c r="P2423">
        <v>0.23425843900000001</v>
      </c>
      <c r="Q2423">
        <v>1.6181978999999999E-2</v>
      </c>
      <c r="S2423" s="13">
        <v>-1.4423964039999999</v>
      </c>
      <c r="T2423">
        <v>-0.37774955900000001</v>
      </c>
      <c r="U2423">
        <v>-0.30210912899999998</v>
      </c>
    </row>
    <row r="2424" spans="1:21" x14ac:dyDescent="0.2">
      <c r="A2424" t="s">
        <v>1498</v>
      </c>
      <c r="B2424">
        <v>554240</v>
      </c>
      <c r="C2424" t="s">
        <v>6927</v>
      </c>
      <c r="D2424" t="s">
        <v>1498</v>
      </c>
      <c r="E2424" t="s">
        <v>6911</v>
      </c>
      <c r="F2424">
        <v>17</v>
      </c>
      <c r="G2424">
        <v>12</v>
      </c>
      <c r="H2424" t="s">
        <v>11827</v>
      </c>
      <c r="J2424" t="s">
        <v>11828</v>
      </c>
      <c r="M2424" t="s">
        <v>11829</v>
      </c>
      <c r="N2424">
        <v>1.982575982</v>
      </c>
      <c r="O2424">
        <v>3.4571926419999999</v>
      </c>
      <c r="P2424">
        <v>-0.114791479</v>
      </c>
      <c r="Q2424">
        <v>1.868949E-3</v>
      </c>
      <c r="S2424" s="13">
        <v>-1.4426401310000001</v>
      </c>
      <c r="T2424">
        <v>-0.37881459099999998</v>
      </c>
      <c r="U2424">
        <v>-0.264094938</v>
      </c>
    </row>
    <row r="2425" spans="1:21" x14ac:dyDescent="0.2">
      <c r="A2425" t="s">
        <v>422</v>
      </c>
      <c r="B2425">
        <v>479280</v>
      </c>
      <c r="C2425" t="s">
        <v>6931</v>
      </c>
      <c r="D2425" t="s">
        <v>423</v>
      </c>
      <c r="E2425" t="s">
        <v>6974</v>
      </c>
      <c r="F2425">
        <v>3</v>
      </c>
      <c r="G2425">
        <v>15</v>
      </c>
      <c r="H2425" t="s">
        <v>11830</v>
      </c>
      <c r="J2425" t="s">
        <v>11831</v>
      </c>
      <c r="M2425" t="s">
        <v>11832</v>
      </c>
      <c r="N2425">
        <v>1.9323965059999999</v>
      </c>
      <c r="O2425">
        <v>3.0528020530000002</v>
      </c>
      <c r="P2425">
        <v>2.6493138999999999E-2</v>
      </c>
      <c r="Q2425">
        <v>-0.38692188</v>
      </c>
      <c r="S2425" s="13">
        <v>-1.442743578</v>
      </c>
      <c r="T2425">
        <v>-0.37926662999999999</v>
      </c>
      <c r="U2425">
        <v>-0.17197147400000001</v>
      </c>
    </row>
    <row r="2426" spans="1:21" x14ac:dyDescent="0.2">
      <c r="A2426" t="s">
        <v>222</v>
      </c>
      <c r="B2426">
        <v>479240</v>
      </c>
      <c r="C2426" t="s">
        <v>6931</v>
      </c>
      <c r="D2426" t="s">
        <v>222</v>
      </c>
      <c r="E2426" t="s">
        <v>6924</v>
      </c>
      <c r="F2426">
        <v>20</v>
      </c>
      <c r="G2426">
        <v>6</v>
      </c>
      <c r="H2426" t="s">
        <v>11833</v>
      </c>
      <c r="N2426">
        <v>1.9323965059999999</v>
      </c>
      <c r="O2426">
        <v>3.0528020530000002</v>
      </c>
      <c r="P2426">
        <v>2.6493138999999999E-2</v>
      </c>
      <c r="Q2426">
        <v>-0.38692188</v>
      </c>
      <c r="S2426" s="13">
        <v>-1.442796137</v>
      </c>
      <c r="T2426">
        <v>-0.37949630099999998</v>
      </c>
      <c r="U2426">
        <v>-0.171999447</v>
      </c>
    </row>
    <row r="2427" spans="1:21" x14ac:dyDescent="0.2">
      <c r="A2427" t="s">
        <v>320</v>
      </c>
      <c r="B2427">
        <v>643440</v>
      </c>
      <c r="C2427" t="s">
        <v>6914</v>
      </c>
      <c r="D2427" t="s">
        <v>320</v>
      </c>
      <c r="E2427" t="s">
        <v>6907</v>
      </c>
      <c r="F2427">
        <v>13</v>
      </c>
      <c r="G2427">
        <v>4</v>
      </c>
      <c r="H2427" t="s">
        <v>11834</v>
      </c>
      <c r="J2427" t="s">
        <v>4710</v>
      </c>
      <c r="M2427" t="s">
        <v>11835</v>
      </c>
      <c r="N2427">
        <v>1.8217074179999999</v>
      </c>
      <c r="O2427">
        <v>4.1700741289999996</v>
      </c>
      <c r="P2427">
        <v>0.189705977</v>
      </c>
      <c r="Q2427">
        <v>-1.7194070999999998E-2</v>
      </c>
      <c r="S2427" s="13">
        <v>-1.4430732959999999</v>
      </c>
      <c r="T2427">
        <v>-0.38070742400000002</v>
      </c>
      <c r="U2427">
        <v>-0.25633182300000001</v>
      </c>
    </row>
    <row r="2428" spans="1:21" x14ac:dyDescent="0.2">
      <c r="A2428" t="s">
        <v>1989</v>
      </c>
      <c r="B2428">
        <v>483080</v>
      </c>
      <c r="C2428" t="s">
        <v>6942</v>
      </c>
      <c r="D2428" t="s">
        <v>1990</v>
      </c>
      <c r="E2428" t="s">
        <v>6921</v>
      </c>
      <c r="F2428">
        <v>9</v>
      </c>
      <c r="G2428">
        <v>8</v>
      </c>
      <c r="H2428" t="s">
        <v>11836</v>
      </c>
      <c r="J2428" t="s">
        <v>4764</v>
      </c>
      <c r="M2428" t="s">
        <v>11837</v>
      </c>
      <c r="N2428">
        <v>2.0902262079999998</v>
      </c>
      <c r="O2428">
        <v>4.2704203920000001</v>
      </c>
      <c r="P2428">
        <v>0.23425843900000001</v>
      </c>
      <c r="Q2428">
        <v>1.6181978999999999E-2</v>
      </c>
      <c r="S2428" s="13">
        <v>-1.4431030760000001</v>
      </c>
      <c r="T2428">
        <v>-0.38083755400000002</v>
      </c>
      <c r="U2428">
        <v>-0.30278908700000001</v>
      </c>
    </row>
    <row r="2429" spans="1:21" x14ac:dyDescent="0.2">
      <c r="A2429" t="s">
        <v>1356</v>
      </c>
      <c r="B2429">
        <v>529400</v>
      </c>
      <c r="C2429" t="s">
        <v>6910</v>
      </c>
      <c r="D2429" t="s">
        <v>1356</v>
      </c>
      <c r="E2429" t="s">
        <v>6921</v>
      </c>
      <c r="F2429">
        <v>19</v>
      </c>
      <c r="G2429">
        <v>8</v>
      </c>
      <c r="H2429" t="s">
        <v>11838</v>
      </c>
      <c r="J2429" t="s">
        <v>3835</v>
      </c>
      <c r="M2429" t="s">
        <v>11839</v>
      </c>
      <c r="N2429">
        <v>1.9874741039999999</v>
      </c>
      <c r="O2429">
        <v>3.7453511220000002</v>
      </c>
      <c r="P2429">
        <v>0.451009722</v>
      </c>
      <c r="Q2429">
        <v>-0.102386592</v>
      </c>
      <c r="S2429" s="13">
        <v>-1.4431067500000001</v>
      </c>
      <c r="T2429">
        <v>-0.38085361000000001</v>
      </c>
      <c r="U2429">
        <v>-0.19203668400000001</v>
      </c>
    </row>
    <row r="2430" spans="1:21" x14ac:dyDescent="0.2">
      <c r="A2430" t="s">
        <v>348</v>
      </c>
      <c r="B2430">
        <v>172640</v>
      </c>
      <c r="C2430" t="s">
        <v>6961</v>
      </c>
      <c r="D2430" t="s">
        <v>349</v>
      </c>
      <c r="E2430" t="s">
        <v>6907</v>
      </c>
      <c r="F2430">
        <v>1</v>
      </c>
      <c r="G2430">
        <v>4</v>
      </c>
      <c r="H2430" t="s">
        <v>11840</v>
      </c>
      <c r="J2430" t="s">
        <v>5865</v>
      </c>
      <c r="M2430" t="s">
        <v>11841</v>
      </c>
      <c r="N2430">
        <v>2.7247480949999998</v>
      </c>
      <c r="O2430">
        <v>7.0822175119999997</v>
      </c>
      <c r="P2430">
        <v>0.61298291999999999</v>
      </c>
      <c r="Q2430">
        <v>0.48262032500000002</v>
      </c>
      <c r="S2430" s="13">
        <v>-1.4431303630000001</v>
      </c>
      <c r="T2430">
        <v>-0.38095679300000002</v>
      </c>
      <c r="U2430">
        <v>-0.38435290100000002</v>
      </c>
    </row>
    <row r="2431" spans="1:21" x14ac:dyDescent="0.2">
      <c r="A2431" t="s">
        <v>1484</v>
      </c>
      <c r="B2431">
        <v>549520</v>
      </c>
      <c r="C2431" t="s">
        <v>6938</v>
      </c>
      <c r="D2431" t="s">
        <v>1484</v>
      </c>
      <c r="E2431" t="s">
        <v>6977</v>
      </c>
      <c r="F2431">
        <v>16</v>
      </c>
      <c r="G2431">
        <v>5</v>
      </c>
      <c r="H2431" t="s">
        <v>11842</v>
      </c>
      <c r="J2431" t="s">
        <v>1672</v>
      </c>
      <c r="M2431" t="s">
        <v>11843</v>
      </c>
      <c r="N2431">
        <v>2.092758737</v>
      </c>
      <c r="O2431">
        <v>5.3323610669999999</v>
      </c>
      <c r="P2431">
        <v>0.70420098600000003</v>
      </c>
      <c r="Q2431">
        <v>0.41355372699999998</v>
      </c>
      <c r="S2431" s="13">
        <v>-1.443181037</v>
      </c>
      <c r="T2431">
        <v>-0.38117822800000001</v>
      </c>
      <c r="U2431">
        <v>-0.29909991000000002</v>
      </c>
    </row>
    <row r="2432" spans="1:21" x14ac:dyDescent="0.2">
      <c r="A2432" t="s">
        <v>846</v>
      </c>
      <c r="B2432">
        <v>549400</v>
      </c>
      <c r="C2432" t="s">
        <v>6938</v>
      </c>
      <c r="D2432" t="s">
        <v>847</v>
      </c>
      <c r="E2432" t="s">
        <v>6911</v>
      </c>
      <c r="F2432">
        <v>9</v>
      </c>
      <c r="G2432">
        <v>12</v>
      </c>
      <c r="H2432" t="s">
        <v>11844</v>
      </c>
      <c r="J2432" t="s">
        <v>3521</v>
      </c>
      <c r="M2432" t="s">
        <v>11845</v>
      </c>
      <c r="N2432">
        <v>2.092758737</v>
      </c>
      <c r="O2432">
        <v>5.3323610669999999</v>
      </c>
      <c r="P2432">
        <v>0.70420098600000003</v>
      </c>
      <c r="Q2432">
        <v>0.41355372699999998</v>
      </c>
      <c r="S2432" s="13">
        <v>-1.4432840950000001</v>
      </c>
      <c r="T2432">
        <v>-0.38162856499999998</v>
      </c>
      <c r="U2432">
        <v>-0.29921238</v>
      </c>
    </row>
    <row r="2433" spans="1:21" x14ac:dyDescent="0.2">
      <c r="A2433" t="s">
        <v>236</v>
      </c>
      <c r="B2433">
        <v>618480</v>
      </c>
      <c r="C2433" t="s">
        <v>6953</v>
      </c>
      <c r="D2433" t="s">
        <v>236</v>
      </c>
      <c r="E2433" t="s">
        <v>7006</v>
      </c>
      <c r="F2433">
        <v>17</v>
      </c>
      <c r="G2433">
        <v>3</v>
      </c>
      <c r="H2433" t="s">
        <v>11846</v>
      </c>
      <c r="J2433" t="s">
        <v>5145</v>
      </c>
      <c r="M2433" t="s">
        <v>11847</v>
      </c>
      <c r="N2433">
        <v>1.921480887</v>
      </c>
      <c r="O2433">
        <v>3.0856645180000002</v>
      </c>
      <c r="P2433">
        <v>0.44706724399999997</v>
      </c>
      <c r="Q2433">
        <v>-0.354940863</v>
      </c>
      <c r="S2433" s="13">
        <v>-1.4434598540000001</v>
      </c>
      <c r="T2433">
        <v>-0.38239659399999998</v>
      </c>
      <c r="U2433">
        <v>-0.19940805</v>
      </c>
    </row>
    <row r="2434" spans="1:21" x14ac:dyDescent="0.2">
      <c r="A2434" t="s">
        <v>516</v>
      </c>
      <c r="B2434">
        <v>548840</v>
      </c>
      <c r="C2434" t="s">
        <v>6938</v>
      </c>
      <c r="D2434" t="s">
        <v>516</v>
      </c>
      <c r="E2434" t="s">
        <v>6939</v>
      </c>
      <c r="F2434">
        <v>13</v>
      </c>
      <c r="G2434">
        <v>2</v>
      </c>
      <c r="H2434" t="s">
        <v>11848</v>
      </c>
      <c r="J2434" t="s">
        <v>3627</v>
      </c>
      <c r="M2434" t="s">
        <v>11849</v>
      </c>
      <c r="N2434">
        <v>2.092758737</v>
      </c>
      <c r="O2434">
        <v>5.3323610669999999</v>
      </c>
      <c r="P2434">
        <v>0.70420098600000003</v>
      </c>
      <c r="Q2434">
        <v>0.41355372699999998</v>
      </c>
      <c r="S2434" s="13">
        <v>-1.4437650289999999</v>
      </c>
      <c r="T2434">
        <v>-0.38373013900000003</v>
      </c>
      <c r="U2434">
        <v>-0.29973762599999998</v>
      </c>
    </row>
    <row r="2435" spans="1:21" x14ac:dyDescent="0.2">
      <c r="A2435" t="s">
        <v>444</v>
      </c>
      <c r="B2435">
        <v>642760</v>
      </c>
      <c r="C2435" t="s">
        <v>6914</v>
      </c>
      <c r="D2435" t="s">
        <v>445</v>
      </c>
      <c r="E2435" t="s">
        <v>7006</v>
      </c>
      <c r="F2435">
        <v>2</v>
      </c>
      <c r="G2435">
        <v>3</v>
      </c>
      <c r="H2435" t="s">
        <v>11850</v>
      </c>
      <c r="J2435" t="s">
        <v>6557</v>
      </c>
      <c r="M2435" t="s">
        <v>11851</v>
      </c>
      <c r="N2435">
        <v>1.8217074179999999</v>
      </c>
      <c r="O2435">
        <v>4.1700741289999996</v>
      </c>
      <c r="P2435">
        <v>0.189705977</v>
      </c>
      <c r="Q2435">
        <v>-1.7194070999999998E-2</v>
      </c>
      <c r="S2435" s="13">
        <v>-1.443891174</v>
      </c>
      <c r="T2435">
        <v>-0.38428136299999999</v>
      </c>
      <c r="U2435">
        <v>-0.25690969200000002</v>
      </c>
    </row>
    <row r="2436" spans="1:21" x14ac:dyDescent="0.2">
      <c r="A2436" t="s">
        <v>1215</v>
      </c>
      <c r="B2436">
        <v>617760</v>
      </c>
      <c r="C2436" t="s">
        <v>6953</v>
      </c>
      <c r="D2436" t="s">
        <v>1215</v>
      </c>
      <c r="E2436" t="s">
        <v>6970</v>
      </c>
      <c r="F2436">
        <v>18</v>
      </c>
      <c r="G2436">
        <v>14</v>
      </c>
      <c r="H2436" t="s">
        <v>11852</v>
      </c>
      <c r="J2436" t="s">
        <v>2930</v>
      </c>
      <c r="M2436" t="s">
        <v>11853</v>
      </c>
      <c r="N2436">
        <v>1.921480887</v>
      </c>
      <c r="O2436">
        <v>3.0856645180000002</v>
      </c>
      <c r="P2436">
        <v>0.44706724399999997</v>
      </c>
      <c r="Q2436">
        <v>-0.354940863</v>
      </c>
      <c r="S2436" s="13">
        <v>-1.444206944</v>
      </c>
      <c r="T2436">
        <v>-0.38566120399999998</v>
      </c>
      <c r="U2436">
        <v>-0.19994472199999999</v>
      </c>
    </row>
    <row r="2437" spans="1:21" x14ac:dyDescent="0.2">
      <c r="A2437" t="s">
        <v>703</v>
      </c>
      <c r="B2437">
        <v>548320</v>
      </c>
      <c r="C2437" t="s">
        <v>6938</v>
      </c>
      <c r="D2437" t="s">
        <v>704</v>
      </c>
      <c r="E2437" t="s">
        <v>6924</v>
      </c>
      <c r="F2437">
        <v>8</v>
      </c>
      <c r="G2437">
        <v>6</v>
      </c>
      <c r="H2437" t="s">
        <v>11854</v>
      </c>
      <c r="J2437" t="s">
        <v>3919</v>
      </c>
      <c r="M2437" t="s">
        <v>11855</v>
      </c>
      <c r="N2437">
        <v>2.092758737</v>
      </c>
      <c r="O2437">
        <v>5.3323610669999999</v>
      </c>
      <c r="P2437">
        <v>0.70420098600000003</v>
      </c>
      <c r="Q2437">
        <v>0.41355372699999998</v>
      </c>
      <c r="S2437" s="13">
        <v>-1.4442116110000001</v>
      </c>
      <c r="T2437">
        <v>-0.38568160000000001</v>
      </c>
      <c r="U2437">
        <v>-0.300225925</v>
      </c>
    </row>
    <row r="2438" spans="1:21" x14ac:dyDescent="0.2">
      <c r="A2438" t="s">
        <v>736</v>
      </c>
      <c r="B2438">
        <v>528200</v>
      </c>
      <c r="C2438" t="s">
        <v>6910</v>
      </c>
      <c r="D2438" t="s">
        <v>736</v>
      </c>
      <c r="E2438" t="s">
        <v>6939</v>
      </c>
      <c r="F2438">
        <v>15</v>
      </c>
      <c r="G2438">
        <v>2</v>
      </c>
      <c r="H2438" t="s">
        <v>11856</v>
      </c>
      <c r="J2438" t="s">
        <v>6561</v>
      </c>
      <c r="M2438" t="s">
        <v>11857</v>
      </c>
      <c r="N2438">
        <v>1.9874741039999999</v>
      </c>
      <c r="O2438">
        <v>3.7453511220000002</v>
      </c>
      <c r="P2438">
        <v>0.451009722</v>
      </c>
      <c r="Q2438">
        <v>-0.102386592</v>
      </c>
      <c r="S2438" s="13">
        <v>-1.444397822</v>
      </c>
      <c r="T2438">
        <v>-0.38649529999999999</v>
      </c>
      <c r="U2438">
        <v>-0.192916432</v>
      </c>
    </row>
    <row r="2439" spans="1:21" x14ac:dyDescent="0.2">
      <c r="A2439" t="s">
        <v>342</v>
      </c>
      <c r="B2439">
        <v>527960</v>
      </c>
      <c r="C2439" t="s">
        <v>6910</v>
      </c>
      <c r="D2439" t="s">
        <v>342</v>
      </c>
      <c r="E2439" t="s">
        <v>6956</v>
      </c>
      <c r="F2439">
        <v>15</v>
      </c>
      <c r="G2439">
        <v>7</v>
      </c>
      <c r="H2439" t="s">
        <v>11858</v>
      </c>
      <c r="J2439" t="s">
        <v>1861</v>
      </c>
      <c r="M2439" t="s">
        <v>11859</v>
      </c>
      <c r="N2439">
        <v>1.9874741039999999</v>
      </c>
      <c r="O2439">
        <v>3.7453511220000002</v>
      </c>
      <c r="P2439">
        <v>0.451009722</v>
      </c>
      <c r="Q2439">
        <v>-0.102386592</v>
      </c>
      <c r="S2439" s="13">
        <v>-1.4446560369999999</v>
      </c>
      <c r="T2439">
        <v>-0.38762363799999999</v>
      </c>
      <c r="U2439">
        <v>-0.19309259500000001</v>
      </c>
    </row>
    <row r="2440" spans="1:21" x14ac:dyDescent="0.2">
      <c r="A2440" t="s">
        <v>2188</v>
      </c>
      <c r="B2440">
        <v>477720</v>
      </c>
      <c r="C2440" t="s">
        <v>6931</v>
      </c>
      <c r="D2440" t="s">
        <v>2188</v>
      </c>
      <c r="E2440" t="s">
        <v>6907</v>
      </c>
      <c r="F2440">
        <v>11</v>
      </c>
      <c r="G2440">
        <v>4</v>
      </c>
      <c r="H2440" t="s">
        <v>11860</v>
      </c>
      <c r="N2440">
        <v>1.9323965059999999</v>
      </c>
      <c r="O2440">
        <v>3.0528020530000002</v>
      </c>
      <c r="P2440">
        <v>2.6493138999999999E-2</v>
      </c>
      <c r="Q2440">
        <v>-0.38692188</v>
      </c>
      <c r="S2440" s="13">
        <v>-1.444793378</v>
      </c>
      <c r="T2440">
        <v>-0.38822378600000002</v>
      </c>
      <c r="U2440">
        <v>-0.173063775</v>
      </c>
    </row>
    <row r="2441" spans="1:21" x14ac:dyDescent="0.2">
      <c r="A2441" t="s">
        <v>2149</v>
      </c>
      <c r="B2441">
        <v>540320</v>
      </c>
      <c r="C2441" t="s">
        <v>6906</v>
      </c>
      <c r="D2441" t="s">
        <v>2149</v>
      </c>
      <c r="E2441" t="s">
        <v>7085</v>
      </c>
      <c r="F2441">
        <v>13</v>
      </c>
      <c r="G2441">
        <v>9</v>
      </c>
      <c r="H2441" t="s">
        <v>11861</v>
      </c>
      <c r="J2441" t="s">
        <v>11862</v>
      </c>
      <c r="M2441" t="s">
        <v>11863</v>
      </c>
      <c r="N2441">
        <v>1.813871112</v>
      </c>
      <c r="O2441">
        <v>2.6633694910000001</v>
      </c>
      <c r="P2441">
        <v>-0.29586356800000002</v>
      </c>
      <c r="Q2441">
        <v>-0.59018158399999998</v>
      </c>
      <c r="S2441" s="13">
        <v>-1.444828086</v>
      </c>
      <c r="T2441">
        <v>-0.38837545600000001</v>
      </c>
      <c r="U2441">
        <v>-0.21388966100000001</v>
      </c>
    </row>
    <row r="2442" spans="1:21" x14ac:dyDescent="0.2">
      <c r="A2442" t="s">
        <v>1013</v>
      </c>
      <c r="B2442">
        <v>641760</v>
      </c>
      <c r="C2442" t="s">
        <v>6914</v>
      </c>
      <c r="D2442" t="s">
        <v>1014</v>
      </c>
      <c r="E2442" t="s">
        <v>7006</v>
      </c>
      <c r="F2442">
        <v>6</v>
      </c>
      <c r="G2442">
        <v>3</v>
      </c>
      <c r="H2442" t="s">
        <v>11864</v>
      </c>
      <c r="J2442" t="s">
        <v>2750</v>
      </c>
      <c r="M2442" t="s">
        <v>11865</v>
      </c>
      <c r="N2442">
        <v>1.8217074179999999</v>
      </c>
      <c r="O2442">
        <v>4.1700741289999996</v>
      </c>
      <c r="P2442">
        <v>0.189705977</v>
      </c>
      <c r="Q2442">
        <v>-1.7194070999999998E-2</v>
      </c>
      <c r="S2442" s="13">
        <v>-1.4450939359999999</v>
      </c>
      <c r="T2442">
        <v>-0.389537156</v>
      </c>
      <c r="U2442">
        <v>-0.25776090000000002</v>
      </c>
    </row>
    <row r="2443" spans="1:21" x14ac:dyDescent="0.2">
      <c r="A2443" t="s">
        <v>462</v>
      </c>
      <c r="B2443">
        <v>480880</v>
      </c>
      <c r="C2443" t="s">
        <v>6942</v>
      </c>
      <c r="D2443" t="s">
        <v>462</v>
      </c>
      <c r="E2443" t="s">
        <v>6956</v>
      </c>
      <c r="F2443">
        <v>20</v>
      </c>
      <c r="G2443">
        <v>7</v>
      </c>
      <c r="H2443" t="s">
        <v>11866</v>
      </c>
      <c r="J2443" t="s">
        <v>4240</v>
      </c>
      <c r="M2443" t="s">
        <v>11867</v>
      </c>
      <c r="N2443">
        <v>2.0902262079999998</v>
      </c>
      <c r="O2443">
        <v>4.2704203920000001</v>
      </c>
      <c r="P2443">
        <v>0.23425843900000001</v>
      </c>
      <c r="Q2443">
        <v>1.6181978999999999E-2</v>
      </c>
      <c r="S2443" s="13">
        <v>-1.4452623520000001</v>
      </c>
      <c r="T2443">
        <v>-0.39027309700000001</v>
      </c>
      <c r="U2443">
        <v>-0.30487335599999998</v>
      </c>
    </row>
    <row r="2444" spans="1:21" x14ac:dyDescent="0.2">
      <c r="A2444" t="s">
        <v>1123</v>
      </c>
      <c r="B2444">
        <v>551640</v>
      </c>
      <c r="C2444" t="s">
        <v>6927</v>
      </c>
      <c r="D2444" t="s">
        <v>1123</v>
      </c>
      <c r="E2444" t="s">
        <v>6946</v>
      </c>
      <c r="F2444">
        <v>16</v>
      </c>
      <c r="G2444">
        <v>11</v>
      </c>
      <c r="H2444" t="s">
        <v>11868</v>
      </c>
      <c r="J2444" t="s">
        <v>11869</v>
      </c>
      <c r="M2444" t="s">
        <v>11870</v>
      </c>
      <c r="N2444">
        <v>1.982575982</v>
      </c>
      <c r="O2444">
        <v>3.4571926419999999</v>
      </c>
      <c r="P2444">
        <v>-0.114791479</v>
      </c>
      <c r="Q2444">
        <v>1.868949E-3</v>
      </c>
      <c r="S2444" s="13">
        <v>-1.445337954</v>
      </c>
      <c r="T2444">
        <v>-0.39060346099999999</v>
      </c>
      <c r="U2444">
        <v>-0.26634863199999997</v>
      </c>
    </row>
    <row r="2445" spans="1:21" x14ac:dyDescent="0.2">
      <c r="A2445" t="s">
        <v>1275</v>
      </c>
      <c r="B2445">
        <v>547000</v>
      </c>
      <c r="C2445" t="s">
        <v>6938</v>
      </c>
      <c r="D2445" t="s">
        <v>1276</v>
      </c>
      <c r="E2445" t="s">
        <v>7085</v>
      </c>
      <c r="F2445">
        <v>5</v>
      </c>
      <c r="G2445">
        <v>9</v>
      </c>
      <c r="H2445" t="s">
        <v>11871</v>
      </c>
      <c r="J2445" t="s">
        <v>2567</v>
      </c>
      <c r="M2445" t="s">
        <v>11872</v>
      </c>
      <c r="N2445">
        <v>2.092758737</v>
      </c>
      <c r="O2445">
        <v>5.3323610669999999</v>
      </c>
      <c r="P2445">
        <v>0.70420098600000003</v>
      </c>
      <c r="Q2445">
        <v>0.41355372699999998</v>
      </c>
      <c r="S2445" s="13">
        <v>-1.4453452419999999</v>
      </c>
      <c r="T2445">
        <v>-0.39063530800000001</v>
      </c>
      <c r="U2445">
        <v>-0.30146792300000003</v>
      </c>
    </row>
    <row r="2446" spans="1:21" x14ac:dyDescent="0.2">
      <c r="A2446" t="s">
        <v>730</v>
      </c>
      <c r="B2446">
        <v>641440</v>
      </c>
      <c r="C2446" t="s">
        <v>6914</v>
      </c>
      <c r="D2446" t="s">
        <v>731</v>
      </c>
      <c r="E2446" t="s">
        <v>6946</v>
      </c>
      <c r="F2446">
        <v>4</v>
      </c>
      <c r="G2446">
        <v>11</v>
      </c>
      <c r="H2446" t="s">
        <v>11873</v>
      </c>
      <c r="J2446" t="s">
        <v>3401</v>
      </c>
      <c r="M2446" t="s">
        <v>11874</v>
      </c>
      <c r="N2446">
        <v>1.8217074179999999</v>
      </c>
      <c r="O2446">
        <v>4.1700741289999996</v>
      </c>
      <c r="P2446">
        <v>0.189705977</v>
      </c>
      <c r="Q2446">
        <v>-1.7194070999999998E-2</v>
      </c>
      <c r="S2446" s="13">
        <v>-1.4454788190000001</v>
      </c>
      <c r="T2446">
        <v>-0.39121900999999998</v>
      </c>
      <c r="U2446">
        <v>-0.25803363899999998</v>
      </c>
    </row>
    <row r="2447" spans="1:21" x14ac:dyDescent="0.2">
      <c r="A2447" t="s">
        <v>2252</v>
      </c>
      <c r="B2447">
        <v>546720</v>
      </c>
      <c r="C2447" t="s">
        <v>6938</v>
      </c>
      <c r="D2447" t="s">
        <v>2253</v>
      </c>
      <c r="E2447" t="s">
        <v>6924</v>
      </c>
      <c r="F2447">
        <v>4</v>
      </c>
      <c r="G2447">
        <v>6</v>
      </c>
      <c r="H2447" t="s">
        <v>11875</v>
      </c>
      <c r="J2447" t="s">
        <v>5375</v>
      </c>
      <c r="M2447" t="s">
        <v>11876</v>
      </c>
      <c r="N2447">
        <v>2.092758737</v>
      </c>
      <c r="O2447">
        <v>5.3323610669999999</v>
      </c>
      <c r="P2447">
        <v>0.70420098600000003</v>
      </c>
      <c r="Q2447">
        <v>0.41355372699999998</v>
      </c>
      <c r="S2447" s="13">
        <v>-1.4455857089999999</v>
      </c>
      <c r="T2447">
        <v>-0.39168609500000001</v>
      </c>
      <c r="U2447">
        <v>-0.301731835</v>
      </c>
    </row>
    <row r="2448" spans="1:21" x14ac:dyDescent="0.2">
      <c r="A2448" t="s">
        <v>511</v>
      </c>
      <c r="B2448">
        <v>546600</v>
      </c>
      <c r="C2448" t="s">
        <v>6938</v>
      </c>
      <c r="D2448" t="s">
        <v>511</v>
      </c>
      <c r="E2448" t="s">
        <v>6911</v>
      </c>
      <c r="F2448">
        <v>21</v>
      </c>
      <c r="G2448">
        <v>12</v>
      </c>
      <c r="H2448" t="s">
        <v>11877</v>
      </c>
      <c r="J2448" t="s">
        <v>5603</v>
      </c>
      <c r="M2448" t="s">
        <v>11878</v>
      </c>
      <c r="N2448">
        <v>2.092758737</v>
      </c>
      <c r="O2448">
        <v>5.3323610669999999</v>
      </c>
      <c r="P2448">
        <v>0.70420098600000003</v>
      </c>
      <c r="Q2448">
        <v>0.41355372699999998</v>
      </c>
      <c r="S2448" s="13">
        <v>-1.445688767</v>
      </c>
      <c r="T2448">
        <v>-0.39213643199999998</v>
      </c>
      <c r="U2448">
        <v>-0.30184498900000001</v>
      </c>
    </row>
    <row r="2449" spans="1:21" x14ac:dyDescent="0.2">
      <c r="A2449" t="s">
        <v>756</v>
      </c>
      <c r="B2449">
        <v>477000</v>
      </c>
      <c r="C2449" t="s">
        <v>6931</v>
      </c>
      <c r="D2449" t="s">
        <v>756</v>
      </c>
      <c r="E2449" t="s">
        <v>7085</v>
      </c>
      <c r="F2449">
        <v>23</v>
      </c>
      <c r="G2449">
        <v>9</v>
      </c>
      <c r="H2449" t="s">
        <v>11879</v>
      </c>
      <c r="N2449">
        <v>1.9323965059999999</v>
      </c>
      <c r="O2449">
        <v>3.0528020530000002</v>
      </c>
      <c r="P2449">
        <v>2.6493138999999999E-2</v>
      </c>
      <c r="Q2449">
        <v>-0.38692188</v>
      </c>
      <c r="S2449" s="13">
        <v>-1.445739439</v>
      </c>
      <c r="T2449">
        <v>-0.392357858</v>
      </c>
      <c r="U2449">
        <v>-0.173568842</v>
      </c>
    </row>
    <row r="2450" spans="1:21" x14ac:dyDescent="0.2">
      <c r="A2450" t="s">
        <v>792</v>
      </c>
      <c r="B2450">
        <v>550920</v>
      </c>
      <c r="C2450" t="s">
        <v>6927</v>
      </c>
      <c r="D2450" t="s">
        <v>793</v>
      </c>
      <c r="E2450" t="s">
        <v>6924</v>
      </c>
      <c r="F2450">
        <v>5</v>
      </c>
      <c r="G2450">
        <v>6</v>
      </c>
      <c r="H2450" t="s">
        <v>11880</v>
      </c>
      <c r="J2450" t="s">
        <v>11881</v>
      </c>
      <c r="M2450" t="s">
        <v>11882</v>
      </c>
      <c r="N2450">
        <v>1.982575982</v>
      </c>
      <c r="O2450">
        <v>3.4571926419999999</v>
      </c>
      <c r="P2450">
        <v>-0.114791479</v>
      </c>
      <c r="Q2450">
        <v>1.868949E-3</v>
      </c>
      <c r="S2450" s="13">
        <v>-1.4460850439999999</v>
      </c>
      <c r="T2450">
        <v>-0.39386807200000001</v>
      </c>
      <c r="U2450">
        <v>-0.26697480499999998</v>
      </c>
    </row>
    <row r="2451" spans="1:21" x14ac:dyDescent="0.2">
      <c r="A2451" t="s">
        <v>1593</v>
      </c>
      <c r="B2451">
        <v>539200</v>
      </c>
      <c r="C2451" t="s">
        <v>6906</v>
      </c>
      <c r="D2451" t="s">
        <v>1593</v>
      </c>
      <c r="E2451" t="s">
        <v>6939</v>
      </c>
      <c r="F2451">
        <v>14</v>
      </c>
      <c r="G2451">
        <v>2</v>
      </c>
      <c r="H2451" t="s">
        <v>11883</v>
      </c>
      <c r="J2451" t="s">
        <v>11884</v>
      </c>
      <c r="M2451" t="s">
        <v>11885</v>
      </c>
      <c r="N2451">
        <v>1.813871112</v>
      </c>
      <c r="O2451">
        <v>2.6633694910000001</v>
      </c>
      <c r="P2451">
        <v>-0.29586356800000002</v>
      </c>
      <c r="Q2451">
        <v>-0.59018158399999998</v>
      </c>
      <c r="S2451" s="13">
        <v>-1.4464529230000001</v>
      </c>
      <c r="T2451">
        <v>-0.395475621</v>
      </c>
      <c r="U2451">
        <v>-0.21475311599999999</v>
      </c>
    </row>
    <row r="2452" spans="1:21" x14ac:dyDescent="0.2">
      <c r="A2452" t="s">
        <v>746</v>
      </c>
      <c r="B2452">
        <v>168320</v>
      </c>
      <c r="C2452" t="s">
        <v>6961</v>
      </c>
      <c r="D2452" t="s">
        <v>746</v>
      </c>
      <c r="E2452" t="s">
        <v>6974</v>
      </c>
      <c r="F2452">
        <v>19</v>
      </c>
      <c r="G2452">
        <v>15</v>
      </c>
      <c r="H2452" t="s">
        <v>11886</v>
      </c>
      <c r="J2452" t="s">
        <v>6017</v>
      </c>
      <c r="M2452" t="s">
        <v>11887</v>
      </c>
      <c r="N2452">
        <v>2.7247480949999998</v>
      </c>
      <c r="O2452">
        <v>7.0822175119999997</v>
      </c>
      <c r="P2452">
        <v>0.61298291999999999</v>
      </c>
      <c r="Q2452">
        <v>0.48262032500000002</v>
      </c>
      <c r="S2452" s="13">
        <v>-1.4465501409999999</v>
      </c>
      <c r="T2452">
        <v>-0.39590044000000002</v>
      </c>
      <c r="U2452">
        <v>-0.38930753800000001</v>
      </c>
    </row>
    <row r="2453" spans="1:21" x14ac:dyDescent="0.2">
      <c r="A2453" t="s">
        <v>947</v>
      </c>
      <c r="B2453">
        <v>550360</v>
      </c>
      <c r="C2453" t="s">
        <v>6927</v>
      </c>
      <c r="D2453" t="s">
        <v>948</v>
      </c>
      <c r="E2453" t="s">
        <v>6921</v>
      </c>
      <c r="F2453">
        <v>7</v>
      </c>
      <c r="G2453">
        <v>8</v>
      </c>
      <c r="H2453" t="s">
        <v>11888</v>
      </c>
      <c r="J2453" t="s">
        <v>11889</v>
      </c>
      <c r="M2453" t="s">
        <v>11890</v>
      </c>
      <c r="N2453">
        <v>1.982575982</v>
      </c>
      <c r="O2453">
        <v>3.4571926419999999</v>
      </c>
      <c r="P2453">
        <v>-0.114791479</v>
      </c>
      <c r="Q2453">
        <v>1.868949E-3</v>
      </c>
      <c r="S2453" s="13">
        <v>-1.446666113</v>
      </c>
      <c r="T2453">
        <v>-0.39640721299999998</v>
      </c>
      <c r="U2453">
        <v>-0.26746245400000002</v>
      </c>
    </row>
    <row r="2454" spans="1:21" x14ac:dyDescent="0.2">
      <c r="A2454" t="s">
        <v>547</v>
      </c>
      <c r="B2454">
        <v>640400</v>
      </c>
      <c r="C2454" t="s">
        <v>6914</v>
      </c>
      <c r="D2454" t="s">
        <v>548</v>
      </c>
      <c r="E2454" t="s">
        <v>6970</v>
      </c>
      <c r="F2454">
        <v>5</v>
      </c>
      <c r="G2454">
        <v>14</v>
      </c>
      <c r="H2454" t="s">
        <v>11891</v>
      </c>
      <c r="J2454" t="s">
        <v>3107</v>
      </c>
      <c r="M2454" t="s">
        <v>11892</v>
      </c>
      <c r="N2454">
        <v>1.8217074179999999</v>
      </c>
      <c r="O2454">
        <v>4.1700741289999996</v>
      </c>
      <c r="P2454">
        <v>0.189705977</v>
      </c>
      <c r="Q2454">
        <v>-1.7194070999999998E-2</v>
      </c>
      <c r="S2454" s="13">
        <v>-1.446729691</v>
      </c>
      <c r="T2454">
        <v>-0.39668503500000002</v>
      </c>
      <c r="U2454">
        <v>-0.258921226</v>
      </c>
    </row>
    <row r="2455" spans="1:21" x14ac:dyDescent="0.2">
      <c r="A2455" t="s">
        <v>788</v>
      </c>
      <c r="B2455">
        <v>479200</v>
      </c>
      <c r="C2455" t="s">
        <v>6942</v>
      </c>
      <c r="D2455" t="s">
        <v>788</v>
      </c>
      <c r="E2455" t="s">
        <v>6921</v>
      </c>
      <c r="F2455">
        <v>13</v>
      </c>
      <c r="G2455">
        <v>8</v>
      </c>
      <c r="H2455" t="s">
        <v>11893</v>
      </c>
      <c r="J2455" t="s">
        <v>1879</v>
      </c>
      <c r="M2455" t="s">
        <v>11894</v>
      </c>
      <c r="N2455">
        <v>2.0902262079999998</v>
      </c>
      <c r="O2455">
        <v>4.2704203920000001</v>
      </c>
      <c r="P2455">
        <v>0.23425843900000001</v>
      </c>
      <c r="Q2455">
        <v>1.6181978999999999E-2</v>
      </c>
      <c r="S2455" s="13">
        <v>-1.446911254</v>
      </c>
      <c r="T2455">
        <v>-0.39747842100000003</v>
      </c>
      <c r="U2455">
        <v>-0.30647174199999999</v>
      </c>
    </row>
    <row r="2456" spans="1:21" x14ac:dyDescent="0.2">
      <c r="A2456" t="s">
        <v>1167</v>
      </c>
      <c r="B2456">
        <v>538800</v>
      </c>
      <c r="C2456" t="s">
        <v>6906</v>
      </c>
      <c r="D2456" t="s">
        <v>1168</v>
      </c>
      <c r="E2456" t="s">
        <v>7006</v>
      </c>
      <c r="F2456">
        <v>5</v>
      </c>
      <c r="G2456">
        <v>3</v>
      </c>
      <c r="H2456" t="s">
        <v>11895</v>
      </c>
      <c r="J2456" t="s">
        <v>1170</v>
      </c>
      <c r="M2456" t="s">
        <v>11896</v>
      </c>
      <c r="N2456">
        <v>1.813871112</v>
      </c>
      <c r="O2456">
        <v>2.6633694910000001</v>
      </c>
      <c r="P2456">
        <v>-0.29586356800000002</v>
      </c>
      <c r="Q2456">
        <v>-0.59018158399999998</v>
      </c>
      <c r="S2456" s="13">
        <v>-1.447033222</v>
      </c>
      <c r="T2456">
        <v>-0.39801139499999999</v>
      </c>
      <c r="U2456">
        <v>-0.215061909</v>
      </c>
    </row>
    <row r="2457" spans="1:21" x14ac:dyDescent="0.2">
      <c r="A2457" t="s">
        <v>1137</v>
      </c>
      <c r="B2457">
        <v>614920</v>
      </c>
      <c r="C2457" t="s">
        <v>6953</v>
      </c>
      <c r="D2457" t="s">
        <v>1137</v>
      </c>
      <c r="E2457" t="s">
        <v>7085</v>
      </c>
      <c r="F2457">
        <v>18</v>
      </c>
      <c r="G2457">
        <v>9</v>
      </c>
      <c r="H2457" t="s">
        <v>11897</v>
      </c>
      <c r="J2457" t="s">
        <v>1255</v>
      </c>
      <c r="M2457" t="s">
        <v>11898</v>
      </c>
      <c r="N2457">
        <v>1.921480887</v>
      </c>
      <c r="O2457">
        <v>3.0856645180000002</v>
      </c>
      <c r="P2457">
        <v>0.44706724399999997</v>
      </c>
      <c r="Q2457">
        <v>-0.354940863</v>
      </c>
      <c r="S2457" s="13">
        <v>-1.4471537969999999</v>
      </c>
      <c r="T2457">
        <v>-0.39853827800000002</v>
      </c>
      <c r="U2457">
        <v>-0.20206808700000001</v>
      </c>
    </row>
    <row r="2458" spans="1:21" x14ac:dyDescent="0.2">
      <c r="A2458" t="s">
        <v>693</v>
      </c>
      <c r="B2458">
        <v>538640</v>
      </c>
      <c r="C2458" t="s">
        <v>6906</v>
      </c>
      <c r="D2458" t="s">
        <v>693</v>
      </c>
      <c r="E2458" t="s">
        <v>6977</v>
      </c>
      <c r="F2458">
        <v>22</v>
      </c>
      <c r="G2458">
        <v>5</v>
      </c>
      <c r="H2458" t="s">
        <v>11899</v>
      </c>
      <c r="J2458" t="s">
        <v>2987</v>
      </c>
      <c r="M2458" t="s">
        <v>11900</v>
      </c>
      <c r="N2458">
        <v>1.813871112</v>
      </c>
      <c r="O2458">
        <v>2.6633694910000001</v>
      </c>
      <c r="P2458">
        <v>-0.29586356800000002</v>
      </c>
      <c r="Q2458">
        <v>-0.59018158399999998</v>
      </c>
      <c r="S2458" s="13">
        <v>-1.4472653419999999</v>
      </c>
      <c r="T2458">
        <v>-0.39902570399999998</v>
      </c>
      <c r="U2458">
        <v>-0.21518548800000001</v>
      </c>
    </row>
    <row r="2459" spans="1:21" x14ac:dyDescent="0.2">
      <c r="A2459" t="s">
        <v>375</v>
      </c>
      <c r="B2459">
        <v>475760</v>
      </c>
      <c r="C2459" t="s">
        <v>6931</v>
      </c>
      <c r="D2459" t="s">
        <v>375</v>
      </c>
      <c r="E2459" t="s">
        <v>6977</v>
      </c>
      <c r="F2459">
        <v>12</v>
      </c>
      <c r="G2459">
        <v>5</v>
      </c>
      <c r="H2459" t="s">
        <v>11901</v>
      </c>
      <c r="N2459">
        <v>1.9323965059999999</v>
      </c>
      <c r="O2459">
        <v>3.0528020530000002</v>
      </c>
      <c r="P2459">
        <v>2.6493138999999999E-2</v>
      </c>
      <c r="Q2459">
        <v>-0.38692188</v>
      </c>
      <c r="S2459" s="13">
        <v>-1.4473687669999999</v>
      </c>
      <c r="T2459">
        <v>-0.39947764800000002</v>
      </c>
      <c r="U2459">
        <v>-0.17444005900000001</v>
      </c>
    </row>
    <row r="2460" spans="1:21" x14ac:dyDescent="0.2">
      <c r="A2460" t="s">
        <v>919</v>
      </c>
      <c r="B2460">
        <v>538400</v>
      </c>
      <c r="C2460" t="s">
        <v>6906</v>
      </c>
      <c r="D2460" t="s">
        <v>919</v>
      </c>
      <c r="E2460" t="s">
        <v>6946</v>
      </c>
      <c r="F2460">
        <v>22</v>
      </c>
      <c r="G2460">
        <v>11</v>
      </c>
      <c r="H2460" t="s">
        <v>11902</v>
      </c>
      <c r="J2460" t="s">
        <v>921</v>
      </c>
      <c r="M2460" t="s">
        <v>11903</v>
      </c>
      <c r="N2460">
        <v>1.813871112</v>
      </c>
      <c r="O2460">
        <v>2.6633694910000001</v>
      </c>
      <c r="P2460">
        <v>-0.29586356800000002</v>
      </c>
      <c r="Q2460">
        <v>-0.59018158399999998</v>
      </c>
      <c r="S2460" s="13">
        <v>-1.4476135210000001</v>
      </c>
      <c r="T2460">
        <v>-0.40054716800000001</v>
      </c>
      <c r="U2460">
        <v>-0.21537092199999999</v>
      </c>
    </row>
    <row r="2461" spans="1:21" x14ac:dyDescent="0.2">
      <c r="A2461" t="s">
        <v>663</v>
      </c>
      <c r="B2461">
        <v>525200</v>
      </c>
      <c r="C2461" t="s">
        <v>6910</v>
      </c>
      <c r="D2461" t="s">
        <v>663</v>
      </c>
      <c r="E2461" t="s">
        <v>6918</v>
      </c>
      <c r="F2461">
        <v>15</v>
      </c>
      <c r="G2461">
        <v>1</v>
      </c>
      <c r="H2461" t="s">
        <v>11904</v>
      </c>
      <c r="J2461" t="s">
        <v>5835</v>
      </c>
      <c r="M2461" t="s">
        <v>11905</v>
      </c>
      <c r="N2461">
        <v>1.9874741039999999</v>
      </c>
      <c r="O2461">
        <v>3.7453511220000002</v>
      </c>
      <c r="P2461">
        <v>0.451009722</v>
      </c>
      <c r="Q2461">
        <v>-0.102386592</v>
      </c>
      <c r="S2461" s="13">
        <v>-1.447625503</v>
      </c>
      <c r="T2461">
        <v>-0.40059952700000001</v>
      </c>
      <c r="U2461">
        <v>-0.19512362899999999</v>
      </c>
    </row>
    <row r="2462" spans="1:21" x14ac:dyDescent="0.2">
      <c r="A2462" t="s">
        <v>361</v>
      </c>
      <c r="B2462">
        <v>639560</v>
      </c>
      <c r="C2462" t="s">
        <v>6914</v>
      </c>
      <c r="D2462" t="s">
        <v>361</v>
      </c>
      <c r="E2462" t="s">
        <v>6921</v>
      </c>
      <c r="F2462">
        <v>21</v>
      </c>
      <c r="G2462">
        <v>8</v>
      </c>
      <c r="H2462" t="s">
        <v>11906</v>
      </c>
      <c r="J2462" t="s">
        <v>4280</v>
      </c>
      <c r="M2462" t="s">
        <v>11907</v>
      </c>
      <c r="N2462">
        <v>1.8217074179999999</v>
      </c>
      <c r="O2462">
        <v>4.1700741289999996</v>
      </c>
      <c r="P2462">
        <v>0.189705977</v>
      </c>
      <c r="Q2462">
        <v>-1.7194070999999998E-2</v>
      </c>
      <c r="S2462" s="13">
        <v>-1.447740011</v>
      </c>
      <c r="T2462">
        <v>-0.40109990099999998</v>
      </c>
      <c r="U2462">
        <v>-0.25963944999999999</v>
      </c>
    </row>
    <row r="2463" spans="1:21" x14ac:dyDescent="0.2">
      <c r="A2463" t="s">
        <v>859</v>
      </c>
      <c r="B2463">
        <v>549040</v>
      </c>
      <c r="C2463" t="s">
        <v>6927</v>
      </c>
      <c r="D2463" t="s">
        <v>859</v>
      </c>
      <c r="E2463" t="s">
        <v>7115</v>
      </c>
      <c r="F2463">
        <v>19</v>
      </c>
      <c r="G2463">
        <v>10</v>
      </c>
      <c r="H2463" t="s">
        <v>11908</v>
      </c>
      <c r="J2463" t="s">
        <v>11909</v>
      </c>
      <c r="M2463" t="s">
        <v>11910</v>
      </c>
      <c r="N2463">
        <v>1.982575982</v>
      </c>
      <c r="O2463">
        <v>3.4571926419999999</v>
      </c>
      <c r="P2463">
        <v>-0.114791479</v>
      </c>
      <c r="Q2463">
        <v>1.868949E-3</v>
      </c>
      <c r="S2463" s="13">
        <v>-1.4480357770000001</v>
      </c>
      <c r="T2463">
        <v>-0.40239233200000002</v>
      </c>
      <c r="U2463">
        <v>-0.26861408199999998</v>
      </c>
    </row>
    <row r="2464" spans="1:21" x14ac:dyDescent="0.2">
      <c r="A2464" t="s">
        <v>1461</v>
      </c>
      <c r="B2464">
        <v>548640</v>
      </c>
      <c r="C2464" t="s">
        <v>6927</v>
      </c>
      <c r="D2464" t="s">
        <v>1461</v>
      </c>
      <c r="E2464" t="s">
        <v>6918</v>
      </c>
      <c r="F2464">
        <v>21</v>
      </c>
      <c r="G2464">
        <v>1</v>
      </c>
      <c r="H2464" t="s">
        <v>11911</v>
      </c>
      <c r="J2464" t="s">
        <v>11912</v>
      </c>
      <c r="M2464" t="s">
        <v>11913</v>
      </c>
      <c r="N2464">
        <v>1.982575982</v>
      </c>
      <c r="O2464">
        <v>3.4571926419999999</v>
      </c>
      <c r="P2464">
        <v>-0.114791479</v>
      </c>
      <c r="Q2464">
        <v>1.868949E-3</v>
      </c>
      <c r="S2464" s="13">
        <v>-1.4484508270000001</v>
      </c>
      <c r="T2464">
        <v>-0.40420600400000001</v>
      </c>
      <c r="U2464">
        <v>-0.26896366399999999</v>
      </c>
    </row>
    <row r="2465" spans="1:21" x14ac:dyDescent="0.2">
      <c r="A2465" t="s">
        <v>616</v>
      </c>
      <c r="B2465">
        <v>613520</v>
      </c>
      <c r="C2465" t="s">
        <v>6953</v>
      </c>
      <c r="D2465" t="s">
        <v>616</v>
      </c>
      <c r="E2465" t="s">
        <v>6974</v>
      </c>
      <c r="F2465">
        <v>17</v>
      </c>
      <c r="G2465">
        <v>15</v>
      </c>
      <c r="H2465" t="s">
        <v>11914</v>
      </c>
      <c r="J2465" t="s">
        <v>4012</v>
      </c>
      <c r="M2465" t="s">
        <v>11915</v>
      </c>
      <c r="N2465">
        <v>1.921480887</v>
      </c>
      <c r="O2465">
        <v>3.0856645180000002</v>
      </c>
      <c r="P2465">
        <v>0.44706724399999997</v>
      </c>
      <c r="Q2465">
        <v>-0.354940863</v>
      </c>
      <c r="S2465" s="13">
        <v>-1.448606471</v>
      </c>
      <c r="T2465">
        <v>-0.40488613099999998</v>
      </c>
      <c r="U2465">
        <v>-0.20311864800000001</v>
      </c>
    </row>
    <row r="2466" spans="1:21" x14ac:dyDescent="0.2">
      <c r="A2466" t="s">
        <v>295</v>
      </c>
      <c r="B2466">
        <v>537680</v>
      </c>
      <c r="C2466" t="s">
        <v>6906</v>
      </c>
      <c r="D2466" t="s">
        <v>295</v>
      </c>
      <c r="E2466" t="s">
        <v>6911</v>
      </c>
      <c r="F2466">
        <v>20</v>
      </c>
      <c r="G2466">
        <v>12</v>
      </c>
      <c r="H2466" t="s">
        <v>11916</v>
      </c>
      <c r="J2466" t="s">
        <v>299</v>
      </c>
      <c r="M2466" t="s">
        <v>11917</v>
      </c>
      <c r="N2466">
        <v>1.813871112</v>
      </c>
      <c r="O2466">
        <v>2.6633694910000001</v>
      </c>
      <c r="P2466">
        <v>-0.29586356800000002</v>
      </c>
      <c r="Q2466">
        <v>-0.59018158399999998</v>
      </c>
      <c r="S2466" s="13">
        <v>-1.448658059</v>
      </c>
      <c r="T2466">
        <v>-0.40511155999999998</v>
      </c>
      <c r="U2466">
        <v>-0.2159277</v>
      </c>
    </row>
    <row r="2467" spans="1:21" x14ac:dyDescent="0.2">
      <c r="A2467" t="s">
        <v>1415</v>
      </c>
      <c r="B2467">
        <v>537400</v>
      </c>
      <c r="C2467" t="s">
        <v>6906</v>
      </c>
      <c r="D2467" t="s">
        <v>1415</v>
      </c>
      <c r="E2467" t="s">
        <v>6946</v>
      </c>
      <c r="F2467">
        <v>12</v>
      </c>
      <c r="G2467">
        <v>11</v>
      </c>
      <c r="H2467" t="s">
        <v>11918</v>
      </c>
      <c r="J2467" t="s">
        <v>11919</v>
      </c>
      <c r="M2467" t="s">
        <v>11920</v>
      </c>
      <c r="N2467">
        <v>1.813871112</v>
      </c>
      <c r="O2467">
        <v>2.6633694910000001</v>
      </c>
      <c r="P2467">
        <v>-0.29586356800000002</v>
      </c>
      <c r="Q2467">
        <v>-0.59018158399999998</v>
      </c>
      <c r="S2467" s="13">
        <v>-1.4490642680000001</v>
      </c>
      <c r="T2467">
        <v>-0.40688660100000001</v>
      </c>
      <c r="U2467">
        <v>-0.216144418</v>
      </c>
    </row>
    <row r="2468" spans="1:21" x14ac:dyDescent="0.2">
      <c r="A2468" t="s">
        <v>329</v>
      </c>
      <c r="B2468">
        <v>548040</v>
      </c>
      <c r="C2468" t="s">
        <v>6927</v>
      </c>
      <c r="D2468" t="s">
        <v>329</v>
      </c>
      <c r="E2468" t="s">
        <v>6924</v>
      </c>
      <c r="F2468">
        <v>22</v>
      </c>
      <c r="G2468">
        <v>6</v>
      </c>
      <c r="H2468" t="s">
        <v>11921</v>
      </c>
      <c r="J2468" t="s">
        <v>11922</v>
      </c>
      <c r="M2468" t="s">
        <v>11923</v>
      </c>
      <c r="N2468">
        <v>1.982575982</v>
      </c>
      <c r="O2468">
        <v>3.4571926419999999</v>
      </c>
      <c r="P2468">
        <v>-0.114791479</v>
      </c>
      <c r="Q2468">
        <v>1.868949E-3</v>
      </c>
      <c r="S2468" s="13">
        <v>-1.449073402</v>
      </c>
      <c r="T2468">
        <v>-0.40692651200000002</v>
      </c>
      <c r="U2468">
        <v>-0.26948856500000001</v>
      </c>
    </row>
    <row r="2469" spans="1:21" x14ac:dyDescent="0.2">
      <c r="A2469" t="s">
        <v>1373</v>
      </c>
      <c r="B2469">
        <v>474400</v>
      </c>
      <c r="C2469" t="s">
        <v>6931</v>
      </c>
      <c r="D2469" t="s">
        <v>1373</v>
      </c>
      <c r="E2469" t="s">
        <v>6977</v>
      </c>
      <c r="F2469">
        <v>10</v>
      </c>
      <c r="G2469">
        <v>5</v>
      </c>
      <c r="H2469" t="s">
        <v>11924</v>
      </c>
      <c r="N2469">
        <v>1.9323965059999999</v>
      </c>
      <c r="O2469">
        <v>3.0528020530000002</v>
      </c>
      <c r="P2469">
        <v>2.6493138999999999E-2</v>
      </c>
      <c r="Q2469">
        <v>-0.38692188</v>
      </c>
      <c r="S2469" s="13">
        <v>-1.4491557719999999</v>
      </c>
      <c r="T2469">
        <v>-0.40728645099999999</v>
      </c>
      <c r="U2469">
        <v>-0.17539760099999999</v>
      </c>
    </row>
    <row r="2470" spans="1:21" x14ac:dyDescent="0.2">
      <c r="A2470" t="s">
        <v>1335</v>
      </c>
      <c r="B2470">
        <v>474240</v>
      </c>
      <c r="C2470" t="s">
        <v>6931</v>
      </c>
      <c r="D2470" t="s">
        <v>1335</v>
      </c>
      <c r="E2470" t="s">
        <v>6915</v>
      </c>
      <c r="F2470">
        <v>12</v>
      </c>
      <c r="G2470">
        <v>13</v>
      </c>
      <c r="H2470" t="s">
        <v>11925</v>
      </c>
      <c r="N2470">
        <v>1.9323965059999999</v>
      </c>
      <c r="O2470">
        <v>3.0528020530000002</v>
      </c>
      <c r="P2470">
        <v>2.6493138999999999E-2</v>
      </c>
      <c r="Q2470">
        <v>-0.38692188</v>
      </c>
      <c r="S2470" s="13">
        <v>-1.4493660070000001</v>
      </c>
      <c r="T2470">
        <v>-0.408205133</v>
      </c>
      <c r="U2470">
        <v>-0.17551039199999999</v>
      </c>
    </row>
    <row r="2471" spans="1:21" x14ac:dyDescent="0.2">
      <c r="A2471" t="s">
        <v>2412</v>
      </c>
      <c r="B2471">
        <v>542200</v>
      </c>
      <c r="C2471" t="s">
        <v>6938</v>
      </c>
      <c r="D2471" t="s">
        <v>2412</v>
      </c>
      <c r="E2471" t="s">
        <v>6956</v>
      </c>
      <c r="F2471">
        <v>14</v>
      </c>
      <c r="G2471">
        <v>7</v>
      </c>
      <c r="H2471" t="s">
        <v>11926</v>
      </c>
      <c r="J2471" t="s">
        <v>2414</v>
      </c>
      <c r="M2471" t="s">
        <v>11927</v>
      </c>
      <c r="N2471">
        <v>2.092758737</v>
      </c>
      <c r="O2471">
        <v>5.3323610669999999</v>
      </c>
      <c r="P2471">
        <v>0.70420098600000003</v>
      </c>
      <c r="Q2471">
        <v>0.41355372699999998</v>
      </c>
      <c r="S2471" s="13">
        <v>-1.4494675370000001</v>
      </c>
      <c r="T2471">
        <v>-0.40864879399999998</v>
      </c>
      <c r="U2471">
        <v>-0.30601445999999999</v>
      </c>
    </row>
    <row r="2472" spans="1:21" x14ac:dyDescent="0.2">
      <c r="A2472" t="s">
        <v>663</v>
      </c>
      <c r="B2472">
        <v>537040</v>
      </c>
      <c r="C2472" t="s">
        <v>6906</v>
      </c>
      <c r="D2472" t="s">
        <v>663</v>
      </c>
      <c r="E2472" t="s">
        <v>6918</v>
      </c>
      <c r="F2472">
        <v>15</v>
      </c>
      <c r="G2472">
        <v>1</v>
      </c>
      <c r="H2472" t="s">
        <v>11928</v>
      </c>
      <c r="J2472" t="s">
        <v>4473</v>
      </c>
      <c r="M2472" t="s">
        <v>11929</v>
      </c>
      <c r="N2472">
        <v>1.813871112</v>
      </c>
      <c r="O2472">
        <v>2.6633694910000001</v>
      </c>
      <c r="P2472">
        <v>-0.29586356800000002</v>
      </c>
      <c r="Q2472">
        <v>-0.59018158399999998</v>
      </c>
      <c r="S2472" s="13">
        <v>-1.4495865370000001</v>
      </c>
      <c r="T2472">
        <v>-0.40916879699999997</v>
      </c>
      <c r="U2472">
        <v>-0.216423214</v>
      </c>
    </row>
    <row r="2473" spans="1:21" x14ac:dyDescent="0.2">
      <c r="A2473" t="s">
        <v>1222</v>
      </c>
      <c r="B2473">
        <v>537000</v>
      </c>
      <c r="C2473" t="s">
        <v>6906</v>
      </c>
      <c r="D2473" t="s">
        <v>1223</v>
      </c>
      <c r="E2473" t="s">
        <v>6907</v>
      </c>
      <c r="F2473">
        <v>3</v>
      </c>
      <c r="G2473">
        <v>4</v>
      </c>
      <c r="H2473" t="s">
        <v>11930</v>
      </c>
      <c r="J2473" t="s">
        <v>3137</v>
      </c>
      <c r="M2473" t="s">
        <v>11931</v>
      </c>
      <c r="N2473">
        <v>1.813871112</v>
      </c>
      <c r="O2473">
        <v>2.6633694910000001</v>
      </c>
      <c r="P2473">
        <v>-0.29586356800000002</v>
      </c>
      <c r="Q2473">
        <v>-0.59018158399999998</v>
      </c>
      <c r="S2473" s="13">
        <v>-1.449644567</v>
      </c>
      <c r="T2473">
        <v>-0.40942237500000001</v>
      </c>
      <c r="U2473">
        <v>-0.21645420200000001</v>
      </c>
    </row>
    <row r="2474" spans="1:21" x14ac:dyDescent="0.2">
      <c r="A2474" t="s">
        <v>689</v>
      </c>
      <c r="B2474">
        <v>473960</v>
      </c>
      <c r="C2474" t="s">
        <v>6931</v>
      </c>
      <c r="D2474" t="s">
        <v>690</v>
      </c>
      <c r="E2474" t="s">
        <v>6911</v>
      </c>
      <c r="F2474">
        <v>5</v>
      </c>
      <c r="G2474">
        <v>12</v>
      </c>
      <c r="H2474" t="s">
        <v>11932</v>
      </c>
      <c r="N2474">
        <v>1.9323965059999999</v>
      </c>
      <c r="O2474">
        <v>3.0528020530000002</v>
      </c>
      <c r="P2474">
        <v>2.6493138999999999E-2</v>
      </c>
      <c r="Q2474">
        <v>-0.38692188</v>
      </c>
      <c r="S2474" s="13">
        <v>-1.4497339199999999</v>
      </c>
      <c r="T2474">
        <v>-0.40981282800000002</v>
      </c>
      <c r="U2474">
        <v>-0.175707847</v>
      </c>
    </row>
    <row r="2475" spans="1:21" x14ac:dyDescent="0.2">
      <c r="A2475" t="s">
        <v>1373</v>
      </c>
      <c r="B2475">
        <v>541280</v>
      </c>
      <c r="C2475" t="s">
        <v>6938</v>
      </c>
      <c r="D2475" t="s">
        <v>1373</v>
      </c>
      <c r="E2475" t="s">
        <v>6977</v>
      </c>
      <c r="F2475">
        <v>10</v>
      </c>
      <c r="G2475">
        <v>5</v>
      </c>
      <c r="H2475" t="s">
        <v>11933</v>
      </c>
      <c r="J2475" t="s">
        <v>3695</v>
      </c>
      <c r="M2475" t="s">
        <v>11934</v>
      </c>
      <c r="N2475">
        <v>2.092758737</v>
      </c>
      <c r="O2475">
        <v>5.3323610669999999</v>
      </c>
      <c r="P2475">
        <v>0.70420098600000003</v>
      </c>
      <c r="Q2475">
        <v>0.41355372699999998</v>
      </c>
      <c r="S2475" s="13">
        <v>-1.450257643</v>
      </c>
      <c r="T2475">
        <v>-0.41210137899999999</v>
      </c>
      <c r="U2475">
        <v>-0.30689134099999998</v>
      </c>
    </row>
    <row r="2476" spans="1:21" x14ac:dyDescent="0.2">
      <c r="A2476" t="s">
        <v>441</v>
      </c>
      <c r="B2476">
        <v>546640</v>
      </c>
      <c r="C2476" t="s">
        <v>6927</v>
      </c>
      <c r="D2476" t="s">
        <v>442</v>
      </c>
      <c r="E2476" t="s">
        <v>6907</v>
      </c>
      <c r="F2476">
        <v>7</v>
      </c>
      <c r="G2476">
        <v>4</v>
      </c>
      <c r="H2476" t="s">
        <v>11935</v>
      </c>
      <c r="J2476" t="s">
        <v>11936</v>
      </c>
      <c r="M2476" t="s">
        <v>11937</v>
      </c>
      <c r="N2476">
        <v>1.982575982</v>
      </c>
      <c r="O2476">
        <v>3.4571926419999999</v>
      </c>
      <c r="P2476">
        <v>-0.114791479</v>
      </c>
      <c r="Q2476">
        <v>1.868949E-3</v>
      </c>
      <c r="S2476" s="13">
        <v>-1.450526075</v>
      </c>
      <c r="T2476">
        <v>-0.41327436499999998</v>
      </c>
      <c r="U2476">
        <v>-0.27071580699999997</v>
      </c>
    </row>
    <row r="2477" spans="1:21" x14ac:dyDescent="0.2">
      <c r="A2477" t="s">
        <v>519</v>
      </c>
      <c r="B2477">
        <v>475120</v>
      </c>
      <c r="C2477" t="s">
        <v>6942</v>
      </c>
      <c r="D2477" t="s">
        <v>519</v>
      </c>
      <c r="E2477" t="s">
        <v>6956</v>
      </c>
      <c r="F2477">
        <v>18</v>
      </c>
      <c r="G2477">
        <v>7</v>
      </c>
      <c r="H2477" t="s">
        <v>11938</v>
      </c>
      <c r="J2477" t="s">
        <v>3948</v>
      </c>
      <c r="M2477" t="s">
        <v>11939</v>
      </c>
      <c r="N2477">
        <v>2.0902262079999998</v>
      </c>
      <c r="O2477">
        <v>4.2704203920000001</v>
      </c>
      <c r="P2477">
        <v>0.23425843900000001</v>
      </c>
      <c r="Q2477">
        <v>1.6181978999999999E-2</v>
      </c>
      <c r="S2477" s="13">
        <v>-1.4509157290000001</v>
      </c>
      <c r="T2477">
        <v>-0.41497706400000001</v>
      </c>
      <c r="U2477">
        <v>-0.31037820700000002</v>
      </c>
    </row>
    <row r="2478" spans="1:21" x14ac:dyDescent="0.2">
      <c r="A2478" t="s">
        <v>741</v>
      </c>
      <c r="B2478">
        <v>535960</v>
      </c>
      <c r="C2478" t="s">
        <v>6906</v>
      </c>
      <c r="D2478" t="s">
        <v>741</v>
      </c>
      <c r="E2478" t="s">
        <v>6946</v>
      </c>
      <c r="F2478">
        <v>17</v>
      </c>
      <c r="G2478">
        <v>11</v>
      </c>
      <c r="H2478" t="s">
        <v>11940</v>
      </c>
      <c r="J2478" t="s">
        <v>827</v>
      </c>
      <c r="M2478" t="s">
        <v>11941</v>
      </c>
      <c r="N2478">
        <v>1.813871112</v>
      </c>
      <c r="O2478">
        <v>2.6633694910000001</v>
      </c>
      <c r="P2478">
        <v>-0.29586356800000002</v>
      </c>
      <c r="Q2478">
        <v>-0.59018158399999998</v>
      </c>
      <c r="S2478" s="13">
        <v>-1.451153344</v>
      </c>
      <c r="T2478">
        <v>-0.41601538500000002</v>
      </c>
      <c r="U2478">
        <v>-0.21726067700000001</v>
      </c>
    </row>
    <row r="2479" spans="1:21" x14ac:dyDescent="0.2">
      <c r="A2479" t="s">
        <v>1208</v>
      </c>
      <c r="B2479">
        <v>521760</v>
      </c>
      <c r="C2479" t="s">
        <v>6910</v>
      </c>
      <c r="D2479" t="s">
        <v>1208</v>
      </c>
      <c r="E2479" t="s">
        <v>6921</v>
      </c>
      <c r="F2479">
        <v>15</v>
      </c>
      <c r="G2479">
        <v>8</v>
      </c>
      <c r="H2479" t="s">
        <v>11942</v>
      </c>
      <c r="J2479" t="s">
        <v>3091</v>
      </c>
      <c r="M2479" t="s">
        <v>11943</v>
      </c>
      <c r="N2479">
        <v>1.9874741039999999</v>
      </c>
      <c r="O2479">
        <v>3.7453511220000002</v>
      </c>
      <c r="P2479">
        <v>0.451009722</v>
      </c>
      <c r="Q2479">
        <v>-0.102386592</v>
      </c>
      <c r="S2479" s="13">
        <v>-1.4513265769999999</v>
      </c>
      <c r="T2479">
        <v>-0.41677237299999997</v>
      </c>
      <c r="U2479">
        <v>-0.19766843100000001</v>
      </c>
    </row>
    <row r="2480" spans="1:21" x14ac:dyDescent="0.2">
      <c r="A2480" t="s">
        <v>1001</v>
      </c>
      <c r="B2480">
        <v>535800</v>
      </c>
      <c r="C2480" t="s">
        <v>6906</v>
      </c>
      <c r="D2480" t="s">
        <v>1001</v>
      </c>
      <c r="E2480" t="s">
        <v>7006</v>
      </c>
      <c r="F2480">
        <v>14</v>
      </c>
      <c r="G2480">
        <v>3</v>
      </c>
      <c r="H2480" t="s">
        <v>11944</v>
      </c>
      <c r="J2480" t="s">
        <v>11945</v>
      </c>
      <c r="M2480" t="s">
        <v>11946</v>
      </c>
      <c r="N2480">
        <v>1.813871112</v>
      </c>
      <c r="O2480">
        <v>2.6633694910000001</v>
      </c>
      <c r="P2480">
        <v>-0.29586356800000002</v>
      </c>
      <c r="Q2480">
        <v>-0.59018158399999998</v>
      </c>
      <c r="S2480" s="13">
        <v>-1.4513854639999999</v>
      </c>
      <c r="T2480">
        <v>-0.41702969499999998</v>
      </c>
      <c r="U2480">
        <v>-0.217384883</v>
      </c>
    </row>
    <row r="2481" spans="1:21" x14ac:dyDescent="0.2">
      <c r="A2481" t="s">
        <v>1119</v>
      </c>
      <c r="B2481">
        <v>472680</v>
      </c>
      <c r="C2481" t="s">
        <v>6931</v>
      </c>
      <c r="D2481" t="s">
        <v>1120</v>
      </c>
      <c r="E2481" t="s">
        <v>6915</v>
      </c>
      <c r="F2481">
        <v>9</v>
      </c>
      <c r="G2481">
        <v>13</v>
      </c>
      <c r="H2481" t="s">
        <v>11947</v>
      </c>
      <c r="N2481">
        <v>1.9323965059999999</v>
      </c>
      <c r="O2481">
        <v>3.0528020530000002</v>
      </c>
      <c r="P2481">
        <v>2.6493138999999999E-2</v>
      </c>
      <c r="Q2481">
        <v>-0.38692188</v>
      </c>
      <c r="S2481" s="13">
        <v>-1.4514158070000001</v>
      </c>
      <c r="T2481">
        <v>-0.41716228900000002</v>
      </c>
      <c r="U2481">
        <v>-0.17661164200000001</v>
      </c>
    </row>
    <row r="2482" spans="1:21" x14ac:dyDescent="0.2">
      <c r="A2482" t="s">
        <v>625</v>
      </c>
      <c r="B2482">
        <v>472560</v>
      </c>
      <c r="C2482" t="s">
        <v>6931</v>
      </c>
      <c r="D2482" t="s">
        <v>625</v>
      </c>
      <c r="E2482" t="s">
        <v>6918</v>
      </c>
      <c r="F2482">
        <v>11</v>
      </c>
      <c r="G2482">
        <v>1</v>
      </c>
      <c r="H2482" t="s">
        <v>11948</v>
      </c>
      <c r="N2482">
        <v>1.9323965059999999</v>
      </c>
      <c r="O2482">
        <v>3.0528020530000002</v>
      </c>
      <c r="P2482">
        <v>2.6493138999999999E-2</v>
      </c>
      <c r="Q2482">
        <v>-0.38692188</v>
      </c>
      <c r="S2482" s="13">
        <v>-1.4515734840000001</v>
      </c>
      <c r="T2482">
        <v>-0.41785130100000001</v>
      </c>
      <c r="U2482">
        <v>-0.17669646899999999</v>
      </c>
    </row>
    <row r="2483" spans="1:21" x14ac:dyDescent="0.2">
      <c r="A2483" t="s">
        <v>880</v>
      </c>
      <c r="B2483">
        <v>610520</v>
      </c>
      <c r="C2483" t="s">
        <v>6953</v>
      </c>
      <c r="D2483" t="s">
        <v>880</v>
      </c>
      <c r="E2483" t="s">
        <v>6939</v>
      </c>
      <c r="F2483">
        <v>19</v>
      </c>
      <c r="G2483">
        <v>2</v>
      </c>
      <c r="H2483" t="s">
        <v>11949</v>
      </c>
      <c r="J2483" t="s">
        <v>3274</v>
      </c>
      <c r="M2483" t="s">
        <v>11950</v>
      </c>
      <c r="N2483">
        <v>1.921480887</v>
      </c>
      <c r="O2483">
        <v>3.0856645180000002</v>
      </c>
      <c r="P2483">
        <v>0.44706724399999997</v>
      </c>
      <c r="Q2483">
        <v>-0.354940863</v>
      </c>
      <c r="S2483" s="13">
        <v>-1.4517193429999999</v>
      </c>
      <c r="T2483">
        <v>-0.41848867299999998</v>
      </c>
      <c r="U2483">
        <v>-0.20537844599999999</v>
      </c>
    </row>
    <row r="2484" spans="1:21" x14ac:dyDescent="0.2">
      <c r="A2484" t="s">
        <v>277</v>
      </c>
      <c r="B2484">
        <v>636200</v>
      </c>
      <c r="C2484" t="s">
        <v>6914</v>
      </c>
      <c r="D2484" t="s">
        <v>277</v>
      </c>
      <c r="E2484" t="s">
        <v>7085</v>
      </c>
      <c r="F2484">
        <v>22</v>
      </c>
      <c r="G2484">
        <v>9</v>
      </c>
      <c r="H2484" t="s">
        <v>11951</v>
      </c>
      <c r="J2484" t="s">
        <v>3125</v>
      </c>
      <c r="M2484" t="s">
        <v>11952</v>
      </c>
      <c r="N2484">
        <v>1.8217074179999999</v>
      </c>
      <c r="O2484">
        <v>4.1700741289999996</v>
      </c>
      <c r="P2484">
        <v>0.189705977</v>
      </c>
      <c r="Q2484">
        <v>-1.7194070999999998E-2</v>
      </c>
      <c r="S2484" s="13">
        <v>-1.45178129</v>
      </c>
      <c r="T2484">
        <v>-0.41875936499999999</v>
      </c>
      <c r="U2484">
        <v>-0.262524282</v>
      </c>
    </row>
    <row r="2485" spans="1:21" x14ac:dyDescent="0.2">
      <c r="A2485" t="s">
        <v>812</v>
      </c>
      <c r="B2485">
        <v>535320</v>
      </c>
      <c r="C2485" t="s">
        <v>6906</v>
      </c>
      <c r="D2485" t="s">
        <v>813</v>
      </c>
      <c r="E2485" t="s">
        <v>7115</v>
      </c>
      <c r="F2485">
        <v>7</v>
      </c>
      <c r="G2485">
        <v>10</v>
      </c>
      <c r="H2485" t="s">
        <v>11953</v>
      </c>
      <c r="J2485" t="s">
        <v>2174</v>
      </c>
      <c r="M2485" t="s">
        <v>11954</v>
      </c>
      <c r="N2485">
        <v>1.813871112</v>
      </c>
      <c r="O2485">
        <v>2.6633694910000001</v>
      </c>
      <c r="P2485">
        <v>-0.29586356800000002</v>
      </c>
      <c r="Q2485">
        <v>-0.59018158399999998</v>
      </c>
      <c r="S2485" s="13">
        <v>-1.452081822</v>
      </c>
      <c r="T2485">
        <v>-0.42007262299999998</v>
      </c>
      <c r="U2485">
        <v>-0.21775771499999999</v>
      </c>
    </row>
    <row r="2486" spans="1:21" x14ac:dyDescent="0.2">
      <c r="A2486" t="s">
        <v>246</v>
      </c>
      <c r="B2486">
        <v>472160</v>
      </c>
      <c r="C2486" t="s">
        <v>6931</v>
      </c>
      <c r="D2486" t="s">
        <v>246</v>
      </c>
      <c r="E2486" t="s">
        <v>6939</v>
      </c>
      <c r="F2486">
        <v>10</v>
      </c>
      <c r="G2486">
        <v>2</v>
      </c>
      <c r="H2486" t="s">
        <v>11955</v>
      </c>
      <c r="N2486">
        <v>1.9323965059999999</v>
      </c>
      <c r="O2486">
        <v>3.0528020530000002</v>
      </c>
      <c r="P2486">
        <v>2.6493138999999999E-2</v>
      </c>
      <c r="Q2486">
        <v>-0.38692188</v>
      </c>
      <c r="S2486" s="13">
        <v>-1.4520990739999999</v>
      </c>
      <c r="T2486">
        <v>-0.42014800800000002</v>
      </c>
      <c r="U2486">
        <v>-0.17697934600000001</v>
      </c>
    </row>
    <row r="2487" spans="1:21" x14ac:dyDescent="0.2">
      <c r="A2487" t="s">
        <v>1698</v>
      </c>
      <c r="B2487">
        <v>521040</v>
      </c>
      <c r="C2487" t="s">
        <v>6910</v>
      </c>
      <c r="D2487" t="s">
        <v>1698</v>
      </c>
      <c r="E2487" t="s">
        <v>6921</v>
      </c>
      <c r="F2487">
        <v>11</v>
      </c>
      <c r="G2487">
        <v>8</v>
      </c>
      <c r="H2487" t="s">
        <v>11956</v>
      </c>
      <c r="J2487" t="s">
        <v>5993</v>
      </c>
      <c r="M2487" t="s">
        <v>11957</v>
      </c>
      <c r="N2487">
        <v>1.9874741039999999</v>
      </c>
      <c r="O2487">
        <v>3.7453511220000002</v>
      </c>
      <c r="P2487">
        <v>0.451009722</v>
      </c>
      <c r="Q2487">
        <v>-0.102386592</v>
      </c>
      <c r="S2487" s="13">
        <v>-1.4521012200000001</v>
      </c>
      <c r="T2487">
        <v>-0.42015738699999999</v>
      </c>
      <c r="U2487">
        <v>-0.19820295700000001</v>
      </c>
    </row>
    <row r="2488" spans="1:21" x14ac:dyDescent="0.2">
      <c r="A2488" t="s">
        <v>2657</v>
      </c>
      <c r="B2488">
        <v>520880</v>
      </c>
      <c r="C2488" t="s">
        <v>6910</v>
      </c>
      <c r="D2488" t="s">
        <v>2658</v>
      </c>
      <c r="E2488" t="s">
        <v>6977</v>
      </c>
      <c r="F2488">
        <v>8</v>
      </c>
      <c r="G2488">
        <v>5</v>
      </c>
      <c r="H2488" t="s">
        <v>11958</v>
      </c>
      <c r="J2488" t="s">
        <v>4191</v>
      </c>
      <c r="M2488" t="s">
        <v>11959</v>
      </c>
      <c r="N2488">
        <v>1.9874741039999999</v>
      </c>
      <c r="O2488">
        <v>3.7453511220000002</v>
      </c>
      <c r="P2488">
        <v>0.451009722</v>
      </c>
      <c r="Q2488">
        <v>-0.102386592</v>
      </c>
      <c r="S2488" s="13">
        <v>-1.452273363</v>
      </c>
      <c r="T2488">
        <v>-0.42090961300000002</v>
      </c>
      <c r="U2488">
        <v>-0.19832183</v>
      </c>
    </row>
    <row r="2489" spans="1:21" x14ac:dyDescent="0.2">
      <c r="A2489" t="s">
        <v>325</v>
      </c>
      <c r="B2489">
        <v>520800</v>
      </c>
      <c r="C2489" t="s">
        <v>6910</v>
      </c>
      <c r="D2489" t="s">
        <v>326</v>
      </c>
      <c r="E2489" t="s">
        <v>6921</v>
      </c>
      <c r="F2489">
        <v>2</v>
      </c>
      <c r="G2489">
        <v>8</v>
      </c>
      <c r="H2489" t="s">
        <v>11960</v>
      </c>
      <c r="J2489" t="s">
        <v>6267</v>
      </c>
      <c r="M2489" t="s">
        <v>11961</v>
      </c>
      <c r="N2489">
        <v>1.9874741039999999</v>
      </c>
      <c r="O2489">
        <v>3.7453511220000002</v>
      </c>
      <c r="P2489">
        <v>0.451009722</v>
      </c>
      <c r="Q2489">
        <v>-0.102386592</v>
      </c>
      <c r="S2489" s="13">
        <v>-1.452359435</v>
      </c>
      <c r="T2489">
        <v>-0.421285725</v>
      </c>
      <c r="U2489">
        <v>-0.19838127799999999</v>
      </c>
    </row>
    <row r="2490" spans="1:21" x14ac:dyDescent="0.2">
      <c r="A2490" t="s">
        <v>485</v>
      </c>
      <c r="B2490">
        <v>535120</v>
      </c>
      <c r="C2490" t="s">
        <v>6906</v>
      </c>
      <c r="D2490" t="s">
        <v>486</v>
      </c>
      <c r="E2490" t="s">
        <v>6974</v>
      </c>
      <c r="F2490">
        <v>8</v>
      </c>
      <c r="G2490">
        <v>15</v>
      </c>
      <c r="H2490" t="s">
        <v>11962</v>
      </c>
      <c r="J2490" t="s">
        <v>488</v>
      </c>
      <c r="M2490" t="s">
        <v>11963</v>
      </c>
      <c r="N2490">
        <v>1.813871112</v>
      </c>
      <c r="O2490">
        <v>2.6633694910000001</v>
      </c>
      <c r="P2490">
        <v>-0.29586356800000002</v>
      </c>
      <c r="Q2490">
        <v>-0.59018158399999998</v>
      </c>
      <c r="S2490" s="13">
        <v>-1.4523719719999999</v>
      </c>
      <c r="T2490">
        <v>-0.42134050899999997</v>
      </c>
      <c r="U2490">
        <v>-0.217913156</v>
      </c>
    </row>
    <row r="2491" spans="1:21" x14ac:dyDescent="0.2">
      <c r="A2491" t="s">
        <v>415</v>
      </c>
      <c r="B2491">
        <v>635640</v>
      </c>
      <c r="C2491" t="s">
        <v>6914</v>
      </c>
      <c r="D2491" t="s">
        <v>415</v>
      </c>
      <c r="E2491" t="s">
        <v>6924</v>
      </c>
      <c r="F2491">
        <v>19</v>
      </c>
      <c r="G2491">
        <v>6</v>
      </c>
      <c r="H2491" t="s">
        <v>11964</v>
      </c>
      <c r="J2491" t="s">
        <v>4970</v>
      </c>
      <c r="M2491" t="s">
        <v>11965</v>
      </c>
      <c r="N2491">
        <v>1.8217074179999999</v>
      </c>
      <c r="O2491">
        <v>4.1700741289999996</v>
      </c>
      <c r="P2491">
        <v>0.189705977</v>
      </c>
      <c r="Q2491">
        <v>-1.7194070999999998E-2</v>
      </c>
      <c r="S2491" s="13">
        <v>-1.452454836</v>
      </c>
      <c r="T2491">
        <v>-0.42170260900000001</v>
      </c>
      <c r="U2491">
        <v>-0.26300695600000001</v>
      </c>
    </row>
    <row r="2492" spans="1:21" x14ac:dyDescent="0.2">
      <c r="A2492" t="s">
        <v>329</v>
      </c>
      <c r="B2492">
        <v>538720</v>
      </c>
      <c r="C2492" t="s">
        <v>6938</v>
      </c>
      <c r="D2492" t="s">
        <v>329</v>
      </c>
      <c r="E2492" t="s">
        <v>6924</v>
      </c>
      <c r="F2492">
        <v>22</v>
      </c>
      <c r="G2492">
        <v>6</v>
      </c>
      <c r="H2492" t="s">
        <v>11966</v>
      </c>
      <c r="J2492" t="s">
        <v>5749</v>
      </c>
      <c r="M2492" t="s">
        <v>11967</v>
      </c>
      <c r="N2492">
        <v>2.092758737</v>
      </c>
      <c r="O2492">
        <v>5.3323610669999999</v>
      </c>
      <c r="P2492">
        <v>0.70420098600000003</v>
      </c>
      <c r="Q2492">
        <v>0.41355372699999998</v>
      </c>
      <c r="S2492" s="13">
        <v>-1.4524562009999999</v>
      </c>
      <c r="T2492">
        <v>-0.42170857099999998</v>
      </c>
      <c r="U2492">
        <v>-0.30934071899999999</v>
      </c>
    </row>
    <row r="2493" spans="1:21" x14ac:dyDescent="0.2">
      <c r="A2493" t="s">
        <v>796</v>
      </c>
      <c r="B2493">
        <v>635480</v>
      </c>
      <c r="C2493" t="s">
        <v>6914</v>
      </c>
      <c r="D2493" t="s">
        <v>796</v>
      </c>
      <c r="E2493" t="s">
        <v>6918</v>
      </c>
      <c r="F2493">
        <v>13</v>
      </c>
      <c r="G2493">
        <v>1</v>
      </c>
      <c r="H2493" t="s">
        <v>11968</v>
      </c>
      <c r="J2493" t="s">
        <v>798</v>
      </c>
      <c r="M2493" t="s">
        <v>11969</v>
      </c>
      <c r="N2493">
        <v>1.8217074179999999</v>
      </c>
      <c r="O2493">
        <v>4.1700741289999996</v>
      </c>
      <c r="P2493">
        <v>0.189705977</v>
      </c>
      <c r="Q2493">
        <v>-1.7194070999999998E-2</v>
      </c>
      <c r="S2493" s="13">
        <v>-1.4526472779999999</v>
      </c>
      <c r="T2493">
        <v>-0.422543536</v>
      </c>
      <c r="U2493">
        <v>-0.26314496199999998</v>
      </c>
    </row>
    <row r="2494" spans="1:21" x14ac:dyDescent="0.2">
      <c r="A2494" t="s">
        <v>2270</v>
      </c>
      <c r="B2494">
        <v>471720</v>
      </c>
      <c r="C2494" t="s">
        <v>6931</v>
      </c>
      <c r="D2494" t="s">
        <v>2271</v>
      </c>
      <c r="E2494" t="s">
        <v>6921</v>
      </c>
      <c r="F2494">
        <v>8</v>
      </c>
      <c r="G2494">
        <v>8</v>
      </c>
      <c r="H2494" t="s">
        <v>11970</v>
      </c>
      <c r="N2494">
        <v>1.9323965059999999</v>
      </c>
      <c r="O2494">
        <v>3.0528020530000002</v>
      </c>
      <c r="P2494">
        <v>2.6493138999999999E-2</v>
      </c>
      <c r="Q2494">
        <v>-0.38692188</v>
      </c>
      <c r="S2494" s="13">
        <v>-1.4526772219999999</v>
      </c>
      <c r="T2494">
        <v>-0.42267438499999999</v>
      </c>
      <c r="U2494">
        <v>-0.17729072400000001</v>
      </c>
    </row>
    <row r="2495" spans="1:21" x14ac:dyDescent="0.2">
      <c r="A2495" t="s">
        <v>222</v>
      </c>
      <c r="B2495">
        <v>635120</v>
      </c>
      <c r="C2495" t="s">
        <v>6914</v>
      </c>
      <c r="D2495" t="s">
        <v>222</v>
      </c>
      <c r="E2495" t="s">
        <v>6924</v>
      </c>
      <c r="F2495">
        <v>20</v>
      </c>
      <c r="G2495">
        <v>6</v>
      </c>
      <c r="H2495" t="s">
        <v>11971</v>
      </c>
      <c r="J2495" t="s">
        <v>4046</v>
      </c>
      <c r="M2495" t="s">
        <v>11972</v>
      </c>
      <c r="N2495">
        <v>1.8217074179999999</v>
      </c>
      <c r="O2495">
        <v>4.1700741289999996</v>
      </c>
      <c r="P2495">
        <v>0.189705977</v>
      </c>
      <c r="Q2495">
        <v>-1.7194070999999998E-2</v>
      </c>
      <c r="S2495" s="13">
        <v>-1.453080272</v>
      </c>
      <c r="T2495">
        <v>-0.42443562200000001</v>
      </c>
      <c r="U2495">
        <v>-0.26345563399999999</v>
      </c>
    </row>
    <row r="2496" spans="1:21" x14ac:dyDescent="0.2">
      <c r="A2496" t="s">
        <v>645</v>
      </c>
      <c r="B2496">
        <v>609200</v>
      </c>
      <c r="C2496" t="s">
        <v>6953</v>
      </c>
      <c r="D2496" t="s">
        <v>645</v>
      </c>
      <c r="E2496" t="s">
        <v>6974</v>
      </c>
      <c r="F2496">
        <v>12</v>
      </c>
      <c r="G2496">
        <v>15</v>
      </c>
      <c r="H2496" t="s">
        <v>11973</v>
      </c>
      <c r="J2496" t="s">
        <v>5285</v>
      </c>
      <c r="M2496" t="s">
        <v>11974</v>
      </c>
      <c r="N2496">
        <v>1.921480887</v>
      </c>
      <c r="O2496">
        <v>3.0856645180000002</v>
      </c>
      <c r="P2496">
        <v>0.44706724399999997</v>
      </c>
      <c r="Q2496">
        <v>-0.354940863</v>
      </c>
      <c r="S2496" s="13">
        <v>-1.453089007</v>
      </c>
      <c r="T2496">
        <v>-0.42447379200000002</v>
      </c>
      <c r="U2496">
        <v>-0.20637649399999999</v>
      </c>
    </row>
    <row r="2497" spans="1:21" x14ac:dyDescent="0.2">
      <c r="A2497" t="s">
        <v>907</v>
      </c>
      <c r="B2497">
        <v>472720</v>
      </c>
      <c r="C2497" t="s">
        <v>6942</v>
      </c>
      <c r="D2497" t="s">
        <v>907</v>
      </c>
      <c r="E2497" t="s">
        <v>6946</v>
      </c>
      <c r="F2497">
        <v>19</v>
      </c>
      <c r="G2497">
        <v>11</v>
      </c>
      <c r="H2497" t="s">
        <v>11975</v>
      </c>
      <c r="J2497" t="s">
        <v>4189</v>
      </c>
      <c r="M2497" t="s">
        <v>11976</v>
      </c>
      <c r="N2497">
        <v>2.0902262079999998</v>
      </c>
      <c r="O2497">
        <v>4.2704203920000001</v>
      </c>
      <c r="P2497">
        <v>0.23425843900000001</v>
      </c>
      <c r="Q2497">
        <v>1.6181978999999999E-2</v>
      </c>
      <c r="S2497" s="13">
        <v>-1.453271303</v>
      </c>
      <c r="T2497">
        <v>-0.42527038299999997</v>
      </c>
      <c r="U2497">
        <v>-0.31269265000000002</v>
      </c>
    </row>
    <row r="2498" spans="1:21" x14ac:dyDescent="0.2">
      <c r="A2498" t="s">
        <v>1659</v>
      </c>
      <c r="B2498">
        <v>534480</v>
      </c>
      <c r="C2498" t="s">
        <v>6906</v>
      </c>
      <c r="D2498" t="s">
        <v>1660</v>
      </c>
      <c r="E2498" t="s">
        <v>6946</v>
      </c>
      <c r="F2498">
        <v>8</v>
      </c>
      <c r="G2498">
        <v>11</v>
      </c>
      <c r="H2498" t="s">
        <v>11977</v>
      </c>
      <c r="J2498" t="s">
        <v>4028</v>
      </c>
      <c r="M2498" t="s">
        <v>11978</v>
      </c>
      <c r="N2498">
        <v>1.813871112</v>
      </c>
      <c r="O2498">
        <v>2.6633694910000001</v>
      </c>
      <c r="P2498">
        <v>-0.29586356800000002</v>
      </c>
      <c r="Q2498">
        <v>-0.59018158399999998</v>
      </c>
      <c r="S2498" s="13">
        <v>-1.45330045</v>
      </c>
      <c r="T2498">
        <v>-0.42539774699999999</v>
      </c>
      <c r="U2498">
        <v>-0.218410941</v>
      </c>
    </row>
    <row r="2499" spans="1:21" x14ac:dyDescent="0.2">
      <c r="A2499" t="s">
        <v>462</v>
      </c>
      <c r="B2499">
        <v>534280</v>
      </c>
      <c r="C2499" t="s">
        <v>6906</v>
      </c>
      <c r="D2499" t="s">
        <v>462</v>
      </c>
      <c r="E2499" t="s">
        <v>6956</v>
      </c>
      <c r="F2499">
        <v>20</v>
      </c>
      <c r="G2499">
        <v>7</v>
      </c>
      <c r="H2499" t="s">
        <v>11979</v>
      </c>
      <c r="J2499" t="s">
        <v>464</v>
      </c>
      <c r="M2499" t="s">
        <v>11980</v>
      </c>
      <c r="N2499">
        <v>1.813871112</v>
      </c>
      <c r="O2499">
        <v>2.6633694910000001</v>
      </c>
      <c r="P2499">
        <v>-0.29586356800000002</v>
      </c>
      <c r="Q2499">
        <v>-0.59018158399999998</v>
      </c>
      <c r="S2499" s="13">
        <v>-1.453590599</v>
      </c>
      <c r="T2499">
        <v>-0.42666563299999999</v>
      </c>
      <c r="U2499">
        <v>-0.21856661599999999</v>
      </c>
    </row>
    <row r="2500" spans="1:21" x14ac:dyDescent="0.2">
      <c r="A2500" t="s">
        <v>956</v>
      </c>
      <c r="B2500">
        <v>543640</v>
      </c>
      <c r="C2500" t="s">
        <v>6927</v>
      </c>
      <c r="D2500" t="s">
        <v>956</v>
      </c>
      <c r="E2500" t="s">
        <v>6974</v>
      </c>
      <c r="F2500">
        <v>15</v>
      </c>
      <c r="G2500">
        <v>15</v>
      </c>
      <c r="H2500" t="s">
        <v>11981</v>
      </c>
      <c r="J2500" t="s">
        <v>11982</v>
      </c>
      <c r="M2500" t="s">
        <v>11983</v>
      </c>
      <c r="N2500">
        <v>1.982575982</v>
      </c>
      <c r="O2500">
        <v>3.4571926419999999</v>
      </c>
      <c r="P2500">
        <v>-0.114791479</v>
      </c>
      <c r="Q2500">
        <v>1.868949E-3</v>
      </c>
      <c r="S2500" s="13">
        <v>-1.453638948</v>
      </c>
      <c r="T2500">
        <v>-0.426876908</v>
      </c>
      <c r="U2500">
        <v>-0.27335734900000003</v>
      </c>
    </row>
    <row r="2501" spans="1:21" x14ac:dyDescent="0.2">
      <c r="A2501" t="s">
        <v>42</v>
      </c>
      <c r="B2501">
        <v>608640</v>
      </c>
      <c r="C2501" t="s">
        <v>6953</v>
      </c>
      <c r="D2501" t="s">
        <v>42</v>
      </c>
      <c r="E2501" t="s">
        <v>6977</v>
      </c>
      <c r="F2501">
        <v>13</v>
      </c>
      <c r="G2501">
        <v>5</v>
      </c>
      <c r="H2501" t="s">
        <v>11984</v>
      </c>
      <c r="J2501" t="s">
        <v>4920</v>
      </c>
      <c r="M2501" t="s">
        <v>11985</v>
      </c>
      <c r="N2501">
        <v>1.921480887</v>
      </c>
      <c r="O2501">
        <v>3.0856645180000002</v>
      </c>
      <c r="P2501">
        <v>0.44706724399999997</v>
      </c>
      <c r="Q2501">
        <v>-0.354940863</v>
      </c>
      <c r="S2501" s="13">
        <v>-1.4536700769999999</v>
      </c>
      <c r="T2501">
        <v>-0.42701293299999998</v>
      </c>
      <c r="U2501">
        <v>-0.206800603</v>
      </c>
    </row>
    <row r="2502" spans="1:21" x14ac:dyDescent="0.2">
      <c r="A2502" t="s">
        <v>1089</v>
      </c>
      <c r="B2502">
        <v>608440</v>
      </c>
      <c r="C2502" t="s">
        <v>6953</v>
      </c>
      <c r="D2502" t="s">
        <v>1089</v>
      </c>
      <c r="E2502" t="s">
        <v>6946</v>
      </c>
      <c r="F2502">
        <v>21</v>
      </c>
      <c r="G2502">
        <v>11</v>
      </c>
      <c r="H2502" t="s">
        <v>11986</v>
      </c>
      <c r="J2502" t="s">
        <v>1348</v>
      </c>
      <c r="M2502" t="s">
        <v>11987</v>
      </c>
      <c r="N2502">
        <v>1.921480887</v>
      </c>
      <c r="O2502">
        <v>3.0856645180000002</v>
      </c>
      <c r="P2502">
        <v>0.44706724399999997</v>
      </c>
      <c r="Q2502">
        <v>-0.354940863</v>
      </c>
      <c r="S2502" s="13">
        <v>-1.4538776019999999</v>
      </c>
      <c r="T2502">
        <v>-0.42791976900000001</v>
      </c>
      <c r="U2502">
        <v>-0.20695216999999999</v>
      </c>
    </row>
    <row r="2503" spans="1:21" x14ac:dyDescent="0.2">
      <c r="A2503" t="s">
        <v>1778</v>
      </c>
      <c r="B2503">
        <v>533920</v>
      </c>
      <c r="C2503" t="s">
        <v>6906</v>
      </c>
      <c r="D2503" t="s">
        <v>1778</v>
      </c>
      <c r="E2503" t="s">
        <v>6974</v>
      </c>
      <c r="F2503">
        <v>21</v>
      </c>
      <c r="G2503">
        <v>15</v>
      </c>
      <c r="H2503" t="s">
        <v>11988</v>
      </c>
      <c r="J2503" t="s">
        <v>4090</v>
      </c>
      <c r="M2503" t="s">
        <v>11989</v>
      </c>
      <c r="N2503">
        <v>1.813871112</v>
      </c>
      <c r="O2503">
        <v>2.6633694910000001</v>
      </c>
      <c r="P2503">
        <v>-0.29586356800000002</v>
      </c>
      <c r="Q2503">
        <v>-0.59018158399999998</v>
      </c>
      <c r="S2503" s="13">
        <v>-1.4541128679999999</v>
      </c>
      <c r="T2503">
        <v>-0.428947829</v>
      </c>
      <c r="U2503">
        <v>-0.218846972</v>
      </c>
    </row>
    <row r="2504" spans="1:21" x14ac:dyDescent="0.2">
      <c r="A2504" t="s">
        <v>985</v>
      </c>
      <c r="B2504">
        <v>518960</v>
      </c>
      <c r="C2504" t="s">
        <v>6910</v>
      </c>
      <c r="D2504" t="s">
        <v>985</v>
      </c>
      <c r="E2504" t="s">
        <v>6907</v>
      </c>
      <c r="F2504">
        <v>12</v>
      </c>
      <c r="G2504">
        <v>4</v>
      </c>
      <c r="H2504" t="s">
        <v>11990</v>
      </c>
      <c r="J2504" t="s">
        <v>3242</v>
      </c>
      <c r="M2504" t="s">
        <v>11991</v>
      </c>
      <c r="N2504">
        <v>1.9874741039999999</v>
      </c>
      <c r="O2504">
        <v>3.7453511220000002</v>
      </c>
      <c r="P2504">
        <v>0.451009722</v>
      </c>
      <c r="Q2504">
        <v>-0.102386592</v>
      </c>
      <c r="S2504" s="13">
        <v>-1.4543390789999999</v>
      </c>
      <c r="T2504">
        <v>-0.42993631700000001</v>
      </c>
      <c r="U2504">
        <v>-0.19975084700000001</v>
      </c>
    </row>
    <row r="2505" spans="1:21" x14ac:dyDescent="0.2">
      <c r="A2505" t="s">
        <v>1118</v>
      </c>
      <c r="B2505">
        <v>542920</v>
      </c>
      <c r="C2505" t="s">
        <v>6927</v>
      </c>
      <c r="D2505" t="s">
        <v>1118</v>
      </c>
      <c r="E2505" t="s">
        <v>6924</v>
      </c>
      <c r="F2505">
        <v>13</v>
      </c>
      <c r="G2505">
        <v>6</v>
      </c>
      <c r="H2505" t="s">
        <v>11992</v>
      </c>
      <c r="J2505" t="s">
        <v>11993</v>
      </c>
      <c r="M2505" t="s">
        <v>11994</v>
      </c>
      <c r="N2505">
        <v>1.982575982</v>
      </c>
      <c r="O2505">
        <v>3.4571926419999999</v>
      </c>
      <c r="P2505">
        <v>-0.114791479</v>
      </c>
      <c r="Q2505">
        <v>1.868949E-3</v>
      </c>
      <c r="S2505" s="13">
        <v>-1.454386038</v>
      </c>
      <c r="T2505">
        <v>-0.430141518</v>
      </c>
      <c r="U2505">
        <v>-0.27399371700000003</v>
      </c>
    </row>
    <row r="2506" spans="1:21" x14ac:dyDescent="0.2">
      <c r="A2506" t="s">
        <v>1118</v>
      </c>
      <c r="B2506">
        <v>607120</v>
      </c>
      <c r="C2506" t="s">
        <v>6953</v>
      </c>
      <c r="D2506" t="s">
        <v>1118</v>
      </c>
      <c r="E2506" t="s">
        <v>6924</v>
      </c>
      <c r="F2506">
        <v>13</v>
      </c>
      <c r="G2506">
        <v>6</v>
      </c>
      <c r="H2506" t="s">
        <v>11995</v>
      </c>
      <c r="J2506" t="s">
        <v>5463</v>
      </c>
      <c r="M2506" t="s">
        <v>11996</v>
      </c>
      <c r="N2506">
        <v>1.921480887</v>
      </c>
      <c r="O2506">
        <v>3.0856645180000002</v>
      </c>
      <c r="P2506">
        <v>0.44706724399999997</v>
      </c>
      <c r="Q2506">
        <v>-0.354940863</v>
      </c>
      <c r="S2506" s="13">
        <v>-1.455247266</v>
      </c>
      <c r="T2506">
        <v>-0.43390488799999999</v>
      </c>
      <c r="U2506">
        <v>-0.207953846</v>
      </c>
    </row>
    <row r="2507" spans="1:21" x14ac:dyDescent="0.2">
      <c r="A2507" t="s">
        <v>259</v>
      </c>
      <c r="B2507">
        <v>469720</v>
      </c>
      <c r="C2507" t="s">
        <v>6931</v>
      </c>
      <c r="D2507" t="s">
        <v>260</v>
      </c>
      <c r="E2507" t="s">
        <v>6956</v>
      </c>
      <c r="F2507">
        <v>1</v>
      </c>
      <c r="G2507">
        <v>7</v>
      </c>
      <c r="H2507" t="s">
        <v>11997</v>
      </c>
      <c r="J2507" t="s">
        <v>2261</v>
      </c>
      <c r="M2507" t="s">
        <v>11998</v>
      </c>
      <c r="N2507">
        <v>1.9323965059999999</v>
      </c>
      <c r="O2507">
        <v>3.0528020530000002</v>
      </c>
      <c r="P2507">
        <v>2.6493138999999999E-2</v>
      </c>
      <c r="Q2507">
        <v>-0.38692188</v>
      </c>
      <c r="S2507" s="13">
        <v>-1.4553051699999999</v>
      </c>
      <c r="T2507">
        <v>-0.43415791799999998</v>
      </c>
      <c r="U2507">
        <v>-0.178708899</v>
      </c>
    </row>
    <row r="2508" spans="1:21" x14ac:dyDescent="0.2">
      <c r="A2508" t="s">
        <v>191</v>
      </c>
      <c r="B2508">
        <v>469480</v>
      </c>
      <c r="C2508" t="s">
        <v>6931</v>
      </c>
      <c r="D2508" t="s">
        <v>192</v>
      </c>
      <c r="E2508" t="s">
        <v>6911</v>
      </c>
      <c r="F2508">
        <v>1</v>
      </c>
      <c r="G2508">
        <v>12</v>
      </c>
      <c r="H2508" t="s">
        <v>11999</v>
      </c>
      <c r="J2508" t="s">
        <v>5989</v>
      </c>
      <c r="M2508" t="s">
        <v>12000</v>
      </c>
      <c r="N2508">
        <v>1.9323965059999999</v>
      </c>
      <c r="O2508">
        <v>3.0528020530000002</v>
      </c>
      <c r="P2508">
        <v>2.6493138999999999E-2</v>
      </c>
      <c r="Q2508">
        <v>-0.38692188</v>
      </c>
      <c r="S2508" s="13">
        <v>-1.455620524</v>
      </c>
      <c r="T2508">
        <v>-0.43553594200000001</v>
      </c>
      <c r="U2508">
        <v>-0.178879392</v>
      </c>
    </row>
    <row r="2509" spans="1:21" x14ac:dyDescent="0.2">
      <c r="A2509" t="s">
        <v>232</v>
      </c>
      <c r="B2509">
        <v>156840</v>
      </c>
      <c r="C2509" t="s">
        <v>6961</v>
      </c>
      <c r="D2509" t="s">
        <v>233</v>
      </c>
      <c r="E2509" t="s">
        <v>7085</v>
      </c>
      <c r="F2509">
        <v>1</v>
      </c>
      <c r="G2509">
        <v>9</v>
      </c>
      <c r="H2509" t="s">
        <v>12001</v>
      </c>
      <c r="J2509" t="s">
        <v>6453</v>
      </c>
      <c r="M2509" t="s">
        <v>12002</v>
      </c>
      <c r="N2509">
        <v>2.7247480949999998</v>
      </c>
      <c r="O2509">
        <v>7.0822175119999997</v>
      </c>
      <c r="P2509">
        <v>0.61298291999999999</v>
      </c>
      <c r="Q2509">
        <v>0.48262032500000002</v>
      </c>
      <c r="S2509" s="13">
        <v>-1.4556378839999999</v>
      </c>
      <c r="T2509">
        <v>-0.43561179799999999</v>
      </c>
      <c r="U2509">
        <v>-0.40275549500000002</v>
      </c>
    </row>
    <row r="2510" spans="1:21" x14ac:dyDescent="0.2">
      <c r="A2510" t="s">
        <v>99</v>
      </c>
      <c r="B2510">
        <v>532800</v>
      </c>
      <c r="C2510" t="s">
        <v>6906</v>
      </c>
      <c r="D2510" t="s">
        <v>101</v>
      </c>
      <c r="E2510" t="s">
        <v>6918</v>
      </c>
      <c r="F2510">
        <v>4</v>
      </c>
      <c r="G2510">
        <v>1</v>
      </c>
      <c r="H2510" t="s">
        <v>12003</v>
      </c>
      <c r="J2510" t="s">
        <v>272</v>
      </c>
      <c r="M2510" t="s">
        <v>12004</v>
      </c>
      <c r="N2510">
        <v>1.813871112</v>
      </c>
      <c r="O2510">
        <v>2.6633694910000001</v>
      </c>
      <c r="P2510">
        <v>-0.29586356800000002</v>
      </c>
      <c r="Q2510">
        <v>-0.59018158399999998</v>
      </c>
      <c r="S2510" s="13">
        <v>-1.455737705</v>
      </c>
      <c r="T2510">
        <v>-0.43604799500000002</v>
      </c>
      <c r="U2510">
        <v>-0.21972034900000001</v>
      </c>
    </row>
    <row r="2511" spans="1:21" x14ac:dyDescent="0.2">
      <c r="A2511" t="s">
        <v>2077</v>
      </c>
      <c r="B2511">
        <v>534840</v>
      </c>
      <c r="C2511" t="s">
        <v>6938</v>
      </c>
      <c r="D2511" t="s">
        <v>2077</v>
      </c>
      <c r="E2511" t="s">
        <v>6915</v>
      </c>
      <c r="F2511">
        <v>20</v>
      </c>
      <c r="G2511">
        <v>13</v>
      </c>
      <c r="H2511" t="s">
        <v>12005</v>
      </c>
      <c r="J2511" t="s">
        <v>5657</v>
      </c>
      <c r="M2511" t="s">
        <v>12006</v>
      </c>
      <c r="N2511">
        <v>2.092758737</v>
      </c>
      <c r="O2511">
        <v>5.3323610669999999</v>
      </c>
      <c r="P2511">
        <v>0.70420098600000003</v>
      </c>
      <c r="Q2511">
        <v>0.41355372699999998</v>
      </c>
      <c r="S2511" s="13">
        <v>-1.4557883890000001</v>
      </c>
      <c r="T2511">
        <v>-0.43626947199999999</v>
      </c>
      <c r="U2511">
        <v>-0.31307959200000002</v>
      </c>
    </row>
    <row r="2512" spans="1:21" x14ac:dyDescent="0.2">
      <c r="A2512" t="s">
        <v>99</v>
      </c>
      <c r="B2512">
        <v>469240</v>
      </c>
      <c r="C2512" t="s">
        <v>6931</v>
      </c>
      <c r="D2512" t="s">
        <v>101</v>
      </c>
      <c r="E2512" t="s">
        <v>6918</v>
      </c>
      <c r="F2512">
        <v>4</v>
      </c>
      <c r="G2512">
        <v>1</v>
      </c>
      <c r="H2512" t="s">
        <v>12007</v>
      </c>
      <c r="N2512">
        <v>1.9323965059999999</v>
      </c>
      <c r="O2512">
        <v>3.0528020530000002</v>
      </c>
      <c r="P2512">
        <v>2.6493138999999999E-2</v>
      </c>
      <c r="Q2512">
        <v>-0.38692188</v>
      </c>
      <c r="S2512" s="13">
        <v>-1.455935878</v>
      </c>
      <c r="T2512">
        <v>-0.43691396599999999</v>
      </c>
      <c r="U2512">
        <v>-0.17904995200000001</v>
      </c>
    </row>
    <row r="2513" spans="1:21" x14ac:dyDescent="0.2">
      <c r="A2513" t="s">
        <v>2080</v>
      </c>
      <c r="B2513">
        <v>469680</v>
      </c>
      <c r="C2513" t="s">
        <v>6942</v>
      </c>
      <c r="D2513" t="s">
        <v>2080</v>
      </c>
      <c r="E2513" t="s">
        <v>6970</v>
      </c>
      <c r="F2513">
        <v>12</v>
      </c>
      <c r="G2513">
        <v>14</v>
      </c>
      <c r="H2513" t="s">
        <v>12008</v>
      </c>
      <c r="J2513" t="s">
        <v>4770</v>
      </c>
      <c r="M2513" t="s">
        <v>12009</v>
      </c>
      <c r="N2513">
        <v>2.0902262079999998</v>
      </c>
      <c r="O2513">
        <v>4.2704203920000001</v>
      </c>
      <c r="P2513">
        <v>0.23425843900000001</v>
      </c>
      <c r="Q2513">
        <v>1.6181978999999999E-2</v>
      </c>
      <c r="S2513" s="13">
        <v>-1.4562550299999999</v>
      </c>
      <c r="T2513">
        <v>-0.438308588</v>
      </c>
      <c r="U2513">
        <v>-0.31564209500000001</v>
      </c>
    </row>
    <row r="2514" spans="1:21" x14ac:dyDescent="0.2">
      <c r="A2514" t="s">
        <v>2239</v>
      </c>
      <c r="B2514">
        <v>468600</v>
      </c>
      <c r="C2514" t="s">
        <v>6931</v>
      </c>
      <c r="D2514" t="s">
        <v>2240</v>
      </c>
      <c r="E2514" t="s">
        <v>6924</v>
      </c>
      <c r="F2514">
        <v>9</v>
      </c>
      <c r="G2514">
        <v>6</v>
      </c>
      <c r="H2514" t="s">
        <v>12010</v>
      </c>
      <c r="N2514">
        <v>1.9323965059999999</v>
      </c>
      <c r="O2514">
        <v>3.0528020530000002</v>
      </c>
      <c r="P2514">
        <v>2.6493138999999999E-2</v>
      </c>
      <c r="Q2514">
        <v>-0.38692188</v>
      </c>
      <c r="S2514" s="13">
        <v>-1.4567768210000001</v>
      </c>
      <c r="T2514">
        <v>-0.44058869699999997</v>
      </c>
      <c r="U2514">
        <v>-0.179505105</v>
      </c>
    </row>
    <row r="2515" spans="1:21" x14ac:dyDescent="0.2">
      <c r="A2515" t="s">
        <v>2488</v>
      </c>
      <c r="B2515">
        <v>631960</v>
      </c>
      <c r="C2515" t="s">
        <v>6914</v>
      </c>
      <c r="D2515" t="s">
        <v>2488</v>
      </c>
      <c r="E2515" t="s">
        <v>6907</v>
      </c>
      <c r="F2515">
        <v>10</v>
      </c>
      <c r="G2515">
        <v>4</v>
      </c>
      <c r="H2515" t="s">
        <v>12011</v>
      </c>
      <c r="J2515" t="s">
        <v>2671</v>
      </c>
      <c r="M2515" t="s">
        <v>12012</v>
      </c>
      <c r="N2515">
        <v>1.8217074179999999</v>
      </c>
      <c r="O2515">
        <v>4.1700741289999996</v>
      </c>
      <c r="P2515">
        <v>0.189705977</v>
      </c>
      <c r="Q2515">
        <v>-1.7194070999999998E-2</v>
      </c>
      <c r="S2515" s="13">
        <v>-1.456880999</v>
      </c>
      <c r="T2515">
        <v>-0.441043927</v>
      </c>
      <c r="U2515">
        <v>-0.26619222999999997</v>
      </c>
    </row>
    <row r="2516" spans="1:21" x14ac:dyDescent="0.2">
      <c r="A2516" t="s">
        <v>2108</v>
      </c>
      <c r="B2516">
        <v>468440</v>
      </c>
      <c r="C2516" t="s">
        <v>6931</v>
      </c>
      <c r="D2516" t="s">
        <v>2108</v>
      </c>
      <c r="E2516" t="s">
        <v>6956</v>
      </c>
      <c r="F2516">
        <v>17</v>
      </c>
      <c r="G2516">
        <v>7</v>
      </c>
      <c r="H2516" t="s">
        <v>12013</v>
      </c>
      <c r="N2516">
        <v>1.9323965059999999</v>
      </c>
      <c r="O2516">
        <v>3.0528020530000002</v>
      </c>
      <c r="P2516">
        <v>2.6493138999999999E-2</v>
      </c>
      <c r="Q2516">
        <v>-0.38692188</v>
      </c>
      <c r="S2516" s="13">
        <v>-1.4569870570000001</v>
      </c>
      <c r="T2516">
        <v>-0.44150737899999998</v>
      </c>
      <c r="U2516">
        <v>-0.17961896799999999</v>
      </c>
    </row>
    <row r="2517" spans="1:21" x14ac:dyDescent="0.2">
      <c r="A2517" t="s">
        <v>2080</v>
      </c>
      <c r="B2517">
        <v>533440</v>
      </c>
      <c r="C2517" t="s">
        <v>6938</v>
      </c>
      <c r="D2517" t="s">
        <v>2080</v>
      </c>
      <c r="E2517" t="s">
        <v>6970</v>
      </c>
      <c r="F2517">
        <v>12</v>
      </c>
      <c r="G2517">
        <v>14</v>
      </c>
      <c r="H2517" t="s">
        <v>12014</v>
      </c>
      <c r="J2517" t="s">
        <v>5099</v>
      </c>
      <c r="M2517" t="s">
        <v>12015</v>
      </c>
      <c r="N2517">
        <v>2.092758737</v>
      </c>
      <c r="O2517">
        <v>5.3323610669999999</v>
      </c>
      <c r="P2517">
        <v>0.70420098600000003</v>
      </c>
      <c r="Q2517">
        <v>0.41355372699999998</v>
      </c>
      <c r="S2517" s="13">
        <v>-1.456990725</v>
      </c>
      <c r="T2517">
        <v>-0.44152340499999998</v>
      </c>
      <c r="U2517">
        <v>-0.314436612</v>
      </c>
    </row>
    <row r="2518" spans="1:21" x14ac:dyDescent="0.2">
      <c r="A2518" t="s">
        <v>293</v>
      </c>
      <c r="B2518">
        <v>516440</v>
      </c>
      <c r="C2518" t="s">
        <v>6910</v>
      </c>
      <c r="D2518" t="s">
        <v>293</v>
      </c>
      <c r="E2518" t="s">
        <v>6977</v>
      </c>
      <c r="F2518">
        <v>24</v>
      </c>
      <c r="G2518">
        <v>5</v>
      </c>
      <c r="H2518" t="s">
        <v>12016</v>
      </c>
      <c r="J2518" t="s">
        <v>4754</v>
      </c>
      <c r="M2518" t="s">
        <v>12017</v>
      </c>
      <c r="N2518">
        <v>1.9874741039999999</v>
      </c>
      <c r="O2518">
        <v>3.7453511220000002</v>
      </c>
      <c r="P2518">
        <v>0.451009722</v>
      </c>
      <c r="Q2518">
        <v>-0.102386592</v>
      </c>
      <c r="S2518" s="13">
        <v>-1.4570503299999999</v>
      </c>
      <c r="T2518">
        <v>-0.44178386800000002</v>
      </c>
      <c r="U2518">
        <v>-0.201633597</v>
      </c>
    </row>
    <row r="2519" spans="1:21" x14ac:dyDescent="0.2">
      <c r="A2519" t="s">
        <v>1897</v>
      </c>
      <c r="B2519">
        <v>631400</v>
      </c>
      <c r="C2519" t="s">
        <v>6914</v>
      </c>
      <c r="D2519" t="s">
        <v>1897</v>
      </c>
      <c r="E2519" t="s">
        <v>7085</v>
      </c>
      <c r="F2519">
        <v>14</v>
      </c>
      <c r="G2519">
        <v>9</v>
      </c>
      <c r="H2519" t="s">
        <v>12018</v>
      </c>
      <c r="J2519" t="s">
        <v>3883</v>
      </c>
      <c r="M2519" t="s">
        <v>12019</v>
      </c>
      <c r="N2519">
        <v>1.8217074179999999</v>
      </c>
      <c r="O2519">
        <v>4.1700741289999996</v>
      </c>
      <c r="P2519">
        <v>0.189705977</v>
      </c>
      <c r="Q2519">
        <v>-1.7194070999999998E-2</v>
      </c>
      <c r="S2519" s="13">
        <v>-1.457554545</v>
      </c>
      <c r="T2519">
        <v>-0.44398717199999999</v>
      </c>
      <c r="U2519">
        <v>-0.266679</v>
      </c>
    </row>
    <row r="2520" spans="1:21" x14ac:dyDescent="0.2">
      <c r="A2520" t="s">
        <v>311</v>
      </c>
      <c r="B2520">
        <v>531480</v>
      </c>
      <c r="C2520" t="s">
        <v>6906</v>
      </c>
      <c r="D2520" t="s">
        <v>311</v>
      </c>
      <c r="E2520" t="s">
        <v>7006</v>
      </c>
      <c r="F2520">
        <v>18</v>
      </c>
      <c r="G2520">
        <v>3</v>
      </c>
      <c r="H2520" t="s">
        <v>12020</v>
      </c>
      <c r="J2520" t="s">
        <v>313</v>
      </c>
      <c r="M2520" t="s">
        <v>12021</v>
      </c>
      <c r="N2520">
        <v>1.813871112</v>
      </c>
      <c r="O2520">
        <v>2.6633694910000001</v>
      </c>
      <c r="P2520">
        <v>-0.29586356800000002</v>
      </c>
      <c r="Q2520">
        <v>-0.59018158399999998</v>
      </c>
      <c r="S2520" s="13">
        <v>-1.4576526910000001</v>
      </c>
      <c r="T2520">
        <v>-0.44441604699999998</v>
      </c>
      <c r="U2520">
        <v>-0.220751947</v>
      </c>
    </row>
    <row r="2521" spans="1:21" x14ac:dyDescent="0.2">
      <c r="A2521" t="s">
        <v>2108</v>
      </c>
      <c r="B2521">
        <v>532400</v>
      </c>
      <c r="C2521" t="s">
        <v>6938</v>
      </c>
      <c r="D2521" t="s">
        <v>2108</v>
      </c>
      <c r="E2521" t="s">
        <v>6956</v>
      </c>
      <c r="F2521">
        <v>17</v>
      </c>
      <c r="G2521">
        <v>7</v>
      </c>
      <c r="H2521" t="s">
        <v>12022</v>
      </c>
      <c r="J2521" t="s">
        <v>5619</v>
      </c>
      <c r="M2521" t="s">
        <v>12023</v>
      </c>
      <c r="N2521">
        <v>2.092758737</v>
      </c>
      <c r="O2521">
        <v>5.3323610669999999</v>
      </c>
      <c r="P2521">
        <v>0.70420098600000003</v>
      </c>
      <c r="Q2521">
        <v>0.41355372699999998</v>
      </c>
      <c r="S2521" s="13">
        <v>-1.4578838890000001</v>
      </c>
      <c r="T2521">
        <v>-0.44542632700000001</v>
      </c>
      <c r="U2521">
        <v>-0.31544743600000003</v>
      </c>
    </row>
    <row r="2522" spans="1:21" x14ac:dyDescent="0.2">
      <c r="A2522" t="s">
        <v>289</v>
      </c>
      <c r="B2522">
        <v>532320</v>
      </c>
      <c r="C2522" t="s">
        <v>6938</v>
      </c>
      <c r="D2522" t="s">
        <v>290</v>
      </c>
      <c r="E2522" t="s">
        <v>6977</v>
      </c>
      <c r="F2522">
        <v>5</v>
      </c>
      <c r="G2522">
        <v>5</v>
      </c>
      <c r="H2522" t="s">
        <v>12024</v>
      </c>
      <c r="J2522" t="s">
        <v>3621</v>
      </c>
      <c r="M2522" t="s">
        <v>12025</v>
      </c>
      <c r="N2522">
        <v>2.092758737</v>
      </c>
      <c r="O2522">
        <v>5.3323610669999999</v>
      </c>
      <c r="P2522">
        <v>0.70420098600000003</v>
      </c>
      <c r="Q2522">
        <v>0.41355372699999998</v>
      </c>
      <c r="S2522" s="13">
        <v>-1.457952594</v>
      </c>
      <c r="T2522">
        <v>-0.445726552</v>
      </c>
      <c r="U2522">
        <v>-0.31552528899999999</v>
      </c>
    </row>
    <row r="2523" spans="1:21" x14ac:dyDescent="0.2">
      <c r="A2523" t="s">
        <v>1825</v>
      </c>
      <c r="B2523">
        <v>532280</v>
      </c>
      <c r="C2523" t="s">
        <v>6938</v>
      </c>
      <c r="D2523" t="s">
        <v>1826</v>
      </c>
      <c r="E2523" t="s">
        <v>6956</v>
      </c>
      <c r="F2523">
        <v>9</v>
      </c>
      <c r="G2523">
        <v>7</v>
      </c>
      <c r="H2523" t="s">
        <v>12026</v>
      </c>
      <c r="J2523" t="s">
        <v>3244</v>
      </c>
      <c r="M2523" t="s">
        <v>12027</v>
      </c>
      <c r="N2523">
        <v>2.092758737</v>
      </c>
      <c r="O2523">
        <v>5.3323610669999999</v>
      </c>
      <c r="P2523">
        <v>0.70420098600000003</v>
      </c>
      <c r="Q2523">
        <v>0.41355372699999998</v>
      </c>
      <c r="S2523" s="13">
        <v>-1.4579869459999999</v>
      </c>
      <c r="T2523">
        <v>-0.44587666399999998</v>
      </c>
      <c r="U2523">
        <v>-0.31556422099999998</v>
      </c>
    </row>
    <row r="2524" spans="1:21" x14ac:dyDescent="0.2">
      <c r="A2524" t="s">
        <v>689</v>
      </c>
      <c r="B2524">
        <v>532040</v>
      </c>
      <c r="C2524" t="s">
        <v>6938</v>
      </c>
      <c r="D2524" t="s">
        <v>690</v>
      </c>
      <c r="E2524" t="s">
        <v>6911</v>
      </c>
      <c r="F2524">
        <v>5</v>
      </c>
      <c r="G2524">
        <v>12</v>
      </c>
      <c r="H2524" t="s">
        <v>12028</v>
      </c>
      <c r="J2524" t="s">
        <v>3150</v>
      </c>
      <c r="M2524" t="s">
        <v>12029</v>
      </c>
      <c r="N2524">
        <v>2.092758737</v>
      </c>
      <c r="O2524">
        <v>5.3323610669999999</v>
      </c>
      <c r="P2524">
        <v>0.70420098600000003</v>
      </c>
      <c r="Q2524">
        <v>0.41355372699999998</v>
      </c>
      <c r="S2524" s="13">
        <v>-1.458193061</v>
      </c>
      <c r="T2524">
        <v>-0.446777339</v>
      </c>
      <c r="U2524">
        <v>-0.31579788600000003</v>
      </c>
    </row>
    <row r="2525" spans="1:21" x14ac:dyDescent="0.2">
      <c r="A2525" t="s">
        <v>671</v>
      </c>
      <c r="B2525">
        <v>515120</v>
      </c>
      <c r="C2525" t="s">
        <v>6910</v>
      </c>
      <c r="D2525" t="s">
        <v>672</v>
      </c>
      <c r="E2525" t="s">
        <v>6970</v>
      </c>
      <c r="F2525">
        <v>6</v>
      </c>
      <c r="G2525">
        <v>14</v>
      </c>
      <c r="H2525" t="s">
        <v>12030</v>
      </c>
      <c r="J2525" t="s">
        <v>6253</v>
      </c>
      <c r="M2525" t="s">
        <v>12031</v>
      </c>
      <c r="N2525">
        <v>1.9874741039999999</v>
      </c>
      <c r="O2525">
        <v>3.7453511220000002</v>
      </c>
      <c r="P2525">
        <v>0.451009722</v>
      </c>
      <c r="Q2525">
        <v>-0.102386592</v>
      </c>
      <c r="S2525" s="13">
        <v>-1.4584705099999999</v>
      </c>
      <c r="T2525">
        <v>-0.447989727</v>
      </c>
      <c r="U2525">
        <v>-0.20262306699999999</v>
      </c>
    </row>
    <row r="2526" spans="1:21" x14ac:dyDescent="0.2">
      <c r="A2526" t="s">
        <v>1535</v>
      </c>
      <c r="B2526">
        <v>538960</v>
      </c>
      <c r="C2526" t="s">
        <v>6927</v>
      </c>
      <c r="D2526" t="s">
        <v>1535</v>
      </c>
      <c r="E2526" t="s">
        <v>6907</v>
      </c>
      <c r="F2526">
        <v>19</v>
      </c>
      <c r="G2526">
        <v>4</v>
      </c>
      <c r="H2526" t="s">
        <v>12032</v>
      </c>
      <c r="J2526" t="s">
        <v>12033</v>
      </c>
      <c r="M2526" t="s">
        <v>12034</v>
      </c>
      <c r="N2526">
        <v>1.982575982</v>
      </c>
      <c r="O2526">
        <v>3.4571926419999999</v>
      </c>
      <c r="P2526">
        <v>-0.114791479</v>
      </c>
      <c r="Q2526">
        <v>1.868949E-3</v>
      </c>
      <c r="S2526" s="13">
        <v>-1.4584950299999999</v>
      </c>
      <c r="T2526">
        <v>-0.44809687399999998</v>
      </c>
      <c r="U2526">
        <v>-0.27751050599999999</v>
      </c>
    </row>
    <row r="2527" spans="1:21" x14ac:dyDescent="0.2">
      <c r="A2527" t="s">
        <v>1049</v>
      </c>
      <c r="B2527">
        <v>467080</v>
      </c>
      <c r="C2527" t="s">
        <v>6942</v>
      </c>
      <c r="D2527" t="s">
        <v>1049</v>
      </c>
      <c r="E2527" t="s">
        <v>6928</v>
      </c>
      <c r="F2527">
        <v>23</v>
      </c>
      <c r="G2527">
        <v>16</v>
      </c>
      <c r="H2527" t="s">
        <v>12035</v>
      </c>
      <c r="J2527" t="s">
        <v>4880</v>
      </c>
      <c r="M2527" t="s">
        <v>12036</v>
      </c>
      <c r="N2527">
        <v>2.0902262079999998</v>
      </c>
      <c r="O2527">
        <v>4.2704203920000001</v>
      </c>
      <c r="P2527">
        <v>0.23425843900000001</v>
      </c>
      <c r="Q2527">
        <v>1.6181978999999999E-2</v>
      </c>
      <c r="S2527" s="13">
        <v>-1.4588069020000001</v>
      </c>
      <c r="T2527">
        <v>-0.44945968400000003</v>
      </c>
      <c r="U2527">
        <v>-0.31818063699999999</v>
      </c>
    </row>
    <row r="2528" spans="1:21" x14ac:dyDescent="0.2">
      <c r="A2528" t="s">
        <v>1989</v>
      </c>
      <c r="B2528">
        <v>538640</v>
      </c>
      <c r="C2528" t="s">
        <v>6927</v>
      </c>
      <c r="D2528" t="s">
        <v>1990</v>
      </c>
      <c r="E2528" t="s">
        <v>6921</v>
      </c>
      <c r="F2528">
        <v>9</v>
      </c>
      <c r="G2528">
        <v>8</v>
      </c>
      <c r="H2528" t="s">
        <v>12037</v>
      </c>
      <c r="J2528" t="s">
        <v>12038</v>
      </c>
      <c r="M2528" t="s">
        <v>12039</v>
      </c>
      <c r="N2528">
        <v>1.982575982</v>
      </c>
      <c r="O2528">
        <v>3.4571926419999999</v>
      </c>
      <c r="P2528">
        <v>-0.114791479</v>
      </c>
      <c r="Q2528">
        <v>1.868949E-3</v>
      </c>
      <c r="S2528" s="13">
        <v>-1.4588270699999999</v>
      </c>
      <c r="T2528">
        <v>-0.44954781199999999</v>
      </c>
      <c r="U2528">
        <v>-0.27779593899999999</v>
      </c>
    </row>
    <row r="2529" spans="1:21" x14ac:dyDescent="0.2">
      <c r="A2529" t="s">
        <v>935</v>
      </c>
      <c r="B2529">
        <v>530480</v>
      </c>
      <c r="C2529" t="s">
        <v>6906</v>
      </c>
      <c r="D2529" t="s">
        <v>935</v>
      </c>
      <c r="E2529" t="s">
        <v>6921</v>
      </c>
      <c r="F2529">
        <v>18</v>
      </c>
      <c r="G2529">
        <v>8</v>
      </c>
      <c r="H2529" t="s">
        <v>12040</v>
      </c>
      <c r="J2529" t="s">
        <v>1360</v>
      </c>
      <c r="M2529" t="s">
        <v>12041</v>
      </c>
      <c r="N2529">
        <v>1.813871112</v>
      </c>
      <c r="O2529">
        <v>2.6633694910000001</v>
      </c>
      <c r="P2529">
        <v>-0.29586356800000002</v>
      </c>
      <c r="Q2529">
        <v>-0.59018158399999998</v>
      </c>
      <c r="S2529" s="13">
        <v>-1.4591034380000001</v>
      </c>
      <c r="T2529">
        <v>-0.45075547999999999</v>
      </c>
      <c r="U2529">
        <v>-0.22153509499999999</v>
      </c>
    </row>
    <row r="2530" spans="1:21" x14ac:dyDescent="0.2">
      <c r="A2530" t="s">
        <v>2188</v>
      </c>
      <c r="B2530">
        <v>530360</v>
      </c>
      <c r="C2530" t="s">
        <v>6906</v>
      </c>
      <c r="D2530" t="s">
        <v>2188</v>
      </c>
      <c r="E2530" t="s">
        <v>6907</v>
      </c>
      <c r="F2530">
        <v>11</v>
      </c>
      <c r="G2530">
        <v>4</v>
      </c>
      <c r="H2530" t="s">
        <v>12042</v>
      </c>
      <c r="J2530" t="s">
        <v>12043</v>
      </c>
      <c r="M2530" t="s">
        <v>12044</v>
      </c>
      <c r="N2530">
        <v>1.813871112</v>
      </c>
      <c r="O2530">
        <v>2.6633694910000001</v>
      </c>
      <c r="P2530">
        <v>-0.29586356800000002</v>
      </c>
      <c r="Q2530">
        <v>-0.59018158399999998</v>
      </c>
      <c r="S2530" s="13">
        <v>-1.4592775280000001</v>
      </c>
      <c r="T2530">
        <v>-0.45151621199999997</v>
      </c>
      <c r="U2530">
        <v>-0.22162916699999999</v>
      </c>
    </row>
    <row r="2531" spans="1:21" x14ac:dyDescent="0.2">
      <c r="A2531" t="s">
        <v>2385</v>
      </c>
      <c r="B2531">
        <v>530560</v>
      </c>
      <c r="C2531" t="s">
        <v>6938</v>
      </c>
      <c r="D2531" t="s">
        <v>2385</v>
      </c>
      <c r="E2531" t="s">
        <v>6911</v>
      </c>
      <c r="F2531">
        <v>19</v>
      </c>
      <c r="G2531">
        <v>12</v>
      </c>
      <c r="H2531" t="s">
        <v>12045</v>
      </c>
      <c r="J2531" t="s">
        <v>2735</v>
      </c>
      <c r="M2531" t="s">
        <v>12046</v>
      </c>
      <c r="N2531">
        <v>2.092758737</v>
      </c>
      <c r="O2531">
        <v>5.3323610669999999</v>
      </c>
      <c r="P2531">
        <v>0.70420098600000003</v>
      </c>
      <c r="Q2531">
        <v>0.41355372699999998</v>
      </c>
      <c r="S2531" s="13">
        <v>-1.4594641020000001</v>
      </c>
      <c r="T2531">
        <v>-0.45233149700000003</v>
      </c>
      <c r="U2531">
        <v>-0.31724160099999998</v>
      </c>
    </row>
    <row r="2532" spans="1:21" x14ac:dyDescent="0.2">
      <c r="A2532" t="s">
        <v>477</v>
      </c>
      <c r="B2532">
        <v>151880</v>
      </c>
      <c r="C2532" t="s">
        <v>6961</v>
      </c>
      <c r="D2532" t="s">
        <v>477</v>
      </c>
      <c r="E2532" t="s">
        <v>6918</v>
      </c>
      <c r="F2532">
        <v>12</v>
      </c>
      <c r="G2532">
        <v>1</v>
      </c>
      <c r="H2532" t="s">
        <v>12047</v>
      </c>
      <c r="J2532" t="s">
        <v>6579</v>
      </c>
      <c r="M2532" t="s">
        <v>12048</v>
      </c>
      <c r="N2532">
        <v>2.7247480949999998</v>
      </c>
      <c r="O2532">
        <v>7.0822175119999997</v>
      </c>
      <c r="P2532">
        <v>0.61298291999999999</v>
      </c>
      <c r="Q2532">
        <v>0.48262032500000002</v>
      </c>
      <c r="S2532" s="13">
        <v>-1.4595642950000001</v>
      </c>
      <c r="T2532">
        <v>-0.452769319</v>
      </c>
      <c r="U2532">
        <v>-0.408697115</v>
      </c>
    </row>
    <row r="2533" spans="1:21" x14ac:dyDescent="0.2">
      <c r="A2533" t="s">
        <v>663</v>
      </c>
      <c r="B2533">
        <v>602920</v>
      </c>
      <c r="C2533" t="s">
        <v>6953</v>
      </c>
      <c r="D2533" t="s">
        <v>663</v>
      </c>
      <c r="E2533" t="s">
        <v>6918</v>
      </c>
      <c r="F2533">
        <v>15</v>
      </c>
      <c r="G2533">
        <v>1</v>
      </c>
      <c r="H2533" t="s">
        <v>12049</v>
      </c>
      <c r="J2533" t="s">
        <v>665</v>
      </c>
      <c r="M2533" t="s">
        <v>12050</v>
      </c>
      <c r="N2533">
        <v>1.921480887</v>
      </c>
      <c r="O2533">
        <v>3.0856645180000002</v>
      </c>
      <c r="P2533">
        <v>0.44706724399999997</v>
      </c>
      <c r="Q2533">
        <v>-0.354940863</v>
      </c>
      <c r="S2533" s="13">
        <v>-1.4596052879999999</v>
      </c>
      <c r="T2533">
        <v>-0.45294844699999998</v>
      </c>
      <c r="U2533">
        <v>-0.21115645399999999</v>
      </c>
    </row>
    <row r="2534" spans="1:21" x14ac:dyDescent="0.2">
      <c r="A2534" t="s">
        <v>1825</v>
      </c>
      <c r="B2534">
        <v>514000</v>
      </c>
      <c r="C2534" t="s">
        <v>6910</v>
      </c>
      <c r="D2534" t="s">
        <v>1826</v>
      </c>
      <c r="E2534" t="s">
        <v>6956</v>
      </c>
      <c r="F2534">
        <v>9</v>
      </c>
      <c r="G2534">
        <v>7</v>
      </c>
      <c r="H2534" t="s">
        <v>12051</v>
      </c>
      <c r="J2534" t="s">
        <v>6027</v>
      </c>
      <c r="M2534" t="s">
        <v>12052</v>
      </c>
      <c r="N2534">
        <v>1.9874741039999999</v>
      </c>
      <c r="O2534">
        <v>3.7453511220000002</v>
      </c>
      <c r="P2534">
        <v>0.451009722</v>
      </c>
      <c r="Q2534">
        <v>-0.102386592</v>
      </c>
      <c r="S2534" s="13">
        <v>-1.4596755109999999</v>
      </c>
      <c r="T2534">
        <v>-0.453255305</v>
      </c>
      <c r="U2534">
        <v>-0.203464388</v>
      </c>
    </row>
    <row r="2535" spans="1:21" x14ac:dyDescent="0.2">
      <c r="A2535" t="s">
        <v>1794</v>
      </c>
      <c r="B2535">
        <v>513960</v>
      </c>
      <c r="C2535" t="s">
        <v>6910</v>
      </c>
      <c r="D2535" t="s">
        <v>1794</v>
      </c>
      <c r="E2535" t="s">
        <v>7115</v>
      </c>
      <c r="F2535">
        <v>13</v>
      </c>
      <c r="G2535">
        <v>10</v>
      </c>
      <c r="H2535" t="s">
        <v>12053</v>
      </c>
      <c r="J2535" t="s">
        <v>4562</v>
      </c>
      <c r="M2535" t="s">
        <v>12054</v>
      </c>
      <c r="N2535">
        <v>1.9874741039999999</v>
      </c>
      <c r="O2535">
        <v>3.7453511220000002</v>
      </c>
      <c r="P2535">
        <v>0.451009722</v>
      </c>
      <c r="Q2535">
        <v>-0.102386592</v>
      </c>
      <c r="S2535" s="13">
        <v>-1.459718546</v>
      </c>
      <c r="T2535">
        <v>-0.45344336099999999</v>
      </c>
      <c r="U2535">
        <v>-0.20349446600000001</v>
      </c>
    </row>
    <row r="2536" spans="1:21" x14ac:dyDescent="0.2">
      <c r="A2536" t="s">
        <v>2453</v>
      </c>
      <c r="B2536">
        <v>537520</v>
      </c>
      <c r="C2536" t="s">
        <v>6927</v>
      </c>
      <c r="D2536" t="s">
        <v>2454</v>
      </c>
      <c r="E2536" t="s">
        <v>6911</v>
      </c>
      <c r="F2536">
        <v>3</v>
      </c>
      <c r="G2536">
        <v>12</v>
      </c>
      <c r="H2536" t="s">
        <v>12055</v>
      </c>
      <c r="J2536" t="s">
        <v>12056</v>
      </c>
      <c r="M2536" t="s">
        <v>12057</v>
      </c>
      <c r="N2536">
        <v>1.982575982</v>
      </c>
      <c r="O2536">
        <v>3.4571926419999999</v>
      </c>
      <c r="P2536">
        <v>-0.114791479</v>
      </c>
      <c r="Q2536">
        <v>1.868949E-3</v>
      </c>
      <c r="S2536" s="13">
        <v>-1.459989209</v>
      </c>
      <c r="T2536">
        <v>-0.45462609399999998</v>
      </c>
      <c r="U2536">
        <v>-0.27879643199999998</v>
      </c>
    </row>
    <row r="2537" spans="1:21" x14ac:dyDescent="0.2">
      <c r="A2537" t="s">
        <v>1484</v>
      </c>
      <c r="B2537">
        <v>151200</v>
      </c>
      <c r="C2537" t="s">
        <v>6961</v>
      </c>
      <c r="D2537" t="s">
        <v>1484</v>
      </c>
      <c r="E2537" t="s">
        <v>6977</v>
      </c>
      <c r="F2537">
        <v>16</v>
      </c>
      <c r="G2537">
        <v>5</v>
      </c>
      <c r="H2537" t="s">
        <v>12058</v>
      </c>
      <c r="J2537" t="s">
        <v>6539</v>
      </c>
      <c r="M2537" t="s">
        <v>12059</v>
      </c>
      <c r="N2537">
        <v>2.7247480949999998</v>
      </c>
      <c r="O2537">
        <v>7.0822175119999997</v>
      </c>
      <c r="P2537">
        <v>0.61298291999999999</v>
      </c>
      <c r="Q2537">
        <v>0.48262032500000002</v>
      </c>
      <c r="S2537" s="13">
        <v>-1.460102593</v>
      </c>
      <c r="T2537">
        <v>-0.45512155900000001</v>
      </c>
      <c r="U2537">
        <v>-0.40951806499999999</v>
      </c>
    </row>
    <row r="2538" spans="1:21" x14ac:dyDescent="0.2">
      <c r="A2538" t="s">
        <v>772</v>
      </c>
      <c r="B2538">
        <v>602440</v>
      </c>
      <c r="C2538" t="s">
        <v>6953</v>
      </c>
      <c r="D2538" t="s">
        <v>772</v>
      </c>
      <c r="E2538" t="s">
        <v>6928</v>
      </c>
      <c r="F2538">
        <v>18</v>
      </c>
      <c r="G2538">
        <v>16</v>
      </c>
      <c r="H2538" t="s">
        <v>12060</v>
      </c>
      <c r="J2538" t="s">
        <v>1801</v>
      </c>
      <c r="M2538" t="s">
        <v>12061</v>
      </c>
      <c r="N2538">
        <v>1.921480887</v>
      </c>
      <c r="O2538">
        <v>3.0856645180000002</v>
      </c>
      <c r="P2538">
        <v>0.44706724399999997</v>
      </c>
      <c r="Q2538">
        <v>-0.354940863</v>
      </c>
      <c r="S2538" s="13">
        <v>-1.460103347</v>
      </c>
      <c r="T2538">
        <v>-0.45512485400000002</v>
      </c>
      <c r="U2538">
        <v>-0.211523974</v>
      </c>
    </row>
    <row r="2539" spans="1:21" x14ac:dyDescent="0.2">
      <c r="A2539" t="s">
        <v>1811</v>
      </c>
      <c r="B2539">
        <v>629240</v>
      </c>
      <c r="C2539" t="s">
        <v>6914</v>
      </c>
      <c r="D2539" t="s">
        <v>1811</v>
      </c>
      <c r="E2539" t="s">
        <v>7085</v>
      </c>
      <c r="F2539">
        <v>15</v>
      </c>
      <c r="G2539">
        <v>9</v>
      </c>
      <c r="H2539" t="s">
        <v>12062</v>
      </c>
      <c r="J2539" t="s">
        <v>1813</v>
      </c>
      <c r="M2539" t="s">
        <v>12063</v>
      </c>
      <c r="N2539">
        <v>1.8217074179999999</v>
      </c>
      <c r="O2539">
        <v>4.1700741289999996</v>
      </c>
      <c r="P2539">
        <v>0.189705977</v>
      </c>
      <c r="Q2539">
        <v>-1.7194070999999998E-2</v>
      </c>
      <c r="S2539" s="13">
        <v>-1.4601525099999999</v>
      </c>
      <c r="T2539">
        <v>-0.45533968400000002</v>
      </c>
      <c r="U2539">
        <v>-0.268561669</v>
      </c>
    </row>
    <row r="2540" spans="1:21" x14ac:dyDescent="0.2">
      <c r="A2540" t="s">
        <v>1215</v>
      </c>
      <c r="B2540">
        <v>537360</v>
      </c>
      <c r="C2540" t="s">
        <v>6927</v>
      </c>
      <c r="D2540" t="s">
        <v>1215</v>
      </c>
      <c r="E2540" t="s">
        <v>6970</v>
      </c>
      <c r="F2540">
        <v>18</v>
      </c>
      <c r="G2540">
        <v>14</v>
      </c>
      <c r="H2540" t="s">
        <v>12064</v>
      </c>
      <c r="J2540" t="s">
        <v>12065</v>
      </c>
      <c r="M2540" t="s">
        <v>12066</v>
      </c>
      <c r="N2540">
        <v>1.982575982</v>
      </c>
      <c r="O2540">
        <v>3.4571926419999999</v>
      </c>
      <c r="P2540">
        <v>-0.114791479</v>
      </c>
      <c r="Q2540">
        <v>1.868949E-3</v>
      </c>
      <c r="S2540" s="13">
        <v>-1.4601552289999999</v>
      </c>
      <c r="T2540">
        <v>-0.45535156300000001</v>
      </c>
      <c r="U2540">
        <v>-0.27893954799999998</v>
      </c>
    </row>
    <row r="2541" spans="1:21" x14ac:dyDescent="0.2">
      <c r="A2541" t="s">
        <v>1065</v>
      </c>
      <c r="B2541">
        <v>537000</v>
      </c>
      <c r="C2541" t="s">
        <v>6927</v>
      </c>
      <c r="D2541" t="s">
        <v>1066</v>
      </c>
      <c r="E2541" t="s">
        <v>6956</v>
      </c>
      <c r="F2541">
        <v>7</v>
      </c>
      <c r="G2541">
        <v>7</v>
      </c>
      <c r="H2541" t="s">
        <v>12067</v>
      </c>
      <c r="J2541" t="s">
        <v>12068</v>
      </c>
      <c r="M2541" t="s">
        <v>12069</v>
      </c>
      <c r="N2541">
        <v>1.982575982</v>
      </c>
      <c r="O2541">
        <v>3.4571926419999999</v>
      </c>
      <c r="P2541">
        <v>-0.114791479</v>
      </c>
      <c r="Q2541">
        <v>1.868949E-3</v>
      </c>
      <c r="S2541" s="13">
        <v>-1.4605287730000001</v>
      </c>
      <c r="T2541">
        <v>-0.45698386800000002</v>
      </c>
      <c r="U2541">
        <v>-0.27926173199999998</v>
      </c>
    </row>
    <row r="2542" spans="1:21" x14ac:dyDescent="0.2">
      <c r="A2542" t="s">
        <v>2412</v>
      </c>
      <c r="B2542">
        <v>379160</v>
      </c>
      <c r="C2542" t="s">
        <v>6945</v>
      </c>
      <c r="D2542" t="s">
        <v>2412</v>
      </c>
      <c r="E2542" t="s">
        <v>6956</v>
      </c>
      <c r="F2542">
        <v>14</v>
      </c>
      <c r="G2542">
        <v>7</v>
      </c>
      <c r="H2542" t="s">
        <v>12070</v>
      </c>
      <c r="J2542" t="s">
        <v>4870</v>
      </c>
      <c r="M2542" t="s">
        <v>12071</v>
      </c>
      <c r="N2542">
        <v>2.2220813349999999</v>
      </c>
      <c r="O2542">
        <v>6.5440947090000003</v>
      </c>
      <c r="P2542">
        <v>0.58228215500000002</v>
      </c>
      <c r="Q2542">
        <v>0.35188233000000002</v>
      </c>
      <c r="S2542" s="13">
        <v>-1.4606387590000001</v>
      </c>
      <c r="T2542">
        <v>-0.45746448299999998</v>
      </c>
      <c r="U2542">
        <v>-0.33529741400000002</v>
      </c>
    </row>
    <row r="2543" spans="1:21" x14ac:dyDescent="0.2">
      <c r="A2543" t="s">
        <v>2139</v>
      </c>
      <c r="B2543">
        <v>465440</v>
      </c>
      <c r="C2543" t="s">
        <v>6931</v>
      </c>
      <c r="D2543" t="s">
        <v>2140</v>
      </c>
      <c r="E2543" t="s">
        <v>6924</v>
      </c>
      <c r="F2543">
        <v>1</v>
      </c>
      <c r="G2543">
        <v>6</v>
      </c>
      <c r="H2543" t="s">
        <v>12072</v>
      </c>
      <c r="J2543" t="s">
        <v>6675</v>
      </c>
      <c r="M2543" t="s">
        <v>12073</v>
      </c>
      <c r="N2543">
        <v>1.9323965059999999</v>
      </c>
      <c r="O2543">
        <v>3.0528020530000002</v>
      </c>
      <c r="P2543">
        <v>2.6493138999999999E-2</v>
      </c>
      <c r="Q2543">
        <v>-0.38692188</v>
      </c>
      <c r="S2543" s="13">
        <v>-1.46092898</v>
      </c>
      <c r="T2543">
        <v>-0.45873267899999998</v>
      </c>
      <c r="U2543">
        <v>-0.18175944299999999</v>
      </c>
    </row>
    <row r="2544" spans="1:21" x14ac:dyDescent="0.2">
      <c r="A2544" t="s">
        <v>236</v>
      </c>
      <c r="B2544">
        <v>465320</v>
      </c>
      <c r="C2544" t="s">
        <v>6931</v>
      </c>
      <c r="D2544" t="s">
        <v>236</v>
      </c>
      <c r="E2544" t="s">
        <v>7006</v>
      </c>
      <c r="F2544">
        <v>17</v>
      </c>
      <c r="G2544">
        <v>3</v>
      </c>
      <c r="H2544" t="s">
        <v>12074</v>
      </c>
      <c r="N2544">
        <v>1.9323965059999999</v>
      </c>
      <c r="O2544">
        <v>3.0528020530000002</v>
      </c>
      <c r="P2544">
        <v>2.6493138999999999E-2</v>
      </c>
      <c r="Q2544">
        <v>-0.38692188</v>
      </c>
      <c r="S2544" s="13">
        <v>-1.4610866570000001</v>
      </c>
      <c r="T2544">
        <v>-0.45942169100000002</v>
      </c>
      <c r="U2544">
        <v>-0.181845282</v>
      </c>
    </row>
    <row r="2545" spans="1:21" x14ac:dyDescent="0.2">
      <c r="A2545" t="s">
        <v>1137</v>
      </c>
      <c r="B2545">
        <v>149840</v>
      </c>
      <c r="C2545" t="s">
        <v>6961</v>
      </c>
      <c r="D2545" t="s">
        <v>1137</v>
      </c>
      <c r="E2545" t="s">
        <v>7085</v>
      </c>
      <c r="F2545">
        <v>18</v>
      </c>
      <c r="G2545">
        <v>9</v>
      </c>
      <c r="H2545" t="s">
        <v>12075</v>
      </c>
      <c r="J2545" t="s">
        <v>5995</v>
      </c>
      <c r="M2545" t="s">
        <v>12076</v>
      </c>
      <c r="N2545">
        <v>2.7247480949999998</v>
      </c>
      <c r="O2545">
        <v>7.0822175119999997</v>
      </c>
      <c r="P2545">
        <v>0.61298291999999999</v>
      </c>
      <c r="Q2545">
        <v>0.48262032500000002</v>
      </c>
      <c r="S2545" s="13">
        <v>-1.46117919</v>
      </c>
      <c r="T2545">
        <v>-0.45982604100000002</v>
      </c>
      <c r="U2545">
        <v>-0.411164635</v>
      </c>
    </row>
    <row r="2546" spans="1:21" x14ac:dyDescent="0.2">
      <c r="A2546" t="s">
        <v>807</v>
      </c>
      <c r="B2546">
        <v>464560</v>
      </c>
      <c r="C2546" t="s">
        <v>6942</v>
      </c>
      <c r="D2546" t="s">
        <v>807</v>
      </c>
      <c r="E2546" t="s">
        <v>6977</v>
      </c>
      <c r="F2546">
        <v>14</v>
      </c>
      <c r="G2546">
        <v>5</v>
      </c>
      <c r="H2546" t="s">
        <v>12077</v>
      </c>
      <c r="J2546" t="s">
        <v>3927</v>
      </c>
      <c r="M2546" t="s">
        <v>12078</v>
      </c>
      <c r="N2546">
        <v>2.0902262079999998</v>
      </c>
      <c r="O2546">
        <v>4.2704203920000001</v>
      </c>
      <c r="P2546">
        <v>0.23425843900000001</v>
      </c>
      <c r="Q2546">
        <v>1.6181978999999999E-2</v>
      </c>
      <c r="S2546" s="13">
        <v>-1.4612802540000001</v>
      </c>
      <c r="T2546">
        <v>-0.46026766899999999</v>
      </c>
      <c r="U2546">
        <v>-0.32065531200000003</v>
      </c>
    </row>
    <row r="2547" spans="1:21" x14ac:dyDescent="0.2">
      <c r="A2547" t="s">
        <v>1069</v>
      </c>
      <c r="B2547">
        <v>464560</v>
      </c>
      <c r="C2547" t="s">
        <v>6942</v>
      </c>
      <c r="D2547" t="s">
        <v>1070</v>
      </c>
      <c r="E2547" t="s">
        <v>7085</v>
      </c>
      <c r="F2547">
        <v>6</v>
      </c>
      <c r="G2547">
        <v>9</v>
      </c>
      <c r="H2547" t="s">
        <v>12079</v>
      </c>
      <c r="J2547" t="s">
        <v>1072</v>
      </c>
      <c r="M2547" t="s">
        <v>12080</v>
      </c>
      <c r="N2547">
        <v>2.0902262079999998</v>
      </c>
      <c r="O2547">
        <v>4.2704203920000001</v>
      </c>
      <c r="P2547">
        <v>0.23425843900000001</v>
      </c>
      <c r="Q2547">
        <v>1.6181978999999999E-2</v>
      </c>
      <c r="S2547" s="13">
        <v>-1.4612802540000001</v>
      </c>
      <c r="T2547">
        <v>-0.46026766899999999</v>
      </c>
      <c r="U2547">
        <v>-0.32065531200000003</v>
      </c>
    </row>
    <row r="2548" spans="1:21" x14ac:dyDescent="0.2">
      <c r="A2548" t="s">
        <v>1119</v>
      </c>
      <c r="B2548">
        <v>464440</v>
      </c>
      <c r="C2548" t="s">
        <v>6942</v>
      </c>
      <c r="D2548" t="s">
        <v>1120</v>
      </c>
      <c r="E2548" t="s">
        <v>6915</v>
      </c>
      <c r="F2548">
        <v>9</v>
      </c>
      <c r="G2548">
        <v>13</v>
      </c>
      <c r="H2548" t="s">
        <v>12081</v>
      </c>
      <c r="J2548" t="s">
        <v>1475</v>
      </c>
      <c r="M2548" t="s">
        <v>12082</v>
      </c>
      <c r="N2548">
        <v>2.0902262079999998</v>
      </c>
      <c r="O2548">
        <v>4.2704203920000001</v>
      </c>
      <c r="P2548">
        <v>0.23425843900000001</v>
      </c>
      <c r="Q2548">
        <v>1.6181978999999999E-2</v>
      </c>
      <c r="S2548" s="13">
        <v>-1.461398033</v>
      </c>
      <c r="T2548">
        <v>-0.46078233499999999</v>
      </c>
      <c r="U2548">
        <v>-0.32077350700000001</v>
      </c>
    </row>
    <row r="2549" spans="1:21" x14ac:dyDescent="0.2">
      <c r="A2549" t="s">
        <v>2073</v>
      </c>
      <c r="B2549">
        <v>528840</v>
      </c>
      <c r="C2549" t="s">
        <v>6906</v>
      </c>
      <c r="D2549" t="s">
        <v>2074</v>
      </c>
      <c r="E2549" t="s">
        <v>7085</v>
      </c>
      <c r="F2549">
        <v>2</v>
      </c>
      <c r="G2549">
        <v>9</v>
      </c>
      <c r="H2549" t="s">
        <v>12083</v>
      </c>
      <c r="J2549" t="s">
        <v>3945</v>
      </c>
      <c r="M2549" t="s">
        <v>12084</v>
      </c>
      <c r="N2549">
        <v>1.813871112</v>
      </c>
      <c r="O2549">
        <v>2.6633694910000001</v>
      </c>
      <c r="P2549">
        <v>-0.29586356800000002</v>
      </c>
      <c r="Q2549">
        <v>-0.59018158399999998</v>
      </c>
      <c r="S2549" s="13">
        <v>-1.461482664</v>
      </c>
      <c r="T2549">
        <v>-0.46115215100000001</v>
      </c>
      <c r="U2549">
        <v>-0.222822522</v>
      </c>
    </row>
    <row r="2550" spans="1:21" x14ac:dyDescent="0.2">
      <c r="A2550" t="s">
        <v>779</v>
      </c>
      <c r="B2550">
        <v>512320</v>
      </c>
      <c r="C2550" t="s">
        <v>6910</v>
      </c>
      <c r="D2550" t="s">
        <v>780</v>
      </c>
      <c r="E2550" t="s">
        <v>7006</v>
      </c>
      <c r="F2550">
        <v>8</v>
      </c>
      <c r="G2550">
        <v>3</v>
      </c>
      <c r="H2550" t="s">
        <v>12085</v>
      </c>
      <c r="J2550" t="s">
        <v>3777</v>
      </c>
      <c r="M2550" t="s">
        <v>12086</v>
      </c>
      <c r="N2550">
        <v>1.9874741039999999</v>
      </c>
      <c r="O2550">
        <v>3.7453511220000002</v>
      </c>
      <c r="P2550">
        <v>0.451009722</v>
      </c>
      <c r="Q2550">
        <v>-0.102386592</v>
      </c>
      <c r="S2550" s="13">
        <v>-1.461483012</v>
      </c>
      <c r="T2550">
        <v>-0.46115367200000001</v>
      </c>
      <c r="U2550">
        <v>-0.20472943399999999</v>
      </c>
    </row>
    <row r="2551" spans="1:21" x14ac:dyDescent="0.2">
      <c r="A2551" t="s">
        <v>947</v>
      </c>
      <c r="B2551">
        <v>378240</v>
      </c>
      <c r="C2551" t="s">
        <v>6945</v>
      </c>
      <c r="D2551" t="s">
        <v>948</v>
      </c>
      <c r="E2551" t="s">
        <v>6921</v>
      </c>
      <c r="F2551">
        <v>7</v>
      </c>
      <c r="G2551">
        <v>8</v>
      </c>
      <c r="H2551" t="s">
        <v>12087</v>
      </c>
      <c r="J2551" t="s">
        <v>6003</v>
      </c>
      <c r="M2551" t="s">
        <v>12088</v>
      </c>
      <c r="N2551">
        <v>2.2220813349999999</v>
      </c>
      <c r="O2551">
        <v>6.5440947090000003</v>
      </c>
      <c r="P2551">
        <v>0.58228215500000002</v>
      </c>
      <c r="Q2551">
        <v>0.35188233000000002</v>
      </c>
      <c r="S2551" s="13">
        <v>-1.461506537</v>
      </c>
      <c r="T2551">
        <v>-0.461256471</v>
      </c>
      <c r="U2551">
        <v>-0.33623552600000001</v>
      </c>
    </row>
    <row r="2552" spans="1:21" x14ac:dyDescent="0.2">
      <c r="A2552" t="s">
        <v>74</v>
      </c>
      <c r="B2552">
        <v>464160</v>
      </c>
      <c r="C2552" t="s">
        <v>6942</v>
      </c>
      <c r="D2552" t="s">
        <v>75</v>
      </c>
      <c r="E2552" t="s">
        <v>6970</v>
      </c>
      <c r="F2552">
        <v>3</v>
      </c>
      <c r="G2552">
        <v>14</v>
      </c>
      <c r="H2552" t="s">
        <v>12089</v>
      </c>
      <c r="J2552" t="s">
        <v>4878</v>
      </c>
      <c r="M2552" t="s">
        <v>12090</v>
      </c>
      <c r="N2552">
        <v>2.0902262079999998</v>
      </c>
      <c r="O2552">
        <v>4.2704203920000001</v>
      </c>
      <c r="P2552">
        <v>0.23425843900000001</v>
      </c>
      <c r="Q2552">
        <v>1.6181978999999999E-2</v>
      </c>
      <c r="S2552" s="13">
        <v>-1.46167285</v>
      </c>
      <c r="T2552">
        <v>-0.46198322200000003</v>
      </c>
      <c r="U2552">
        <v>-0.32104941799999998</v>
      </c>
    </row>
    <row r="2553" spans="1:21" x14ac:dyDescent="0.2">
      <c r="A2553" t="s">
        <v>1593</v>
      </c>
      <c r="B2553">
        <v>627880</v>
      </c>
      <c r="C2553" t="s">
        <v>6914</v>
      </c>
      <c r="D2553" t="s">
        <v>1593</v>
      </c>
      <c r="E2553" t="s">
        <v>6939</v>
      </c>
      <c r="F2553">
        <v>14</v>
      </c>
      <c r="G2553">
        <v>2</v>
      </c>
      <c r="H2553" t="s">
        <v>12091</v>
      </c>
      <c r="J2553" t="s">
        <v>6819</v>
      </c>
      <c r="M2553" t="s">
        <v>12092</v>
      </c>
      <c r="N2553">
        <v>1.8217074179999999</v>
      </c>
      <c r="O2553">
        <v>4.1700741289999996</v>
      </c>
      <c r="P2553">
        <v>0.189705977</v>
      </c>
      <c r="Q2553">
        <v>-1.7194070999999998E-2</v>
      </c>
      <c r="S2553" s="13">
        <v>-1.4617882659999999</v>
      </c>
      <c r="T2553">
        <v>-0.46248756299999999</v>
      </c>
      <c r="U2553">
        <v>-0.269751254</v>
      </c>
    </row>
    <row r="2554" spans="1:21" x14ac:dyDescent="0.2">
      <c r="A2554" t="s">
        <v>519</v>
      </c>
      <c r="B2554">
        <v>535680</v>
      </c>
      <c r="C2554" t="s">
        <v>6927</v>
      </c>
      <c r="D2554" t="s">
        <v>519</v>
      </c>
      <c r="E2554" t="s">
        <v>6956</v>
      </c>
      <c r="F2554">
        <v>18</v>
      </c>
      <c r="G2554">
        <v>7</v>
      </c>
      <c r="H2554" t="s">
        <v>12093</v>
      </c>
      <c r="J2554" t="s">
        <v>12094</v>
      </c>
      <c r="M2554" t="s">
        <v>12095</v>
      </c>
      <c r="N2554">
        <v>1.982575982</v>
      </c>
      <c r="O2554">
        <v>3.4571926419999999</v>
      </c>
      <c r="P2554">
        <v>-0.114791479</v>
      </c>
      <c r="Q2554">
        <v>1.868949E-3</v>
      </c>
      <c r="S2554" s="13">
        <v>-1.4618984370000001</v>
      </c>
      <c r="T2554">
        <v>-0.462968987</v>
      </c>
      <c r="U2554">
        <v>-0.28044512100000002</v>
      </c>
    </row>
    <row r="2555" spans="1:21" x14ac:dyDescent="0.2">
      <c r="A2555" t="s">
        <v>1119</v>
      </c>
      <c r="B2555">
        <v>511680</v>
      </c>
      <c r="C2555" t="s">
        <v>6910</v>
      </c>
      <c r="D2555" t="s">
        <v>1120</v>
      </c>
      <c r="E2555" t="s">
        <v>6915</v>
      </c>
      <c r="F2555">
        <v>9</v>
      </c>
      <c r="G2555">
        <v>13</v>
      </c>
      <c r="H2555" t="s">
        <v>12096</v>
      </c>
      <c r="J2555" t="s">
        <v>5867</v>
      </c>
      <c r="M2555" t="s">
        <v>12097</v>
      </c>
      <c r="N2555">
        <v>1.9874741039999999</v>
      </c>
      <c r="O2555">
        <v>3.7453511220000002</v>
      </c>
      <c r="P2555">
        <v>0.451009722</v>
      </c>
      <c r="Q2555">
        <v>-0.102386592</v>
      </c>
      <c r="S2555" s="13">
        <v>-1.462171584</v>
      </c>
      <c r="T2555">
        <v>-0.46416257300000002</v>
      </c>
      <c r="U2555">
        <v>-0.205212327</v>
      </c>
    </row>
    <row r="2556" spans="1:21" x14ac:dyDescent="0.2">
      <c r="A2556" t="s">
        <v>907</v>
      </c>
      <c r="B2556">
        <v>511480</v>
      </c>
      <c r="C2556" t="s">
        <v>6910</v>
      </c>
      <c r="D2556" t="s">
        <v>907</v>
      </c>
      <c r="E2556" t="s">
        <v>6946</v>
      </c>
      <c r="F2556">
        <v>19</v>
      </c>
      <c r="G2556">
        <v>11</v>
      </c>
      <c r="H2556" t="s">
        <v>12098</v>
      </c>
      <c r="J2556" t="s">
        <v>2971</v>
      </c>
      <c r="M2556" t="s">
        <v>12099</v>
      </c>
      <c r="N2556">
        <v>1.9874741039999999</v>
      </c>
      <c r="O2556">
        <v>3.7453511220000002</v>
      </c>
      <c r="P2556">
        <v>0.451009722</v>
      </c>
      <c r="Q2556">
        <v>-0.102386592</v>
      </c>
      <c r="S2556" s="13">
        <v>-1.462386762</v>
      </c>
      <c r="T2556">
        <v>-0.46510285499999998</v>
      </c>
      <c r="U2556">
        <v>-0.205363342</v>
      </c>
    </row>
    <row r="2557" spans="1:21" x14ac:dyDescent="0.2">
      <c r="A2557" t="s">
        <v>853</v>
      </c>
      <c r="B2557">
        <v>511120</v>
      </c>
      <c r="C2557" t="s">
        <v>6910</v>
      </c>
      <c r="D2557" t="s">
        <v>854</v>
      </c>
      <c r="E2557" t="s">
        <v>6946</v>
      </c>
      <c r="F2557">
        <v>5</v>
      </c>
      <c r="G2557">
        <v>11</v>
      </c>
      <c r="H2557" t="s">
        <v>12100</v>
      </c>
      <c r="J2557" t="s">
        <v>6379</v>
      </c>
      <c r="M2557" t="s">
        <v>12101</v>
      </c>
      <c r="N2557">
        <v>1.9874741039999999</v>
      </c>
      <c r="O2557">
        <v>3.7453511220000002</v>
      </c>
      <c r="P2557">
        <v>0.451009722</v>
      </c>
      <c r="Q2557">
        <v>-0.102386592</v>
      </c>
      <c r="S2557" s="13">
        <v>-1.4627740840000001</v>
      </c>
      <c r="T2557">
        <v>-0.46679536199999999</v>
      </c>
      <c r="U2557">
        <v>-0.20563529999999999</v>
      </c>
    </row>
    <row r="2558" spans="1:21" x14ac:dyDescent="0.2">
      <c r="A2558" t="s">
        <v>736</v>
      </c>
      <c r="B2558">
        <v>627040</v>
      </c>
      <c r="C2558" t="s">
        <v>6914</v>
      </c>
      <c r="D2558" t="s">
        <v>736</v>
      </c>
      <c r="E2558" t="s">
        <v>6939</v>
      </c>
      <c r="F2558">
        <v>15</v>
      </c>
      <c r="G2558">
        <v>2</v>
      </c>
      <c r="H2558" t="s">
        <v>12102</v>
      </c>
      <c r="J2558" t="s">
        <v>6607</v>
      </c>
      <c r="M2558" t="s">
        <v>12103</v>
      </c>
      <c r="N2558">
        <v>1.8217074179999999</v>
      </c>
      <c r="O2558">
        <v>4.1700741289999996</v>
      </c>
      <c r="P2558">
        <v>0.189705977</v>
      </c>
      <c r="Q2558">
        <v>-1.7194070999999998E-2</v>
      </c>
      <c r="S2558" s="13">
        <v>-1.4627985859999999</v>
      </c>
      <c r="T2558">
        <v>-0.46690242900000001</v>
      </c>
      <c r="U2558">
        <v>-0.27048762900000001</v>
      </c>
    </row>
    <row r="2559" spans="1:21" x14ac:dyDescent="0.2">
      <c r="A2559" t="s">
        <v>2149</v>
      </c>
      <c r="B2559">
        <v>627040</v>
      </c>
      <c r="C2559" t="s">
        <v>6914</v>
      </c>
      <c r="D2559" t="s">
        <v>2149</v>
      </c>
      <c r="E2559" t="s">
        <v>7085</v>
      </c>
      <c r="F2559">
        <v>13</v>
      </c>
      <c r="G2559">
        <v>9</v>
      </c>
      <c r="H2559" t="s">
        <v>12104</v>
      </c>
      <c r="J2559" t="s">
        <v>4070</v>
      </c>
      <c r="M2559" t="s">
        <v>12105</v>
      </c>
      <c r="N2559">
        <v>1.8217074179999999</v>
      </c>
      <c r="O2559">
        <v>4.1700741289999996</v>
      </c>
      <c r="P2559">
        <v>0.189705977</v>
      </c>
      <c r="Q2559">
        <v>-1.7194070999999998E-2</v>
      </c>
      <c r="S2559" s="13">
        <v>-1.4627985859999999</v>
      </c>
      <c r="T2559">
        <v>-0.46690242900000001</v>
      </c>
      <c r="U2559">
        <v>-0.27048762900000001</v>
      </c>
    </row>
    <row r="2560" spans="1:21" x14ac:dyDescent="0.2">
      <c r="A2560" t="s">
        <v>277</v>
      </c>
      <c r="B2560">
        <v>526400</v>
      </c>
      <c r="C2560" t="s">
        <v>6938</v>
      </c>
      <c r="D2560" t="s">
        <v>277</v>
      </c>
      <c r="E2560" t="s">
        <v>7085</v>
      </c>
      <c r="F2560">
        <v>22</v>
      </c>
      <c r="G2560">
        <v>9</v>
      </c>
      <c r="H2560" t="s">
        <v>12106</v>
      </c>
      <c r="J2560" t="s">
        <v>1590</v>
      </c>
      <c r="M2560" t="s">
        <v>12107</v>
      </c>
      <c r="N2560">
        <v>2.092758737</v>
      </c>
      <c r="O2560">
        <v>5.3323610669999999</v>
      </c>
      <c r="P2560">
        <v>0.70420098600000003</v>
      </c>
      <c r="Q2560">
        <v>0.41355372699999998</v>
      </c>
      <c r="S2560" s="13">
        <v>-1.463036757</v>
      </c>
      <c r="T2560">
        <v>-0.46794318400000001</v>
      </c>
      <c r="U2560">
        <v>-0.32132550500000001</v>
      </c>
    </row>
    <row r="2561" spans="1:21" x14ac:dyDescent="0.2">
      <c r="A2561" t="s">
        <v>1190</v>
      </c>
      <c r="B2561">
        <v>534400</v>
      </c>
      <c r="C2561" t="s">
        <v>6927</v>
      </c>
      <c r="D2561" t="s">
        <v>1190</v>
      </c>
      <c r="E2561" t="s">
        <v>6921</v>
      </c>
      <c r="F2561">
        <v>17</v>
      </c>
      <c r="G2561">
        <v>8</v>
      </c>
      <c r="H2561" t="s">
        <v>12108</v>
      </c>
      <c r="J2561" t="s">
        <v>12109</v>
      </c>
      <c r="M2561" t="s">
        <v>12110</v>
      </c>
      <c r="N2561">
        <v>1.982575982</v>
      </c>
      <c r="O2561">
        <v>3.4571926419999999</v>
      </c>
      <c r="P2561">
        <v>-0.114791479</v>
      </c>
      <c r="Q2561">
        <v>1.868949E-3</v>
      </c>
      <c r="S2561" s="13">
        <v>-1.4632265959999999</v>
      </c>
      <c r="T2561">
        <v>-0.46877273800000002</v>
      </c>
      <c r="U2561">
        <v>-0.28159573700000001</v>
      </c>
    </row>
    <row r="2562" spans="1:21" x14ac:dyDescent="0.2">
      <c r="A2562" t="s">
        <v>300</v>
      </c>
      <c r="B2562">
        <v>463520</v>
      </c>
      <c r="C2562" t="s">
        <v>6931</v>
      </c>
      <c r="D2562" t="s">
        <v>300</v>
      </c>
      <c r="E2562" t="s">
        <v>7006</v>
      </c>
      <c r="F2562">
        <v>19</v>
      </c>
      <c r="G2562">
        <v>3</v>
      </c>
      <c r="H2562" t="s">
        <v>12111</v>
      </c>
      <c r="N2562">
        <v>1.9323965059999999</v>
      </c>
      <c r="O2562">
        <v>3.0528020530000002</v>
      </c>
      <c r="P2562">
        <v>2.6493138999999999E-2</v>
      </c>
      <c r="Q2562">
        <v>-0.38692188</v>
      </c>
      <c r="S2562" s="13">
        <v>-1.46345181</v>
      </c>
      <c r="T2562">
        <v>-0.46975686999999999</v>
      </c>
      <c r="U2562">
        <v>-0.18313490499999999</v>
      </c>
    </row>
    <row r="2563" spans="1:21" x14ac:dyDescent="0.2">
      <c r="A2563" t="s">
        <v>714</v>
      </c>
      <c r="B2563">
        <v>510480</v>
      </c>
      <c r="C2563" t="s">
        <v>6910</v>
      </c>
      <c r="D2563" t="s">
        <v>715</v>
      </c>
      <c r="E2563" t="s">
        <v>6956</v>
      </c>
      <c r="F2563">
        <v>5</v>
      </c>
      <c r="G2563">
        <v>7</v>
      </c>
      <c r="H2563" t="s">
        <v>12112</v>
      </c>
      <c r="J2563" t="s">
        <v>3724</v>
      </c>
      <c r="M2563" t="s">
        <v>12113</v>
      </c>
      <c r="N2563">
        <v>1.9874741039999999</v>
      </c>
      <c r="O2563">
        <v>3.7453511220000002</v>
      </c>
      <c r="P2563">
        <v>0.451009722</v>
      </c>
      <c r="Q2563">
        <v>-0.102386592</v>
      </c>
      <c r="S2563" s="13">
        <v>-1.4634626559999999</v>
      </c>
      <c r="T2563">
        <v>-0.46980426400000003</v>
      </c>
      <c r="U2563">
        <v>-0.206119202</v>
      </c>
    </row>
    <row r="2564" spans="1:21" x14ac:dyDescent="0.2">
      <c r="A2564" t="s">
        <v>1794</v>
      </c>
      <c r="B2564">
        <v>462280</v>
      </c>
      <c r="C2564" t="s">
        <v>6942</v>
      </c>
      <c r="D2564" t="s">
        <v>1794</v>
      </c>
      <c r="E2564" t="s">
        <v>7115</v>
      </c>
      <c r="F2564">
        <v>13</v>
      </c>
      <c r="G2564">
        <v>10</v>
      </c>
      <c r="H2564" t="s">
        <v>12114</v>
      </c>
      <c r="J2564" t="s">
        <v>3710</v>
      </c>
      <c r="M2564" t="s">
        <v>12115</v>
      </c>
      <c r="N2564">
        <v>2.0902262079999998</v>
      </c>
      <c r="O2564">
        <v>4.2704203920000001</v>
      </c>
      <c r="P2564">
        <v>0.23425843900000001</v>
      </c>
      <c r="Q2564">
        <v>1.6181978999999999E-2</v>
      </c>
      <c r="S2564" s="13">
        <v>-1.46351805</v>
      </c>
      <c r="T2564">
        <v>-0.47004632200000002</v>
      </c>
      <c r="U2564">
        <v>-0.32290651999999997</v>
      </c>
    </row>
    <row r="2565" spans="1:21" x14ac:dyDescent="0.2">
      <c r="A2565" t="s">
        <v>1256</v>
      </c>
      <c r="B2565">
        <v>146560</v>
      </c>
      <c r="C2565" t="s">
        <v>6961</v>
      </c>
      <c r="D2565" t="s">
        <v>1257</v>
      </c>
      <c r="E2565" t="s">
        <v>6946</v>
      </c>
      <c r="F2565">
        <v>7</v>
      </c>
      <c r="G2565">
        <v>11</v>
      </c>
      <c r="H2565" t="s">
        <v>12116</v>
      </c>
      <c r="J2565" t="s">
        <v>6221</v>
      </c>
      <c r="M2565" t="s">
        <v>12117</v>
      </c>
      <c r="N2565">
        <v>2.7247480949999998</v>
      </c>
      <c r="O2565">
        <v>7.0822175119999997</v>
      </c>
      <c r="P2565">
        <v>0.61298291999999999</v>
      </c>
      <c r="Q2565">
        <v>0.48262032500000002</v>
      </c>
      <c r="S2565" s="13">
        <v>-1.4637756879999999</v>
      </c>
      <c r="T2565">
        <v>-0.47117214299999999</v>
      </c>
      <c r="U2565">
        <v>-0.41516164999999999</v>
      </c>
    </row>
    <row r="2566" spans="1:21" x14ac:dyDescent="0.2">
      <c r="A2566" t="s">
        <v>1309</v>
      </c>
      <c r="B2566">
        <v>509320</v>
      </c>
      <c r="C2566" t="s">
        <v>6910</v>
      </c>
      <c r="D2566" t="s">
        <v>1309</v>
      </c>
      <c r="E2566" t="s">
        <v>6921</v>
      </c>
      <c r="F2566">
        <v>20</v>
      </c>
      <c r="G2566">
        <v>8</v>
      </c>
      <c r="H2566" t="s">
        <v>12118</v>
      </c>
      <c r="J2566" t="s">
        <v>5061</v>
      </c>
      <c r="M2566" t="s">
        <v>12119</v>
      </c>
      <c r="N2566">
        <v>1.9874741039999999</v>
      </c>
      <c r="O2566">
        <v>3.7453511220000002</v>
      </c>
      <c r="P2566">
        <v>0.451009722</v>
      </c>
      <c r="Q2566">
        <v>-0.102386592</v>
      </c>
      <c r="S2566" s="13">
        <v>-1.4647106919999999</v>
      </c>
      <c r="T2566">
        <v>-0.47525789800000001</v>
      </c>
      <c r="U2566">
        <v>-0.206997651</v>
      </c>
    </row>
    <row r="2567" spans="1:21" x14ac:dyDescent="0.2">
      <c r="A2567" t="s">
        <v>574</v>
      </c>
      <c r="B2567">
        <v>462360</v>
      </c>
      <c r="C2567" t="s">
        <v>6931</v>
      </c>
      <c r="D2567" t="s">
        <v>574</v>
      </c>
      <c r="E2567" t="s">
        <v>6977</v>
      </c>
      <c r="F2567">
        <v>20</v>
      </c>
      <c r="G2567">
        <v>5</v>
      </c>
      <c r="H2567" t="s">
        <v>12120</v>
      </c>
      <c r="N2567">
        <v>1.9323965059999999</v>
      </c>
      <c r="O2567">
        <v>3.0528020530000002</v>
      </c>
      <c r="P2567">
        <v>2.6493138999999999E-2</v>
      </c>
      <c r="Q2567">
        <v>-0.38692188</v>
      </c>
      <c r="S2567" s="13">
        <v>-1.4649760199999999</v>
      </c>
      <c r="T2567">
        <v>-0.47641731999999998</v>
      </c>
      <c r="U2567">
        <v>-0.18396802900000001</v>
      </c>
    </row>
    <row r="2568" spans="1:21" x14ac:dyDescent="0.2">
      <c r="A2568" t="s">
        <v>1617</v>
      </c>
      <c r="B2568">
        <v>523600</v>
      </c>
      <c r="C2568" t="s">
        <v>6938</v>
      </c>
      <c r="D2568" t="s">
        <v>1617</v>
      </c>
      <c r="E2568" t="s">
        <v>7115</v>
      </c>
      <c r="F2568">
        <v>16</v>
      </c>
      <c r="G2568">
        <v>10</v>
      </c>
      <c r="H2568" t="s">
        <v>12121</v>
      </c>
      <c r="J2568" t="s">
        <v>3805</v>
      </c>
      <c r="M2568" t="s">
        <v>12122</v>
      </c>
      <c r="N2568">
        <v>2.092758737</v>
      </c>
      <c r="O2568">
        <v>5.3323610669999999</v>
      </c>
      <c r="P2568">
        <v>0.70420098600000003</v>
      </c>
      <c r="Q2568">
        <v>0.41355372699999998</v>
      </c>
      <c r="S2568" s="13">
        <v>-1.465441429</v>
      </c>
      <c r="T2568">
        <v>-0.47845105100000002</v>
      </c>
      <c r="U2568">
        <v>-0.32409607000000001</v>
      </c>
    </row>
    <row r="2569" spans="1:21" x14ac:dyDescent="0.2">
      <c r="A2569" t="s">
        <v>534</v>
      </c>
      <c r="B2569">
        <v>144400</v>
      </c>
      <c r="C2569" t="s">
        <v>6961</v>
      </c>
      <c r="D2569" t="s">
        <v>534</v>
      </c>
      <c r="E2569" t="s">
        <v>6928</v>
      </c>
      <c r="F2569">
        <v>22</v>
      </c>
      <c r="G2569">
        <v>16</v>
      </c>
      <c r="H2569" t="s">
        <v>12123</v>
      </c>
      <c r="J2569" t="s">
        <v>5631</v>
      </c>
      <c r="M2569" t="s">
        <v>12124</v>
      </c>
      <c r="N2569">
        <v>2.7247480949999998</v>
      </c>
      <c r="O2569">
        <v>7.0822175119999997</v>
      </c>
      <c r="P2569">
        <v>0.61298291999999999</v>
      </c>
      <c r="Q2569">
        <v>0.48262032500000002</v>
      </c>
      <c r="S2569" s="13">
        <v>-1.4654855769999999</v>
      </c>
      <c r="T2569">
        <v>-0.47864396599999998</v>
      </c>
      <c r="U2569">
        <v>-0.41781406300000001</v>
      </c>
    </row>
    <row r="2570" spans="1:21" x14ac:dyDescent="0.2">
      <c r="A2570" t="s">
        <v>522</v>
      </c>
      <c r="B2570">
        <v>597160</v>
      </c>
      <c r="C2570" t="s">
        <v>6953</v>
      </c>
      <c r="D2570" t="s">
        <v>522</v>
      </c>
      <c r="E2570" t="s">
        <v>6977</v>
      </c>
      <c r="F2570">
        <v>15</v>
      </c>
      <c r="G2570">
        <v>5</v>
      </c>
      <c r="H2570" t="s">
        <v>12125</v>
      </c>
      <c r="J2570" t="s">
        <v>4181</v>
      </c>
      <c r="M2570" t="s">
        <v>12126</v>
      </c>
      <c r="N2570">
        <v>1.921480887</v>
      </c>
      <c r="O2570">
        <v>3.0856645180000002</v>
      </c>
      <c r="P2570">
        <v>0.44706724399999997</v>
      </c>
      <c r="Q2570">
        <v>-0.354940863</v>
      </c>
      <c r="S2570" s="13">
        <v>-1.465582003</v>
      </c>
      <c r="T2570">
        <v>-0.47906532899999998</v>
      </c>
      <c r="U2570">
        <v>-0.215587362</v>
      </c>
    </row>
    <row r="2571" spans="1:21" x14ac:dyDescent="0.2">
      <c r="A2571" t="s">
        <v>222</v>
      </c>
      <c r="B2571">
        <v>523400</v>
      </c>
      <c r="C2571" t="s">
        <v>6938</v>
      </c>
      <c r="D2571" t="s">
        <v>222</v>
      </c>
      <c r="E2571" t="s">
        <v>6924</v>
      </c>
      <c r="F2571">
        <v>20</v>
      </c>
      <c r="G2571">
        <v>6</v>
      </c>
      <c r="H2571" t="s">
        <v>12127</v>
      </c>
      <c r="J2571" t="s">
        <v>1658</v>
      </c>
      <c r="M2571" t="s">
        <v>12128</v>
      </c>
      <c r="N2571">
        <v>2.092758737</v>
      </c>
      <c r="O2571">
        <v>5.3323610669999999</v>
      </c>
      <c r="P2571">
        <v>0.70420098600000003</v>
      </c>
      <c r="Q2571">
        <v>0.41355372699999998</v>
      </c>
      <c r="S2571" s="13">
        <v>-1.4656131910000001</v>
      </c>
      <c r="T2571">
        <v>-0.47920161300000003</v>
      </c>
      <c r="U2571">
        <v>-0.32429464499999999</v>
      </c>
    </row>
    <row r="2572" spans="1:21" x14ac:dyDescent="0.2">
      <c r="A2572" t="s">
        <v>2031</v>
      </c>
      <c r="B2572">
        <v>373480</v>
      </c>
      <c r="C2572" t="s">
        <v>6945</v>
      </c>
      <c r="D2572" t="s">
        <v>2032</v>
      </c>
      <c r="E2572" t="s">
        <v>6924</v>
      </c>
      <c r="F2572">
        <v>3</v>
      </c>
      <c r="G2572">
        <v>6</v>
      </c>
      <c r="H2572" t="s">
        <v>12129</v>
      </c>
      <c r="J2572" t="s">
        <v>6109</v>
      </c>
      <c r="M2572" t="s">
        <v>12130</v>
      </c>
      <c r="N2572">
        <v>2.2220813349999999</v>
      </c>
      <c r="O2572">
        <v>6.5440947090000003</v>
      </c>
      <c r="P2572">
        <v>0.58228215500000002</v>
      </c>
      <c r="Q2572">
        <v>0.35188233000000002</v>
      </c>
      <c r="S2572" s="13">
        <v>-1.46599634</v>
      </c>
      <c r="T2572">
        <v>-0.48087588599999997</v>
      </c>
      <c r="U2572">
        <v>-0.34112186500000002</v>
      </c>
    </row>
    <row r="2573" spans="1:21" x14ac:dyDescent="0.2">
      <c r="A2573" t="s">
        <v>482</v>
      </c>
      <c r="B2573">
        <v>522800</v>
      </c>
      <c r="C2573" t="s">
        <v>6938</v>
      </c>
      <c r="D2573" t="s">
        <v>482</v>
      </c>
      <c r="E2573" t="s">
        <v>6946</v>
      </c>
      <c r="F2573">
        <v>15</v>
      </c>
      <c r="G2573">
        <v>11</v>
      </c>
      <c r="H2573" t="s">
        <v>12131</v>
      </c>
      <c r="J2573" t="s">
        <v>2192</v>
      </c>
      <c r="M2573" t="s">
        <v>12132</v>
      </c>
      <c r="N2573">
        <v>2.092758737</v>
      </c>
      <c r="O2573">
        <v>5.3323610669999999</v>
      </c>
      <c r="P2573">
        <v>0.70420098600000003</v>
      </c>
      <c r="Q2573">
        <v>0.41355372699999998</v>
      </c>
      <c r="S2573" s="13">
        <v>-1.4661284779999999</v>
      </c>
      <c r="T2573">
        <v>-0.481453299</v>
      </c>
      <c r="U2573">
        <v>-0.324890917</v>
      </c>
    </row>
    <row r="2574" spans="1:21" x14ac:dyDescent="0.2">
      <c r="A2574" t="s">
        <v>1739</v>
      </c>
      <c r="B2574">
        <v>624160</v>
      </c>
      <c r="C2574" t="s">
        <v>6914</v>
      </c>
      <c r="D2574" t="s">
        <v>1739</v>
      </c>
      <c r="E2574" t="s">
        <v>7085</v>
      </c>
      <c r="F2574">
        <v>10</v>
      </c>
      <c r="G2574">
        <v>9</v>
      </c>
      <c r="H2574" t="s">
        <v>12133</v>
      </c>
      <c r="J2574" t="s">
        <v>4065</v>
      </c>
      <c r="M2574" t="s">
        <v>12134</v>
      </c>
      <c r="N2574">
        <v>1.8217074179999999</v>
      </c>
      <c r="O2574">
        <v>4.1700741289999996</v>
      </c>
      <c r="P2574">
        <v>0.189705977</v>
      </c>
      <c r="Q2574">
        <v>-1.7194070999999998E-2</v>
      </c>
      <c r="S2574" s="13">
        <v>-1.4662625389999999</v>
      </c>
      <c r="T2574">
        <v>-0.48203911300000002</v>
      </c>
      <c r="U2574">
        <v>-0.273021864</v>
      </c>
    </row>
    <row r="2575" spans="1:21" x14ac:dyDescent="0.2">
      <c r="A2575" t="s">
        <v>1882</v>
      </c>
      <c r="B2575">
        <v>531000</v>
      </c>
      <c r="C2575" t="s">
        <v>6927</v>
      </c>
      <c r="D2575" t="s">
        <v>1882</v>
      </c>
      <c r="E2575" t="s">
        <v>7006</v>
      </c>
      <c r="F2575">
        <v>20</v>
      </c>
      <c r="G2575">
        <v>3</v>
      </c>
      <c r="H2575" t="s">
        <v>12135</v>
      </c>
      <c r="J2575" t="s">
        <v>12136</v>
      </c>
      <c r="M2575" t="s">
        <v>12137</v>
      </c>
      <c r="N2575">
        <v>1.982575982</v>
      </c>
      <c r="O2575">
        <v>3.4571926419999999</v>
      </c>
      <c r="P2575">
        <v>-0.114791479</v>
      </c>
      <c r="Q2575">
        <v>1.868949E-3</v>
      </c>
      <c r="S2575" s="13">
        <v>-1.466754519</v>
      </c>
      <c r="T2575">
        <v>-0.48418895299999998</v>
      </c>
      <c r="U2575">
        <v>-0.28466694799999998</v>
      </c>
    </row>
    <row r="2576" spans="1:21" x14ac:dyDescent="0.2">
      <c r="A2576" t="s">
        <v>462</v>
      </c>
      <c r="B2576">
        <v>522000</v>
      </c>
      <c r="C2576" t="s">
        <v>6938</v>
      </c>
      <c r="D2576" t="s">
        <v>462</v>
      </c>
      <c r="E2576" t="s">
        <v>6956</v>
      </c>
      <c r="F2576">
        <v>20</v>
      </c>
      <c r="G2576">
        <v>7</v>
      </c>
      <c r="H2576" t="s">
        <v>12138</v>
      </c>
      <c r="J2576" t="s">
        <v>2683</v>
      </c>
      <c r="M2576" t="s">
        <v>12139</v>
      </c>
      <c r="N2576">
        <v>2.092758737</v>
      </c>
      <c r="O2576">
        <v>5.3323610669999999</v>
      </c>
      <c r="P2576">
        <v>0.70420098600000003</v>
      </c>
      <c r="Q2576">
        <v>0.41355372699999998</v>
      </c>
      <c r="S2576" s="13">
        <v>-1.4668155270000001</v>
      </c>
      <c r="T2576">
        <v>-0.48445554600000001</v>
      </c>
      <c r="U2576">
        <v>-0.325687222</v>
      </c>
    </row>
    <row r="2577" spans="1:21" x14ac:dyDescent="0.2">
      <c r="A2577" t="s">
        <v>314</v>
      </c>
      <c r="B2577">
        <v>142640</v>
      </c>
      <c r="C2577" t="s">
        <v>6961</v>
      </c>
      <c r="D2577" t="s">
        <v>315</v>
      </c>
      <c r="E2577" t="s">
        <v>6915</v>
      </c>
      <c r="F2577">
        <v>6</v>
      </c>
      <c r="G2577">
        <v>13</v>
      </c>
      <c r="H2577" t="s">
        <v>12140</v>
      </c>
      <c r="J2577" t="s">
        <v>6037</v>
      </c>
      <c r="M2577" t="s">
        <v>12141</v>
      </c>
      <c r="N2577">
        <v>2.7247480949999998</v>
      </c>
      <c r="O2577">
        <v>7.0822175119999997</v>
      </c>
      <c r="P2577">
        <v>0.61298291999999999</v>
      </c>
      <c r="Q2577">
        <v>0.48262032500000002</v>
      </c>
      <c r="S2577" s="13">
        <v>-1.46687882</v>
      </c>
      <c r="T2577">
        <v>-0.48473211900000002</v>
      </c>
      <c r="U2577">
        <v>-0.41998732999999999</v>
      </c>
    </row>
    <row r="2578" spans="1:21" x14ac:dyDescent="0.2">
      <c r="A2578" t="s">
        <v>693</v>
      </c>
      <c r="B2578">
        <v>595720</v>
      </c>
      <c r="C2578" t="s">
        <v>6953</v>
      </c>
      <c r="D2578" t="s">
        <v>693</v>
      </c>
      <c r="E2578" t="s">
        <v>6977</v>
      </c>
      <c r="F2578">
        <v>22</v>
      </c>
      <c r="G2578">
        <v>5</v>
      </c>
      <c r="H2578" t="s">
        <v>12142</v>
      </c>
      <c r="J2578" t="s">
        <v>1378</v>
      </c>
      <c r="M2578" t="s">
        <v>12143</v>
      </c>
      <c r="N2578">
        <v>1.921480887</v>
      </c>
      <c r="O2578">
        <v>3.0856645180000002</v>
      </c>
      <c r="P2578">
        <v>0.44706724399999997</v>
      </c>
      <c r="Q2578">
        <v>-0.354940863</v>
      </c>
      <c r="S2578" s="13">
        <v>-1.467076182</v>
      </c>
      <c r="T2578">
        <v>-0.48559454899999999</v>
      </c>
      <c r="U2578">
        <v>-0.21670218899999999</v>
      </c>
    </row>
    <row r="2579" spans="1:21" x14ac:dyDescent="0.2">
      <c r="A2579" t="s">
        <v>1773</v>
      </c>
      <c r="B2579">
        <v>521680</v>
      </c>
      <c r="C2579" t="s">
        <v>6938</v>
      </c>
      <c r="D2579" t="s">
        <v>1773</v>
      </c>
      <c r="E2579" t="s">
        <v>6970</v>
      </c>
      <c r="F2579">
        <v>15</v>
      </c>
      <c r="G2579">
        <v>14</v>
      </c>
      <c r="H2579" t="s">
        <v>12144</v>
      </c>
      <c r="J2579" t="s">
        <v>5625</v>
      </c>
      <c r="M2579" t="s">
        <v>12145</v>
      </c>
      <c r="N2579">
        <v>2.092758737</v>
      </c>
      <c r="O2579">
        <v>5.3323610669999999</v>
      </c>
      <c r="P2579">
        <v>0.70420098600000003</v>
      </c>
      <c r="Q2579">
        <v>0.41355372699999998</v>
      </c>
      <c r="S2579" s="13">
        <v>-1.4670903470000001</v>
      </c>
      <c r="T2579">
        <v>-0.48565644499999999</v>
      </c>
      <c r="U2579">
        <v>-0.32600615300000002</v>
      </c>
    </row>
    <row r="2580" spans="1:21" x14ac:dyDescent="0.2">
      <c r="A2580" t="s">
        <v>668</v>
      </c>
      <c r="B2580">
        <v>458400</v>
      </c>
      <c r="C2580" t="s">
        <v>6942</v>
      </c>
      <c r="D2580" t="s">
        <v>668</v>
      </c>
      <c r="E2580" t="s">
        <v>6956</v>
      </c>
      <c r="F2580">
        <v>21</v>
      </c>
      <c r="G2580">
        <v>7</v>
      </c>
      <c r="H2580" t="s">
        <v>12146</v>
      </c>
      <c r="J2580" t="s">
        <v>3101</v>
      </c>
      <c r="M2580" t="s">
        <v>12147</v>
      </c>
      <c r="N2580">
        <v>2.0902262079999998</v>
      </c>
      <c r="O2580">
        <v>4.2704203920000001</v>
      </c>
      <c r="P2580">
        <v>0.23425843900000001</v>
      </c>
      <c r="Q2580">
        <v>1.6181978999999999E-2</v>
      </c>
      <c r="S2580" s="13">
        <v>-1.467326227</v>
      </c>
      <c r="T2580">
        <v>-0.48668718900000002</v>
      </c>
      <c r="U2580">
        <v>-0.32676455399999998</v>
      </c>
    </row>
    <row r="2581" spans="1:21" x14ac:dyDescent="0.2">
      <c r="A2581" t="s">
        <v>1089</v>
      </c>
      <c r="B2581">
        <v>530440</v>
      </c>
      <c r="C2581" t="s">
        <v>6927</v>
      </c>
      <c r="D2581" t="s">
        <v>1089</v>
      </c>
      <c r="E2581" t="s">
        <v>6946</v>
      </c>
      <c r="F2581">
        <v>21</v>
      </c>
      <c r="G2581">
        <v>11</v>
      </c>
      <c r="H2581" t="s">
        <v>12148</v>
      </c>
      <c r="J2581" t="s">
        <v>12149</v>
      </c>
      <c r="M2581" t="s">
        <v>12150</v>
      </c>
      <c r="N2581">
        <v>1.982575982</v>
      </c>
      <c r="O2581">
        <v>3.4571926419999999</v>
      </c>
      <c r="P2581">
        <v>-0.114791479</v>
      </c>
      <c r="Q2581">
        <v>1.868949E-3</v>
      </c>
      <c r="S2581" s="13">
        <v>-1.4673355880000001</v>
      </c>
      <c r="T2581">
        <v>-0.486728094</v>
      </c>
      <c r="U2581">
        <v>-0.28517488400000002</v>
      </c>
    </row>
    <row r="2582" spans="1:21" x14ac:dyDescent="0.2">
      <c r="A2582" t="s">
        <v>1698</v>
      </c>
      <c r="B2582">
        <v>460520</v>
      </c>
      <c r="C2582" t="s">
        <v>6931</v>
      </c>
      <c r="D2582" t="s">
        <v>1698</v>
      </c>
      <c r="E2582" t="s">
        <v>6921</v>
      </c>
      <c r="F2582">
        <v>11</v>
      </c>
      <c r="G2582">
        <v>8</v>
      </c>
      <c r="H2582" t="s">
        <v>12151</v>
      </c>
      <c r="N2582">
        <v>1.9323965059999999</v>
      </c>
      <c r="O2582">
        <v>3.0528020530000002</v>
      </c>
      <c r="P2582">
        <v>2.6493138999999999E-2</v>
      </c>
      <c r="Q2582">
        <v>-0.38692188</v>
      </c>
      <c r="S2582" s="13">
        <v>-1.4673937319999999</v>
      </c>
      <c r="T2582">
        <v>-0.48698216999999999</v>
      </c>
      <c r="U2582">
        <v>-0.185292823</v>
      </c>
    </row>
    <row r="2583" spans="1:21" x14ac:dyDescent="0.2">
      <c r="A2583" t="s">
        <v>1108</v>
      </c>
      <c r="B2583">
        <v>595320</v>
      </c>
      <c r="C2583" t="s">
        <v>6953</v>
      </c>
      <c r="D2583" t="s">
        <v>1109</v>
      </c>
      <c r="E2583" t="s">
        <v>6977</v>
      </c>
      <c r="F2583">
        <v>3</v>
      </c>
      <c r="G2583">
        <v>5</v>
      </c>
      <c r="H2583" t="s">
        <v>12152</v>
      </c>
      <c r="J2583" t="s">
        <v>1579</v>
      </c>
      <c r="M2583" t="s">
        <v>12153</v>
      </c>
      <c r="N2583">
        <v>1.921480887</v>
      </c>
      <c r="O2583">
        <v>3.0856645180000002</v>
      </c>
      <c r="P2583">
        <v>0.44706724399999997</v>
      </c>
      <c r="Q2583">
        <v>-0.354940863</v>
      </c>
      <c r="S2583" s="13">
        <v>-1.467491232</v>
      </c>
      <c r="T2583">
        <v>-0.487408222</v>
      </c>
      <c r="U2583">
        <v>-0.21701237100000001</v>
      </c>
    </row>
    <row r="2584" spans="1:21" x14ac:dyDescent="0.2">
      <c r="A2584" t="s">
        <v>320</v>
      </c>
      <c r="B2584">
        <v>521120</v>
      </c>
      <c r="C2584" t="s">
        <v>6938</v>
      </c>
      <c r="D2584" t="s">
        <v>320</v>
      </c>
      <c r="E2584" t="s">
        <v>6907</v>
      </c>
      <c r="F2584">
        <v>13</v>
      </c>
      <c r="G2584">
        <v>4</v>
      </c>
      <c r="H2584" t="s">
        <v>12154</v>
      </c>
      <c r="J2584" t="s">
        <v>4974</v>
      </c>
      <c r="M2584" t="s">
        <v>12155</v>
      </c>
      <c r="N2584">
        <v>2.092758737</v>
      </c>
      <c r="O2584">
        <v>5.3323610669999999</v>
      </c>
      <c r="P2584">
        <v>0.70420098600000003</v>
      </c>
      <c r="Q2584">
        <v>0.41355372699999998</v>
      </c>
      <c r="S2584" s="13">
        <v>-1.4675712809999999</v>
      </c>
      <c r="T2584">
        <v>-0.48775801899999999</v>
      </c>
      <c r="U2584">
        <v>-0.32656484699999999</v>
      </c>
    </row>
    <row r="2585" spans="1:21" x14ac:dyDescent="0.2">
      <c r="A2585" t="s">
        <v>191</v>
      </c>
      <c r="B2585">
        <v>595120</v>
      </c>
      <c r="C2585" t="s">
        <v>6953</v>
      </c>
      <c r="D2585" t="s">
        <v>192</v>
      </c>
      <c r="E2585" t="s">
        <v>6911</v>
      </c>
      <c r="F2585">
        <v>1</v>
      </c>
      <c r="G2585">
        <v>12</v>
      </c>
      <c r="H2585" t="s">
        <v>12156</v>
      </c>
      <c r="J2585" t="s">
        <v>1517</v>
      </c>
      <c r="M2585" t="s">
        <v>12157</v>
      </c>
      <c r="N2585">
        <v>1.921480887</v>
      </c>
      <c r="O2585">
        <v>3.0856645180000002</v>
      </c>
      <c r="P2585">
        <v>0.44706724399999997</v>
      </c>
      <c r="Q2585">
        <v>-0.354940863</v>
      </c>
      <c r="S2585" s="13">
        <v>-1.467698757</v>
      </c>
      <c r="T2585">
        <v>-0.48831505800000002</v>
      </c>
      <c r="U2585">
        <v>-0.21716754599999999</v>
      </c>
    </row>
    <row r="2586" spans="1:21" x14ac:dyDescent="0.2">
      <c r="A2586" t="s">
        <v>995</v>
      </c>
      <c r="B2586">
        <v>595040</v>
      </c>
      <c r="C2586" t="s">
        <v>6953</v>
      </c>
      <c r="D2586" t="s">
        <v>995</v>
      </c>
      <c r="E2586" t="s">
        <v>6907</v>
      </c>
      <c r="F2586">
        <v>20</v>
      </c>
      <c r="G2586">
        <v>4</v>
      </c>
      <c r="H2586" t="s">
        <v>12158</v>
      </c>
      <c r="J2586" t="s">
        <v>2123</v>
      </c>
      <c r="M2586" t="s">
        <v>12159</v>
      </c>
      <c r="N2586">
        <v>1.921480887</v>
      </c>
      <c r="O2586">
        <v>3.0856645180000002</v>
      </c>
      <c r="P2586">
        <v>0.44706724399999997</v>
      </c>
      <c r="Q2586">
        <v>-0.354940863</v>
      </c>
      <c r="S2586" s="13">
        <v>-1.467781767</v>
      </c>
      <c r="T2586">
        <v>-0.488677792</v>
      </c>
      <c r="U2586">
        <v>-0.21722963100000001</v>
      </c>
    </row>
    <row r="2587" spans="1:21" x14ac:dyDescent="0.2">
      <c r="A2587" t="s">
        <v>1739</v>
      </c>
      <c r="B2587">
        <v>520280</v>
      </c>
      <c r="C2587" t="s">
        <v>6938</v>
      </c>
      <c r="D2587" t="s">
        <v>1739</v>
      </c>
      <c r="E2587" t="s">
        <v>7085</v>
      </c>
      <c r="F2587">
        <v>10</v>
      </c>
      <c r="G2587">
        <v>9</v>
      </c>
      <c r="H2587" t="s">
        <v>12160</v>
      </c>
      <c r="J2587" t="s">
        <v>4127</v>
      </c>
      <c r="M2587" t="s">
        <v>12161</v>
      </c>
      <c r="N2587">
        <v>2.092758737</v>
      </c>
      <c r="O2587">
        <v>5.3323610669999999</v>
      </c>
      <c r="P2587">
        <v>0.70420098600000003</v>
      </c>
      <c r="Q2587">
        <v>0.41355372699999998</v>
      </c>
      <c r="S2587" s="13">
        <v>-1.468292683</v>
      </c>
      <c r="T2587">
        <v>-0.49091037900000001</v>
      </c>
      <c r="U2587">
        <v>-0.32740423699999999</v>
      </c>
    </row>
    <row r="2588" spans="1:21" x14ac:dyDescent="0.2">
      <c r="A2588" t="s">
        <v>295</v>
      </c>
      <c r="B2588">
        <v>529480</v>
      </c>
      <c r="C2588" t="s">
        <v>6927</v>
      </c>
      <c r="D2588" t="s">
        <v>295</v>
      </c>
      <c r="E2588" t="s">
        <v>6911</v>
      </c>
      <c r="F2588">
        <v>20</v>
      </c>
      <c r="G2588">
        <v>12</v>
      </c>
      <c r="H2588" t="s">
        <v>12162</v>
      </c>
      <c r="J2588" t="s">
        <v>12163</v>
      </c>
      <c r="M2588" t="s">
        <v>12164</v>
      </c>
      <c r="N2588">
        <v>1.982575982</v>
      </c>
      <c r="O2588">
        <v>3.4571926419999999</v>
      </c>
      <c r="P2588">
        <v>-0.114791479</v>
      </c>
      <c r="Q2588">
        <v>1.868949E-3</v>
      </c>
      <c r="S2588" s="13">
        <v>-1.468331708</v>
      </c>
      <c r="T2588">
        <v>-0.49108090799999998</v>
      </c>
      <c r="U2588">
        <v>-0.28604701599999999</v>
      </c>
    </row>
    <row r="2589" spans="1:21" x14ac:dyDescent="0.2">
      <c r="A2589" t="s">
        <v>801</v>
      </c>
      <c r="B2589">
        <v>524080</v>
      </c>
      <c r="C2589" t="s">
        <v>6906</v>
      </c>
      <c r="D2589" t="s">
        <v>801</v>
      </c>
      <c r="E2589" t="s">
        <v>6911</v>
      </c>
      <c r="F2589">
        <v>23</v>
      </c>
      <c r="G2589">
        <v>12</v>
      </c>
      <c r="H2589" t="s">
        <v>12165</v>
      </c>
      <c r="J2589" t="s">
        <v>2066</v>
      </c>
      <c r="M2589" t="s">
        <v>12166</v>
      </c>
      <c r="N2589">
        <v>1.813871112</v>
      </c>
      <c r="O2589">
        <v>2.6633694910000001</v>
      </c>
      <c r="P2589">
        <v>-0.29586356800000002</v>
      </c>
      <c r="Q2589">
        <v>-0.59018158399999998</v>
      </c>
      <c r="S2589" s="13">
        <v>-1.46838822</v>
      </c>
      <c r="T2589">
        <v>-0.49132785299999998</v>
      </c>
      <c r="U2589">
        <v>-0.226580962</v>
      </c>
    </row>
    <row r="2590" spans="1:21" x14ac:dyDescent="0.2">
      <c r="A2590" t="s">
        <v>2764</v>
      </c>
      <c r="B2590">
        <v>505880</v>
      </c>
      <c r="C2590" t="s">
        <v>6910</v>
      </c>
      <c r="D2590" t="s">
        <v>2764</v>
      </c>
      <c r="E2590" t="s">
        <v>6921</v>
      </c>
      <c r="F2590">
        <v>12</v>
      </c>
      <c r="G2590">
        <v>8</v>
      </c>
      <c r="H2590" t="s">
        <v>12167</v>
      </c>
      <c r="J2590" t="s">
        <v>5961</v>
      </c>
      <c r="M2590" t="s">
        <v>12168</v>
      </c>
      <c r="N2590">
        <v>1.9874741039999999</v>
      </c>
      <c r="O2590">
        <v>3.7453511220000002</v>
      </c>
      <c r="P2590">
        <v>0.451009722</v>
      </c>
      <c r="Q2590">
        <v>-0.102386592</v>
      </c>
      <c r="S2590" s="13">
        <v>-1.468411766</v>
      </c>
      <c r="T2590">
        <v>-0.49143074399999997</v>
      </c>
      <c r="U2590">
        <v>-0.209613204</v>
      </c>
    </row>
    <row r="2591" spans="1:21" x14ac:dyDescent="0.2">
      <c r="A2591" t="s">
        <v>1413</v>
      </c>
      <c r="B2591">
        <v>505720</v>
      </c>
      <c r="C2591" t="s">
        <v>6910</v>
      </c>
      <c r="D2591" t="s">
        <v>1413</v>
      </c>
      <c r="E2591" t="s">
        <v>6977</v>
      </c>
      <c r="F2591">
        <v>18</v>
      </c>
      <c r="G2591">
        <v>5</v>
      </c>
      <c r="H2591" t="s">
        <v>12169</v>
      </c>
      <c r="J2591" t="s">
        <v>5799</v>
      </c>
      <c r="M2591" t="s">
        <v>12170</v>
      </c>
      <c r="N2591">
        <v>1.9874741039999999</v>
      </c>
      <c r="O2591">
        <v>3.7453511220000002</v>
      </c>
      <c r="P2591">
        <v>0.451009722</v>
      </c>
      <c r="Q2591">
        <v>-0.102386592</v>
      </c>
      <c r="S2591" s="13">
        <v>-1.4685839089999999</v>
      </c>
      <c r="T2591">
        <v>-0.49218297</v>
      </c>
      <c r="U2591">
        <v>-0.20973524199999999</v>
      </c>
    </row>
    <row r="2592" spans="1:21" x14ac:dyDescent="0.2">
      <c r="A2592" t="s">
        <v>603</v>
      </c>
      <c r="B2592">
        <v>523880</v>
      </c>
      <c r="C2592" t="s">
        <v>6906</v>
      </c>
      <c r="D2592" t="s">
        <v>604</v>
      </c>
      <c r="E2592" t="s">
        <v>6911</v>
      </c>
      <c r="F2592">
        <v>8</v>
      </c>
      <c r="G2592">
        <v>12</v>
      </c>
      <c r="H2592" t="s">
        <v>12171</v>
      </c>
      <c r="J2592" t="s">
        <v>606</v>
      </c>
      <c r="M2592" t="s">
        <v>12172</v>
      </c>
      <c r="N2592">
        <v>1.813871112</v>
      </c>
      <c r="O2592">
        <v>2.6633694910000001</v>
      </c>
      <c r="P2592">
        <v>-0.29586356800000002</v>
      </c>
      <c r="Q2592">
        <v>-0.59018158399999998</v>
      </c>
      <c r="S2592" s="13">
        <v>-1.468678369</v>
      </c>
      <c r="T2592">
        <v>-0.49259574</v>
      </c>
      <c r="U2592">
        <v>-0.22673959399999999</v>
      </c>
    </row>
    <row r="2593" spans="1:21" x14ac:dyDescent="0.2">
      <c r="A2593" t="s">
        <v>1688</v>
      </c>
      <c r="B2593">
        <v>523880</v>
      </c>
      <c r="C2593" t="s">
        <v>6906</v>
      </c>
      <c r="D2593" t="s">
        <v>1688</v>
      </c>
      <c r="E2593" t="s">
        <v>6915</v>
      </c>
      <c r="F2593">
        <v>22</v>
      </c>
      <c r="G2593">
        <v>13</v>
      </c>
      <c r="H2593" t="s">
        <v>12173</v>
      </c>
      <c r="J2593" t="s">
        <v>1943</v>
      </c>
      <c r="M2593" t="s">
        <v>12174</v>
      </c>
      <c r="N2593">
        <v>1.813871112</v>
      </c>
      <c r="O2593">
        <v>2.6633694910000001</v>
      </c>
      <c r="P2593">
        <v>-0.29586356800000002</v>
      </c>
      <c r="Q2593">
        <v>-0.59018158399999998</v>
      </c>
      <c r="S2593" s="13">
        <v>-1.468678369</v>
      </c>
      <c r="T2593">
        <v>-0.49259574</v>
      </c>
      <c r="U2593">
        <v>-0.22673959399999999</v>
      </c>
    </row>
    <row r="2594" spans="1:21" x14ac:dyDescent="0.2">
      <c r="A2594" t="s">
        <v>307</v>
      </c>
      <c r="B2594">
        <v>523800</v>
      </c>
      <c r="C2594" t="s">
        <v>6906</v>
      </c>
      <c r="D2594" t="s">
        <v>308</v>
      </c>
      <c r="E2594" t="s">
        <v>6915</v>
      </c>
      <c r="F2594">
        <v>3</v>
      </c>
      <c r="G2594">
        <v>13</v>
      </c>
      <c r="H2594" t="s">
        <v>12175</v>
      </c>
      <c r="J2594" t="s">
        <v>3018</v>
      </c>
      <c r="M2594" t="s">
        <v>12176</v>
      </c>
      <c r="N2594">
        <v>1.813871112</v>
      </c>
      <c r="O2594">
        <v>2.6633694910000001</v>
      </c>
      <c r="P2594">
        <v>-0.29586356800000002</v>
      </c>
      <c r="Q2594">
        <v>-0.59018158399999998</v>
      </c>
      <c r="S2594" s="13">
        <v>-1.4687944289999999</v>
      </c>
      <c r="T2594">
        <v>-0.49310289499999999</v>
      </c>
      <c r="U2594">
        <v>-0.226803063</v>
      </c>
    </row>
    <row r="2595" spans="1:21" x14ac:dyDescent="0.2">
      <c r="A2595" t="s">
        <v>504</v>
      </c>
      <c r="B2595">
        <v>459440</v>
      </c>
      <c r="C2595" t="s">
        <v>6931</v>
      </c>
      <c r="D2595" t="s">
        <v>504</v>
      </c>
      <c r="E2595" t="s">
        <v>6956</v>
      </c>
      <c r="F2595">
        <v>12</v>
      </c>
      <c r="G2595">
        <v>7</v>
      </c>
      <c r="H2595" t="s">
        <v>12177</v>
      </c>
      <c r="N2595">
        <v>1.9323965059999999</v>
      </c>
      <c r="O2595">
        <v>3.0528020530000002</v>
      </c>
      <c r="P2595">
        <v>2.6493138999999999E-2</v>
      </c>
      <c r="Q2595">
        <v>-0.38692188</v>
      </c>
      <c r="S2595" s="13">
        <v>-1.468812824</v>
      </c>
      <c r="T2595">
        <v>-0.493183278</v>
      </c>
      <c r="U2595">
        <v>-0.18607230599999999</v>
      </c>
    </row>
    <row r="2596" spans="1:21" x14ac:dyDescent="0.2">
      <c r="A2596" t="s">
        <v>2341</v>
      </c>
      <c r="B2596">
        <v>594000</v>
      </c>
      <c r="C2596" t="s">
        <v>6953</v>
      </c>
      <c r="D2596" t="s">
        <v>2341</v>
      </c>
      <c r="E2596" t="s">
        <v>6921</v>
      </c>
      <c r="F2596">
        <v>14</v>
      </c>
      <c r="G2596">
        <v>8</v>
      </c>
      <c r="H2596" t="s">
        <v>12178</v>
      </c>
      <c r="J2596" t="s">
        <v>4111</v>
      </c>
      <c r="M2596" t="s">
        <v>12179</v>
      </c>
      <c r="N2596">
        <v>1.921480887</v>
      </c>
      <c r="O2596">
        <v>3.0856645180000002</v>
      </c>
      <c r="P2596">
        <v>0.44706724399999997</v>
      </c>
      <c r="Q2596">
        <v>-0.354940863</v>
      </c>
      <c r="S2596" s="13">
        <v>-1.468860896</v>
      </c>
      <c r="T2596">
        <v>-0.49339334000000001</v>
      </c>
      <c r="U2596">
        <v>-0.218037549</v>
      </c>
    </row>
    <row r="2597" spans="1:21" x14ac:dyDescent="0.2">
      <c r="A2597" t="s">
        <v>221</v>
      </c>
      <c r="B2597">
        <v>621920</v>
      </c>
      <c r="C2597" t="s">
        <v>6914</v>
      </c>
      <c r="D2597" t="s">
        <v>221</v>
      </c>
      <c r="E2597" t="s">
        <v>6928</v>
      </c>
      <c r="F2597">
        <v>12</v>
      </c>
      <c r="G2597">
        <v>16</v>
      </c>
      <c r="H2597" t="s">
        <v>12180</v>
      </c>
      <c r="J2597" t="s">
        <v>2362</v>
      </c>
      <c r="M2597" t="s">
        <v>12181</v>
      </c>
      <c r="N2597">
        <v>1.8217074179999999</v>
      </c>
      <c r="O2597">
        <v>4.1700741289999996</v>
      </c>
      <c r="P2597">
        <v>0.189705977</v>
      </c>
      <c r="Q2597">
        <v>-1.7194070999999998E-2</v>
      </c>
      <c r="S2597" s="13">
        <v>-1.468956725</v>
      </c>
      <c r="T2597">
        <v>-0.49381208900000001</v>
      </c>
      <c r="U2597">
        <v>-0.27500321</v>
      </c>
    </row>
    <row r="2598" spans="1:21" x14ac:dyDescent="0.2">
      <c r="A2598" t="s">
        <v>1491</v>
      </c>
      <c r="B2598">
        <v>621840</v>
      </c>
      <c r="C2598" t="s">
        <v>6914</v>
      </c>
      <c r="D2598" t="s">
        <v>1491</v>
      </c>
      <c r="E2598" t="s">
        <v>6928</v>
      </c>
      <c r="F2598">
        <v>15</v>
      </c>
      <c r="G2598">
        <v>16</v>
      </c>
      <c r="H2598" t="s">
        <v>12182</v>
      </c>
      <c r="J2598" t="s">
        <v>6713</v>
      </c>
      <c r="M2598" t="s">
        <v>12183</v>
      </c>
      <c r="N2598">
        <v>1.8217074179999999</v>
      </c>
      <c r="O2598">
        <v>4.1700741289999996</v>
      </c>
      <c r="P2598">
        <v>0.189705977</v>
      </c>
      <c r="Q2598">
        <v>-1.7194070999999998E-2</v>
      </c>
      <c r="S2598" s="13">
        <v>-1.4690529459999999</v>
      </c>
      <c r="T2598">
        <v>-0.49423255300000002</v>
      </c>
      <c r="U2598">
        <v>-0.27507414000000002</v>
      </c>
    </row>
    <row r="2599" spans="1:21" x14ac:dyDescent="0.2">
      <c r="A2599" t="s">
        <v>325</v>
      </c>
      <c r="B2599">
        <v>523600</v>
      </c>
      <c r="C2599" t="s">
        <v>6906</v>
      </c>
      <c r="D2599" t="s">
        <v>326</v>
      </c>
      <c r="E2599" t="s">
        <v>6921</v>
      </c>
      <c r="F2599">
        <v>2</v>
      </c>
      <c r="G2599">
        <v>8</v>
      </c>
      <c r="H2599" t="s">
        <v>12184</v>
      </c>
      <c r="J2599" t="s">
        <v>379</v>
      </c>
      <c r="M2599" t="s">
        <v>12185</v>
      </c>
      <c r="N2599">
        <v>1.813871112</v>
      </c>
      <c r="O2599">
        <v>2.6633694910000001</v>
      </c>
      <c r="P2599">
        <v>-0.29586356800000002</v>
      </c>
      <c r="Q2599">
        <v>-0.59018158399999998</v>
      </c>
      <c r="S2599" s="13">
        <v>-1.469084579</v>
      </c>
      <c r="T2599">
        <v>-0.49437078099999998</v>
      </c>
      <c r="U2599">
        <v>-0.226961776</v>
      </c>
    </row>
    <row r="2600" spans="1:21" x14ac:dyDescent="0.2">
      <c r="A2600" t="s">
        <v>1052</v>
      </c>
      <c r="B2600">
        <v>621720</v>
      </c>
      <c r="C2600" t="s">
        <v>6914</v>
      </c>
      <c r="D2600" t="s">
        <v>1052</v>
      </c>
      <c r="E2600" t="s">
        <v>7085</v>
      </c>
      <c r="F2600">
        <v>19</v>
      </c>
      <c r="G2600">
        <v>9</v>
      </c>
      <c r="H2600" t="s">
        <v>12186</v>
      </c>
      <c r="J2600" t="s">
        <v>4631</v>
      </c>
      <c r="M2600" t="s">
        <v>12187</v>
      </c>
      <c r="N2600">
        <v>1.8217074179999999</v>
      </c>
      <c r="O2600">
        <v>4.1700741289999996</v>
      </c>
      <c r="P2600">
        <v>0.189705977</v>
      </c>
      <c r="Q2600">
        <v>-1.7194070999999998E-2</v>
      </c>
      <c r="S2600" s="13">
        <v>-1.4691972769999999</v>
      </c>
      <c r="T2600">
        <v>-0.49486324799999998</v>
      </c>
      <c r="U2600">
        <v>-0.27518055600000002</v>
      </c>
    </row>
    <row r="2601" spans="1:21" x14ac:dyDescent="0.2">
      <c r="A2601" t="s">
        <v>1456</v>
      </c>
      <c r="B2601">
        <v>504880</v>
      </c>
      <c r="C2601" t="s">
        <v>6910</v>
      </c>
      <c r="D2601" t="s">
        <v>1457</v>
      </c>
      <c r="E2601" t="s">
        <v>7006</v>
      </c>
      <c r="F2601">
        <v>7</v>
      </c>
      <c r="G2601">
        <v>3</v>
      </c>
      <c r="H2601" t="s">
        <v>12188</v>
      </c>
      <c r="J2601" t="s">
        <v>2058</v>
      </c>
      <c r="M2601" t="s">
        <v>12189</v>
      </c>
      <c r="N2601">
        <v>1.9874741039999999</v>
      </c>
      <c r="O2601">
        <v>3.7453511220000002</v>
      </c>
      <c r="P2601">
        <v>0.451009722</v>
      </c>
      <c r="Q2601">
        <v>-0.102386592</v>
      </c>
      <c r="S2601" s="13">
        <v>-1.46948766</v>
      </c>
      <c r="T2601">
        <v>-0.49613215300000002</v>
      </c>
      <c r="U2601">
        <v>-0.21037650299999999</v>
      </c>
    </row>
    <row r="2602" spans="1:21" x14ac:dyDescent="0.2">
      <c r="A2602" t="s">
        <v>592</v>
      </c>
      <c r="B2602">
        <v>458880</v>
      </c>
      <c r="C2602" t="s">
        <v>6931</v>
      </c>
      <c r="D2602" t="s">
        <v>593</v>
      </c>
      <c r="E2602" t="s">
        <v>6946</v>
      </c>
      <c r="F2602">
        <v>9</v>
      </c>
      <c r="G2602">
        <v>11</v>
      </c>
      <c r="H2602" t="s">
        <v>12190</v>
      </c>
      <c r="N2602">
        <v>1.9323965059999999</v>
      </c>
      <c r="O2602">
        <v>3.0528020530000002</v>
      </c>
      <c r="P2602">
        <v>2.6493138999999999E-2</v>
      </c>
      <c r="Q2602">
        <v>-0.38692188</v>
      </c>
      <c r="S2602" s="13">
        <v>-1.4695486499999999</v>
      </c>
      <c r="T2602">
        <v>-0.49639866700000002</v>
      </c>
      <c r="U2602">
        <v>-0.18647703400000001</v>
      </c>
    </row>
    <row r="2603" spans="1:21" x14ac:dyDescent="0.2">
      <c r="A2603" t="s">
        <v>2031</v>
      </c>
      <c r="B2603">
        <v>458760</v>
      </c>
      <c r="C2603" t="s">
        <v>6931</v>
      </c>
      <c r="D2603" t="s">
        <v>2032</v>
      </c>
      <c r="E2603" t="s">
        <v>6924</v>
      </c>
      <c r="F2603">
        <v>3</v>
      </c>
      <c r="G2603">
        <v>6</v>
      </c>
      <c r="H2603" t="s">
        <v>12191</v>
      </c>
      <c r="J2603" t="s">
        <v>3098</v>
      </c>
      <c r="M2603" t="s">
        <v>12192</v>
      </c>
      <c r="N2603">
        <v>1.9323965059999999</v>
      </c>
      <c r="O2603">
        <v>3.0528020530000002</v>
      </c>
      <c r="P2603">
        <v>2.6493138999999999E-2</v>
      </c>
      <c r="Q2603">
        <v>-0.38692188</v>
      </c>
      <c r="S2603" s="13">
        <v>-1.4697063269999999</v>
      </c>
      <c r="T2603">
        <v>-0.497087679</v>
      </c>
      <c r="U2603">
        <v>-0.18656381</v>
      </c>
    </row>
    <row r="2604" spans="1:21" x14ac:dyDescent="0.2">
      <c r="A2604" t="s">
        <v>1309</v>
      </c>
      <c r="B2604">
        <v>593160</v>
      </c>
      <c r="C2604" t="s">
        <v>6953</v>
      </c>
      <c r="D2604" t="s">
        <v>1309</v>
      </c>
      <c r="E2604" t="s">
        <v>6921</v>
      </c>
      <c r="F2604">
        <v>20</v>
      </c>
      <c r="G2604">
        <v>8</v>
      </c>
      <c r="H2604" t="s">
        <v>12193</v>
      </c>
      <c r="J2604" t="s">
        <v>4936</v>
      </c>
      <c r="M2604" t="s">
        <v>12194</v>
      </c>
      <c r="N2604">
        <v>1.921480887</v>
      </c>
      <c r="O2604">
        <v>3.0856645180000002</v>
      </c>
      <c r="P2604">
        <v>0.44706724399999997</v>
      </c>
      <c r="Q2604">
        <v>-0.354940863</v>
      </c>
      <c r="S2604" s="13">
        <v>-1.4697325000000001</v>
      </c>
      <c r="T2604">
        <v>-0.49720205200000001</v>
      </c>
      <c r="U2604">
        <v>-0.218691197</v>
      </c>
    </row>
    <row r="2605" spans="1:21" x14ac:dyDescent="0.2">
      <c r="A2605" t="s">
        <v>307</v>
      </c>
      <c r="B2605">
        <v>593160</v>
      </c>
      <c r="C2605" t="s">
        <v>6953</v>
      </c>
      <c r="D2605" t="s">
        <v>308</v>
      </c>
      <c r="E2605" t="s">
        <v>6915</v>
      </c>
      <c r="F2605">
        <v>3</v>
      </c>
      <c r="G2605">
        <v>13</v>
      </c>
      <c r="H2605" t="s">
        <v>12195</v>
      </c>
      <c r="J2605" t="s">
        <v>3965</v>
      </c>
      <c r="M2605" t="s">
        <v>12196</v>
      </c>
      <c r="N2605">
        <v>1.921480887</v>
      </c>
      <c r="O2605">
        <v>3.0856645180000002</v>
      </c>
      <c r="P2605">
        <v>0.44706724399999997</v>
      </c>
      <c r="Q2605">
        <v>-0.354940863</v>
      </c>
      <c r="S2605" s="13">
        <v>-1.4697325000000001</v>
      </c>
      <c r="T2605">
        <v>-0.49720205200000001</v>
      </c>
      <c r="U2605">
        <v>-0.218691197</v>
      </c>
    </row>
    <row r="2606" spans="1:21" x14ac:dyDescent="0.2">
      <c r="A2606" t="s">
        <v>325</v>
      </c>
      <c r="B2606">
        <v>620960</v>
      </c>
      <c r="C2606" t="s">
        <v>6914</v>
      </c>
      <c r="D2606" t="s">
        <v>326</v>
      </c>
      <c r="E2606" t="s">
        <v>6921</v>
      </c>
      <c r="F2606">
        <v>2</v>
      </c>
      <c r="G2606">
        <v>8</v>
      </c>
      <c r="H2606" t="s">
        <v>12197</v>
      </c>
      <c r="J2606" t="s">
        <v>2237</v>
      </c>
      <c r="M2606" t="s">
        <v>12198</v>
      </c>
      <c r="N2606">
        <v>1.8217074179999999</v>
      </c>
      <c r="O2606">
        <v>4.1700741289999996</v>
      </c>
      <c r="P2606">
        <v>0.189705977</v>
      </c>
      <c r="Q2606">
        <v>-1.7194070999999998E-2</v>
      </c>
      <c r="S2606" s="13">
        <v>-1.470111376</v>
      </c>
      <c r="T2606">
        <v>-0.49885764999999999</v>
      </c>
      <c r="U2606">
        <v>-0.275855134</v>
      </c>
    </row>
    <row r="2607" spans="1:21" x14ac:dyDescent="0.2">
      <c r="A2607" t="s">
        <v>185</v>
      </c>
      <c r="B2607">
        <v>620680</v>
      </c>
      <c r="C2607" t="s">
        <v>6914</v>
      </c>
      <c r="D2607" t="s">
        <v>185</v>
      </c>
      <c r="E2607" t="s">
        <v>6977</v>
      </c>
      <c r="F2607">
        <v>23</v>
      </c>
      <c r="G2607">
        <v>5</v>
      </c>
      <c r="H2607" t="s">
        <v>12199</v>
      </c>
      <c r="J2607" t="s">
        <v>252</v>
      </c>
      <c r="M2607" t="s">
        <v>12200</v>
      </c>
      <c r="N2607">
        <v>1.8217074179999999</v>
      </c>
      <c r="O2607">
        <v>4.1700741289999996</v>
      </c>
      <c r="P2607">
        <v>0.189705977</v>
      </c>
      <c r="Q2607">
        <v>-1.7194070999999998E-2</v>
      </c>
      <c r="S2607" s="13">
        <v>-1.4704481490000001</v>
      </c>
      <c r="T2607">
        <v>-0.50032927199999999</v>
      </c>
      <c r="U2607">
        <v>-0.276103926</v>
      </c>
    </row>
    <row r="2608" spans="1:21" x14ac:dyDescent="0.2">
      <c r="A2608" t="s">
        <v>1349</v>
      </c>
      <c r="B2608">
        <v>455120</v>
      </c>
      <c r="C2608" t="s">
        <v>6942</v>
      </c>
      <c r="D2608" t="s">
        <v>1350</v>
      </c>
      <c r="E2608" t="s">
        <v>6939</v>
      </c>
      <c r="F2608">
        <v>6</v>
      </c>
      <c r="G2608">
        <v>2</v>
      </c>
      <c r="H2608" t="s">
        <v>12201</v>
      </c>
      <c r="J2608" t="s">
        <v>3026</v>
      </c>
      <c r="M2608" t="s">
        <v>12202</v>
      </c>
      <c r="N2608">
        <v>2.0902262079999998</v>
      </c>
      <c r="O2608">
        <v>4.2704203920000001</v>
      </c>
      <c r="P2608">
        <v>0.23425843900000001</v>
      </c>
      <c r="Q2608">
        <v>1.6181978999999999E-2</v>
      </c>
      <c r="S2608" s="13">
        <v>-1.4705455119999999</v>
      </c>
      <c r="T2608">
        <v>-0.50075472499999996</v>
      </c>
      <c r="U2608">
        <v>-0.33005293299999999</v>
      </c>
    </row>
    <row r="2609" spans="1:21" x14ac:dyDescent="0.2">
      <c r="A2609" t="s">
        <v>2239</v>
      </c>
      <c r="B2609">
        <v>527240</v>
      </c>
      <c r="C2609" t="s">
        <v>6927</v>
      </c>
      <c r="D2609" t="s">
        <v>2240</v>
      </c>
      <c r="E2609" t="s">
        <v>6924</v>
      </c>
      <c r="F2609">
        <v>9</v>
      </c>
      <c r="G2609">
        <v>6</v>
      </c>
      <c r="H2609" t="s">
        <v>12203</v>
      </c>
      <c r="J2609" t="s">
        <v>12204</v>
      </c>
      <c r="M2609" t="s">
        <v>12205</v>
      </c>
      <c r="N2609">
        <v>1.982575982</v>
      </c>
      <c r="O2609">
        <v>3.4571926419999999</v>
      </c>
      <c r="P2609">
        <v>-0.114791479</v>
      </c>
      <c r="Q2609">
        <v>1.868949E-3</v>
      </c>
      <c r="S2609" s="13">
        <v>-1.4706559859999999</v>
      </c>
      <c r="T2609">
        <v>-0.50123747299999999</v>
      </c>
      <c r="U2609">
        <v>-0.28808882899999999</v>
      </c>
    </row>
    <row r="2610" spans="1:21" x14ac:dyDescent="0.2">
      <c r="A2610" t="s">
        <v>1336</v>
      </c>
      <c r="B2610">
        <v>592120</v>
      </c>
      <c r="C2610" t="s">
        <v>6953</v>
      </c>
      <c r="D2610" t="s">
        <v>1336</v>
      </c>
      <c r="E2610" t="s">
        <v>6915</v>
      </c>
      <c r="F2610">
        <v>15</v>
      </c>
      <c r="G2610">
        <v>13</v>
      </c>
      <c r="H2610" t="s">
        <v>12206</v>
      </c>
      <c r="J2610" t="s">
        <v>1679</v>
      </c>
      <c r="M2610" t="s">
        <v>12207</v>
      </c>
      <c r="N2610">
        <v>1.921480887</v>
      </c>
      <c r="O2610">
        <v>3.0856645180000002</v>
      </c>
      <c r="P2610">
        <v>0.44706724399999997</v>
      </c>
      <c r="Q2610">
        <v>-0.354940863</v>
      </c>
      <c r="S2610" s="13">
        <v>-1.47081163</v>
      </c>
      <c r="T2610">
        <v>-0.50191759999999996</v>
      </c>
      <c r="U2610">
        <v>-0.21950184</v>
      </c>
    </row>
    <row r="2611" spans="1:21" x14ac:dyDescent="0.2">
      <c r="A2611" t="s">
        <v>243</v>
      </c>
      <c r="B2611">
        <v>522360</v>
      </c>
      <c r="C2611" t="s">
        <v>6906</v>
      </c>
      <c r="D2611" t="s">
        <v>243</v>
      </c>
      <c r="E2611" t="s">
        <v>6918</v>
      </c>
      <c r="F2611">
        <v>14</v>
      </c>
      <c r="G2611">
        <v>1</v>
      </c>
      <c r="H2611" t="s">
        <v>12208</v>
      </c>
      <c r="J2611" t="s">
        <v>12209</v>
      </c>
      <c r="M2611" t="s">
        <v>12210</v>
      </c>
      <c r="N2611">
        <v>1.813871112</v>
      </c>
      <c r="O2611">
        <v>2.6633694910000001</v>
      </c>
      <c r="P2611">
        <v>-0.29586356800000002</v>
      </c>
      <c r="Q2611">
        <v>-0.59018158399999998</v>
      </c>
      <c r="S2611" s="13">
        <v>-1.470883505</v>
      </c>
      <c r="T2611">
        <v>-0.50223167899999999</v>
      </c>
      <c r="U2611">
        <v>-0.22794709399999999</v>
      </c>
    </row>
    <row r="2612" spans="1:21" x14ac:dyDescent="0.2">
      <c r="A2612" t="s">
        <v>2077</v>
      </c>
      <c r="B2612">
        <v>592040</v>
      </c>
      <c r="C2612" t="s">
        <v>6953</v>
      </c>
      <c r="D2612" t="s">
        <v>2077</v>
      </c>
      <c r="E2612" t="s">
        <v>6915</v>
      </c>
      <c r="F2612">
        <v>20</v>
      </c>
      <c r="G2612">
        <v>13</v>
      </c>
      <c r="H2612" t="s">
        <v>12211</v>
      </c>
      <c r="J2612" t="s">
        <v>5189</v>
      </c>
      <c r="M2612" t="s">
        <v>12212</v>
      </c>
      <c r="N2612">
        <v>1.921480887</v>
      </c>
      <c r="O2612">
        <v>3.0856645180000002</v>
      </c>
      <c r="P2612">
        <v>0.44706724399999997</v>
      </c>
      <c r="Q2612">
        <v>-0.354940863</v>
      </c>
      <c r="S2612" s="13">
        <v>-1.47089464</v>
      </c>
      <c r="T2612">
        <v>-0.50228033500000002</v>
      </c>
      <c r="U2612">
        <v>-0.21956426000000001</v>
      </c>
    </row>
    <row r="2613" spans="1:21" x14ac:dyDescent="0.2">
      <c r="A2613" t="s">
        <v>1668</v>
      </c>
      <c r="B2613">
        <v>591920</v>
      </c>
      <c r="C2613" t="s">
        <v>6953</v>
      </c>
      <c r="D2613" t="s">
        <v>1668</v>
      </c>
      <c r="E2613" t="s">
        <v>6915</v>
      </c>
      <c r="F2613">
        <v>10</v>
      </c>
      <c r="G2613">
        <v>13</v>
      </c>
      <c r="H2613" t="s">
        <v>12213</v>
      </c>
      <c r="J2613" t="s">
        <v>1670</v>
      </c>
      <c r="M2613" t="s">
        <v>12214</v>
      </c>
      <c r="N2613">
        <v>1.921480887</v>
      </c>
      <c r="O2613">
        <v>3.0856645180000002</v>
      </c>
      <c r="P2613">
        <v>0.44706724399999997</v>
      </c>
      <c r="Q2613">
        <v>-0.354940863</v>
      </c>
      <c r="S2613" s="13">
        <v>-1.471019155</v>
      </c>
      <c r="T2613">
        <v>-0.50282443600000004</v>
      </c>
      <c r="U2613">
        <v>-0.21965790700000001</v>
      </c>
    </row>
    <row r="2614" spans="1:21" x14ac:dyDescent="0.2">
      <c r="A2614" t="s">
        <v>883</v>
      </c>
      <c r="B2614">
        <v>526720</v>
      </c>
      <c r="C2614" t="s">
        <v>6927</v>
      </c>
      <c r="D2614" t="s">
        <v>883</v>
      </c>
      <c r="E2614" t="s">
        <v>6977</v>
      </c>
      <c r="F2614">
        <v>17</v>
      </c>
      <c r="G2614">
        <v>5</v>
      </c>
      <c r="H2614" t="s">
        <v>12215</v>
      </c>
      <c r="J2614" t="s">
        <v>12216</v>
      </c>
      <c r="M2614" t="s">
        <v>12217</v>
      </c>
      <c r="N2614">
        <v>1.982575982</v>
      </c>
      <c r="O2614">
        <v>3.4571926419999999</v>
      </c>
      <c r="P2614">
        <v>-0.114791479</v>
      </c>
      <c r="Q2614">
        <v>1.868949E-3</v>
      </c>
      <c r="S2614" s="13">
        <v>-1.4711955510000001</v>
      </c>
      <c r="T2614">
        <v>-0.50359524700000002</v>
      </c>
      <c r="U2614">
        <v>-0.28856419700000002</v>
      </c>
    </row>
    <row r="2615" spans="1:21" x14ac:dyDescent="0.2">
      <c r="A2615" t="s">
        <v>718</v>
      </c>
      <c r="B2615">
        <v>457480</v>
      </c>
      <c r="C2615" t="s">
        <v>6931</v>
      </c>
      <c r="D2615" t="s">
        <v>718</v>
      </c>
      <c r="E2615" t="s">
        <v>6924</v>
      </c>
      <c r="F2615">
        <v>14</v>
      </c>
      <c r="G2615">
        <v>6</v>
      </c>
      <c r="H2615" t="s">
        <v>12218</v>
      </c>
      <c r="N2615">
        <v>1.9323965059999999</v>
      </c>
      <c r="O2615">
        <v>3.0528020530000002</v>
      </c>
      <c r="P2615">
        <v>2.6493138999999999E-2</v>
      </c>
      <c r="Q2615">
        <v>-0.38692188</v>
      </c>
      <c r="S2615" s="13">
        <v>-1.4713882140000001</v>
      </c>
      <c r="T2615">
        <v>-0.50443713999999995</v>
      </c>
      <c r="U2615">
        <v>-0.187490506</v>
      </c>
    </row>
    <row r="2616" spans="1:21" x14ac:dyDescent="0.2">
      <c r="A2616" t="s">
        <v>1620</v>
      </c>
      <c r="B2616">
        <v>521840</v>
      </c>
      <c r="C2616" t="s">
        <v>6906</v>
      </c>
      <c r="D2616" t="s">
        <v>1620</v>
      </c>
      <c r="E2616" t="s">
        <v>6911</v>
      </c>
      <c r="F2616">
        <v>18</v>
      </c>
      <c r="G2616">
        <v>12</v>
      </c>
      <c r="H2616" t="s">
        <v>12219</v>
      </c>
      <c r="J2616" t="s">
        <v>1622</v>
      </c>
      <c r="M2616" t="s">
        <v>12220</v>
      </c>
      <c r="N2616">
        <v>1.813871112</v>
      </c>
      <c r="O2616">
        <v>2.6633694910000001</v>
      </c>
      <c r="P2616">
        <v>-0.29586356800000002</v>
      </c>
      <c r="Q2616">
        <v>-0.59018158399999998</v>
      </c>
      <c r="S2616" s="13">
        <v>-1.4716378939999999</v>
      </c>
      <c r="T2616">
        <v>-0.50552818399999999</v>
      </c>
      <c r="U2616">
        <v>-0.228360957</v>
      </c>
    </row>
    <row r="2617" spans="1:21" x14ac:dyDescent="0.2">
      <c r="A2617" t="s">
        <v>426</v>
      </c>
      <c r="B2617">
        <v>591280</v>
      </c>
      <c r="C2617" t="s">
        <v>6953</v>
      </c>
      <c r="D2617" t="s">
        <v>426</v>
      </c>
      <c r="E2617" t="s">
        <v>6911</v>
      </c>
      <c r="F2617">
        <v>22</v>
      </c>
      <c r="G2617">
        <v>12</v>
      </c>
      <c r="H2617" t="s">
        <v>12221</v>
      </c>
      <c r="J2617" t="s">
        <v>428</v>
      </c>
      <c r="M2617" t="s">
        <v>12222</v>
      </c>
      <c r="N2617">
        <v>1.921480887</v>
      </c>
      <c r="O2617">
        <v>3.0856645180000002</v>
      </c>
      <c r="P2617">
        <v>0.44706724399999997</v>
      </c>
      <c r="Q2617">
        <v>-0.354940863</v>
      </c>
      <c r="S2617" s="13">
        <v>-1.4716832339999999</v>
      </c>
      <c r="T2617">
        <v>-0.50572631199999996</v>
      </c>
      <c r="U2617">
        <v>-0.22015769800000001</v>
      </c>
    </row>
    <row r="2618" spans="1:21" x14ac:dyDescent="0.2">
      <c r="A2618" t="s">
        <v>1415</v>
      </c>
      <c r="B2618">
        <v>502680</v>
      </c>
      <c r="C2618" t="s">
        <v>6910</v>
      </c>
      <c r="D2618" t="s">
        <v>1415</v>
      </c>
      <c r="E2618" t="s">
        <v>6946</v>
      </c>
      <c r="F2618">
        <v>12</v>
      </c>
      <c r="G2618">
        <v>11</v>
      </c>
      <c r="H2618" t="s">
        <v>12223</v>
      </c>
      <c r="J2618" t="s">
        <v>1805</v>
      </c>
      <c r="M2618" t="s">
        <v>12224</v>
      </c>
      <c r="N2618">
        <v>1.9874741039999999</v>
      </c>
      <c r="O2618">
        <v>3.7453511220000002</v>
      </c>
      <c r="P2618">
        <v>0.451009722</v>
      </c>
      <c r="Q2618">
        <v>-0.102386592</v>
      </c>
      <c r="S2618" s="13">
        <v>-1.471854625</v>
      </c>
      <c r="T2618">
        <v>-0.50647525199999999</v>
      </c>
      <c r="U2618">
        <v>-0.21206050000000001</v>
      </c>
    </row>
    <row r="2619" spans="1:21" x14ac:dyDescent="0.2">
      <c r="A2619" t="s">
        <v>1321</v>
      </c>
      <c r="B2619">
        <v>521640</v>
      </c>
      <c r="C2619" t="s">
        <v>6906</v>
      </c>
      <c r="D2619" t="s">
        <v>1321</v>
      </c>
      <c r="E2619" t="s">
        <v>7115</v>
      </c>
      <c r="F2619">
        <v>15</v>
      </c>
      <c r="G2619">
        <v>10</v>
      </c>
      <c r="H2619" t="s">
        <v>12225</v>
      </c>
      <c r="J2619" t="s">
        <v>2452</v>
      </c>
      <c r="M2619" t="s">
        <v>12226</v>
      </c>
      <c r="N2619">
        <v>1.813871112</v>
      </c>
      <c r="O2619">
        <v>2.6633694910000001</v>
      </c>
      <c r="P2619">
        <v>-0.29586356800000002</v>
      </c>
      <c r="Q2619">
        <v>-0.59018158399999998</v>
      </c>
      <c r="S2619" s="13">
        <v>-1.4719280429999999</v>
      </c>
      <c r="T2619">
        <v>-0.50679607100000001</v>
      </c>
      <c r="U2619">
        <v>-0.22852024100000001</v>
      </c>
    </row>
    <row r="2620" spans="1:21" x14ac:dyDescent="0.2">
      <c r="A2620" t="s">
        <v>1269</v>
      </c>
      <c r="B2620">
        <v>521600</v>
      </c>
      <c r="C2620" t="s">
        <v>6906</v>
      </c>
      <c r="D2620" t="s">
        <v>1269</v>
      </c>
      <c r="E2620" t="s">
        <v>6924</v>
      </c>
      <c r="F2620">
        <v>11</v>
      </c>
      <c r="G2620">
        <v>6</v>
      </c>
      <c r="H2620" t="s">
        <v>12227</v>
      </c>
      <c r="J2620" t="s">
        <v>12228</v>
      </c>
      <c r="M2620" t="s">
        <v>12229</v>
      </c>
      <c r="N2620">
        <v>1.813871112</v>
      </c>
      <c r="O2620">
        <v>2.6633694910000001</v>
      </c>
      <c r="P2620">
        <v>-0.29586356800000002</v>
      </c>
      <c r="Q2620">
        <v>-0.59018158399999998</v>
      </c>
      <c r="S2620" s="13">
        <v>-1.4719860730000001</v>
      </c>
      <c r="T2620">
        <v>-0.50704964799999996</v>
      </c>
      <c r="U2620">
        <v>-0.22855210500000001</v>
      </c>
    </row>
    <row r="2621" spans="1:21" x14ac:dyDescent="0.2">
      <c r="A2621" t="s">
        <v>792</v>
      </c>
      <c r="B2621">
        <v>456880</v>
      </c>
      <c r="C2621" t="s">
        <v>6931</v>
      </c>
      <c r="D2621" t="s">
        <v>793</v>
      </c>
      <c r="E2621" t="s">
        <v>6924</v>
      </c>
      <c r="F2621">
        <v>5</v>
      </c>
      <c r="G2621">
        <v>6</v>
      </c>
      <c r="H2621" t="s">
        <v>12230</v>
      </c>
      <c r="N2621">
        <v>1.9323965059999999</v>
      </c>
      <c r="O2621">
        <v>3.0528020530000002</v>
      </c>
      <c r="P2621">
        <v>2.6493138999999999E-2</v>
      </c>
      <c r="Q2621">
        <v>-0.38692188</v>
      </c>
      <c r="S2621" s="13">
        <v>-1.4721765979999999</v>
      </c>
      <c r="T2621">
        <v>-0.50788219999999995</v>
      </c>
      <c r="U2621">
        <v>-0.18792557600000001</v>
      </c>
    </row>
    <row r="2622" spans="1:21" x14ac:dyDescent="0.2">
      <c r="A2622" t="s">
        <v>730</v>
      </c>
      <c r="B2622">
        <v>521440</v>
      </c>
      <c r="C2622" t="s">
        <v>6906</v>
      </c>
      <c r="D2622" t="s">
        <v>731</v>
      </c>
      <c r="E2622" t="s">
        <v>6946</v>
      </c>
      <c r="F2622">
        <v>4</v>
      </c>
      <c r="G2622">
        <v>11</v>
      </c>
      <c r="H2622" t="s">
        <v>12231</v>
      </c>
      <c r="J2622" t="s">
        <v>4125</v>
      </c>
      <c r="M2622" t="s">
        <v>12232</v>
      </c>
      <c r="N2622">
        <v>1.813871112</v>
      </c>
      <c r="O2622">
        <v>2.6633694910000001</v>
      </c>
      <c r="P2622">
        <v>-0.29586356800000002</v>
      </c>
      <c r="Q2622">
        <v>-0.59018158399999998</v>
      </c>
      <c r="S2622" s="13">
        <v>-1.4722181919999999</v>
      </c>
      <c r="T2622">
        <v>-0.50806395800000004</v>
      </c>
      <c r="U2622">
        <v>-0.22867958299999999</v>
      </c>
    </row>
    <row r="2623" spans="1:21" x14ac:dyDescent="0.2">
      <c r="A2623" t="s">
        <v>1897</v>
      </c>
      <c r="B2623">
        <v>521400</v>
      </c>
      <c r="C2623" t="s">
        <v>6906</v>
      </c>
      <c r="D2623" t="s">
        <v>1897</v>
      </c>
      <c r="E2623" t="s">
        <v>7085</v>
      </c>
      <c r="F2623">
        <v>14</v>
      </c>
      <c r="G2623">
        <v>9</v>
      </c>
      <c r="H2623" t="s">
        <v>12233</v>
      </c>
      <c r="J2623" t="s">
        <v>12234</v>
      </c>
      <c r="M2623" t="s">
        <v>12235</v>
      </c>
      <c r="N2623">
        <v>1.813871112</v>
      </c>
      <c r="O2623">
        <v>2.6633694910000001</v>
      </c>
      <c r="P2623">
        <v>-0.29586356800000002</v>
      </c>
      <c r="Q2623">
        <v>-0.59018158399999998</v>
      </c>
      <c r="S2623" s="13">
        <v>-1.4722762220000001</v>
      </c>
      <c r="T2623">
        <v>-0.50831753499999999</v>
      </c>
      <c r="U2623">
        <v>-0.22871145800000001</v>
      </c>
    </row>
    <row r="2624" spans="1:21" x14ac:dyDescent="0.2">
      <c r="A2624" t="s">
        <v>2257</v>
      </c>
      <c r="B2624">
        <v>515560</v>
      </c>
      <c r="C2624" t="s">
        <v>6938</v>
      </c>
      <c r="D2624" t="s">
        <v>2257</v>
      </c>
      <c r="E2624" t="s">
        <v>6911</v>
      </c>
      <c r="F2624">
        <v>16</v>
      </c>
      <c r="G2624">
        <v>12</v>
      </c>
      <c r="H2624" t="s">
        <v>12236</v>
      </c>
      <c r="J2624" t="s">
        <v>5040</v>
      </c>
      <c r="M2624" t="s">
        <v>12237</v>
      </c>
      <c r="N2624">
        <v>2.092758737</v>
      </c>
      <c r="O2624">
        <v>5.3323610669999999</v>
      </c>
      <c r="P2624">
        <v>0.70420098600000003</v>
      </c>
      <c r="Q2624">
        <v>0.41355372699999998</v>
      </c>
      <c r="S2624" s="13">
        <v>-1.4723462730000001</v>
      </c>
      <c r="T2624">
        <v>-0.50862364000000004</v>
      </c>
      <c r="U2624">
        <v>-0.33215122200000002</v>
      </c>
    </row>
    <row r="2625" spans="1:21" x14ac:dyDescent="0.2">
      <c r="A2625" t="s">
        <v>2657</v>
      </c>
      <c r="B2625">
        <v>515480</v>
      </c>
      <c r="C2625" t="s">
        <v>6938</v>
      </c>
      <c r="D2625" t="s">
        <v>2658</v>
      </c>
      <c r="E2625" t="s">
        <v>6977</v>
      </c>
      <c r="F2625">
        <v>8</v>
      </c>
      <c r="G2625">
        <v>5</v>
      </c>
      <c r="H2625" t="s">
        <v>12238</v>
      </c>
      <c r="J2625" t="s">
        <v>3416</v>
      </c>
      <c r="M2625" t="s">
        <v>12239</v>
      </c>
      <c r="N2625">
        <v>2.092758737</v>
      </c>
      <c r="O2625">
        <v>5.3323610669999999</v>
      </c>
      <c r="P2625">
        <v>0.70420098600000003</v>
      </c>
      <c r="Q2625">
        <v>0.41355372699999998</v>
      </c>
      <c r="S2625" s="13">
        <v>-1.472414978</v>
      </c>
      <c r="T2625">
        <v>-0.508923864</v>
      </c>
      <c r="U2625">
        <v>-0.33223212800000002</v>
      </c>
    </row>
    <row r="2626" spans="1:21" x14ac:dyDescent="0.2">
      <c r="A2626" t="s">
        <v>703</v>
      </c>
      <c r="B2626">
        <v>456560</v>
      </c>
      <c r="C2626" t="s">
        <v>6931</v>
      </c>
      <c r="D2626" t="s">
        <v>704</v>
      </c>
      <c r="E2626" t="s">
        <v>6924</v>
      </c>
      <c r="F2626">
        <v>8</v>
      </c>
      <c r="G2626">
        <v>6</v>
      </c>
      <c r="H2626" t="s">
        <v>12240</v>
      </c>
      <c r="N2626">
        <v>1.9323965059999999</v>
      </c>
      <c r="O2626">
        <v>3.0528020530000002</v>
      </c>
      <c r="P2626">
        <v>2.6493138999999999E-2</v>
      </c>
      <c r="Q2626">
        <v>-0.38692188</v>
      </c>
      <c r="S2626" s="13">
        <v>-1.47259707</v>
      </c>
      <c r="T2626">
        <v>-0.50971956500000004</v>
      </c>
      <c r="U2626">
        <v>-0.18815779199999999</v>
      </c>
    </row>
    <row r="2627" spans="1:21" x14ac:dyDescent="0.2">
      <c r="A2627" t="s">
        <v>746</v>
      </c>
      <c r="B2627">
        <v>618840</v>
      </c>
      <c r="C2627" t="s">
        <v>6914</v>
      </c>
      <c r="D2627" t="s">
        <v>746</v>
      </c>
      <c r="E2627" t="s">
        <v>6974</v>
      </c>
      <c r="F2627">
        <v>19</v>
      </c>
      <c r="G2627">
        <v>15</v>
      </c>
      <c r="H2627" t="s">
        <v>12241</v>
      </c>
      <c r="J2627" t="s">
        <v>6745</v>
      </c>
      <c r="M2627" t="s">
        <v>12242</v>
      </c>
      <c r="N2627">
        <v>1.8217074179999999</v>
      </c>
      <c r="O2627">
        <v>4.1700741289999996</v>
      </c>
      <c r="P2627">
        <v>0.189705977</v>
      </c>
      <c r="Q2627">
        <v>-1.7194070999999998E-2</v>
      </c>
      <c r="S2627" s="13">
        <v>-1.4726612299999999</v>
      </c>
      <c r="T2627">
        <v>-0.50999993099999996</v>
      </c>
      <c r="U2627">
        <v>-0.277742406</v>
      </c>
    </row>
    <row r="2628" spans="1:21" x14ac:dyDescent="0.2">
      <c r="A2628" t="s">
        <v>1582</v>
      </c>
      <c r="B2628">
        <v>501800</v>
      </c>
      <c r="C2628" t="s">
        <v>6910</v>
      </c>
      <c r="D2628" t="s">
        <v>1583</v>
      </c>
      <c r="E2628" t="s">
        <v>7006</v>
      </c>
      <c r="F2628">
        <v>9</v>
      </c>
      <c r="G2628">
        <v>3</v>
      </c>
      <c r="H2628" t="s">
        <v>12243</v>
      </c>
      <c r="J2628" t="s">
        <v>3996</v>
      </c>
      <c r="M2628" t="s">
        <v>12244</v>
      </c>
      <c r="N2628">
        <v>1.9874741039999999</v>
      </c>
      <c r="O2628">
        <v>3.7453511220000002</v>
      </c>
      <c r="P2628">
        <v>0.451009722</v>
      </c>
      <c r="Q2628">
        <v>-0.102386592</v>
      </c>
      <c r="S2628" s="13">
        <v>-1.4728014119999999</v>
      </c>
      <c r="T2628">
        <v>-0.51061249200000003</v>
      </c>
      <c r="U2628">
        <v>-0.21273593099999999</v>
      </c>
    </row>
    <row r="2629" spans="1:21" x14ac:dyDescent="0.2">
      <c r="A2629" t="s">
        <v>494</v>
      </c>
      <c r="B2629">
        <v>501760</v>
      </c>
      <c r="C2629" t="s">
        <v>6910</v>
      </c>
      <c r="D2629" t="s">
        <v>495</v>
      </c>
      <c r="E2629" t="s">
        <v>6939</v>
      </c>
      <c r="F2629">
        <v>5</v>
      </c>
      <c r="G2629">
        <v>2</v>
      </c>
      <c r="H2629" t="s">
        <v>12245</v>
      </c>
      <c r="J2629" t="s">
        <v>4085</v>
      </c>
      <c r="M2629" t="s">
        <v>12246</v>
      </c>
      <c r="N2629">
        <v>1.9874741039999999</v>
      </c>
      <c r="O2629">
        <v>3.7453511220000002</v>
      </c>
      <c r="P2629">
        <v>0.451009722</v>
      </c>
      <c r="Q2629">
        <v>-0.102386592</v>
      </c>
      <c r="S2629" s="13">
        <v>-1.4728444469999999</v>
      </c>
      <c r="T2629">
        <v>-0.51080054799999997</v>
      </c>
      <c r="U2629">
        <v>-0.212766657</v>
      </c>
    </row>
    <row r="2630" spans="1:21" x14ac:dyDescent="0.2">
      <c r="A2630" t="s">
        <v>759</v>
      </c>
      <c r="B2630">
        <v>514520</v>
      </c>
      <c r="C2630" t="s">
        <v>6938</v>
      </c>
      <c r="D2630" t="s">
        <v>760</v>
      </c>
      <c r="E2630" t="s">
        <v>6907</v>
      </c>
      <c r="F2630">
        <v>4</v>
      </c>
      <c r="G2630">
        <v>4</v>
      </c>
      <c r="H2630" t="s">
        <v>12247</v>
      </c>
      <c r="J2630" t="s">
        <v>3375</v>
      </c>
      <c r="M2630" t="s">
        <v>12248</v>
      </c>
      <c r="N2630">
        <v>2.092758737</v>
      </c>
      <c r="O2630">
        <v>5.3323610669999999</v>
      </c>
      <c r="P2630">
        <v>0.70420098600000003</v>
      </c>
      <c r="Q2630">
        <v>0.41355372699999998</v>
      </c>
      <c r="S2630" s="13">
        <v>-1.4732394369999999</v>
      </c>
      <c r="T2630">
        <v>-0.51252656100000005</v>
      </c>
      <c r="U2630">
        <v>-0.33320418000000002</v>
      </c>
    </row>
    <row r="2631" spans="1:21" x14ac:dyDescent="0.2">
      <c r="A2631" t="s">
        <v>1582</v>
      </c>
      <c r="B2631">
        <v>589520</v>
      </c>
      <c r="C2631" t="s">
        <v>6953</v>
      </c>
      <c r="D2631" t="s">
        <v>1583</v>
      </c>
      <c r="E2631" t="s">
        <v>7006</v>
      </c>
      <c r="F2631">
        <v>9</v>
      </c>
      <c r="G2631">
        <v>3</v>
      </c>
      <c r="H2631" t="s">
        <v>12249</v>
      </c>
      <c r="J2631" t="s">
        <v>1693</v>
      </c>
      <c r="M2631" t="s">
        <v>12250</v>
      </c>
      <c r="N2631">
        <v>1.921480887</v>
      </c>
      <c r="O2631">
        <v>3.0856645180000002</v>
      </c>
      <c r="P2631">
        <v>0.44706724399999997</v>
      </c>
      <c r="Q2631">
        <v>-0.354940863</v>
      </c>
      <c r="S2631" s="13">
        <v>-1.4735094529999999</v>
      </c>
      <c r="T2631">
        <v>-0.51370647000000003</v>
      </c>
      <c r="U2631">
        <v>-0.22153509499999999</v>
      </c>
    </row>
    <row r="2632" spans="1:21" x14ac:dyDescent="0.2">
      <c r="A2632" t="s">
        <v>547</v>
      </c>
      <c r="B2632">
        <v>514080</v>
      </c>
      <c r="C2632" t="s">
        <v>6938</v>
      </c>
      <c r="D2632" t="s">
        <v>548</v>
      </c>
      <c r="E2632" t="s">
        <v>6970</v>
      </c>
      <c r="F2632">
        <v>5</v>
      </c>
      <c r="G2632">
        <v>14</v>
      </c>
      <c r="H2632" t="s">
        <v>12251</v>
      </c>
      <c r="J2632" t="s">
        <v>5269</v>
      </c>
      <c r="M2632" t="s">
        <v>12252</v>
      </c>
      <c r="N2632">
        <v>2.092758737</v>
      </c>
      <c r="O2632">
        <v>5.3323610669999999</v>
      </c>
      <c r="P2632">
        <v>0.70420098600000003</v>
      </c>
      <c r="Q2632">
        <v>0.41355372699999998</v>
      </c>
      <c r="S2632" s="13">
        <v>-1.473617314</v>
      </c>
      <c r="T2632">
        <v>-0.51417779799999996</v>
      </c>
      <c r="U2632">
        <v>-0.333650432</v>
      </c>
    </row>
    <row r="2633" spans="1:21" x14ac:dyDescent="0.2">
      <c r="A2633" t="s">
        <v>397</v>
      </c>
      <c r="B2633">
        <v>134120</v>
      </c>
      <c r="C2633" t="s">
        <v>6961</v>
      </c>
      <c r="D2633" t="s">
        <v>397</v>
      </c>
      <c r="E2633" t="s">
        <v>7006</v>
      </c>
      <c r="F2633">
        <v>10</v>
      </c>
      <c r="G2633">
        <v>3</v>
      </c>
      <c r="H2633" t="s">
        <v>12253</v>
      </c>
      <c r="J2633" t="s">
        <v>6497</v>
      </c>
      <c r="M2633" t="s">
        <v>12254</v>
      </c>
      <c r="N2633">
        <v>2.7247480949999998</v>
      </c>
      <c r="O2633">
        <v>7.0822175119999997</v>
      </c>
      <c r="P2633">
        <v>0.61298291999999999</v>
      </c>
      <c r="Q2633">
        <v>0.48262032500000002</v>
      </c>
      <c r="S2633" s="13">
        <v>-1.4736233809999999</v>
      </c>
      <c r="T2633">
        <v>-0.51420431099999997</v>
      </c>
      <c r="U2633">
        <v>-0.430664467</v>
      </c>
    </row>
    <row r="2634" spans="1:21" x14ac:dyDescent="0.2">
      <c r="A2634" t="s">
        <v>714</v>
      </c>
      <c r="B2634">
        <v>134000</v>
      </c>
      <c r="C2634" t="s">
        <v>6961</v>
      </c>
      <c r="D2634" t="s">
        <v>715</v>
      </c>
      <c r="E2634" t="s">
        <v>6956</v>
      </c>
      <c r="F2634">
        <v>5</v>
      </c>
      <c r="G2634">
        <v>7</v>
      </c>
      <c r="H2634" t="s">
        <v>12255</v>
      </c>
      <c r="J2634" t="s">
        <v>6263</v>
      </c>
      <c r="M2634" t="s">
        <v>12256</v>
      </c>
      <c r="N2634">
        <v>2.7247480949999998</v>
      </c>
      <c r="O2634">
        <v>7.0822175119999997</v>
      </c>
      <c r="P2634">
        <v>0.61298291999999999</v>
      </c>
      <c r="Q2634">
        <v>0.48262032500000002</v>
      </c>
      <c r="S2634" s="13">
        <v>-1.473718375</v>
      </c>
      <c r="T2634">
        <v>-0.51461941300000003</v>
      </c>
      <c r="U2634">
        <v>-0.43081673999999998</v>
      </c>
    </row>
    <row r="2635" spans="1:21" x14ac:dyDescent="0.2">
      <c r="A2635" t="s">
        <v>681</v>
      </c>
      <c r="B2635">
        <v>451640</v>
      </c>
      <c r="C2635" t="s">
        <v>6942</v>
      </c>
      <c r="D2635" t="s">
        <v>682</v>
      </c>
      <c r="E2635" t="s">
        <v>6907</v>
      </c>
      <c r="F2635">
        <v>5</v>
      </c>
      <c r="G2635">
        <v>4</v>
      </c>
      <c r="H2635" t="s">
        <v>12257</v>
      </c>
      <c r="J2635" t="s">
        <v>684</v>
      </c>
      <c r="M2635" t="s">
        <v>12258</v>
      </c>
      <c r="N2635">
        <v>2.0902262079999998</v>
      </c>
      <c r="O2635">
        <v>4.2704203920000001</v>
      </c>
      <c r="P2635">
        <v>0.23425843900000001</v>
      </c>
      <c r="Q2635">
        <v>1.6181978999999999E-2</v>
      </c>
      <c r="S2635" s="13">
        <v>-1.4739610940000001</v>
      </c>
      <c r="T2635">
        <v>-0.51568003799999995</v>
      </c>
      <c r="U2635">
        <v>-0.33356926100000001</v>
      </c>
    </row>
    <row r="2636" spans="1:21" x14ac:dyDescent="0.2">
      <c r="A2636" t="s">
        <v>465</v>
      </c>
      <c r="B2636">
        <v>520080</v>
      </c>
      <c r="C2636" t="s">
        <v>6906</v>
      </c>
      <c r="D2636" t="s">
        <v>466</v>
      </c>
      <c r="E2636" t="s">
        <v>6939</v>
      </c>
      <c r="F2636">
        <v>8</v>
      </c>
      <c r="G2636">
        <v>2</v>
      </c>
      <c r="H2636" t="s">
        <v>12259</v>
      </c>
      <c r="J2636" t="s">
        <v>1656</v>
      </c>
      <c r="M2636" t="s">
        <v>12260</v>
      </c>
      <c r="N2636">
        <v>1.813871112</v>
      </c>
      <c r="O2636">
        <v>2.6633694910000001</v>
      </c>
      <c r="P2636">
        <v>-0.29586356800000002</v>
      </c>
      <c r="Q2636">
        <v>-0.59018158399999998</v>
      </c>
      <c r="S2636" s="13">
        <v>-1.4741912079999999</v>
      </c>
      <c r="T2636">
        <v>-0.516685587</v>
      </c>
      <c r="U2636">
        <v>-0.22976466100000001</v>
      </c>
    </row>
    <row r="2637" spans="1:21" x14ac:dyDescent="0.2">
      <c r="A2637" t="s">
        <v>2040</v>
      </c>
      <c r="B2637">
        <v>513280</v>
      </c>
      <c r="C2637" t="s">
        <v>6938</v>
      </c>
      <c r="D2637" t="s">
        <v>2040</v>
      </c>
      <c r="E2637" t="s">
        <v>6946</v>
      </c>
      <c r="F2637">
        <v>18</v>
      </c>
      <c r="G2637">
        <v>11</v>
      </c>
      <c r="H2637" t="s">
        <v>12261</v>
      </c>
      <c r="J2637" t="s">
        <v>4411</v>
      </c>
      <c r="M2637" t="s">
        <v>12262</v>
      </c>
      <c r="N2637">
        <v>2.092758737</v>
      </c>
      <c r="O2637">
        <v>5.3323610669999999</v>
      </c>
      <c r="P2637">
        <v>0.70420098600000003</v>
      </c>
      <c r="Q2637">
        <v>0.41355372699999998</v>
      </c>
      <c r="S2637" s="13">
        <v>-1.4743043629999999</v>
      </c>
      <c r="T2637">
        <v>-0.51718004500000003</v>
      </c>
      <c r="U2637">
        <v>-0.33446297600000002</v>
      </c>
    </row>
    <row r="2638" spans="1:21" x14ac:dyDescent="0.2">
      <c r="A2638" t="s">
        <v>185</v>
      </c>
      <c r="B2638">
        <v>455200</v>
      </c>
      <c r="C2638" t="s">
        <v>6931</v>
      </c>
      <c r="D2638" t="s">
        <v>185</v>
      </c>
      <c r="E2638" t="s">
        <v>6977</v>
      </c>
      <c r="F2638">
        <v>23</v>
      </c>
      <c r="G2638">
        <v>5</v>
      </c>
      <c r="H2638" t="s">
        <v>12263</v>
      </c>
      <c r="N2638">
        <v>1.9323965059999999</v>
      </c>
      <c r="O2638">
        <v>3.0528020530000002</v>
      </c>
      <c r="P2638">
        <v>2.6493138999999999E-2</v>
      </c>
      <c r="Q2638">
        <v>-0.38692188</v>
      </c>
      <c r="S2638" s="13">
        <v>-1.4743840749999999</v>
      </c>
      <c r="T2638">
        <v>-0.51752836800000002</v>
      </c>
      <c r="U2638">
        <v>-0.18914609700000001</v>
      </c>
    </row>
    <row r="2639" spans="1:21" x14ac:dyDescent="0.2">
      <c r="A2639" t="s">
        <v>511</v>
      </c>
      <c r="B2639">
        <v>455000</v>
      </c>
      <c r="C2639" t="s">
        <v>6931</v>
      </c>
      <c r="D2639" t="s">
        <v>511</v>
      </c>
      <c r="E2639" t="s">
        <v>6911</v>
      </c>
      <c r="F2639">
        <v>21</v>
      </c>
      <c r="G2639">
        <v>12</v>
      </c>
      <c r="H2639" t="s">
        <v>12264</v>
      </c>
      <c r="N2639">
        <v>1.9323965059999999</v>
      </c>
      <c r="O2639">
        <v>3.0528020530000002</v>
      </c>
      <c r="P2639">
        <v>2.6493138999999999E-2</v>
      </c>
      <c r="Q2639">
        <v>-0.38692188</v>
      </c>
      <c r="S2639" s="13">
        <v>-1.4746468690000001</v>
      </c>
      <c r="T2639">
        <v>-0.51867672099999995</v>
      </c>
      <c r="U2639">
        <v>-0.18929162599999999</v>
      </c>
    </row>
    <row r="2640" spans="1:21" x14ac:dyDescent="0.2">
      <c r="A2640" t="s">
        <v>333</v>
      </c>
      <c r="B2640">
        <v>588400</v>
      </c>
      <c r="C2640" t="s">
        <v>6953</v>
      </c>
      <c r="D2640" t="s">
        <v>334</v>
      </c>
      <c r="E2640" t="s">
        <v>6915</v>
      </c>
      <c r="F2640">
        <v>2</v>
      </c>
      <c r="G2640">
        <v>13</v>
      </c>
      <c r="H2640" t="s">
        <v>12265</v>
      </c>
      <c r="J2640" t="s">
        <v>5327</v>
      </c>
      <c r="M2640" t="s">
        <v>12266</v>
      </c>
      <c r="N2640">
        <v>1.921480887</v>
      </c>
      <c r="O2640">
        <v>3.0856645180000002</v>
      </c>
      <c r="P2640">
        <v>0.44706724399999997</v>
      </c>
      <c r="Q2640">
        <v>-0.354940863</v>
      </c>
      <c r="S2640" s="13">
        <v>-1.474671592</v>
      </c>
      <c r="T2640">
        <v>-0.51878475300000004</v>
      </c>
      <c r="U2640">
        <v>-0.2224139</v>
      </c>
    </row>
    <row r="2641" spans="1:21" x14ac:dyDescent="0.2">
      <c r="A2641" t="s">
        <v>441</v>
      </c>
      <c r="B2641">
        <v>512840</v>
      </c>
      <c r="C2641" t="s">
        <v>6938</v>
      </c>
      <c r="D2641" t="s">
        <v>442</v>
      </c>
      <c r="E2641" t="s">
        <v>6907</v>
      </c>
      <c r="F2641">
        <v>7</v>
      </c>
      <c r="G2641">
        <v>4</v>
      </c>
      <c r="H2641" t="s">
        <v>12267</v>
      </c>
      <c r="J2641" t="s">
        <v>3633</v>
      </c>
      <c r="M2641" t="s">
        <v>12268</v>
      </c>
      <c r="N2641">
        <v>2.092758737</v>
      </c>
      <c r="O2641">
        <v>5.3323610669999999</v>
      </c>
      <c r="P2641">
        <v>0.70420098600000003</v>
      </c>
      <c r="Q2641">
        <v>0.41355372699999998</v>
      </c>
      <c r="S2641" s="13">
        <v>-1.4746822399999999</v>
      </c>
      <c r="T2641">
        <v>-0.51883128099999998</v>
      </c>
      <c r="U2641">
        <v>-0.33491052399999999</v>
      </c>
    </row>
    <row r="2642" spans="1:21" x14ac:dyDescent="0.2">
      <c r="A2642" t="s">
        <v>894</v>
      </c>
      <c r="B2642">
        <v>519720</v>
      </c>
      <c r="C2642" t="s">
        <v>6906</v>
      </c>
      <c r="D2642" t="s">
        <v>894</v>
      </c>
      <c r="E2642" t="s">
        <v>6939</v>
      </c>
      <c r="F2642">
        <v>18</v>
      </c>
      <c r="G2642">
        <v>2</v>
      </c>
      <c r="H2642" t="s">
        <v>12269</v>
      </c>
      <c r="J2642" t="s">
        <v>1214</v>
      </c>
      <c r="M2642" t="s">
        <v>12270</v>
      </c>
      <c r="N2642">
        <v>1.813871112</v>
      </c>
      <c r="O2642">
        <v>2.6633694910000001</v>
      </c>
      <c r="P2642">
        <v>-0.29586356800000002</v>
      </c>
      <c r="Q2642">
        <v>-0.59018158399999998</v>
      </c>
      <c r="S2642" s="13">
        <v>-1.4747134770000001</v>
      </c>
      <c r="T2642">
        <v>-0.51896778300000002</v>
      </c>
      <c r="U2642">
        <v>-0.23005234299999999</v>
      </c>
    </row>
    <row r="2643" spans="1:21" x14ac:dyDescent="0.2">
      <c r="A2643" t="s">
        <v>1269</v>
      </c>
      <c r="B2643">
        <v>499680</v>
      </c>
      <c r="C2643" t="s">
        <v>6910</v>
      </c>
      <c r="D2643" t="s">
        <v>1269</v>
      </c>
      <c r="E2643" t="s">
        <v>6924</v>
      </c>
      <c r="F2643">
        <v>11</v>
      </c>
      <c r="G2643">
        <v>6</v>
      </c>
      <c r="H2643" t="s">
        <v>12271</v>
      </c>
      <c r="J2643" t="s">
        <v>3044</v>
      </c>
      <c r="M2643" t="s">
        <v>12272</v>
      </c>
      <c r="N2643">
        <v>1.9874741039999999</v>
      </c>
      <c r="O2643">
        <v>3.7453511220000002</v>
      </c>
      <c r="P2643">
        <v>0.451009722</v>
      </c>
      <c r="Q2643">
        <v>-0.102386592</v>
      </c>
      <c r="S2643" s="13">
        <v>-1.475082306</v>
      </c>
      <c r="T2643">
        <v>-0.52057947900000001</v>
      </c>
      <c r="U2643">
        <v>-0.214367433</v>
      </c>
    </row>
    <row r="2644" spans="1:21" x14ac:dyDescent="0.2">
      <c r="A2644" t="s">
        <v>1794</v>
      </c>
      <c r="B2644">
        <v>363800</v>
      </c>
      <c r="C2644" t="s">
        <v>6945</v>
      </c>
      <c r="D2644" t="s">
        <v>1794</v>
      </c>
      <c r="E2644" t="s">
        <v>7115</v>
      </c>
      <c r="F2644">
        <v>13</v>
      </c>
      <c r="G2644">
        <v>10</v>
      </c>
      <c r="H2644" t="s">
        <v>12273</v>
      </c>
      <c r="J2644" t="s">
        <v>5807</v>
      </c>
      <c r="M2644" t="s">
        <v>12274</v>
      </c>
      <c r="N2644">
        <v>2.2220813349999999</v>
      </c>
      <c r="O2644">
        <v>6.5440947090000003</v>
      </c>
      <c r="P2644">
        <v>0.58228215500000002</v>
      </c>
      <c r="Q2644">
        <v>0.35188233000000002</v>
      </c>
      <c r="S2644" s="13">
        <v>-1.475126865</v>
      </c>
      <c r="T2644">
        <v>-0.52077419300000005</v>
      </c>
      <c r="U2644">
        <v>-0.35123166500000003</v>
      </c>
    </row>
    <row r="2645" spans="1:21" x14ac:dyDescent="0.2">
      <c r="A2645" t="s">
        <v>2791</v>
      </c>
      <c r="B2645">
        <v>454080</v>
      </c>
      <c r="C2645" t="s">
        <v>6931</v>
      </c>
      <c r="D2645" t="s">
        <v>2792</v>
      </c>
      <c r="E2645" t="s">
        <v>6921</v>
      </c>
      <c r="F2645">
        <v>6</v>
      </c>
      <c r="G2645">
        <v>8</v>
      </c>
      <c r="H2645" t="s">
        <v>12275</v>
      </c>
      <c r="N2645">
        <v>1.9323965059999999</v>
      </c>
      <c r="O2645">
        <v>3.0528020530000002</v>
      </c>
      <c r="P2645">
        <v>2.6493138999999999E-2</v>
      </c>
      <c r="Q2645">
        <v>-0.38692188</v>
      </c>
      <c r="S2645" s="13">
        <v>-1.475855726</v>
      </c>
      <c r="T2645">
        <v>-0.52395914600000004</v>
      </c>
      <c r="U2645">
        <v>-0.18996168799999999</v>
      </c>
    </row>
    <row r="2646" spans="1:21" x14ac:dyDescent="0.2">
      <c r="A2646" t="s">
        <v>894</v>
      </c>
      <c r="B2646">
        <v>587000</v>
      </c>
      <c r="C2646" t="s">
        <v>6953</v>
      </c>
      <c r="D2646" t="s">
        <v>894</v>
      </c>
      <c r="E2646" t="s">
        <v>6939</v>
      </c>
      <c r="F2646">
        <v>18</v>
      </c>
      <c r="G2646">
        <v>2</v>
      </c>
      <c r="H2646" t="s">
        <v>12276</v>
      </c>
      <c r="J2646" t="s">
        <v>896</v>
      </c>
      <c r="M2646" t="s">
        <v>12277</v>
      </c>
      <c r="N2646">
        <v>1.921480887</v>
      </c>
      <c r="O2646">
        <v>3.0856645180000002</v>
      </c>
      <c r="P2646">
        <v>0.44706724399999997</v>
      </c>
      <c r="Q2646">
        <v>-0.354940863</v>
      </c>
      <c r="S2646" s="13">
        <v>-1.476124266</v>
      </c>
      <c r="T2646">
        <v>-0.525132606</v>
      </c>
      <c r="U2646">
        <v>-0.22351491300000001</v>
      </c>
    </row>
    <row r="2647" spans="1:21" x14ac:dyDescent="0.2">
      <c r="A2647" t="s">
        <v>846</v>
      </c>
      <c r="B2647">
        <v>449400</v>
      </c>
      <c r="C2647" t="s">
        <v>6942</v>
      </c>
      <c r="D2647" t="s">
        <v>847</v>
      </c>
      <c r="E2647" t="s">
        <v>6911</v>
      </c>
      <c r="F2647">
        <v>9</v>
      </c>
      <c r="G2647">
        <v>12</v>
      </c>
      <c r="H2647" t="s">
        <v>12278</v>
      </c>
      <c r="J2647" t="s">
        <v>1840</v>
      </c>
      <c r="M2647" t="s">
        <v>12279</v>
      </c>
      <c r="N2647">
        <v>2.0902262079999998</v>
      </c>
      <c r="O2647">
        <v>4.2704203920000001</v>
      </c>
      <c r="P2647">
        <v>0.23425843900000001</v>
      </c>
      <c r="Q2647">
        <v>1.6181978999999999E-2</v>
      </c>
      <c r="S2647" s="13">
        <v>-1.4761596290000001</v>
      </c>
      <c r="T2647">
        <v>-0.52528713599999999</v>
      </c>
      <c r="U2647">
        <v>-0.335847799</v>
      </c>
    </row>
    <row r="2648" spans="1:21" x14ac:dyDescent="0.2">
      <c r="A2648" t="s">
        <v>2188</v>
      </c>
      <c r="B2648">
        <v>615920</v>
      </c>
      <c r="C2648" t="s">
        <v>6914</v>
      </c>
      <c r="D2648" t="s">
        <v>2188</v>
      </c>
      <c r="E2648" t="s">
        <v>6907</v>
      </c>
      <c r="F2648">
        <v>11</v>
      </c>
      <c r="G2648">
        <v>4</v>
      </c>
      <c r="H2648" t="s">
        <v>12280</v>
      </c>
      <c r="J2648" t="s">
        <v>2190</v>
      </c>
      <c r="M2648" t="s">
        <v>12281</v>
      </c>
      <c r="N2648">
        <v>1.8217074179999999</v>
      </c>
      <c r="O2648">
        <v>4.1700741289999996</v>
      </c>
      <c r="P2648">
        <v>0.189705977</v>
      </c>
      <c r="Q2648">
        <v>-1.7194070999999998E-2</v>
      </c>
      <c r="S2648" s="13">
        <v>-1.4761732940000001</v>
      </c>
      <c r="T2648">
        <v>-0.52534684700000001</v>
      </c>
      <c r="U2648">
        <v>-0.28035535700000003</v>
      </c>
    </row>
    <row r="2649" spans="1:21" x14ac:dyDescent="0.2">
      <c r="A2649" t="s">
        <v>1335</v>
      </c>
      <c r="B2649">
        <v>521640</v>
      </c>
      <c r="C2649" t="s">
        <v>6927</v>
      </c>
      <c r="D2649" t="s">
        <v>1335</v>
      </c>
      <c r="E2649" t="s">
        <v>6915</v>
      </c>
      <c r="F2649">
        <v>12</v>
      </c>
      <c r="G2649">
        <v>13</v>
      </c>
      <c r="H2649" t="s">
        <v>12282</v>
      </c>
      <c r="J2649" t="s">
        <v>12283</v>
      </c>
      <c r="M2649" t="s">
        <v>12284</v>
      </c>
      <c r="N2649">
        <v>1.982575982</v>
      </c>
      <c r="O2649">
        <v>3.4571926419999999</v>
      </c>
      <c r="P2649">
        <v>-0.114791479</v>
      </c>
      <c r="Q2649">
        <v>1.868949E-3</v>
      </c>
      <c r="S2649" s="13">
        <v>-1.4764666820000001</v>
      </c>
      <c r="T2649">
        <v>-0.52662888600000002</v>
      </c>
      <c r="U2649">
        <v>-0.29323575600000001</v>
      </c>
    </row>
    <row r="2650" spans="1:21" x14ac:dyDescent="0.2">
      <c r="A2650" t="s">
        <v>415</v>
      </c>
      <c r="B2650">
        <v>510520</v>
      </c>
      <c r="C2650" t="s">
        <v>6938</v>
      </c>
      <c r="D2650" t="s">
        <v>415</v>
      </c>
      <c r="E2650" t="s">
        <v>6924</v>
      </c>
      <c r="F2650">
        <v>19</v>
      </c>
      <c r="G2650">
        <v>6</v>
      </c>
      <c r="H2650" t="s">
        <v>12285</v>
      </c>
      <c r="J2650" t="s">
        <v>4529</v>
      </c>
      <c r="M2650" t="s">
        <v>12286</v>
      </c>
      <c r="N2650">
        <v>2.092758737</v>
      </c>
      <c r="O2650">
        <v>5.3323610669999999</v>
      </c>
      <c r="P2650">
        <v>0.70420098600000003</v>
      </c>
      <c r="Q2650">
        <v>0.41355372699999998</v>
      </c>
      <c r="S2650" s="13">
        <v>-1.4766746820000001</v>
      </c>
      <c r="T2650">
        <v>-0.52753779999999995</v>
      </c>
      <c r="U2650">
        <v>-0.33727797999999998</v>
      </c>
    </row>
    <row r="2651" spans="1:21" x14ac:dyDescent="0.2">
      <c r="A2651" t="s">
        <v>1391</v>
      </c>
      <c r="B2651">
        <v>130200</v>
      </c>
      <c r="C2651" t="s">
        <v>6961</v>
      </c>
      <c r="D2651" t="s">
        <v>1391</v>
      </c>
      <c r="E2651" t="s">
        <v>7085</v>
      </c>
      <c r="F2651">
        <v>12</v>
      </c>
      <c r="G2651">
        <v>9</v>
      </c>
      <c r="H2651" t="s">
        <v>12287</v>
      </c>
      <c r="J2651" t="s">
        <v>6433</v>
      </c>
      <c r="M2651" t="s">
        <v>12288</v>
      </c>
      <c r="N2651">
        <v>2.7247480949999998</v>
      </c>
      <c r="O2651">
        <v>7.0822175119999997</v>
      </c>
      <c r="P2651">
        <v>0.61298291999999999</v>
      </c>
      <c r="Q2651">
        <v>0.48262032500000002</v>
      </c>
      <c r="S2651" s="13">
        <v>-1.476726513</v>
      </c>
      <c r="T2651">
        <v>-0.527764287</v>
      </c>
      <c r="U2651">
        <v>-0.43566653300000002</v>
      </c>
    </row>
    <row r="2652" spans="1:21" x14ac:dyDescent="0.2">
      <c r="A2652" t="s">
        <v>625</v>
      </c>
      <c r="B2652">
        <v>518320</v>
      </c>
      <c r="C2652" t="s">
        <v>6906</v>
      </c>
      <c r="D2652" t="s">
        <v>625</v>
      </c>
      <c r="E2652" t="s">
        <v>6918</v>
      </c>
      <c r="F2652">
        <v>11</v>
      </c>
      <c r="G2652">
        <v>1</v>
      </c>
      <c r="H2652" t="s">
        <v>12289</v>
      </c>
      <c r="J2652" t="s">
        <v>12290</v>
      </c>
      <c r="M2652" t="s">
        <v>12291</v>
      </c>
      <c r="N2652">
        <v>1.813871112</v>
      </c>
      <c r="O2652">
        <v>2.6633694910000001</v>
      </c>
      <c r="P2652">
        <v>-0.29586356800000002</v>
      </c>
      <c r="Q2652">
        <v>-0.59018158399999998</v>
      </c>
      <c r="S2652" s="13">
        <v>-1.476744523</v>
      </c>
      <c r="T2652">
        <v>-0.52784299000000001</v>
      </c>
      <c r="U2652">
        <v>-0.23117291700000001</v>
      </c>
    </row>
    <row r="2653" spans="1:21" x14ac:dyDescent="0.2">
      <c r="A2653" t="s">
        <v>389</v>
      </c>
      <c r="B2653">
        <v>518120</v>
      </c>
      <c r="C2653" t="s">
        <v>6906</v>
      </c>
      <c r="D2653" t="s">
        <v>389</v>
      </c>
      <c r="E2653" t="s">
        <v>6974</v>
      </c>
      <c r="F2653">
        <v>11</v>
      </c>
      <c r="G2653">
        <v>15</v>
      </c>
      <c r="H2653" t="s">
        <v>12292</v>
      </c>
      <c r="J2653" t="s">
        <v>12293</v>
      </c>
      <c r="M2653" t="s">
        <v>12294</v>
      </c>
      <c r="N2653">
        <v>1.813871112</v>
      </c>
      <c r="O2653">
        <v>2.6633694910000001</v>
      </c>
      <c r="P2653">
        <v>-0.29586356800000002</v>
      </c>
      <c r="Q2653">
        <v>-0.59018158399999998</v>
      </c>
      <c r="S2653" s="13">
        <v>-1.4770346729999999</v>
      </c>
      <c r="T2653">
        <v>-0.52911087599999995</v>
      </c>
      <c r="U2653">
        <v>-0.231333236</v>
      </c>
    </row>
    <row r="2654" spans="1:21" x14ac:dyDescent="0.2">
      <c r="A2654" t="s">
        <v>1069</v>
      </c>
      <c r="B2654">
        <v>518040</v>
      </c>
      <c r="C2654" t="s">
        <v>6906</v>
      </c>
      <c r="D2654" t="s">
        <v>1070</v>
      </c>
      <c r="E2654" t="s">
        <v>7085</v>
      </c>
      <c r="F2654">
        <v>6</v>
      </c>
      <c r="G2654">
        <v>9</v>
      </c>
      <c r="H2654" t="s">
        <v>12295</v>
      </c>
      <c r="J2654" t="s">
        <v>2302</v>
      </c>
      <c r="M2654" t="s">
        <v>12296</v>
      </c>
      <c r="N2654">
        <v>1.813871112</v>
      </c>
      <c r="O2654">
        <v>2.6633694910000001</v>
      </c>
      <c r="P2654">
        <v>-0.29586356800000002</v>
      </c>
      <c r="Q2654">
        <v>-0.59018158399999998</v>
      </c>
      <c r="S2654" s="13">
        <v>-1.477150733</v>
      </c>
      <c r="T2654">
        <v>-0.52961803100000004</v>
      </c>
      <c r="U2654">
        <v>-0.23139738000000001</v>
      </c>
    </row>
    <row r="2655" spans="1:21" x14ac:dyDescent="0.2">
      <c r="A2655" t="s">
        <v>431</v>
      </c>
      <c r="B2655">
        <v>453040</v>
      </c>
      <c r="C2655" t="s">
        <v>6931</v>
      </c>
      <c r="D2655" t="s">
        <v>432</v>
      </c>
      <c r="E2655" t="s">
        <v>6939</v>
      </c>
      <c r="F2655">
        <v>3</v>
      </c>
      <c r="G2655">
        <v>2</v>
      </c>
      <c r="H2655" t="s">
        <v>12297</v>
      </c>
      <c r="J2655" t="s">
        <v>3792</v>
      </c>
      <c r="M2655" t="s">
        <v>12298</v>
      </c>
      <c r="N2655">
        <v>1.9323965059999999</v>
      </c>
      <c r="O2655">
        <v>3.0528020530000002</v>
      </c>
      <c r="P2655">
        <v>2.6493138999999999E-2</v>
      </c>
      <c r="Q2655">
        <v>-0.38692188</v>
      </c>
      <c r="S2655" s="13">
        <v>-1.4772222589999999</v>
      </c>
      <c r="T2655">
        <v>-0.52993058400000004</v>
      </c>
      <c r="U2655">
        <v>-0.19072039599999999</v>
      </c>
    </row>
    <row r="2656" spans="1:21" x14ac:dyDescent="0.2">
      <c r="A2656" t="s">
        <v>1675</v>
      </c>
      <c r="B2656">
        <v>614640</v>
      </c>
      <c r="C2656" t="s">
        <v>6914</v>
      </c>
      <c r="D2656" t="s">
        <v>1675</v>
      </c>
      <c r="E2656" t="s">
        <v>6915</v>
      </c>
      <c r="F2656">
        <v>21</v>
      </c>
      <c r="G2656">
        <v>13</v>
      </c>
      <c r="H2656" t="s">
        <v>12299</v>
      </c>
      <c r="J2656" t="s">
        <v>6651</v>
      </c>
      <c r="M2656" t="s">
        <v>12300</v>
      </c>
      <c r="N2656">
        <v>1.8217074179999999</v>
      </c>
      <c r="O2656">
        <v>4.1700741289999996</v>
      </c>
      <c r="P2656">
        <v>0.189705977</v>
      </c>
      <c r="Q2656">
        <v>-1.7194070999999998E-2</v>
      </c>
      <c r="S2656" s="13">
        <v>-1.4777128289999999</v>
      </c>
      <c r="T2656">
        <v>-0.53207426199999996</v>
      </c>
      <c r="U2656">
        <v>-0.28150573499999998</v>
      </c>
    </row>
    <row r="2657" spans="1:21" x14ac:dyDescent="0.2">
      <c r="A2657" t="s">
        <v>202</v>
      </c>
      <c r="B2657">
        <v>614600</v>
      </c>
      <c r="C2657" t="s">
        <v>6914</v>
      </c>
      <c r="D2657" t="s">
        <v>202</v>
      </c>
      <c r="E2657" t="s">
        <v>6907</v>
      </c>
      <c r="F2657">
        <v>14</v>
      </c>
      <c r="G2657">
        <v>4</v>
      </c>
      <c r="H2657" t="s">
        <v>12301</v>
      </c>
      <c r="J2657" t="s">
        <v>713</v>
      </c>
      <c r="M2657" t="s">
        <v>12302</v>
      </c>
      <c r="N2657">
        <v>1.8217074179999999</v>
      </c>
      <c r="O2657">
        <v>4.1700741289999996</v>
      </c>
      <c r="P2657">
        <v>0.189705977</v>
      </c>
      <c r="Q2657">
        <v>-1.7194070999999998E-2</v>
      </c>
      <c r="S2657" s="13">
        <v>-1.4777609389999999</v>
      </c>
      <c r="T2657">
        <v>-0.532284494</v>
      </c>
      <c r="U2657">
        <v>-0.28154173399999999</v>
      </c>
    </row>
    <row r="2658" spans="1:21" x14ac:dyDescent="0.2">
      <c r="A2658" t="s">
        <v>1794</v>
      </c>
      <c r="B2658">
        <v>452600</v>
      </c>
      <c r="C2658" t="s">
        <v>6931</v>
      </c>
      <c r="D2658" t="s">
        <v>1794</v>
      </c>
      <c r="E2658" t="s">
        <v>7115</v>
      </c>
      <c r="F2658">
        <v>13</v>
      </c>
      <c r="G2658">
        <v>10</v>
      </c>
      <c r="H2658" t="s">
        <v>12303</v>
      </c>
      <c r="N2658">
        <v>1.9323965059999999</v>
      </c>
      <c r="O2658">
        <v>3.0528020530000002</v>
      </c>
      <c r="P2658">
        <v>2.6493138999999999E-2</v>
      </c>
      <c r="Q2658">
        <v>-0.38692188</v>
      </c>
      <c r="S2658" s="13">
        <v>-1.4778004069999999</v>
      </c>
      <c r="T2658">
        <v>-0.53245696099999995</v>
      </c>
      <c r="U2658">
        <v>-0.19104178699999999</v>
      </c>
    </row>
    <row r="2659" spans="1:21" x14ac:dyDescent="0.2">
      <c r="A2659" t="s">
        <v>1659</v>
      </c>
      <c r="B2659">
        <v>585240</v>
      </c>
      <c r="C2659" t="s">
        <v>6953</v>
      </c>
      <c r="D2659" t="s">
        <v>1660</v>
      </c>
      <c r="E2659" t="s">
        <v>6946</v>
      </c>
      <c r="F2659">
        <v>8</v>
      </c>
      <c r="G2659">
        <v>11</v>
      </c>
      <c r="H2659" t="s">
        <v>12304</v>
      </c>
      <c r="J2659" t="s">
        <v>1662</v>
      </c>
      <c r="M2659" t="s">
        <v>12305</v>
      </c>
      <c r="N2659">
        <v>1.921480887</v>
      </c>
      <c r="O2659">
        <v>3.0856645180000002</v>
      </c>
      <c r="P2659">
        <v>0.44706724399999997</v>
      </c>
      <c r="Q2659">
        <v>-0.354940863</v>
      </c>
      <c r="S2659" s="13">
        <v>-1.477950485</v>
      </c>
      <c r="T2659">
        <v>-0.53311276399999996</v>
      </c>
      <c r="U2659">
        <v>-0.22490301600000001</v>
      </c>
    </row>
    <row r="2660" spans="1:21" x14ac:dyDescent="0.2">
      <c r="A2660" t="s">
        <v>1494</v>
      </c>
      <c r="B2660">
        <v>496880</v>
      </c>
      <c r="C2660" t="s">
        <v>6910</v>
      </c>
      <c r="D2660" t="s">
        <v>1494</v>
      </c>
      <c r="E2660" t="s">
        <v>7115</v>
      </c>
      <c r="F2660">
        <v>12</v>
      </c>
      <c r="G2660">
        <v>10</v>
      </c>
      <c r="H2660" t="s">
        <v>12306</v>
      </c>
      <c r="J2660" t="s">
        <v>1496</v>
      </c>
      <c r="M2660" t="s">
        <v>12307</v>
      </c>
      <c r="N2660">
        <v>1.9874741039999999</v>
      </c>
      <c r="O2660">
        <v>3.7453511220000002</v>
      </c>
      <c r="P2660">
        <v>0.451009722</v>
      </c>
      <c r="Q2660">
        <v>-0.102386592</v>
      </c>
      <c r="S2660" s="13">
        <v>-1.478094808</v>
      </c>
      <c r="T2660">
        <v>-0.53374342299999999</v>
      </c>
      <c r="U2660">
        <v>-0.216531683</v>
      </c>
    </row>
    <row r="2661" spans="1:21" x14ac:dyDescent="0.2">
      <c r="A2661" t="s">
        <v>342</v>
      </c>
      <c r="B2661">
        <v>508760</v>
      </c>
      <c r="C2661" t="s">
        <v>6938</v>
      </c>
      <c r="D2661" t="s">
        <v>342</v>
      </c>
      <c r="E2661" t="s">
        <v>6956</v>
      </c>
      <c r="F2661">
        <v>15</v>
      </c>
      <c r="G2661">
        <v>7</v>
      </c>
      <c r="H2661" t="s">
        <v>12308</v>
      </c>
      <c r="J2661" t="s">
        <v>12309</v>
      </c>
      <c r="M2661" t="s">
        <v>12310</v>
      </c>
      <c r="N2661">
        <v>2.092758737</v>
      </c>
      <c r="O2661">
        <v>5.3323610669999999</v>
      </c>
      <c r="P2661">
        <v>0.70420098600000003</v>
      </c>
      <c r="Q2661">
        <v>0.41355372699999998</v>
      </c>
      <c r="S2661" s="13">
        <v>-1.47818619</v>
      </c>
      <c r="T2661">
        <v>-0.53414274399999995</v>
      </c>
      <c r="U2661">
        <v>-0.33908263</v>
      </c>
    </row>
    <row r="2662" spans="1:21" x14ac:dyDescent="0.2">
      <c r="A2662" t="s">
        <v>1747</v>
      </c>
      <c r="B2662">
        <v>508760</v>
      </c>
      <c r="C2662" t="s">
        <v>6938</v>
      </c>
      <c r="D2662" t="s">
        <v>1747</v>
      </c>
      <c r="E2662" t="s">
        <v>6911</v>
      </c>
      <c r="F2662">
        <v>13</v>
      </c>
      <c r="G2662">
        <v>12</v>
      </c>
      <c r="H2662" t="s">
        <v>12311</v>
      </c>
      <c r="J2662" t="s">
        <v>5653</v>
      </c>
      <c r="M2662" t="s">
        <v>12312</v>
      </c>
      <c r="N2662">
        <v>2.092758737</v>
      </c>
      <c r="O2662">
        <v>5.3323610669999999</v>
      </c>
      <c r="P2662">
        <v>0.70420098600000003</v>
      </c>
      <c r="Q2662">
        <v>0.41355372699999998</v>
      </c>
      <c r="S2662" s="13">
        <v>-1.47818619</v>
      </c>
      <c r="T2662">
        <v>-0.53414274399999995</v>
      </c>
      <c r="U2662">
        <v>-0.33908263</v>
      </c>
    </row>
    <row r="2663" spans="1:21" x14ac:dyDescent="0.2">
      <c r="A2663" t="s">
        <v>1095</v>
      </c>
      <c r="B2663">
        <v>496720</v>
      </c>
      <c r="C2663" t="s">
        <v>6910</v>
      </c>
      <c r="D2663" t="s">
        <v>1096</v>
      </c>
      <c r="E2663" t="s">
        <v>6977</v>
      </c>
      <c r="F2663">
        <v>4</v>
      </c>
      <c r="G2663">
        <v>5</v>
      </c>
      <c r="H2663" t="s">
        <v>12313</v>
      </c>
      <c r="J2663" t="s">
        <v>3693</v>
      </c>
      <c r="M2663" t="s">
        <v>12314</v>
      </c>
      <c r="N2663">
        <v>1.9874741039999999</v>
      </c>
      <c r="O2663">
        <v>3.7453511220000002</v>
      </c>
      <c r="P2663">
        <v>0.451009722</v>
      </c>
      <c r="Q2663">
        <v>-0.102386592</v>
      </c>
      <c r="S2663" s="13">
        <v>-1.4782669509999999</v>
      </c>
      <c r="T2663">
        <v>-0.53449564900000002</v>
      </c>
      <c r="U2663">
        <v>-0.21665567999999999</v>
      </c>
    </row>
    <row r="2664" spans="1:21" x14ac:dyDescent="0.2">
      <c r="A2664" t="s">
        <v>2335</v>
      </c>
      <c r="B2664">
        <v>517240</v>
      </c>
      <c r="C2664" t="s">
        <v>6906</v>
      </c>
      <c r="D2664" t="s">
        <v>2335</v>
      </c>
      <c r="E2664" t="s">
        <v>6915</v>
      </c>
      <c r="F2664">
        <v>13</v>
      </c>
      <c r="G2664">
        <v>13</v>
      </c>
      <c r="H2664" t="s">
        <v>12315</v>
      </c>
      <c r="J2664" t="s">
        <v>12316</v>
      </c>
      <c r="M2664" t="s">
        <v>12317</v>
      </c>
      <c r="N2664">
        <v>1.813871112</v>
      </c>
      <c r="O2664">
        <v>2.6633694910000001</v>
      </c>
      <c r="P2664">
        <v>-0.29586356800000002</v>
      </c>
      <c r="Q2664">
        <v>-0.59018158399999998</v>
      </c>
      <c r="S2664" s="13">
        <v>-1.4783113299999999</v>
      </c>
      <c r="T2664">
        <v>-0.53468957800000005</v>
      </c>
      <c r="U2664">
        <v>-0.23203934000000001</v>
      </c>
    </row>
    <row r="2665" spans="1:21" x14ac:dyDescent="0.2">
      <c r="A2665" t="s">
        <v>2294</v>
      </c>
      <c r="B2665">
        <v>452200</v>
      </c>
      <c r="C2665" t="s">
        <v>6931</v>
      </c>
      <c r="D2665" t="s">
        <v>2294</v>
      </c>
      <c r="E2665" t="s">
        <v>7085</v>
      </c>
      <c r="F2665">
        <v>20</v>
      </c>
      <c r="G2665">
        <v>9</v>
      </c>
      <c r="H2665" t="s">
        <v>12318</v>
      </c>
      <c r="N2665">
        <v>1.9323965059999999</v>
      </c>
      <c r="O2665">
        <v>3.0528020530000002</v>
      </c>
      <c r="P2665">
        <v>2.6493138999999999E-2</v>
      </c>
      <c r="Q2665">
        <v>-0.38692188</v>
      </c>
      <c r="S2665" s="13">
        <v>-1.478325997</v>
      </c>
      <c r="T2665">
        <v>-0.53475366700000004</v>
      </c>
      <c r="U2665">
        <v>-0.191334167</v>
      </c>
    </row>
    <row r="2666" spans="1:21" x14ac:dyDescent="0.2">
      <c r="A2666" t="s">
        <v>333</v>
      </c>
      <c r="B2666">
        <v>452200</v>
      </c>
      <c r="C2666" t="s">
        <v>6931</v>
      </c>
      <c r="D2666" t="s">
        <v>334</v>
      </c>
      <c r="E2666" t="s">
        <v>6915</v>
      </c>
      <c r="F2666">
        <v>2</v>
      </c>
      <c r="G2666">
        <v>13</v>
      </c>
      <c r="H2666" t="s">
        <v>12319</v>
      </c>
      <c r="J2666" t="s">
        <v>6617</v>
      </c>
      <c r="M2666" t="s">
        <v>12320</v>
      </c>
      <c r="N2666">
        <v>1.9323965059999999</v>
      </c>
      <c r="O2666">
        <v>3.0528020530000002</v>
      </c>
      <c r="P2666">
        <v>2.6493138999999999E-2</v>
      </c>
      <c r="Q2666">
        <v>-0.38692188</v>
      </c>
      <c r="S2666" s="13">
        <v>-1.478325997</v>
      </c>
      <c r="T2666">
        <v>-0.53475366700000004</v>
      </c>
      <c r="U2666">
        <v>-0.191334167</v>
      </c>
    </row>
    <row r="2667" spans="1:21" x14ac:dyDescent="0.2">
      <c r="A2667" t="s">
        <v>329</v>
      </c>
      <c r="B2667">
        <v>614120</v>
      </c>
      <c r="C2667" t="s">
        <v>6914</v>
      </c>
      <c r="D2667" t="s">
        <v>329</v>
      </c>
      <c r="E2667" t="s">
        <v>6924</v>
      </c>
      <c r="F2667">
        <v>22</v>
      </c>
      <c r="G2667">
        <v>6</v>
      </c>
      <c r="H2667" t="s">
        <v>12321</v>
      </c>
      <c r="J2667" t="s">
        <v>4686</v>
      </c>
      <c r="M2667" t="s">
        <v>12322</v>
      </c>
      <c r="N2667">
        <v>1.8217074179999999</v>
      </c>
      <c r="O2667">
        <v>4.1700741289999996</v>
      </c>
      <c r="P2667">
        <v>0.189705977</v>
      </c>
      <c r="Q2667">
        <v>-1.7194070999999998E-2</v>
      </c>
      <c r="S2667" s="13">
        <v>-1.4783382650000001</v>
      </c>
      <c r="T2667">
        <v>-0.53480727400000005</v>
      </c>
      <c r="U2667">
        <v>-0.28197394799999997</v>
      </c>
    </row>
    <row r="2668" spans="1:21" x14ac:dyDescent="0.2">
      <c r="A2668" t="s">
        <v>1215</v>
      </c>
      <c r="B2668">
        <v>447160</v>
      </c>
      <c r="C2668" t="s">
        <v>6942</v>
      </c>
      <c r="D2668" t="s">
        <v>1215</v>
      </c>
      <c r="E2668" t="s">
        <v>6970</v>
      </c>
      <c r="F2668">
        <v>18</v>
      </c>
      <c r="G2668">
        <v>14</v>
      </c>
      <c r="H2668" t="s">
        <v>12323</v>
      </c>
      <c r="J2668" t="s">
        <v>3451</v>
      </c>
      <c r="M2668" t="s">
        <v>12324</v>
      </c>
      <c r="N2668">
        <v>2.0902262079999998</v>
      </c>
      <c r="O2668">
        <v>4.2704203920000001</v>
      </c>
      <c r="P2668">
        <v>0.23425843900000001</v>
      </c>
      <c r="Q2668">
        <v>1.6181978999999999E-2</v>
      </c>
      <c r="S2668" s="13">
        <v>-1.4783581649999999</v>
      </c>
      <c r="T2668">
        <v>-0.53489423400000002</v>
      </c>
      <c r="U2668">
        <v>-0.338138355</v>
      </c>
    </row>
    <row r="2669" spans="1:21" x14ac:dyDescent="0.2">
      <c r="A2669" t="s">
        <v>977</v>
      </c>
      <c r="B2669">
        <v>519680</v>
      </c>
      <c r="C2669" t="s">
        <v>6927</v>
      </c>
      <c r="D2669" t="s">
        <v>978</v>
      </c>
      <c r="E2669" t="s">
        <v>6915</v>
      </c>
      <c r="F2669">
        <v>5</v>
      </c>
      <c r="G2669">
        <v>13</v>
      </c>
      <c r="H2669" t="s">
        <v>12325</v>
      </c>
      <c r="J2669" t="s">
        <v>12326</v>
      </c>
      <c r="M2669" t="s">
        <v>12327</v>
      </c>
      <c r="N2669">
        <v>1.982575982</v>
      </c>
      <c r="O2669">
        <v>3.4571926419999999</v>
      </c>
      <c r="P2669">
        <v>-0.114791479</v>
      </c>
      <c r="Q2669">
        <v>1.868949E-3</v>
      </c>
      <c r="S2669" s="13">
        <v>-1.478500425</v>
      </c>
      <c r="T2669">
        <v>-0.53551588000000006</v>
      </c>
      <c r="U2669">
        <v>-0.29505168900000001</v>
      </c>
    </row>
    <row r="2670" spans="1:21" x14ac:dyDescent="0.2">
      <c r="A2670" t="s">
        <v>2040</v>
      </c>
      <c r="B2670">
        <v>519600</v>
      </c>
      <c r="C2670" t="s">
        <v>6927</v>
      </c>
      <c r="D2670" t="s">
        <v>2040</v>
      </c>
      <c r="E2670" t="s">
        <v>6946</v>
      </c>
      <c r="F2670">
        <v>18</v>
      </c>
      <c r="G2670">
        <v>11</v>
      </c>
      <c r="H2670" t="s">
        <v>12328</v>
      </c>
      <c r="J2670" t="s">
        <v>12329</v>
      </c>
      <c r="M2670" t="s">
        <v>12330</v>
      </c>
      <c r="N2670">
        <v>1.982575982</v>
      </c>
      <c r="O2670">
        <v>3.4571926419999999</v>
      </c>
      <c r="P2670">
        <v>-0.114791479</v>
      </c>
      <c r="Q2670">
        <v>1.868949E-3</v>
      </c>
      <c r="S2670" s="13">
        <v>-1.478583435</v>
      </c>
      <c r="T2670">
        <v>-0.53587861400000003</v>
      </c>
      <c r="U2670">
        <v>-0.29512597000000002</v>
      </c>
    </row>
    <row r="2671" spans="1:21" x14ac:dyDescent="0.2">
      <c r="A2671" t="s">
        <v>1394</v>
      </c>
      <c r="B2671">
        <v>613680</v>
      </c>
      <c r="C2671" t="s">
        <v>6914</v>
      </c>
      <c r="D2671" t="s">
        <v>1394</v>
      </c>
      <c r="E2671" t="s">
        <v>6939</v>
      </c>
      <c r="F2671">
        <v>16</v>
      </c>
      <c r="G2671">
        <v>2</v>
      </c>
      <c r="H2671" t="s">
        <v>12331</v>
      </c>
      <c r="J2671" t="s">
        <v>1396</v>
      </c>
      <c r="M2671" t="s">
        <v>12332</v>
      </c>
      <c r="N2671">
        <v>1.8217074179999999</v>
      </c>
      <c r="O2671">
        <v>4.1700741289999996</v>
      </c>
      <c r="P2671">
        <v>0.189705977</v>
      </c>
      <c r="Q2671">
        <v>-1.7194070999999998E-2</v>
      </c>
      <c r="S2671" s="13">
        <v>-1.4788674799999999</v>
      </c>
      <c r="T2671">
        <v>-0.53711982300000005</v>
      </c>
      <c r="U2671">
        <v>-0.28237052299999998</v>
      </c>
    </row>
    <row r="2672" spans="1:21" x14ac:dyDescent="0.2">
      <c r="A2672" t="s">
        <v>504</v>
      </c>
      <c r="B2672">
        <v>613600</v>
      </c>
      <c r="C2672" t="s">
        <v>6914</v>
      </c>
      <c r="D2672" t="s">
        <v>504</v>
      </c>
      <c r="E2672" t="s">
        <v>6956</v>
      </c>
      <c r="F2672">
        <v>12</v>
      </c>
      <c r="G2672">
        <v>7</v>
      </c>
      <c r="H2672" t="s">
        <v>12333</v>
      </c>
      <c r="J2672" t="s">
        <v>3438</v>
      </c>
      <c r="M2672" t="s">
        <v>12334</v>
      </c>
      <c r="N2672">
        <v>1.8217074179999999</v>
      </c>
      <c r="O2672">
        <v>4.1700741289999996</v>
      </c>
      <c r="P2672">
        <v>0.189705977</v>
      </c>
      <c r="Q2672">
        <v>-1.7194070999999998E-2</v>
      </c>
      <c r="S2672" s="13">
        <v>-1.4789637010000001</v>
      </c>
      <c r="T2672">
        <v>-0.53754028700000001</v>
      </c>
      <c r="U2672">
        <v>-0.28244266699999998</v>
      </c>
    </row>
    <row r="2673" spans="1:21" x14ac:dyDescent="0.2">
      <c r="A2673" t="s">
        <v>839</v>
      </c>
      <c r="B2673">
        <v>126760</v>
      </c>
      <c r="C2673" t="s">
        <v>6961</v>
      </c>
      <c r="D2673" t="s">
        <v>840</v>
      </c>
      <c r="E2673" t="s">
        <v>6928</v>
      </c>
      <c r="F2673">
        <v>5</v>
      </c>
      <c r="G2673">
        <v>16</v>
      </c>
      <c r="H2673" t="s">
        <v>12335</v>
      </c>
      <c r="J2673" t="s">
        <v>6447</v>
      </c>
      <c r="M2673" t="s">
        <v>12336</v>
      </c>
      <c r="N2673">
        <v>2.7247480949999998</v>
      </c>
      <c r="O2673">
        <v>7.0822175119999997</v>
      </c>
      <c r="P2673">
        <v>0.61298291999999999</v>
      </c>
      <c r="Q2673">
        <v>0.48262032500000002</v>
      </c>
      <c r="S2673" s="13">
        <v>-1.4794496690000001</v>
      </c>
      <c r="T2673">
        <v>-0.53966385800000005</v>
      </c>
      <c r="U2673">
        <v>-0.44010407200000001</v>
      </c>
    </row>
    <row r="2674" spans="1:21" x14ac:dyDescent="0.2">
      <c r="A2674" t="s">
        <v>846</v>
      </c>
      <c r="B2674">
        <v>495480</v>
      </c>
      <c r="C2674" t="s">
        <v>6910</v>
      </c>
      <c r="D2674" t="s">
        <v>847</v>
      </c>
      <c r="E2674" t="s">
        <v>6911</v>
      </c>
      <c r="F2674">
        <v>9</v>
      </c>
      <c r="G2674">
        <v>12</v>
      </c>
      <c r="H2674" t="s">
        <v>12337</v>
      </c>
      <c r="J2674" t="s">
        <v>6179</v>
      </c>
      <c r="M2674" t="s">
        <v>12338</v>
      </c>
      <c r="N2674">
        <v>1.9874741039999999</v>
      </c>
      <c r="O2674">
        <v>3.7453511220000002</v>
      </c>
      <c r="P2674">
        <v>0.451009722</v>
      </c>
      <c r="Q2674">
        <v>-0.102386592</v>
      </c>
      <c r="S2674" s="13">
        <v>-1.4796010589999999</v>
      </c>
      <c r="T2674">
        <v>-0.54032539599999996</v>
      </c>
      <c r="U2674">
        <v>-0.21761786499999999</v>
      </c>
    </row>
    <row r="2675" spans="1:21" x14ac:dyDescent="0.2">
      <c r="A2675" t="s">
        <v>169</v>
      </c>
      <c r="B2675">
        <v>451040</v>
      </c>
      <c r="C2675" t="s">
        <v>6931</v>
      </c>
      <c r="D2675" t="s">
        <v>169</v>
      </c>
      <c r="E2675" t="s">
        <v>6918</v>
      </c>
      <c r="F2675">
        <v>16</v>
      </c>
      <c r="G2675">
        <v>1</v>
      </c>
      <c r="H2675" t="s">
        <v>12339</v>
      </c>
      <c r="N2675">
        <v>1.9323965059999999</v>
      </c>
      <c r="O2675">
        <v>3.0528020530000002</v>
      </c>
      <c r="P2675">
        <v>2.6493138999999999E-2</v>
      </c>
      <c r="Q2675">
        <v>-0.38692188</v>
      </c>
      <c r="S2675" s="13">
        <v>-1.4798502069999999</v>
      </c>
      <c r="T2675">
        <v>-0.54141411699999997</v>
      </c>
      <c r="U2675">
        <v>-0.19218318500000001</v>
      </c>
    </row>
    <row r="2676" spans="1:21" x14ac:dyDescent="0.2">
      <c r="A2676" t="s">
        <v>1269</v>
      </c>
      <c r="B2676">
        <v>612720</v>
      </c>
      <c r="C2676" t="s">
        <v>6914</v>
      </c>
      <c r="D2676" t="s">
        <v>1269</v>
      </c>
      <c r="E2676" t="s">
        <v>6924</v>
      </c>
      <c r="F2676">
        <v>11</v>
      </c>
      <c r="G2676">
        <v>6</v>
      </c>
      <c r="H2676" t="s">
        <v>12340</v>
      </c>
      <c r="J2676" t="s">
        <v>4519</v>
      </c>
      <c r="M2676" t="s">
        <v>12341</v>
      </c>
      <c r="N2676">
        <v>1.8217074179999999</v>
      </c>
      <c r="O2676">
        <v>4.1700741289999996</v>
      </c>
      <c r="P2676">
        <v>0.189705977</v>
      </c>
      <c r="Q2676">
        <v>-1.7194070999999998E-2</v>
      </c>
      <c r="S2676" s="13">
        <v>-1.4800221309999999</v>
      </c>
      <c r="T2676">
        <v>-0.542165385</v>
      </c>
      <c r="U2676">
        <v>-0.283237036</v>
      </c>
    </row>
    <row r="2677" spans="1:21" x14ac:dyDescent="0.2">
      <c r="A2677" t="s">
        <v>1118</v>
      </c>
      <c r="B2677">
        <v>125960</v>
      </c>
      <c r="C2677" t="s">
        <v>6961</v>
      </c>
      <c r="D2677" t="s">
        <v>1118</v>
      </c>
      <c r="E2677" t="s">
        <v>6924</v>
      </c>
      <c r="F2677">
        <v>13</v>
      </c>
      <c r="G2677">
        <v>6</v>
      </c>
      <c r="H2677" t="s">
        <v>12342</v>
      </c>
      <c r="J2677" t="s">
        <v>6233</v>
      </c>
      <c r="M2677" t="s">
        <v>12343</v>
      </c>
      <c r="N2677">
        <v>2.7247480949999998</v>
      </c>
      <c r="O2677">
        <v>7.0822175119999997</v>
      </c>
      <c r="P2677">
        <v>0.61298291999999999</v>
      </c>
      <c r="Q2677">
        <v>0.48262032500000002</v>
      </c>
      <c r="S2677" s="13">
        <v>-1.4800829609999999</v>
      </c>
      <c r="T2677">
        <v>-0.5424312</v>
      </c>
      <c r="U2677">
        <v>-0.441142588</v>
      </c>
    </row>
    <row r="2678" spans="1:21" x14ac:dyDescent="0.2">
      <c r="A2678" t="s">
        <v>650</v>
      </c>
      <c r="B2678">
        <v>358520</v>
      </c>
      <c r="C2678" t="s">
        <v>6945</v>
      </c>
      <c r="D2678" t="s">
        <v>651</v>
      </c>
      <c r="E2678" t="s">
        <v>7085</v>
      </c>
      <c r="F2678">
        <v>9</v>
      </c>
      <c r="G2678">
        <v>9</v>
      </c>
      <c r="H2678" t="s">
        <v>12344</v>
      </c>
      <c r="J2678" t="s">
        <v>4654</v>
      </c>
      <c r="M2678" t="s">
        <v>12345</v>
      </c>
      <c r="N2678">
        <v>2.2220813349999999</v>
      </c>
      <c r="O2678">
        <v>6.5440947090000003</v>
      </c>
      <c r="P2678">
        <v>0.58228215500000002</v>
      </c>
      <c r="Q2678">
        <v>0.35188233000000002</v>
      </c>
      <c r="S2678" s="13">
        <v>-1.480107152</v>
      </c>
      <c r="T2678">
        <v>-0.54253690600000004</v>
      </c>
      <c r="U2678">
        <v>-0.35684693299999998</v>
      </c>
    </row>
    <row r="2679" spans="1:21" x14ac:dyDescent="0.2">
      <c r="A2679" t="s">
        <v>470</v>
      </c>
      <c r="B2679">
        <v>582760</v>
      </c>
      <c r="C2679" t="s">
        <v>6953</v>
      </c>
      <c r="D2679" t="s">
        <v>470</v>
      </c>
      <c r="E2679" t="s">
        <v>6970</v>
      </c>
      <c r="F2679">
        <v>22</v>
      </c>
      <c r="G2679">
        <v>14</v>
      </c>
      <c r="H2679" t="s">
        <v>12346</v>
      </c>
      <c r="J2679" t="s">
        <v>1850</v>
      </c>
      <c r="M2679" t="s">
        <v>12347</v>
      </c>
      <c r="N2679">
        <v>1.921480887</v>
      </c>
      <c r="O2679">
        <v>3.0856645180000002</v>
      </c>
      <c r="P2679">
        <v>0.44706724399999997</v>
      </c>
      <c r="Q2679">
        <v>-0.354940863</v>
      </c>
      <c r="S2679" s="13">
        <v>-1.4805237929999999</v>
      </c>
      <c r="T2679">
        <v>-0.54435753200000003</v>
      </c>
      <c r="U2679">
        <v>-0.226866541</v>
      </c>
    </row>
    <row r="2680" spans="1:21" x14ac:dyDescent="0.2">
      <c r="A2680" t="s">
        <v>175</v>
      </c>
      <c r="B2680">
        <v>515680</v>
      </c>
      <c r="C2680" t="s">
        <v>6906</v>
      </c>
      <c r="D2680" t="s">
        <v>175</v>
      </c>
      <c r="E2680" t="s">
        <v>7006</v>
      </c>
      <c r="F2680">
        <v>15</v>
      </c>
      <c r="G2680">
        <v>3</v>
      </c>
      <c r="H2680" t="s">
        <v>12348</v>
      </c>
      <c r="J2680" t="s">
        <v>177</v>
      </c>
      <c r="M2680" t="s">
        <v>12349</v>
      </c>
      <c r="N2680">
        <v>1.813871112</v>
      </c>
      <c r="O2680">
        <v>2.6633694910000001</v>
      </c>
      <c r="P2680">
        <v>-0.29586356800000002</v>
      </c>
      <c r="Q2680">
        <v>-0.59018158399999998</v>
      </c>
      <c r="S2680" s="13">
        <v>-1.480574496</v>
      </c>
      <c r="T2680">
        <v>-0.54457909400000004</v>
      </c>
      <c r="U2680">
        <v>-0.2332939</v>
      </c>
    </row>
    <row r="2681" spans="1:21" x14ac:dyDescent="0.2">
      <c r="A2681" t="s">
        <v>1118</v>
      </c>
      <c r="B2681">
        <v>450480</v>
      </c>
      <c r="C2681" t="s">
        <v>6931</v>
      </c>
      <c r="D2681" t="s">
        <v>1118</v>
      </c>
      <c r="E2681" t="s">
        <v>6924</v>
      </c>
      <c r="F2681">
        <v>13</v>
      </c>
      <c r="G2681">
        <v>6</v>
      </c>
      <c r="H2681" t="s">
        <v>12350</v>
      </c>
      <c r="N2681">
        <v>1.9323965059999999</v>
      </c>
      <c r="O2681">
        <v>3.0528020530000002</v>
      </c>
      <c r="P2681">
        <v>2.6493138999999999E-2</v>
      </c>
      <c r="Q2681">
        <v>-0.38692188</v>
      </c>
      <c r="S2681" s="13">
        <v>-1.4805860319999999</v>
      </c>
      <c r="T2681">
        <v>-0.54462950600000004</v>
      </c>
      <c r="U2681">
        <v>-0.192593651</v>
      </c>
    </row>
    <row r="2682" spans="1:21" x14ac:dyDescent="0.2">
      <c r="A2682" t="s">
        <v>1788</v>
      </c>
      <c r="B2682">
        <v>125280</v>
      </c>
      <c r="C2682" t="s">
        <v>6961</v>
      </c>
      <c r="D2682" t="s">
        <v>1788</v>
      </c>
      <c r="E2682" t="s">
        <v>6956</v>
      </c>
      <c r="F2682">
        <v>10</v>
      </c>
      <c r="G2682">
        <v>7</v>
      </c>
      <c r="H2682" t="s">
        <v>12351</v>
      </c>
      <c r="J2682" t="s">
        <v>6505</v>
      </c>
      <c r="M2682" t="s">
        <v>12352</v>
      </c>
      <c r="N2682">
        <v>2.7247480949999998</v>
      </c>
      <c r="O2682">
        <v>7.0822175119999997</v>
      </c>
      <c r="P2682">
        <v>0.61298291999999999</v>
      </c>
      <c r="Q2682">
        <v>0.48262032500000002</v>
      </c>
      <c r="S2682" s="13">
        <v>-1.4806212599999999</v>
      </c>
      <c r="T2682">
        <v>-0.54478344000000001</v>
      </c>
      <c r="U2682">
        <v>-0.44202728400000002</v>
      </c>
    </row>
    <row r="2683" spans="1:21" x14ac:dyDescent="0.2">
      <c r="A2683" t="s">
        <v>1095</v>
      </c>
      <c r="B2683">
        <v>582600</v>
      </c>
      <c r="C2683" t="s">
        <v>6953</v>
      </c>
      <c r="D2683" t="s">
        <v>1096</v>
      </c>
      <c r="E2683" t="s">
        <v>6977</v>
      </c>
      <c r="F2683">
        <v>4</v>
      </c>
      <c r="G2683">
        <v>5</v>
      </c>
      <c r="H2683" t="s">
        <v>12353</v>
      </c>
      <c r="J2683" t="s">
        <v>5187</v>
      </c>
      <c r="M2683" t="s">
        <v>12354</v>
      </c>
      <c r="N2683">
        <v>1.921480887</v>
      </c>
      <c r="O2683">
        <v>3.0856645180000002</v>
      </c>
      <c r="P2683">
        <v>0.44706724399999997</v>
      </c>
      <c r="Q2683">
        <v>-0.354940863</v>
      </c>
      <c r="S2683" s="13">
        <v>-1.4806898129999999</v>
      </c>
      <c r="T2683">
        <v>-0.54508300099999996</v>
      </c>
      <c r="U2683">
        <v>-0.226993525</v>
      </c>
    </row>
    <row r="2684" spans="1:21" x14ac:dyDescent="0.2">
      <c r="A2684" t="s">
        <v>462</v>
      </c>
      <c r="B2684">
        <v>124640</v>
      </c>
      <c r="C2684" t="s">
        <v>6961</v>
      </c>
      <c r="D2684" t="s">
        <v>462</v>
      </c>
      <c r="E2684" t="s">
        <v>6956</v>
      </c>
      <c r="F2684">
        <v>20</v>
      </c>
      <c r="G2684">
        <v>7</v>
      </c>
      <c r="H2684" t="s">
        <v>12355</v>
      </c>
      <c r="J2684" t="s">
        <v>6357</v>
      </c>
      <c r="M2684" t="s">
        <v>12356</v>
      </c>
      <c r="N2684">
        <v>2.7247480949999998</v>
      </c>
      <c r="O2684">
        <v>7.0822175119999997</v>
      </c>
      <c r="P2684">
        <v>0.61298291999999999</v>
      </c>
      <c r="Q2684">
        <v>0.48262032500000002</v>
      </c>
      <c r="S2684" s="13">
        <v>-1.481127893</v>
      </c>
      <c r="T2684">
        <v>-0.54699731399999996</v>
      </c>
      <c r="U2684">
        <v>-0.442861589</v>
      </c>
    </row>
    <row r="2685" spans="1:21" x14ac:dyDescent="0.2">
      <c r="A2685" t="s">
        <v>1222</v>
      </c>
      <c r="B2685">
        <v>505320</v>
      </c>
      <c r="C2685" t="s">
        <v>6938</v>
      </c>
      <c r="D2685" t="s">
        <v>1223</v>
      </c>
      <c r="E2685" t="s">
        <v>6907</v>
      </c>
      <c r="F2685">
        <v>3</v>
      </c>
      <c r="G2685">
        <v>4</v>
      </c>
      <c r="H2685" t="s">
        <v>12357</v>
      </c>
      <c r="J2685" t="s">
        <v>2384</v>
      </c>
      <c r="M2685" t="s">
        <v>12358</v>
      </c>
      <c r="N2685">
        <v>2.092758737</v>
      </c>
      <c r="O2685">
        <v>5.3323610669999999</v>
      </c>
      <c r="P2685">
        <v>0.70420098600000003</v>
      </c>
      <c r="Q2685">
        <v>0.41355372699999998</v>
      </c>
      <c r="S2685" s="13">
        <v>-1.4811405019999999</v>
      </c>
      <c r="T2685">
        <v>-0.54705240899999996</v>
      </c>
      <c r="U2685">
        <v>-0.34263170100000001</v>
      </c>
    </row>
    <row r="2686" spans="1:21" x14ac:dyDescent="0.2">
      <c r="A2686" t="s">
        <v>932</v>
      </c>
      <c r="B2686">
        <v>582160</v>
      </c>
      <c r="C2686" t="s">
        <v>6953</v>
      </c>
      <c r="D2686" t="s">
        <v>932</v>
      </c>
      <c r="E2686" t="s">
        <v>7006</v>
      </c>
      <c r="F2686">
        <v>12</v>
      </c>
      <c r="G2686">
        <v>3</v>
      </c>
      <c r="H2686" t="s">
        <v>12359</v>
      </c>
      <c r="J2686" t="s">
        <v>5121</v>
      </c>
      <c r="M2686" t="s">
        <v>12360</v>
      </c>
      <c r="N2686">
        <v>1.921480887</v>
      </c>
      <c r="O2686">
        <v>3.0856645180000002</v>
      </c>
      <c r="P2686">
        <v>0.44706724399999997</v>
      </c>
      <c r="Q2686">
        <v>-0.354940863</v>
      </c>
      <c r="S2686" s="13">
        <v>-1.481146367</v>
      </c>
      <c r="T2686">
        <v>-0.54707804100000001</v>
      </c>
      <c r="U2686">
        <v>-0.227342924</v>
      </c>
    </row>
    <row r="2687" spans="1:21" x14ac:dyDescent="0.2">
      <c r="A2687" t="s">
        <v>1617</v>
      </c>
      <c r="B2687">
        <v>357080</v>
      </c>
      <c r="C2687" t="s">
        <v>6945</v>
      </c>
      <c r="D2687" t="s">
        <v>1617</v>
      </c>
      <c r="E2687" t="s">
        <v>7115</v>
      </c>
      <c r="F2687">
        <v>16</v>
      </c>
      <c r="G2687">
        <v>10</v>
      </c>
      <c r="H2687" t="s">
        <v>12361</v>
      </c>
      <c r="J2687" t="s">
        <v>5597</v>
      </c>
      <c r="M2687" t="s">
        <v>12362</v>
      </c>
      <c r="N2687">
        <v>2.2220813349999999</v>
      </c>
      <c r="O2687">
        <v>6.5440947090000003</v>
      </c>
      <c r="P2687">
        <v>0.58228215500000002</v>
      </c>
      <c r="Q2687">
        <v>0.35188233000000002</v>
      </c>
      <c r="S2687" s="13">
        <v>-1.4814654119999999</v>
      </c>
      <c r="T2687">
        <v>-0.548472191</v>
      </c>
      <c r="U2687">
        <v>-0.35839105500000001</v>
      </c>
    </row>
    <row r="2688" spans="1:21" x14ac:dyDescent="0.2">
      <c r="A2688" t="s">
        <v>431</v>
      </c>
      <c r="B2688">
        <v>581800</v>
      </c>
      <c r="C2688" t="s">
        <v>6953</v>
      </c>
      <c r="D2688" t="s">
        <v>432</v>
      </c>
      <c r="E2688" t="s">
        <v>6939</v>
      </c>
      <c r="F2688">
        <v>3</v>
      </c>
      <c r="G2688">
        <v>2</v>
      </c>
      <c r="H2688" t="s">
        <v>12363</v>
      </c>
      <c r="J2688" t="s">
        <v>5233</v>
      </c>
      <c r="M2688" t="s">
        <v>12364</v>
      </c>
      <c r="N2688">
        <v>1.921480887</v>
      </c>
      <c r="O2688">
        <v>3.0856645180000002</v>
      </c>
      <c r="P2688">
        <v>0.44706724399999997</v>
      </c>
      <c r="Q2688">
        <v>-0.354940863</v>
      </c>
      <c r="S2688" s="13">
        <v>-1.481519912</v>
      </c>
      <c r="T2688">
        <v>-0.54871034600000002</v>
      </c>
      <c r="U2688">
        <v>-0.227629005</v>
      </c>
    </row>
    <row r="2689" spans="1:21" x14ac:dyDescent="0.2">
      <c r="A2689" t="s">
        <v>788</v>
      </c>
      <c r="B2689">
        <v>515000</v>
      </c>
      <c r="C2689" t="s">
        <v>6906</v>
      </c>
      <c r="D2689" t="s">
        <v>788</v>
      </c>
      <c r="E2689" t="s">
        <v>6921</v>
      </c>
      <c r="F2689">
        <v>13</v>
      </c>
      <c r="G2689">
        <v>8</v>
      </c>
      <c r="H2689" t="s">
        <v>12365</v>
      </c>
      <c r="J2689" t="s">
        <v>12366</v>
      </c>
      <c r="M2689" t="s">
        <v>12367</v>
      </c>
      <c r="N2689">
        <v>1.813871112</v>
      </c>
      <c r="O2689">
        <v>2.6633694910000001</v>
      </c>
      <c r="P2689">
        <v>-0.29586356800000002</v>
      </c>
      <c r="Q2689">
        <v>-0.59018158399999998</v>
      </c>
      <c r="S2689" s="13">
        <v>-1.481561004</v>
      </c>
      <c r="T2689">
        <v>-0.54888990800000004</v>
      </c>
      <c r="U2689">
        <v>-0.23384189599999999</v>
      </c>
    </row>
    <row r="2690" spans="1:21" x14ac:dyDescent="0.2">
      <c r="A2690" t="s">
        <v>1101</v>
      </c>
      <c r="B2690">
        <v>516440</v>
      </c>
      <c r="C2690" t="s">
        <v>6927</v>
      </c>
      <c r="D2690" t="s">
        <v>1101</v>
      </c>
      <c r="E2690" t="s">
        <v>6911</v>
      </c>
      <c r="F2690">
        <v>14</v>
      </c>
      <c r="G2690">
        <v>12</v>
      </c>
      <c r="H2690" t="s">
        <v>12368</v>
      </c>
      <c r="J2690" t="s">
        <v>12369</v>
      </c>
      <c r="M2690" t="s">
        <v>12370</v>
      </c>
      <c r="N2690">
        <v>1.982575982</v>
      </c>
      <c r="O2690">
        <v>3.4571926419999999</v>
      </c>
      <c r="P2690">
        <v>-0.114791479</v>
      </c>
      <c r="Q2690">
        <v>1.868949E-3</v>
      </c>
      <c r="S2690" s="13">
        <v>-1.4818623280000001</v>
      </c>
      <c r="T2690">
        <v>-0.55020662600000003</v>
      </c>
      <c r="U2690">
        <v>-0.29807028699999999</v>
      </c>
    </row>
    <row r="2691" spans="1:21" x14ac:dyDescent="0.2">
      <c r="A2691" t="s">
        <v>1729</v>
      </c>
      <c r="B2691">
        <v>493240</v>
      </c>
      <c r="C2691" t="s">
        <v>6910</v>
      </c>
      <c r="D2691" t="s">
        <v>1729</v>
      </c>
      <c r="E2691" t="s">
        <v>6907</v>
      </c>
      <c r="F2691">
        <v>16</v>
      </c>
      <c r="G2691">
        <v>4</v>
      </c>
      <c r="H2691" t="s">
        <v>12371</v>
      </c>
      <c r="J2691" t="s">
        <v>2849</v>
      </c>
      <c r="M2691" t="s">
        <v>12372</v>
      </c>
      <c r="N2691">
        <v>1.9874741039999999</v>
      </c>
      <c r="O2691">
        <v>3.7453511220000002</v>
      </c>
      <c r="P2691">
        <v>0.451009722</v>
      </c>
      <c r="Q2691">
        <v>-0.102386592</v>
      </c>
      <c r="S2691" s="13">
        <v>-1.48201106</v>
      </c>
      <c r="T2691">
        <v>-0.55085655099999997</v>
      </c>
      <c r="U2691">
        <v>-0.219361428</v>
      </c>
    </row>
    <row r="2692" spans="1:21" x14ac:dyDescent="0.2">
      <c r="A2692" t="s">
        <v>1668</v>
      </c>
      <c r="B2692">
        <v>503040</v>
      </c>
      <c r="C2692" t="s">
        <v>6938</v>
      </c>
      <c r="D2692" t="s">
        <v>1668</v>
      </c>
      <c r="E2692" t="s">
        <v>6915</v>
      </c>
      <c r="F2692">
        <v>10</v>
      </c>
      <c r="G2692">
        <v>13</v>
      </c>
      <c r="H2692" t="s">
        <v>12373</v>
      </c>
      <c r="J2692" t="s">
        <v>2556</v>
      </c>
      <c r="M2692" t="s">
        <v>12374</v>
      </c>
      <c r="N2692">
        <v>2.092758737</v>
      </c>
      <c r="O2692">
        <v>5.3323610669999999</v>
      </c>
      <c r="P2692">
        <v>0.70420098600000003</v>
      </c>
      <c r="Q2692">
        <v>0.41355372699999998</v>
      </c>
      <c r="S2692" s="13">
        <v>-1.4830985919999999</v>
      </c>
      <c r="T2692">
        <v>-0.55560881500000003</v>
      </c>
      <c r="U2692">
        <v>-0.34500007599999999</v>
      </c>
    </row>
    <row r="2693" spans="1:21" x14ac:dyDescent="0.2">
      <c r="A2693" t="s">
        <v>1263</v>
      </c>
      <c r="B2693">
        <v>441800</v>
      </c>
      <c r="C2693" t="s">
        <v>6942</v>
      </c>
      <c r="D2693" t="s">
        <v>1264</v>
      </c>
      <c r="E2693" t="s">
        <v>6911</v>
      </c>
      <c r="F2693">
        <v>7</v>
      </c>
      <c r="G2693">
        <v>12</v>
      </c>
      <c r="H2693" t="s">
        <v>12375</v>
      </c>
      <c r="J2693" t="s">
        <v>1266</v>
      </c>
      <c r="M2693" t="s">
        <v>12376</v>
      </c>
      <c r="N2693">
        <v>2.0902262079999998</v>
      </c>
      <c r="O2693">
        <v>4.2704203920000001</v>
      </c>
      <c r="P2693">
        <v>0.23425843900000001</v>
      </c>
      <c r="Q2693">
        <v>1.6181978999999999E-2</v>
      </c>
      <c r="S2693" s="13">
        <v>-1.4836189470000001</v>
      </c>
      <c r="T2693">
        <v>-0.55788264799999998</v>
      </c>
      <c r="U2693">
        <v>-0.34366887200000001</v>
      </c>
    </row>
    <row r="2694" spans="1:21" x14ac:dyDescent="0.2">
      <c r="A2694" t="s">
        <v>972</v>
      </c>
      <c r="B2694">
        <v>502400</v>
      </c>
      <c r="C2694" t="s">
        <v>6938</v>
      </c>
      <c r="D2694" t="s">
        <v>972</v>
      </c>
      <c r="E2694" t="s">
        <v>7085</v>
      </c>
      <c r="F2694">
        <v>17</v>
      </c>
      <c r="G2694">
        <v>9</v>
      </c>
      <c r="H2694" t="s">
        <v>12377</v>
      </c>
      <c r="J2694" t="s">
        <v>974</v>
      </c>
      <c r="M2694" t="s">
        <v>12378</v>
      </c>
      <c r="N2694">
        <v>2.092758737</v>
      </c>
      <c r="O2694">
        <v>5.3323610669999999</v>
      </c>
      <c r="P2694">
        <v>0.70420098600000003</v>
      </c>
      <c r="Q2694">
        <v>0.41355372699999998</v>
      </c>
      <c r="S2694" s="13">
        <v>-1.4836482310000001</v>
      </c>
      <c r="T2694">
        <v>-0.55801061299999999</v>
      </c>
      <c r="U2694">
        <v>-0.34566721099999997</v>
      </c>
    </row>
    <row r="2695" spans="1:21" x14ac:dyDescent="0.2">
      <c r="A2695" t="s">
        <v>935</v>
      </c>
      <c r="B2695">
        <v>447880</v>
      </c>
      <c r="C2695" t="s">
        <v>6931</v>
      </c>
      <c r="D2695" t="s">
        <v>935</v>
      </c>
      <c r="E2695" t="s">
        <v>6921</v>
      </c>
      <c r="F2695">
        <v>18</v>
      </c>
      <c r="G2695">
        <v>8</v>
      </c>
      <c r="H2695" t="s">
        <v>12379</v>
      </c>
      <c r="N2695">
        <v>1.9323965059999999</v>
      </c>
      <c r="O2695">
        <v>3.0528020530000002</v>
      </c>
      <c r="P2695">
        <v>2.6493138999999999E-2</v>
      </c>
      <c r="Q2695">
        <v>-0.38692188</v>
      </c>
      <c r="S2695" s="13">
        <v>-1.484002365</v>
      </c>
      <c r="T2695">
        <v>-0.55955809899999998</v>
      </c>
      <c r="U2695">
        <v>-0.19450448200000001</v>
      </c>
    </row>
    <row r="2696" spans="1:21" x14ac:dyDescent="0.2">
      <c r="A2696" t="s">
        <v>345</v>
      </c>
      <c r="B2696">
        <v>579160</v>
      </c>
      <c r="C2696" t="s">
        <v>6953</v>
      </c>
      <c r="D2696" t="s">
        <v>345</v>
      </c>
      <c r="E2696" t="s">
        <v>6918</v>
      </c>
      <c r="F2696">
        <v>19</v>
      </c>
      <c r="G2696">
        <v>1</v>
      </c>
      <c r="H2696" t="s">
        <v>12380</v>
      </c>
      <c r="J2696" t="s">
        <v>662</v>
      </c>
      <c r="M2696" t="s">
        <v>12381</v>
      </c>
      <c r="N2696">
        <v>1.921480887</v>
      </c>
      <c r="O2696">
        <v>3.0856645180000002</v>
      </c>
      <c r="P2696">
        <v>0.44706724399999997</v>
      </c>
      <c r="Q2696">
        <v>-0.354940863</v>
      </c>
      <c r="S2696" s="13">
        <v>-1.4842592400000001</v>
      </c>
      <c r="T2696">
        <v>-0.56068058300000001</v>
      </c>
      <c r="U2696">
        <v>-0.22973270900000001</v>
      </c>
    </row>
    <row r="2697" spans="1:21" x14ac:dyDescent="0.2">
      <c r="A2697" t="s">
        <v>1593</v>
      </c>
      <c r="B2697">
        <v>579080</v>
      </c>
      <c r="C2697" t="s">
        <v>6953</v>
      </c>
      <c r="D2697" t="s">
        <v>1593</v>
      </c>
      <c r="E2697" t="s">
        <v>6939</v>
      </c>
      <c r="F2697">
        <v>14</v>
      </c>
      <c r="G2697">
        <v>2</v>
      </c>
      <c r="H2697" t="s">
        <v>12382</v>
      </c>
      <c r="J2697" t="s">
        <v>1875</v>
      </c>
      <c r="M2697" t="s">
        <v>12383</v>
      </c>
      <c r="N2697">
        <v>1.921480887</v>
      </c>
      <c r="O2697">
        <v>3.0856645180000002</v>
      </c>
      <c r="P2697">
        <v>0.44706724399999997</v>
      </c>
      <c r="Q2697">
        <v>-0.354940863</v>
      </c>
      <c r="S2697" s="13">
        <v>-1.4843422500000001</v>
      </c>
      <c r="T2697">
        <v>-0.56104331799999996</v>
      </c>
      <c r="U2697">
        <v>-0.22979661700000001</v>
      </c>
    </row>
    <row r="2698" spans="1:21" x14ac:dyDescent="0.2">
      <c r="A2698" t="s">
        <v>924</v>
      </c>
      <c r="B2698">
        <v>513080</v>
      </c>
      <c r="C2698" t="s">
        <v>6906</v>
      </c>
      <c r="D2698" t="s">
        <v>924</v>
      </c>
      <c r="E2698" t="s">
        <v>7115</v>
      </c>
      <c r="F2698">
        <v>17</v>
      </c>
      <c r="G2698">
        <v>10</v>
      </c>
      <c r="H2698" t="s">
        <v>12384</v>
      </c>
      <c r="J2698" t="s">
        <v>926</v>
      </c>
      <c r="M2698" t="s">
        <v>12385</v>
      </c>
      <c r="N2698">
        <v>1.813871112</v>
      </c>
      <c r="O2698">
        <v>2.6633694910000001</v>
      </c>
      <c r="P2698">
        <v>-0.29586356800000002</v>
      </c>
      <c r="Q2698">
        <v>-0.59018158399999998</v>
      </c>
      <c r="S2698" s="13">
        <v>-1.484346438</v>
      </c>
      <c r="T2698">
        <v>-0.56106162000000004</v>
      </c>
      <c r="U2698">
        <v>-0.23539292000000001</v>
      </c>
    </row>
    <row r="2699" spans="1:21" x14ac:dyDescent="0.2">
      <c r="A2699" t="s">
        <v>572</v>
      </c>
      <c r="B2699">
        <v>447600</v>
      </c>
      <c r="C2699" t="s">
        <v>6931</v>
      </c>
      <c r="D2699" t="s">
        <v>572</v>
      </c>
      <c r="E2699" t="s">
        <v>7006</v>
      </c>
      <c r="F2699">
        <v>13</v>
      </c>
      <c r="G2699">
        <v>3</v>
      </c>
      <c r="H2699" t="s">
        <v>12386</v>
      </c>
      <c r="N2699">
        <v>1.9323965059999999</v>
      </c>
      <c r="O2699">
        <v>3.0528020530000002</v>
      </c>
      <c r="P2699">
        <v>2.6493138999999999E-2</v>
      </c>
      <c r="Q2699">
        <v>-0.38692188</v>
      </c>
      <c r="S2699" s="13">
        <v>-1.4843702780000001</v>
      </c>
      <c r="T2699">
        <v>-0.56116579300000002</v>
      </c>
      <c r="U2699">
        <v>-0.19471076600000001</v>
      </c>
    </row>
    <row r="2700" spans="1:21" x14ac:dyDescent="0.2">
      <c r="A2700" t="s">
        <v>2077</v>
      </c>
      <c r="B2700">
        <v>513040</v>
      </c>
      <c r="C2700" t="s">
        <v>6906</v>
      </c>
      <c r="D2700" t="s">
        <v>2077</v>
      </c>
      <c r="E2700" t="s">
        <v>6915</v>
      </c>
      <c r="F2700">
        <v>20</v>
      </c>
      <c r="G2700">
        <v>13</v>
      </c>
      <c r="H2700" t="s">
        <v>12387</v>
      </c>
      <c r="J2700" t="s">
        <v>2079</v>
      </c>
      <c r="M2700" t="s">
        <v>12388</v>
      </c>
      <c r="N2700">
        <v>1.813871112</v>
      </c>
      <c r="O2700">
        <v>2.6633694910000001</v>
      </c>
      <c r="P2700">
        <v>-0.29586356800000002</v>
      </c>
      <c r="Q2700">
        <v>-0.59018158399999998</v>
      </c>
      <c r="S2700" s="13">
        <v>-1.4844044679999999</v>
      </c>
      <c r="T2700">
        <v>-0.56131519799999996</v>
      </c>
      <c r="U2700">
        <v>-0.23542529200000001</v>
      </c>
    </row>
    <row r="2701" spans="1:21" x14ac:dyDescent="0.2">
      <c r="A2701" t="s">
        <v>451</v>
      </c>
      <c r="B2701">
        <v>578960</v>
      </c>
      <c r="C2701" t="s">
        <v>6953</v>
      </c>
      <c r="D2701" t="s">
        <v>452</v>
      </c>
      <c r="E2701" t="s">
        <v>6907</v>
      </c>
      <c r="F2701">
        <v>9</v>
      </c>
      <c r="G2701">
        <v>4</v>
      </c>
      <c r="H2701" t="s">
        <v>12389</v>
      </c>
      <c r="J2701" t="s">
        <v>454</v>
      </c>
      <c r="M2701" t="s">
        <v>12390</v>
      </c>
      <c r="N2701">
        <v>1.921480887</v>
      </c>
      <c r="O2701">
        <v>3.0856645180000002</v>
      </c>
      <c r="P2701">
        <v>0.44706724399999997</v>
      </c>
      <c r="Q2701">
        <v>-0.354940863</v>
      </c>
      <c r="S2701" s="13">
        <v>-1.4844667650000001</v>
      </c>
      <c r="T2701">
        <v>-0.56158741899999998</v>
      </c>
      <c r="U2701">
        <v>-0.229892496</v>
      </c>
    </row>
    <row r="2702" spans="1:21" x14ac:dyDescent="0.2">
      <c r="A2702" t="s">
        <v>408</v>
      </c>
      <c r="B2702">
        <v>513720</v>
      </c>
      <c r="C2702" t="s">
        <v>6927</v>
      </c>
      <c r="D2702" t="s">
        <v>408</v>
      </c>
      <c r="E2702" t="s">
        <v>6918</v>
      </c>
      <c r="F2702">
        <v>10</v>
      </c>
      <c r="G2702">
        <v>1</v>
      </c>
      <c r="H2702" t="s">
        <v>12391</v>
      </c>
      <c r="J2702" t="s">
        <v>12392</v>
      </c>
      <c r="M2702" t="s">
        <v>12393</v>
      </c>
      <c r="N2702">
        <v>1.982575982</v>
      </c>
      <c r="O2702">
        <v>3.4571926419999999</v>
      </c>
      <c r="P2702">
        <v>-0.114791479</v>
      </c>
      <c r="Q2702">
        <v>1.868949E-3</v>
      </c>
      <c r="S2702" s="13">
        <v>-1.4846846659999999</v>
      </c>
      <c r="T2702">
        <v>-0.562539597</v>
      </c>
      <c r="U2702">
        <v>-0.30062072099999998</v>
      </c>
    </row>
    <row r="2703" spans="1:21" x14ac:dyDescent="0.2">
      <c r="A2703" t="s">
        <v>491</v>
      </c>
      <c r="B2703">
        <v>352960</v>
      </c>
      <c r="C2703" t="s">
        <v>6945</v>
      </c>
      <c r="D2703" t="s">
        <v>491</v>
      </c>
      <c r="E2703" t="s">
        <v>6924</v>
      </c>
      <c r="F2703">
        <v>15</v>
      </c>
      <c r="G2703">
        <v>6</v>
      </c>
      <c r="H2703" t="s">
        <v>12394</v>
      </c>
      <c r="J2703" t="s">
        <v>2399</v>
      </c>
      <c r="M2703" t="s">
        <v>12395</v>
      </c>
      <c r="N2703">
        <v>2.2220813349999999</v>
      </c>
      <c r="O2703">
        <v>6.5440947090000003</v>
      </c>
      <c r="P2703">
        <v>0.58228215500000002</v>
      </c>
      <c r="Q2703">
        <v>0.35188233000000002</v>
      </c>
      <c r="S2703" s="13">
        <v>-1.485351544</v>
      </c>
      <c r="T2703">
        <v>-0.565453702</v>
      </c>
      <c r="U2703">
        <v>-0.362839527</v>
      </c>
    </row>
    <row r="2704" spans="1:21" x14ac:dyDescent="0.2">
      <c r="A2704" t="s">
        <v>2315</v>
      </c>
      <c r="B2704">
        <v>512320</v>
      </c>
      <c r="C2704" t="s">
        <v>6906</v>
      </c>
      <c r="D2704" t="s">
        <v>2316</v>
      </c>
      <c r="E2704" t="s">
        <v>6911</v>
      </c>
      <c r="F2704">
        <v>4</v>
      </c>
      <c r="G2704">
        <v>12</v>
      </c>
      <c r="H2704" t="s">
        <v>12396</v>
      </c>
      <c r="J2704" t="s">
        <v>2428</v>
      </c>
      <c r="M2704" t="s">
        <v>12397</v>
      </c>
      <c r="N2704">
        <v>1.813871112</v>
      </c>
      <c r="O2704">
        <v>2.6633694910000001</v>
      </c>
      <c r="P2704">
        <v>-0.29586356800000002</v>
      </c>
      <c r="Q2704">
        <v>-0.59018158399999998</v>
      </c>
      <c r="S2704" s="13">
        <v>-1.4854490060000001</v>
      </c>
      <c r="T2704">
        <v>-0.56587958999999999</v>
      </c>
      <c r="U2704">
        <v>-0.23600840100000001</v>
      </c>
    </row>
    <row r="2705" spans="1:21" x14ac:dyDescent="0.2">
      <c r="A2705" t="s">
        <v>451</v>
      </c>
      <c r="B2705">
        <v>608080</v>
      </c>
      <c r="C2705" t="s">
        <v>6914</v>
      </c>
      <c r="D2705" t="s">
        <v>452</v>
      </c>
      <c r="E2705" t="s">
        <v>6907</v>
      </c>
      <c r="F2705">
        <v>9</v>
      </c>
      <c r="G2705">
        <v>4</v>
      </c>
      <c r="H2705" t="s">
        <v>12398</v>
      </c>
      <c r="J2705" t="s">
        <v>4495</v>
      </c>
      <c r="M2705" t="s">
        <v>12399</v>
      </c>
      <c r="N2705">
        <v>1.8217074179999999</v>
      </c>
      <c r="O2705">
        <v>4.1700741289999996</v>
      </c>
      <c r="P2705">
        <v>0.189705977</v>
      </c>
      <c r="Q2705">
        <v>-1.7194070999999998E-2</v>
      </c>
      <c r="S2705" s="13">
        <v>-1.485602944</v>
      </c>
      <c r="T2705">
        <v>-0.56655226400000003</v>
      </c>
      <c r="U2705">
        <v>-0.28744973099999999</v>
      </c>
    </row>
    <row r="2706" spans="1:21" x14ac:dyDescent="0.2">
      <c r="A2706" t="s">
        <v>547</v>
      </c>
      <c r="B2706">
        <v>352520</v>
      </c>
      <c r="C2706" t="s">
        <v>6945</v>
      </c>
      <c r="D2706" t="s">
        <v>548</v>
      </c>
      <c r="E2706" t="s">
        <v>6970</v>
      </c>
      <c r="F2706">
        <v>5</v>
      </c>
      <c r="G2706">
        <v>14</v>
      </c>
      <c r="H2706" t="s">
        <v>12400</v>
      </c>
      <c r="J2706" t="s">
        <v>6151</v>
      </c>
      <c r="M2706" t="s">
        <v>12401</v>
      </c>
      <c r="N2706">
        <v>2.2220813349999999</v>
      </c>
      <c r="O2706">
        <v>6.5440947090000003</v>
      </c>
      <c r="P2706">
        <v>0.58228215500000002</v>
      </c>
      <c r="Q2706">
        <v>0.35188233000000002</v>
      </c>
      <c r="S2706" s="13">
        <v>-1.4857665680000001</v>
      </c>
      <c r="T2706">
        <v>-0.56726726199999999</v>
      </c>
      <c r="U2706">
        <v>-0.36331731</v>
      </c>
    </row>
    <row r="2707" spans="1:21" x14ac:dyDescent="0.2">
      <c r="A2707" t="s">
        <v>375</v>
      </c>
      <c r="B2707">
        <v>512560</v>
      </c>
      <c r="C2707" t="s">
        <v>6927</v>
      </c>
      <c r="D2707" t="s">
        <v>375</v>
      </c>
      <c r="E2707" t="s">
        <v>6977</v>
      </c>
      <c r="F2707">
        <v>12</v>
      </c>
      <c r="G2707">
        <v>5</v>
      </c>
      <c r="H2707" t="s">
        <v>12402</v>
      </c>
      <c r="J2707" t="s">
        <v>12403</v>
      </c>
      <c r="M2707" t="s">
        <v>12404</v>
      </c>
      <c r="N2707">
        <v>1.982575982</v>
      </c>
      <c r="O2707">
        <v>3.4571926419999999</v>
      </c>
      <c r="P2707">
        <v>-0.114791479</v>
      </c>
      <c r="Q2707">
        <v>1.868949E-3</v>
      </c>
      <c r="S2707" s="13">
        <v>-1.48588831</v>
      </c>
      <c r="T2707">
        <v>-0.56779924699999995</v>
      </c>
      <c r="U2707">
        <v>-0.30171297800000002</v>
      </c>
    </row>
    <row r="2708" spans="1:21" x14ac:dyDescent="0.2">
      <c r="A2708" t="s">
        <v>759</v>
      </c>
      <c r="B2708">
        <v>489600</v>
      </c>
      <c r="C2708" t="s">
        <v>6910</v>
      </c>
      <c r="D2708" t="s">
        <v>760</v>
      </c>
      <c r="E2708" t="s">
        <v>6907</v>
      </c>
      <c r="F2708">
        <v>4</v>
      </c>
      <c r="G2708">
        <v>4</v>
      </c>
      <c r="H2708" t="s">
        <v>12405</v>
      </c>
      <c r="J2708" t="s">
        <v>1404</v>
      </c>
      <c r="M2708" t="s">
        <v>12406</v>
      </c>
      <c r="N2708">
        <v>1.9874741039999999</v>
      </c>
      <c r="O2708">
        <v>3.7453511220000002</v>
      </c>
      <c r="P2708">
        <v>0.451009722</v>
      </c>
      <c r="Q2708">
        <v>-0.102386592</v>
      </c>
      <c r="S2708" s="13">
        <v>-1.4859273129999999</v>
      </c>
      <c r="T2708">
        <v>-0.56796967899999995</v>
      </c>
      <c r="U2708">
        <v>-0.22220973299999999</v>
      </c>
    </row>
    <row r="2709" spans="1:21" x14ac:dyDescent="0.2">
      <c r="A2709" t="s">
        <v>522</v>
      </c>
      <c r="B2709">
        <v>511640</v>
      </c>
      <c r="C2709" t="s">
        <v>6906</v>
      </c>
      <c r="D2709" t="s">
        <v>522</v>
      </c>
      <c r="E2709" t="s">
        <v>6977</v>
      </c>
      <c r="F2709">
        <v>15</v>
      </c>
      <c r="G2709">
        <v>5</v>
      </c>
      <c r="H2709" t="s">
        <v>12407</v>
      </c>
      <c r="J2709" t="s">
        <v>1873</v>
      </c>
      <c r="M2709" t="s">
        <v>12408</v>
      </c>
      <c r="N2709">
        <v>1.813871112</v>
      </c>
      <c r="O2709">
        <v>2.6633694910000001</v>
      </c>
      <c r="P2709">
        <v>-0.29586356800000002</v>
      </c>
      <c r="Q2709">
        <v>-0.59018158399999998</v>
      </c>
      <c r="S2709" s="13">
        <v>-1.4864355140000001</v>
      </c>
      <c r="T2709">
        <v>-0.57019040399999998</v>
      </c>
      <c r="U2709">
        <v>-0.236559835</v>
      </c>
    </row>
    <row r="2710" spans="1:21" x14ac:dyDescent="0.2">
      <c r="A2710" t="s">
        <v>645</v>
      </c>
      <c r="B2710">
        <v>511640</v>
      </c>
      <c r="C2710" t="s">
        <v>6906</v>
      </c>
      <c r="D2710" t="s">
        <v>645</v>
      </c>
      <c r="E2710" t="s">
        <v>6974</v>
      </c>
      <c r="F2710">
        <v>12</v>
      </c>
      <c r="G2710">
        <v>15</v>
      </c>
      <c r="H2710" t="s">
        <v>12409</v>
      </c>
      <c r="J2710" t="s">
        <v>12410</v>
      </c>
      <c r="M2710" t="s">
        <v>12411</v>
      </c>
      <c r="N2710">
        <v>1.813871112</v>
      </c>
      <c r="O2710">
        <v>2.6633694910000001</v>
      </c>
      <c r="P2710">
        <v>-0.29586356800000002</v>
      </c>
      <c r="Q2710">
        <v>-0.59018158399999998</v>
      </c>
      <c r="S2710" s="13">
        <v>-1.4864355140000001</v>
      </c>
      <c r="T2710">
        <v>-0.57019040399999998</v>
      </c>
      <c r="U2710">
        <v>-0.236559835</v>
      </c>
    </row>
    <row r="2711" spans="1:21" x14ac:dyDescent="0.2">
      <c r="A2711" t="s">
        <v>681</v>
      </c>
      <c r="B2711">
        <v>445800</v>
      </c>
      <c r="C2711" t="s">
        <v>6931</v>
      </c>
      <c r="D2711" t="s">
        <v>682</v>
      </c>
      <c r="E2711" t="s">
        <v>6907</v>
      </c>
      <c r="F2711">
        <v>5</v>
      </c>
      <c r="G2711">
        <v>4</v>
      </c>
      <c r="H2711" t="s">
        <v>12412</v>
      </c>
      <c r="N2711">
        <v>1.9323965059999999</v>
      </c>
      <c r="O2711">
        <v>3.0528020530000002</v>
      </c>
      <c r="P2711">
        <v>2.6493138999999999E-2</v>
      </c>
      <c r="Q2711">
        <v>-0.38692188</v>
      </c>
      <c r="S2711" s="13">
        <v>-1.4867354310000001</v>
      </c>
      <c r="T2711">
        <v>-0.57150097300000002</v>
      </c>
      <c r="U2711">
        <v>-0.19603922300000001</v>
      </c>
    </row>
    <row r="2712" spans="1:21" x14ac:dyDescent="0.2">
      <c r="A2712" t="s">
        <v>1436</v>
      </c>
      <c r="B2712">
        <v>488680</v>
      </c>
      <c r="C2712" t="s">
        <v>6910</v>
      </c>
      <c r="D2712" t="s">
        <v>1437</v>
      </c>
      <c r="E2712" t="s">
        <v>6907</v>
      </c>
      <c r="F2712">
        <v>6</v>
      </c>
      <c r="G2712">
        <v>4</v>
      </c>
      <c r="H2712" t="s">
        <v>12413</v>
      </c>
      <c r="J2712" t="s">
        <v>1439</v>
      </c>
      <c r="M2712" t="s">
        <v>12414</v>
      </c>
      <c r="N2712">
        <v>1.9874741039999999</v>
      </c>
      <c r="O2712">
        <v>3.7453511220000002</v>
      </c>
      <c r="P2712">
        <v>0.451009722</v>
      </c>
      <c r="Q2712">
        <v>-0.102386592</v>
      </c>
      <c r="S2712" s="13">
        <v>-1.4869171349999999</v>
      </c>
      <c r="T2712">
        <v>-0.57229497500000004</v>
      </c>
      <c r="U2712">
        <v>-0.22293260100000001</v>
      </c>
    </row>
    <row r="2713" spans="1:21" x14ac:dyDescent="0.2">
      <c r="A2713" t="s">
        <v>668</v>
      </c>
      <c r="B2713">
        <v>576400</v>
      </c>
      <c r="C2713" t="s">
        <v>6953</v>
      </c>
      <c r="D2713" t="s">
        <v>668</v>
      </c>
      <c r="E2713" t="s">
        <v>6956</v>
      </c>
      <c r="F2713">
        <v>21</v>
      </c>
      <c r="G2713">
        <v>7</v>
      </c>
      <c r="H2713" t="s">
        <v>12415</v>
      </c>
      <c r="J2713" t="s">
        <v>5357</v>
      </c>
      <c r="M2713" t="s">
        <v>12416</v>
      </c>
      <c r="N2713">
        <v>1.921480887</v>
      </c>
      <c r="O2713">
        <v>3.0856645180000002</v>
      </c>
      <c r="P2713">
        <v>0.44706724399999997</v>
      </c>
      <c r="Q2713">
        <v>-0.354940863</v>
      </c>
      <c r="S2713" s="13">
        <v>-1.487123083</v>
      </c>
      <c r="T2713">
        <v>-0.573194922</v>
      </c>
      <c r="U2713">
        <v>-0.23194298599999999</v>
      </c>
    </row>
    <row r="2714" spans="1:21" x14ac:dyDescent="0.2">
      <c r="A2714" t="s">
        <v>1773</v>
      </c>
      <c r="B2714">
        <v>606800</v>
      </c>
      <c r="C2714" t="s">
        <v>6914</v>
      </c>
      <c r="D2714" t="s">
        <v>1773</v>
      </c>
      <c r="E2714" t="s">
        <v>6970</v>
      </c>
      <c r="F2714">
        <v>15</v>
      </c>
      <c r="G2714">
        <v>14</v>
      </c>
      <c r="H2714" t="s">
        <v>12417</v>
      </c>
      <c r="J2714" t="s">
        <v>5921</v>
      </c>
      <c r="M2714" t="s">
        <v>12418</v>
      </c>
      <c r="N2714">
        <v>1.8217074179999999</v>
      </c>
      <c r="O2714">
        <v>4.1700741289999996</v>
      </c>
      <c r="P2714">
        <v>0.189705977</v>
      </c>
      <c r="Q2714">
        <v>-1.7194070999999998E-2</v>
      </c>
      <c r="S2714" s="13">
        <v>-1.4871424790000001</v>
      </c>
      <c r="T2714">
        <v>-0.57327967899999999</v>
      </c>
      <c r="U2714">
        <v>-0.28861907999999997</v>
      </c>
    </row>
    <row r="2715" spans="1:21" x14ac:dyDescent="0.2">
      <c r="A2715" t="s">
        <v>1190</v>
      </c>
      <c r="B2715">
        <v>498160</v>
      </c>
      <c r="C2715" t="s">
        <v>6938</v>
      </c>
      <c r="D2715" t="s">
        <v>1190</v>
      </c>
      <c r="E2715" t="s">
        <v>6921</v>
      </c>
      <c r="F2715">
        <v>17</v>
      </c>
      <c r="G2715">
        <v>8</v>
      </c>
      <c r="H2715" t="s">
        <v>12419</v>
      </c>
      <c r="J2715" t="s">
        <v>4950</v>
      </c>
      <c r="M2715" t="s">
        <v>12420</v>
      </c>
      <c r="N2715">
        <v>2.092758737</v>
      </c>
      <c r="O2715">
        <v>5.3323610669999999</v>
      </c>
      <c r="P2715">
        <v>0.70420098600000003</v>
      </c>
      <c r="Q2715">
        <v>0.41355372699999998</v>
      </c>
      <c r="S2715" s="13">
        <v>-1.4872895909999999</v>
      </c>
      <c r="T2715">
        <v>-0.57392252499999996</v>
      </c>
      <c r="U2715">
        <v>-0.35011305599999998</v>
      </c>
    </row>
    <row r="2716" spans="1:21" x14ac:dyDescent="0.2">
      <c r="A2716" t="s">
        <v>283</v>
      </c>
      <c r="B2716">
        <v>511120</v>
      </c>
      <c r="C2716" t="s">
        <v>6927</v>
      </c>
      <c r="D2716" t="s">
        <v>284</v>
      </c>
      <c r="E2716" t="s">
        <v>6928</v>
      </c>
      <c r="F2716">
        <v>6</v>
      </c>
      <c r="G2716">
        <v>16</v>
      </c>
      <c r="H2716" t="s">
        <v>12421</v>
      </c>
      <c r="J2716" t="s">
        <v>12422</v>
      </c>
      <c r="M2716" t="s">
        <v>12423</v>
      </c>
      <c r="N2716">
        <v>1.982575982</v>
      </c>
      <c r="O2716">
        <v>3.4571926419999999</v>
      </c>
      <c r="P2716">
        <v>-0.114791479</v>
      </c>
      <c r="Q2716">
        <v>1.868949E-3</v>
      </c>
      <c r="S2716" s="13">
        <v>-1.487382489</v>
      </c>
      <c r="T2716">
        <v>-0.57432846800000004</v>
      </c>
      <c r="U2716">
        <v>-0.30307271699999999</v>
      </c>
    </row>
    <row r="2717" spans="1:21" x14ac:dyDescent="0.2">
      <c r="A2717" t="s">
        <v>2764</v>
      </c>
      <c r="B2717">
        <v>510600</v>
      </c>
      <c r="C2717" t="s">
        <v>6906</v>
      </c>
      <c r="D2717" t="s">
        <v>2764</v>
      </c>
      <c r="E2717" t="s">
        <v>6921</v>
      </c>
      <c r="F2717">
        <v>12</v>
      </c>
      <c r="G2717">
        <v>8</v>
      </c>
      <c r="H2717" t="s">
        <v>12424</v>
      </c>
      <c r="J2717" t="s">
        <v>12425</v>
      </c>
      <c r="M2717" t="s">
        <v>12426</v>
      </c>
      <c r="N2717">
        <v>1.813871112</v>
      </c>
      <c r="O2717">
        <v>2.6633694910000001</v>
      </c>
      <c r="P2717">
        <v>-0.29586356800000002</v>
      </c>
      <c r="Q2717">
        <v>-0.59018158399999998</v>
      </c>
      <c r="S2717" s="13">
        <v>-1.487944291</v>
      </c>
      <c r="T2717">
        <v>-0.57678341499999997</v>
      </c>
      <c r="U2717">
        <v>-0.23740455999999999</v>
      </c>
    </row>
    <row r="2718" spans="1:21" x14ac:dyDescent="0.2">
      <c r="A2718" t="s">
        <v>3164</v>
      </c>
      <c r="B2718">
        <v>575480</v>
      </c>
      <c r="C2718" t="s">
        <v>6953</v>
      </c>
      <c r="D2718" t="s">
        <v>3165</v>
      </c>
      <c r="E2718" t="s">
        <v>6918</v>
      </c>
      <c r="F2718">
        <v>9</v>
      </c>
      <c r="G2718">
        <v>1</v>
      </c>
      <c r="H2718" t="s">
        <v>12427</v>
      </c>
      <c r="J2718" t="s">
        <v>5247</v>
      </c>
      <c r="M2718" t="s">
        <v>12428</v>
      </c>
      <c r="N2718">
        <v>1.921480887</v>
      </c>
      <c r="O2718">
        <v>3.0856645180000002</v>
      </c>
      <c r="P2718">
        <v>0.44706724399999997</v>
      </c>
      <c r="Q2718">
        <v>-0.354940863</v>
      </c>
      <c r="S2718" s="13">
        <v>-1.488077697</v>
      </c>
      <c r="T2718">
        <v>-0.57736636900000005</v>
      </c>
      <c r="U2718">
        <v>-0.23268225200000001</v>
      </c>
    </row>
    <row r="2719" spans="1:21" x14ac:dyDescent="0.2">
      <c r="A2719" t="s">
        <v>320</v>
      </c>
      <c r="B2719">
        <v>444760</v>
      </c>
      <c r="C2719" t="s">
        <v>6931</v>
      </c>
      <c r="D2719" t="s">
        <v>320</v>
      </c>
      <c r="E2719" t="s">
        <v>6907</v>
      </c>
      <c r="F2719">
        <v>13</v>
      </c>
      <c r="G2719">
        <v>4</v>
      </c>
      <c r="H2719" t="s">
        <v>12429</v>
      </c>
      <c r="N2719">
        <v>1.9323965059999999</v>
      </c>
      <c r="O2719">
        <v>3.0528020530000002</v>
      </c>
      <c r="P2719">
        <v>2.6493138999999999E-2</v>
      </c>
      <c r="Q2719">
        <v>-0.38692188</v>
      </c>
      <c r="S2719" s="13">
        <v>-1.4881019639999999</v>
      </c>
      <c r="T2719">
        <v>-0.57747241000000005</v>
      </c>
      <c r="U2719">
        <v>-0.19680863300000001</v>
      </c>
    </row>
    <row r="2720" spans="1:21" x14ac:dyDescent="0.2">
      <c r="A2720" t="s">
        <v>74</v>
      </c>
      <c r="B2720">
        <v>605960</v>
      </c>
      <c r="C2720" t="s">
        <v>6914</v>
      </c>
      <c r="D2720" t="s">
        <v>75</v>
      </c>
      <c r="E2720" t="s">
        <v>6970</v>
      </c>
      <c r="F2720">
        <v>3</v>
      </c>
      <c r="G2720">
        <v>14</v>
      </c>
      <c r="H2720" t="s">
        <v>12430</v>
      </c>
      <c r="J2720" t="s">
        <v>6655</v>
      </c>
      <c r="M2720" t="s">
        <v>12431</v>
      </c>
      <c r="N2720">
        <v>1.8217074179999999</v>
      </c>
      <c r="O2720">
        <v>4.1700741289999996</v>
      </c>
      <c r="P2720">
        <v>0.189705977</v>
      </c>
      <c r="Q2720">
        <v>-1.7194070999999998E-2</v>
      </c>
      <c r="S2720" s="13">
        <v>-1.4881527990000001</v>
      </c>
      <c r="T2720">
        <v>-0.57769454499999995</v>
      </c>
      <c r="U2720">
        <v>-0.28938818100000002</v>
      </c>
    </row>
    <row r="2721" spans="1:21" x14ac:dyDescent="0.2">
      <c r="A2721" t="s">
        <v>574</v>
      </c>
      <c r="B2721">
        <v>605920</v>
      </c>
      <c r="C2721" t="s">
        <v>6914</v>
      </c>
      <c r="D2721" t="s">
        <v>574</v>
      </c>
      <c r="E2721" t="s">
        <v>6977</v>
      </c>
      <c r="F2721">
        <v>20</v>
      </c>
      <c r="G2721">
        <v>5</v>
      </c>
      <c r="H2721" t="s">
        <v>12432</v>
      </c>
      <c r="J2721" t="s">
        <v>2196</v>
      </c>
      <c r="M2721" t="s">
        <v>12433</v>
      </c>
      <c r="N2721">
        <v>1.8217074179999999</v>
      </c>
      <c r="O2721">
        <v>4.1700741289999996</v>
      </c>
      <c r="P2721">
        <v>0.189705977</v>
      </c>
      <c r="Q2721">
        <v>-1.7194070999999998E-2</v>
      </c>
      <c r="S2721" s="13">
        <v>-1.4882009089999999</v>
      </c>
      <c r="T2721">
        <v>-0.57790477699999998</v>
      </c>
      <c r="U2721">
        <v>-0.28942483899999999</v>
      </c>
    </row>
    <row r="2722" spans="1:21" x14ac:dyDescent="0.2">
      <c r="A2722" t="s">
        <v>422</v>
      </c>
      <c r="B2722">
        <v>510360</v>
      </c>
      <c r="C2722" t="s">
        <v>6906</v>
      </c>
      <c r="D2722" t="s">
        <v>423</v>
      </c>
      <c r="E2722" t="s">
        <v>6974</v>
      </c>
      <c r="F2722">
        <v>3</v>
      </c>
      <c r="G2722">
        <v>15</v>
      </c>
      <c r="H2722" t="s">
        <v>12434</v>
      </c>
      <c r="J2722" t="s">
        <v>1751</v>
      </c>
      <c r="M2722" t="s">
        <v>12435</v>
      </c>
      <c r="N2722">
        <v>1.813871112</v>
      </c>
      <c r="O2722">
        <v>2.6633694910000001</v>
      </c>
      <c r="P2722">
        <v>-0.29586356800000002</v>
      </c>
      <c r="Q2722">
        <v>-0.59018158399999998</v>
      </c>
      <c r="S2722" s="13">
        <v>-1.4882924710000001</v>
      </c>
      <c r="T2722">
        <v>-0.57830487900000005</v>
      </c>
      <c r="U2722">
        <v>-0.23759973100000001</v>
      </c>
    </row>
    <row r="2723" spans="1:21" x14ac:dyDescent="0.2">
      <c r="A2723" t="s">
        <v>714</v>
      </c>
      <c r="B2723">
        <v>444040</v>
      </c>
      <c r="C2723" t="s">
        <v>6931</v>
      </c>
      <c r="D2723" t="s">
        <v>715</v>
      </c>
      <c r="E2723" t="s">
        <v>6956</v>
      </c>
      <c r="F2723">
        <v>5</v>
      </c>
      <c r="G2723">
        <v>7</v>
      </c>
      <c r="H2723" t="s">
        <v>12436</v>
      </c>
      <c r="N2723">
        <v>1.9323965059999999</v>
      </c>
      <c r="O2723">
        <v>3.0528020530000002</v>
      </c>
      <c r="P2723">
        <v>2.6493138999999999E-2</v>
      </c>
      <c r="Q2723">
        <v>-0.38692188</v>
      </c>
      <c r="S2723" s="13">
        <v>-1.4890480260000001</v>
      </c>
      <c r="T2723">
        <v>-0.58160648199999998</v>
      </c>
      <c r="U2723">
        <v>-0.19734209999999999</v>
      </c>
    </row>
    <row r="2724" spans="1:21" x14ac:dyDescent="0.2">
      <c r="A2724" t="s">
        <v>1222</v>
      </c>
      <c r="B2724">
        <v>443640</v>
      </c>
      <c r="C2724" t="s">
        <v>6931</v>
      </c>
      <c r="D2724" t="s">
        <v>1223</v>
      </c>
      <c r="E2724" t="s">
        <v>6907</v>
      </c>
      <c r="F2724">
        <v>3</v>
      </c>
      <c r="G2724">
        <v>4</v>
      </c>
      <c r="H2724" t="s">
        <v>12437</v>
      </c>
      <c r="J2724" t="s">
        <v>2511</v>
      </c>
      <c r="M2724" t="s">
        <v>12438</v>
      </c>
      <c r="N2724">
        <v>1.9323965059999999</v>
      </c>
      <c r="O2724">
        <v>3.0528020530000002</v>
      </c>
      <c r="P2724">
        <v>2.6493138999999999E-2</v>
      </c>
      <c r="Q2724">
        <v>-0.38692188</v>
      </c>
      <c r="S2724" s="13">
        <v>-1.4895736150000001</v>
      </c>
      <c r="T2724">
        <v>-0.58390318900000004</v>
      </c>
      <c r="U2724">
        <v>-0.197638755</v>
      </c>
    </row>
    <row r="2725" spans="1:21" x14ac:dyDescent="0.2">
      <c r="A2725" t="s">
        <v>1788</v>
      </c>
      <c r="B2725">
        <v>435640</v>
      </c>
      <c r="C2725" t="s">
        <v>6942</v>
      </c>
      <c r="D2725" t="s">
        <v>1788</v>
      </c>
      <c r="E2725" t="s">
        <v>6956</v>
      </c>
      <c r="F2725">
        <v>10</v>
      </c>
      <c r="G2725">
        <v>7</v>
      </c>
      <c r="H2725" t="s">
        <v>12439</v>
      </c>
      <c r="J2725" t="s">
        <v>2381</v>
      </c>
      <c r="M2725" t="s">
        <v>12440</v>
      </c>
      <c r="N2725">
        <v>2.0902262079999998</v>
      </c>
      <c r="O2725">
        <v>4.2704203920000001</v>
      </c>
      <c r="P2725">
        <v>0.23425843900000001</v>
      </c>
      <c r="Q2725">
        <v>1.6181978999999999E-2</v>
      </c>
      <c r="S2725" s="13">
        <v>-1.4896649200000001</v>
      </c>
      <c r="T2725">
        <v>-0.58430216700000004</v>
      </c>
      <c r="U2725">
        <v>-0.35011305599999998</v>
      </c>
    </row>
    <row r="2726" spans="1:21" x14ac:dyDescent="0.2">
      <c r="A2726" t="s">
        <v>435</v>
      </c>
      <c r="B2726">
        <v>435640</v>
      </c>
      <c r="C2726" t="s">
        <v>6942</v>
      </c>
      <c r="D2726" t="s">
        <v>435</v>
      </c>
      <c r="E2726" t="s">
        <v>6915</v>
      </c>
      <c r="F2726">
        <v>14</v>
      </c>
      <c r="G2726">
        <v>13</v>
      </c>
      <c r="H2726" t="s">
        <v>12441</v>
      </c>
      <c r="J2726" t="s">
        <v>4349</v>
      </c>
      <c r="M2726" t="s">
        <v>12442</v>
      </c>
      <c r="N2726">
        <v>2.0902262079999998</v>
      </c>
      <c r="O2726">
        <v>4.2704203920000001</v>
      </c>
      <c r="P2726">
        <v>0.23425843900000001</v>
      </c>
      <c r="Q2726">
        <v>1.6181978999999999E-2</v>
      </c>
      <c r="S2726" s="13">
        <v>-1.4896649200000001</v>
      </c>
      <c r="T2726">
        <v>-0.58430216700000004</v>
      </c>
      <c r="U2726">
        <v>-0.35011305599999998</v>
      </c>
    </row>
    <row r="2727" spans="1:21" x14ac:dyDescent="0.2">
      <c r="A2727" t="s">
        <v>1675</v>
      </c>
      <c r="B2727">
        <v>347760</v>
      </c>
      <c r="C2727" t="s">
        <v>6945</v>
      </c>
      <c r="D2727" t="s">
        <v>1675</v>
      </c>
      <c r="E2727" t="s">
        <v>6915</v>
      </c>
      <c r="F2727">
        <v>21</v>
      </c>
      <c r="G2727">
        <v>13</v>
      </c>
      <c r="H2727" t="s">
        <v>12443</v>
      </c>
      <c r="J2727" t="s">
        <v>5969</v>
      </c>
      <c r="M2727" t="s">
        <v>12444</v>
      </c>
      <c r="N2727">
        <v>2.2220813349999999</v>
      </c>
      <c r="O2727">
        <v>6.5440947090000003</v>
      </c>
      <c r="P2727">
        <v>0.58228215500000002</v>
      </c>
      <c r="Q2727">
        <v>0.35188233000000002</v>
      </c>
      <c r="S2727" s="13">
        <v>-1.4902563719999999</v>
      </c>
      <c r="T2727">
        <v>-0.58688667699999997</v>
      </c>
      <c r="U2727">
        <v>-0.36851994399999999</v>
      </c>
    </row>
    <row r="2728" spans="1:21" x14ac:dyDescent="0.2">
      <c r="A2728" t="s">
        <v>972</v>
      </c>
      <c r="B2728">
        <v>443120</v>
      </c>
      <c r="C2728" t="s">
        <v>6931</v>
      </c>
      <c r="D2728" t="s">
        <v>972</v>
      </c>
      <c r="E2728" t="s">
        <v>7085</v>
      </c>
      <c r="F2728">
        <v>17</v>
      </c>
      <c r="G2728">
        <v>9</v>
      </c>
      <c r="H2728" t="s">
        <v>12445</v>
      </c>
      <c r="N2728">
        <v>1.9323965059999999</v>
      </c>
      <c r="O2728">
        <v>3.0528020530000002</v>
      </c>
      <c r="P2728">
        <v>2.6493138999999999E-2</v>
      </c>
      <c r="Q2728">
        <v>-0.38692188</v>
      </c>
      <c r="S2728" s="13">
        <v>-1.4902568819999999</v>
      </c>
      <c r="T2728">
        <v>-0.58688890699999996</v>
      </c>
      <c r="U2728">
        <v>-0.19802470799999999</v>
      </c>
    </row>
    <row r="2729" spans="1:21" x14ac:dyDescent="0.2">
      <c r="A2729" t="s">
        <v>1986</v>
      </c>
      <c r="B2729">
        <v>443000</v>
      </c>
      <c r="C2729" t="s">
        <v>6931</v>
      </c>
      <c r="D2729" t="s">
        <v>1986</v>
      </c>
      <c r="E2729" t="s">
        <v>6977</v>
      </c>
      <c r="F2729">
        <v>11</v>
      </c>
      <c r="G2729">
        <v>5</v>
      </c>
      <c r="H2729" t="s">
        <v>12446</v>
      </c>
      <c r="N2729">
        <v>1.9323965059999999</v>
      </c>
      <c r="O2729">
        <v>3.0528020530000002</v>
      </c>
      <c r="P2729">
        <v>2.6493138999999999E-2</v>
      </c>
      <c r="Q2729">
        <v>-0.38692188</v>
      </c>
      <c r="S2729" s="13">
        <v>-1.490414559</v>
      </c>
      <c r="T2729">
        <v>-0.587577919</v>
      </c>
      <c r="U2729">
        <v>-0.19811382299999999</v>
      </c>
    </row>
    <row r="2730" spans="1:21" x14ac:dyDescent="0.2">
      <c r="A2730" t="s">
        <v>1391</v>
      </c>
      <c r="B2730">
        <v>572880</v>
      </c>
      <c r="C2730" t="s">
        <v>6953</v>
      </c>
      <c r="D2730" t="s">
        <v>1391</v>
      </c>
      <c r="E2730" t="s">
        <v>7085</v>
      </c>
      <c r="F2730">
        <v>12</v>
      </c>
      <c r="G2730">
        <v>9</v>
      </c>
      <c r="H2730" t="s">
        <v>12447</v>
      </c>
      <c r="J2730" t="s">
        <v>3587</v>
      </c>
      <c r="M2730" t="s">
        <v>12448</v>
      </c>
      <c r="N2730">
        <v>1.921480887</v>
      </c>
      <c r="O2730">
        <v>3.0856645180000002</v>
      </c>
      <c r="P2730">
        <v>0.44706724399999997</v>
      </c>
      <c r="Q2730">
        <v>-0.354940863</v>
      </c>
      <c r="S2730" s="13">
        <v>-1.4907755199999999</v>
      </c>
      <c r="T2730">
        <v>-0.589155239</v>
      </c>
      <c r="U2730">
        <v>-0.23477830999999999</v>
      </c>
    </row>
    <row r="2731" spans="1:21" x14ac:dyDescent="0.2">
      <c r="A2731" t="s">
        <v>2108</v>
      </c>
      <c r="B2731">
        <v>507760</v>
      </c>
      <c r="C2731" t="s">
        <v>6927</v>
      </c>
      <c r="D2731" t="s">
        <v>2108</v>
      </c>
      <c r="E2731" t="s">
        <v>6956</v>
      </c>
      <c r="F2731">
        <v>17</v>
      </c>
      <c r="G2731">
        <v>7</v>
      </c>
      <c r="H2731" t="s">
        <v>12449</v>
      </c>
      <c r="J2731" t="s">
        <v>12450</v>
      </c>
      <c r="M2731" t="s">
        <v>12451</v>
      </c>
      <c r="N2731">
        <v>1.982575982</v>
      </c>
      <c r="O2731">
        <v>3.4571926419999999</v>
      </c>
      <c r="P2731">
        <v>-0.114791479</v>
      </c>
      <c r="Q2731">
        <v>1.868949E-3</v>
      </c>
      <c r="S2731" s="13">
        <v>-1.4908689070000001</v>
      </c>
      <c r="T2731">
        <v>-0.58956331500000003</v>
      </c>
      <c r="U2731">
        <v>-0.30626209500000001</v>
      </c>
    </row>
    <row r="2732" spans="1:21" x14ac:dyDescent="0.2">
      <c r="A2732" t="s">
        <v>2294</v>
      </c>
      <c r="B2732">
        <v>572600</v>
      </c>
      <c r="C2732" t="s">
        <v>6953</v>
      </c>
      <c r="D2732" t="s">
        <v>2294</v>
      </c>
      <c r="E2732" t="s">
        <v>7085</v>
      </c>
      <c r="F2732">
        <v>20</v>
      </c>
      <c r="G2732">
        <v>9</v>
      </c>
      <c r="H2732" t="s">
        <v>12452</v>
      </c>
      <c r="J2732" t="s">
        <v>5283</v>
      </c>
      <c r="M2732" t="s">
        <v>12453</v>
      </c>
      <c r="N2732">
        <v>1.921480887</v>
      </c>
      <c r="O2732">
        <v>3.0856645180000002</v>
      </c>
      <c r="P2732">
        <v>0.44706724399999997</v>
      </c>
      <c r="Q2732">
        <v>-0.354940863</v>
      </c>
      <c r="S2732" s="13">
        <v>-1.4910660549999999</v>
      </c>
      <c r="T2732">
        <v>-0.59042480900000005</v>
      </c>
      <c r="U2732">
        <v>-0.23500464400000001</v>
      </c>
    </row>
    <row r="2733" spans="1:21" x14ac:dyDescent="0.2">
      <c r="A2733" t="s">
        <v>190</v>
      </c>
      <c r="B2733">
        <v>433720</v>
      </c>
      <c r="C2733" t="s">
        <v>6942</v>
      </c>
      <c r="D2733" t="s">
        <v>190</v>
      </c>
      <c r="E2733" t="s">
        <v>6946</v>
      </c>
      <c r="F2733">
        <v>10</v>
      </c>
      <c r="G2733">
        <v>11</v>
      </c>
      <c r="H2733" t="s">
        <v>12454</v>
      </c>
      <c r="J2733" t="s">
        <v>4294</v>
      </c>
      <c r="M2733" t="s">
        <v>12455</v>
      </c>
      <c r="N2733">
        <v>2.0902262079999998</v>
      </c>
      <c r="O2733">
        <v>4.2704203920000001</v>
      </c>
      <c r="P2733">
        <v>0.23425843900000001</v>
      </c>
      <c r="Q2733">
        <v>1.6181978999999999E-2</v>
      </c>
      <c r="S2733" s="13">
        <v>-1.4915493790000001</v>
      </c>
      <c r="T2733">
        <v>-0.59253682299999999</v>
      </c>
      <c r="U2733">
        <v>-0.35214133800000003</v>
      </c>
    </row>
    <row r="2734" spans="1:21" x14ac:dyDescent="0.2">
      <c r="A2734" t="s">
        <v>153</v>
      </c>
      <c r="B2734">
        <v>111280</v>
      </c>
      <c r="C2734" t="s">
        <v>6961</v>
      </c>
      <c r="D2734" t="s">
        <v>153</v>
      </c>
      <c r="E2734" t="s">
        <v>6928</v>
      </c>
      <c r="F2734">
        <v>14</v>
      </c>
      <c r="G2734">
        <v>16</v>
      </c>
      <c r="H2734" t="s">
        <v>12456</v>
      </c>
      <c r="J2734" t="s">
        <v>6285</v>
      </c>
      <c r="M2734" t="s">
        <v>12457</v>
      </c>
      <c r="N2734">
        <v>2.7247480949999998</v>
      </c>
      <c r="O2734">
        <v>7.0822175119999997</v>
      </c>
      <c r="P2734">
        <v>0.61298291999999999</v>
      </c>
      <c r="Q2734">
        <v>0.48262032500000002</v>
      </c>
      <c r="S2734" s="13">
        <v>-1.4917038730000001</v>
      </c>
      <c r="T2734">
        <v>-0.59321192599999994</v>
      </c>
      <c r="U2734">
        <v>-0.46065397200000002</v>
      </c>
    </row>
    <row r="2735" spans="1:21" x14ac:dyDescent="0.2">
      <c r="A2735" t="s">
        <v>1739</v>
      </c>
      <c r="B2735">
        <v>571880</v>
      </c>
      <c r="C2735" t="s">
        <v>6953</v>
      </c>
      <c r="D2735" t="s">
        <v>1739</v>
      </c>
      <c r="E2735" t="s">
        <v>7085</v>
      </c>
      <c r="F2735">
        <v>10</v>
      </c>
      <c r="G2735">
        <v>9</v>
      </c>
      <c r="H2735" t="s">
        <v>12458</v>
      </c>
      <c r="J2735" t="s">
        <v>2743</v>
      </c>
      <c r="M2735" t="s">
        <v>12459</v>
      </c>
      <c r="N2735">
        <v>1.921480887</v>
      </c>
      <c r="O2735">
        <v>3.0856645180000002</v>
      </c>
      <c r="P2735">
        <v>0.44706724399999997</v>
      </c>
      <c r="Q2735">
        <v>-0.354940863</v>
      </c>
      <c r="S2735" s="13">
        <v>-1.4918131450000001</v>
      </c>
      <c r="T2735">
        <v>-0.59368942000000002</v>
      </c>
      <c r="U2735">
        <v>-0.235587188</v>
      </c>
    </row>
    <row r="2736" spans="1:21" x14ac:dyDescent="0.2">
      <c r="A2736" t="s">
        <v>1031</v>
      </c>
      <c r="B2736">
        <v>506760</v>
      </c>
      <c r="C2736" t="s">
        <v>6927</v>
      </c>
      <c r="D2736" t="s">
        <v>1031</v>
      </c>
      <c r="E2736" t="s">
        <v>6956</v>
      </c>
      <c r="F2736">
        <v>13</v>
      </c>
      <c r="G2736">
        <v>7</v>
      </c>
      <c r="H2736" t="s">
        <v>12460</v>
      </c>
      <c r="J2736" t="s">
        <v>12461</v>
      </c>
      <c r="M2736" t="s">
        <v>12462</v>
      </c>
      <c r="N2736">
        <v>1.982575982</v>
      </c>
      <c r="O2736">
        <v>3.4571926419999999</v>
      </c>
      <c r="P2736">
        <v>-0.114791479</v>
      </c>
      <c r="Q2736">
        <v>1.868949E-3</v>
      </c>
      <c r="S2736" s="13">
        <v>-1.4919065309999999</v>
      </c>
      <c r="T2736">
        <v>-0.59409749599999995</v>
      </c>
      <c r="U2736">
        <v>-0.30721585499999998</v>
      </c>
    </row>
    <row r="2737" spans="1:21" x14ac:dyDescent="0.2">
      <c r="A2737" t="s">
        <v>207</v>
      </c>
      <c r="B2737">
        <v>507360</v>
      </c>
      <c r="C2737" t="s">
        <v>6906</v>
      </c>
      <c r="D2737" t="s">
        <v>207</v>
      </c>
      <c r="E2737" t="s">
        <v>6939</v>
      </c>
      <c r="F2737">
        <v>21</v>
      </c>
      <c r="G2737">
        <v>2</v>
      </c>
      <c r="H2737" t="s">
        <v>12463</v>
      </c>
      <c r="J2737" t="s">
        <v>571</v>
      </c>
      <c r="M2737" t="s">
        <v>12464</v>
      </c>
      <c r="N2737">
        <v>1.813871112</v>
      </c>
      <c r="O2737">
        <v>2.6633694910000001</v>
      </c>
      <c r="P2737">
        <v>-0.29586356800000002</v>
      </c>
      <c r="Q2737">
        <v>-0.59018158399999998</v>
      </c>
      <c r="S2737" s="13">
        <v>-1.4926447119999999</v>
      </c>
      <c r="T2737">
        <v>-0.59732317899999998</v>
      </c>
      <c r="U2737">
        <v>-0.24004678800000001</v>
      </c>
    </row>
    <row r="2738" spans="1:21" x14ac:dyDescent="0.2">
      <c r="A2738" t="s">
        <v>1383</v>
      </c>
      <c r="B2738">
        <v>483200</v>
      </c>
      <c r="C2738" t="s">
        <v>6910</v>
      </c>
      <c r="D2738" t="s">
        <v>1384</v>
      </c>
      <c r="E2738" t="s">
        <v>6956</v>
      </c>
      <c r="F2738">
        <v>6</v>
      </c>
      <c r="G2738">
        <v>7</v>
      </c>
      <c r="H2738" t="s">
        <v>12465</v>
      </c>
      <c r="J2738" t="s">
        <v>5349</v>
      </c>
      <c r="M2738" t="s">
        <v>12466</v>
      </c>
      <c r="N2738">
        <v>1.9874741039999999</v>
      </c>
      <c r="O2738">
        <v>3.7453511220000002</v>
      </c>
      <c r="P2738">
        <v>0.451009722</v>
      </c>
      <c r="Q2738">
        <v>-0.102386592</v>
      </c>
      <c r="S2738" s="13">
        <v>-1.4928130310000001</v>
      </c>
      <c r="T2738">
        <v>-0.59805869499999997</v>
      </c>
      <c r="U2738">
        <v>-0.22726349100000001</v>
      </c>
    </row>
    <row r="2739" spans="1:21" x14ac:dyDescent="0.2">
      <c r="A2739" t="s">
        <v>47</v>
      </c>
      <c r="B2739">
        <v>505840</v>
      </c>
      <c r="C2739" t="s">
        <v>6927</v>
      </c>
      <c r="D2739" t="s">
        <v>48</v>
      </c>
      <c r="E2739" t="s">
        <v>6918</v>
      </c>
      <c r="F2739">
        <v>8</v>
      </c>
      <c r="G2739">
        <v>1</v>
      </c>
      <c r="H2739" t="s">
        <v>12467</v>
      </c>
      <c r="J2739" t="s">
        <v>12468</v>
      </c>
      <c r="M2739" t="s">
        <v>12469</v>
      </c>
      <c r="N2739">
        <v>1.982575982</v>
      </c>
      <c r="O2739">
        <v>3.4571926419999999</v>
      </c>
      <c r="P2739">
        <v>-0.114791479</v>
      </c>
      <c r="Q2739">
        <v>1.868949E-3</v>
      </c>
      <c r="S2739" s="13">
        <v>-1.492861145</v>
      </c>
      <c r="T2739">
        <v>-0.59826894200000003</v>
      </c>
      <c r="U2739">
        <v>-0.30809516799999997</v>
      </c>
    </row>
    <row r="2740" spans="1:21" x14ac:dyDescent="0.2">
      <c r="A2740" t="s">
        <v>218</v>
      </c>
      <c r="B2740">
        <v>491080</v>
      </c>
      <c r="C2740" t="s">
        <v>6938</v>
      </c>
      <c r="D2740" t="s">
        <v>218</v>
      </c>
      <c r="E2740" t="s">
        <v>6918</v>
      </c>
      <c r="F2740">
        <v>22</v>
      </c>
      <c r="G2740">
        <v>1</v>
      </c>
      <c r="H2740" t="s">
        <v>12470</v>
      </c>
      <c r="J2740" t="s">
        <v>5637</v>
      </c>
      <c r="M2740" t="s">
        <v>12471</v>
      </c>
      <c r="N2740">
        <v>2.092758737</v>
      </c>
      <c r="O2740">
        <v>5.3323610669999999</v>
      </c>
      <c r="P2740">
        <v>0.70420098600000003</v>
      </c>
      <c r="Q2740">
        <v>0.41355372699999998</v>
      </c>
      <c r="S2740" s="13">
        <v>-1.4933699760000001</v>
      </c>
      <c r="T2740">
        <v>-0.600492417</v>
      </c>
      <c r="U2740">
        <v>-0.35763975399999998</v>
      </c>
    </row>
    <row r="2741" spans="1:21" x14ac:dyDescent="0.2">
      <c r="A2741" t="s">
        <v>2871</v>
      </c>
      <c r="B2741">
        <v>570320</v>
      </c>
      <c r="C2741" t="s">
        <v>6953</v>
      </c>
      <c r="D2741" t="s">
        <v>2871</v>
      </c>
      <c r="E2741" t="s">
        <v>6907</v>
      </c>
      <c r="F2741">
        <v>21</v>
      </c>
      <c r="G2741">
        <v>4</v>
      </c>
      <c r="H2741" t="s">
        <v>12472</v>
      </c>
      <c r="J2741" t="s">
        <v>5451</v>
      </c>
      <c r="M2741" t="s">
        <v>12473</v>
      </c>
      <c r="N2741">
        <v>1.921480887</v>
      </c>
      <c r="O2741">
        <v>3.0856645180000002</v>
      </c>
      <c r="P2741">
        <v>0.44706724399999997</v>
      </c>
      <c r="Q2741">
        <v>-0.354940863</v>
      </c>
      <c r="S2741" s="13">
        <v>-1.493431838</v>
      </c>
      <c r="T2741">
        <v>-0.60076274200000002</v>
      </c>
      <c r="U2741">
        <v>-0.23685205400000001</v>
      </c>
    </row>
    <row r="2742" spans="1:21" x14ac:dyDescent="0.2">
      <c r="A2742" t="s">
        <v>703</v>
      </c>
      <c r="B2742">
        <v>482360</v>
      </c>
      <c r="C2742" t="s">
        <v>6910</v>
      </c>
      <c r="D2742" t="s">
        <v>704</v>
      </c>
      <c r="E2742" t="s">
        <v>6924</v>
      </c>
      <c r="F2742">
        <v>8</v>
      </c>
      <c r="G2742">
        <v>6</v>
      </c>
      <c r="H2742" t="s">
        <v>12474</v>
      </c>
      <c r="J2742" t="s">
        <v>5002</v>
      </c>
      <c r="M2742" t="s">
        <v>12475</v>
      </c>
      <c r="N2742">
        <v>1.9874741039999999</v>
      </c>
      <c r="O2742">
        <v>3.7453511220000002</v>
      </c>
      <c r="P2742">
        <v>0.451009722</v>
      </c>
      <c r="Q2742">
        <v>-0.102386592</v>
      </c>
      <c r="S2742" s="13">
        <v>-1.4937167819999999</v>
      </c>
      <c r="T2742">
        <v>-0.60200787899999997</v>
      </c>
      <c r="U2742">
        <v>-0.22793118400000001</v>
      </c>
    </row>
    <row r="2743" spans="1:21" x14ac:dyDescent="0.2">
      <c r="A2743" t="s">
        <v>175</v>
      </c>
      <c r="B2743">
        <v>431440</v>
      </c>
      <c r="C2743" t="s">
        <v>6942</v>
      </c>
      <c r="D2743" t="s">
        <v>175</v>
      </c>
      <c r="E2743" t="s">
        <v>7006</v>
      </c>
      <c r="F2743">
        <v>15</v>
      </c>
      <c r="G2743">
        <v>3</v>
      </c>
      <c r="H2743" t="s">
        <v>12476</v>
      </c>
      <c r="J2743" t="s">
        <v>5026</v>
      </c>
      <c r="M2743" t="s">
        <v>12477</v>
      </c>
      <c r="N2743">
        <v>2.0902262079999998</v>
      </c>
      <c r="O2743">
        <v>4.2704203920000001</v>
      </c>
      <c r="P2743">
        <v>0.23425843900000001</v>
      </c>
      <c r="Q2743">
        <v>1.6181978999999999E-2</v>
      </c>
      <c r="S2743" s="13">
        <v>-1.4937871739999999</v>
      </c>
      <c r="T2743">
        <v>-0.60231547600000002</v>
      </c>
      <c r="U2743">
        <v>-0.35456229099999997</v>
      </c>
    </row>
    <row r="2744" spans="1:21" x14ac:dyDescent="0.2">
      <c r="A2744" t="s">
        <v>124</v>
      </c>
      <c r="B2744">
        <v>506520</v>
      </c>
      <c r="C2744" t="s">
        <v>6906</v>
      </c>
      <c r="D2744" t="s">
        <v>125</v>
      </c>
      <c r="E2744" t="s">
        <v>6918</v>
      </c>
      <c r="F2744">
        <v>7</v>
      </c>
      <c r="G2744">
        <v>1</v>
      </c>
      <c r="H2744" t="s">
        <v>12478</v>
      </c>
      <c r="J2744" t="s">
        <v>680</v>
      </c>
      <c r="M2744" t="s">
        <v>12479</v>
      </c>
      <c r="N2744">
        <v>1.813871112</v>
      </c>
      <c r="O2744">
        <v>2.6633694910000001</v>
      </c>
      <c r="P2744">
        <v>-0.29586356800000002</v>
      </c>
      <c r="Q2744">
        <v>-0.59018158399999998</v>
      </c>
      <c r="S2744" s="13">
        <v>-1.4938633400000001</v>
      </c>
      <c r="T2744">
        <v>-0.60264830300000005</v>
      </c>
      <c r="U2744">
        <v>-0.24073444199999999</v>
      </c>
    </row>
    <row r="2745" spans="1:21" x14ac:dyDescent="0.2">
      <c r="A2745" t="s">
        <v>1349</v>
      </c>
      <c r="B2745">
        <v>569520</v>
      </c>
      <c r="C2745" t="s">
        <v>6953</v>
      </c>
      <c r="D2745" t="s">
        <v>1350</v>
      </c>
      <c r="E2745" t="s">
        <v>6939</v>
      </c>
      <c r="F2745">
        <v>6</v>
      </c>
      <c r="G2745">
        <v>2</v>
      </c>
      <c r="H2745" t="s">
        <v>12480</v>
      </c>
      <c r="J2745" t="s">
        <v>1625</v>
      </c>
      <c r="M2745" t="s">
        <v>12481</v>
      </c>
      <c r="N2745">
        <v>1.921480887</v>
      </c>
      <c r="O2745">
        <v>3.0856645180000002</v>
      </c>
      <c r="P2745">
        <v>0.44706724399999997</v>
      </c>
      <c r="Q2745">
        <v>-0.354940863</v>
      </c>
      <c r="S2745" s="13">
        <v>-1.494261938</v>
      </c>
      <c r="T2745">
        <v>-0.60439008599999999</v>
      </c>
      <c r="U2745">
        <v>-0.237502134</v>
      </c>
    </row>
    <row r="2746" spans="1:21" x14ac:dyDescent="0.2">
      <c r="A2746" t="s">
        <v>1383</v>
      </c>
      <c r="B2746">
        <v>489880</v>
      </c>
      <c r="C2746" t="s">
        <v>6938</v>
      </c>
      <c r="D2746" t="s">
        <v>1384</v>
      </c>
      <c r="E2746" t="s">
        <v>6956</v>
      </c>
      <c r="F2746">
        <v>6</v>
      </c>
      <c r="G2746">
        <v>7</v>
      </c>
      <c r="H2746" t="s">
        <v>12482</v>
      </c>
      <c r="J2746" t="s">
        <v>4078</v>
      </c>
      <c r="M2746" t="s">
        <v>12483</v>
      </c>
      <c r="N2746">
        <v>2.092758737</v>
      </c>
      <c r="O2746">
        <v>5.3323610669999999</v>
      </c>
      <c r="P2746">
        <v>0.70420098600000003</v>
      </c>
      <c r="Q2746">
        <v>0.41355372699999998</v>
      </c>
      <c r="S2746" s="13">
        <v>-1.4944005499999999</v>
      </c>
      <c r="T2746">
        <v>-0.60499578799999998</v>
      </c>
      <c r="U2746">
        <v>-0.35892849500000001</v>
      </c>
    </row>
    <row r="2747" spans="1:21" x14ac:dyDescent="0.2">
      <c r="A2747" t="s">
        <v>1295</v>
      </c>
      <c r="B2747">
        <v>439960</v>
      </c>
      <c r="C2747" t="s">
        <v>6931</v>
      </c>
      <c r="D2747" t="s">
        <v>1296</v>
      </c>
      <c r="E2747" t="s">
        <v>6921</v>
      </c>
      <c r="F2747">
        <v>5</v>
      </c>
      <c r="G2747">
        <v>8</v>
      </c>
      <c r="H2747" t="s">
        <v>12484</v>
      </c>
      <c r="N2747">
        <v>1.9323965059999999</v>
      </c>
      <c r="O2747">
        <v>3.0528020530000002</v>
      </c>
      <c r="P2747">
        <v>2.6493138999999999E-2</v>
      </c>
      <c r="Q2747">
        <v>-0.38692188</v>
      </c>
      <c r="S2747" s="13">
        <v>-1.4944090400000001</v>
      </c>
      <c r="T2747">
        <v>-0.60503289000000005</v>
      </c>
      <c r="U2747">
        <v>-0.200377524</v>
      </c>
    </row>
    <row r="2748" spans="1:21" x14ac:dyDescent="0.2">
      <c r="A2748" t="s">
        <v>519</v>
      </c>
      <c r="B2748">
        <v>439920</v>
      </c>
      <c r="C2748" t="s">
        <v>6931</v>
      </c>
      <c r="D2748" t="s">
        <v>519</v>
      </c>
      <c r="E2748" t="s">
        <v>6956</v>
      </c>
      <c r="F2748">
        <v>18</v>
      </c>
      <c r="G2748">
        <v>7</v>
      </c>
      <c r="H2748" t="s">
        <v>12485</v>
      </c>
      <c r="N2748">
        <v>1.9323965059999999</v>
      </c>
      <c r="O2748">
        <v>3.0528020530000002</v>
      </c>
      <c r="P2748">
        <v>2.6493138999999999E-2</v>
      </c>
      <c r="Q2748">
        <v>-0.38692188</v>
      </c>
      <c r="S2748" s="13">
        <v>-1.4944615990000001</v>
      </c>
      <c r="T2748">
        <v>-0.60526256000000001</v>
      </c>
      <c r="U2748">
        <v>-0.20040738899999999</v>
      </c>
    </row>
    <row r="2749" spans="1:21" x14ac:dyDescent="0.2">
      <c r="A2749" t="s">
        <v>1095</v>
      </c>
      <c r="B2749">
        <v>600640</v>
      </c>
      <c r="C2749" t="s">
        <v>6914</v>
      </c>
      <c r="D2749" t="s">
        <v>1096</v>
      </c>
      <c r="E2749" t="s">
        <v>6977</v>
      </c>
      <c r="F2749">
        <v>4</v>
      </c>
      <c r="G2749">
        <v>5</v>
      </c>
      <c r="H2749" t="s">
        <v>12486</v>
      </c>
      <c r="J2749" t="s">
        <v>1467</v>
      </c>
      <c r="M2749" t="s">
        <v>12487</v>
      </c>
      <c r="N2749">
        <v>1.8217074179999999</v>
      </c>
      <c r="O2749">
        <v>4.1700741289999996</v>
      </c>
      <c r="P2749">
        <v>0.189705977</v>
      </c>
      <c r="Q2749">
        <v>-1.7194070999999998E-2</v>
      </c>
      <c r="S2749" s="13">
        <v>-1.4945514900000001</v>
      </c>
      <c r="T2749">
        <v>-0.60565536399999997</v>
      </c>
      <c r="U2749">
        <v>-0.294291038</v>
      </c>
    </row>
    <row r="2750" spans="1:21" x14ac:dyDescent="0.2">
      <c r="A2750" t="s">
        <v>2089</v>
      </c>
      <c r="B2750">
        <v>481200</v>
      </c>
      <c r="C2750" t="s">
        <v>6910</v>
      </c>
      <c r="D2750" t="s">
        <v>2090</v>
      </c>
      <c r="E2750" t="s">
        <v>7085</v>
      </c>
      <c r="F2750">
        <v>3</v>
      </c>
      <c r="G2750">
        <v>9</v>
      </c>
      <c r="H2750" t="s">
        <v>12488</v>
      </c>
      <c r="J2750" t="s">
        <v>3147</v>
      </c>
      <c r="M2750" t="s">
        <v>12489</v>
      </c>
      <c r="N2750">
        <v>1.9874741039999999</v>
      </c>
      <c r="O2750">
        <v>3.7453511220000002</v>
      </c>
      <c r="P2750">
        <v>0.451009722</v>
      </c>
      <c r="Q2750">
        <v>-0.102386592</v>
      </c>
      <c r="S2750" s="13">
        <v>-1.4949648179999999</v>
      </c>
      <c r="T2750">
        <v>-0.60746151299999995</v>
      </c>
      <c r="U2750">
        <v>-0.22885492700000001</v>
      </c>
    </row>
    <row r="2751" spans="1:21" x14ac:dyDescent="0.2">
      <c r="A2751" t="s">
        <v>1260</v>
      </c>
      <c r="B2751">
        <v>481120</v>
      </c>
      <c r="C2751" t="s">
        <v>6910</v>
      </c>
      <c r="D2751" t="s">
        <v>1260</v>
      </c>
      <c r="E2751" t="s">
        <v>6915</v>
      </c>
      <c r="F2751">
        <v>19</v>
      </c>
      <c r="G2751">
        <v>13</v>
      </c>
      <c r="H2751" t="s">
        <v>12490</v>
      </c>
      <c r="J2751" t="s">
        <v>5032</v>
      </c>
      <c r="M2751" t="s">
        <v>12491</v>
      </c>
      <c r="N2751">
        <v>1.9874741039999999</v>
      </c>
      <c r="O2751">
        <v>3.7453511220000002</v>
      </c>
      <c r="P2751">
        <v>0.451009722</v>
      </c>
      <c r="Q2751">
        <v>-0.102386592</v>
      </c>
      <c r="S2751" s="13">
        <v>-1.4950508899999999</v>
      </c>
      <c r="T2751">
        <v>-0.60783762600000002</v>
      </c>
      <c r="U2751">
        <v>-0.228918706</v>
      </c>
    </row>
    <row r="2752" spans="1:21" x14ac:dyDescent="0.2">
      <c r="A2752" t="s">
        <v>889</v>
      </c>
      <c r="B2752">
        <v>489120</v>
      </c>
      <c r="C2752" t="s">
        <v>6938</v>
      </c>
      <c r="D2752" t="s">
        <v>889</v>
      </c>
      <c r="E2752" t="s">
        <v>6921</v>
      </c>
      <c r="F2752">
        <v>16</v>
      </c>
      <c r="G2752">
        <v>8</v>
      </c>
      <c r="H2752" t="s">
        <v>12492</v>
      </c>
      <c r="J2752" t="s">
        <v>5599</v>
      </c>
      <c r="M2752" t="s">
        <v>12493</v>
      </c>
      <c r="N2752">
        <v>2.092758737</v>
      </c>
      <c r="O2752">
        <v>5.3323610669999999</v>
      </c>
      <c r="P2752">
        <v>0.70420098600000003</v>
      </c>
      <c r="Q2752">
        <v>0.41355372699999998</v>
      </c>
      <c r="S2752" s="13">
        <v>-1.4950532459999999</v>
      </c>
      <c r="T2752">
        <v>-0.60784792300000001</v>
      </c>
      <c r="U2752">
        <v>-0.35974667900000001</v>
      </c>
    </row>
    <row r="2753" spans="1:21" x14ac:dyDescent="0.2">
      <c r="A2753" t="s">
        <v>243</v>
      </c>
      <c r="B2753">
        <v>568080</v>
      </c>
      <c r="C2753" t="s">
        <v>6953</v>
      </c>
      <c r="D2753" t="s">
        <v>243</v>
      </c>
      <c r="E2753" t="s">
        <v>6918</v>
      </c>
      <c r="F2753">
        <v>14</v>
      </c>
      <c r="G2753">
        <v>1</v>
      </c>
      <c r="H2753" t="s">
        <v>12494</v>
      </c>
      <c r="J2753" t="s">
        <v>1472</v>
      </c>
      <c r="M2753" t="s">
        <v>12495</v>
      </c>
      <c r="N2753">
        <v>1.921480887</v>
      </c>
      <c r="O2753">
        <v>3.0856645180000002</v>
      </c>
      <c r="P2753">
        <v>0.44706724399999997</v>
      </c>
      <c r="Q2753">
        <v>-0.354940863</v>
      </c>
      <c r="S2753" s="13">
        <v>-1.495756117</v>
      </c>
      <c r="T2753">
        <v>-0.61091930699999997</v>
      </c>
      <c r="U2753">
        <v>-0.238674738</v>
      </c>
    </row>
    <row r="2754" spans="1:21" x14ac:dyDescent="0.2">
      <c r="A2754" t="s">
        <v>671</v>
      </c>
      <c r="B2754">
        <v>341840</v>
      </c>
      <c r="C2754" t="s">
        <v>6945</v>
      </c>
      <c r="D2754" t="s">
        <v>672</v>
      </c>
      <c r="E2754" t="s">
        <v>6970</v>
      </c>
      <c r="F2754">
        <v>6</v>
      </c>
      <c r="G2754">
        <v>14</v>
      </c>
      <c r="H2754" t="s">
        <v>12496</v>
      </c>
      <c r="J2754" t="s">
        <v>6009</v>
      </c>
      <c r="M2754" t="s">
        <v>12497</v>
      </c>
      <c r="N2754">
        <v>2.2220813349999999</v>
      </c>
      <c r="O2754">
        <v>6.5440947090000003</v>
      </c>
      <c r="P2754">
        <v>0.58228215500000002</v>
      </c>
      <c r="Q2754">
        <v>0.35188233000000002</v>
      </c>
      <c r="S2754" s="13">
        <v>-1.495840329</v>
      </c>
      <c r="T2754">
        <v>-0.61128729500000001</v>
      </c>
      <c r="U2754">
        <v>-0.37507863400000002</v>
      </c>
    </row>
    <row r="2755" spans="1:21" x14ac:dyDescent="0.2">
      <c r="A2755" t="s">
        <v>139</v>
      </c>
      <c r="B2755">
        <v>567920</v>
      </c>
      <c r="C2755" t="s">
        <v>6953</v>
      </c>
      <c r="D2755" t="s">
        <v>139</v>
      </c>
      <c r="E2755" t="s">
        <v>6939</v>
      </c>
      <c r="F2755">
        <v>17</v>
      </c>
      <c r="G2755">
        <v>2</v>
      </c>
      <c r="H2755" t="s">
        <v>12498</v>
      </c>
      <c r="J2755" t="s">
        <v>1340</v>
      </c>
      <c r="M2755" t="s">
        <v>12499</v>
      </c>
      <c r="N2755">
        <v>1.921480887</v>
      </c>
      <c r="O2755">
        <v>3.0856645180000002</v>
      </c>
      <c r="P2755">
        <v>0.44706724399999997</v>
      </c>
      <c r="Q2755">
        <v>-0.354940863</v>
      </c>
      <c r="S2755" s="13">
        <v>-1.495922137</v>
      </c>
      <c r="T2755">
        <v>-0.611644776</v>
      </c>
      <c r="U2755">
        <v>-0.23880522200000001</v>
      </c>
    </row>
    <row r="2756" spans="1:21" x14ac:dyDescent="0.2">
      <c r="A2756" t="s">
        <v>883</v>
      </c>
      <c r="B2756">
        <v>480080</v>
      </c>
      <c r="C2756" t="s">
        <v>6910</v>
      </c>
      <c r="D2756" t="s">
        <v>883</v>
      </c>
      <c r="E2756" t="s">
        <v>6977</v>
      </c>
      <c r="F2756">
        <v>17</v>
      </c>
      <c r="G2756">
        <v>5</v>
      </c>
      <c r="H2756" t="s">
        <v>12500</v>
      </c>
      <c r="J2756" t="s">
        <v>1189</v>
      </c>
      <c r="M2756" t="s">
        <v>12501</v>
      </c>
      <c r="N2756">
        <v>1.9874741039999999</v>
      </c>
      <c r="O2756">
        <v>3.7453511220000002</v>
      </c>
      <c r="P2756">
        <v>0.451009722</v>
      </c>
      <c r="Q2756">
        <v>-0.102386592</v>
      </c>
      <c r="S2756" s="13">
        <v>-1.4961698189999999</v>
      </c>
      <c r="T2756">
        <v>-0.612727091</v>
      </c>
      <c r="U2756">
        <v>-0.22974868500000001</v>
      </c>
    </row>
    <row r="2757" spans="1:21" x14ac:dyDescent="0.2">
      <c r="A2757" t="s">
        <v>839</v>
      </c>
      <c r="B2757">
        <v>599240</v>
      </c>
      <c r="C2757" t="s">
        <v>6914</v>
      </c>
      <c r="D2757" t="s">
        <v>840</v>
      </c>
      <c r="E2757" t="s">
        <v>6928</v>
      </c>
      <c r="F2757">
        <v>5</v>
      </c>
      <c r="G2757">
        <v>16</v>
      </c>
      <c r="H2757" t="s">
        <v>12502</v>
      </c>
      <c r="J2757" t="s">
        <v>842</v>
      </c>
      <c r="M2757" t="s">
        <v>12503</v>
      </c>
      <c r="N2757">
        <v>1.8217074179999999</v>
      </c>
      <c r="O2757">
        <v>4.1700741289999996</v>
      </c>
      <c r="P2757">
        <v>0.189705977</v>
      </c>
      <c r="Q2757">
        <v>-1.7194070999999998E-2</v>
      </c>
      <c r="S2757" s="13">
        <v>-1.4962353559999999</v>
      </c>
      <c r="T2757">
        <v>-0.61301347399999995</v>
      </c>
      <c r="U2757">
        <v>-0.29559051600000003</v>
      </c>
    </row>
    <row r="2758" spans="1:21" x14ac:dyDescent="0.2">
      <c r="A2758" t="s">
        <v>1535</v>
      </c>
      <c r="B2758">
        <v>599040</v>
      </c>
      <c r="C2758" t="s">
        <v>6914</v>
      </c>
      <c r="D2758" t="s">
        <v>1535</v>
      </c>
      <c r="E2758" t="s">
        <v>6907</v>
      </c>
      <c r="F2758">
        <v>19</v>
      </c>
      <c r="G2758">
        <v>4</v>
      </c>
      <c r="H2758" t="s">
        <v>12504</v>
      </c>
      <c r="J2758" t="s">
        <v>5167</v>
      </c>
      <c r="M2758" t="s">
        <v>12505</v>
      </c>
      <c r="N2758">
        <v>1.8217074179999999</v>
      </c>
      <c r="O2758">
        <v>4.1700741289999996</v>
      </c>
      <c r="P2758">
        <v>0.189705977</v>
      </c>
      <c r="Q2758">
        <v>-1.7194070999999998E-2</v>
      </c>
      <c r="S2758" s="13">
        <v>-1.4964759089999999</v>
      </c>
      <c r="T2758">
        <v>-0.61406463300000003</v>
      </c>
      <c r="U2758">
        <v>-0.29577647299999998</v>
      </c>
    </row>
    <row r="2759" spans="1:21" x14ac:dyDescent="0.2">
      <c r="A2759" t="s">
        <v>883</v>
      </c>
      <c r="B2759">
        <v>567280</v>
      </c>
      <c r="C2759" t="s">
        <v>6953</v>
      </c>
      <c r="D2759" t="s">
        <v>883</v>
      </c>
      <c r="E2759" t="s">
        <v>6977</v>
      </c>
      <c r="F2759">
        <v>17</v>
      </c>
      <c r="G2759">
        <v>5</v>
      </c>
      <c r="H2759" t="s">
        <v>12506</v>
      </c>
      <c r="J2759" t="s">
        <v>2304</v>
      </c>
      <c r="M2759" t="s">
        <v>12507</v>
      </c>
      <c r="N2759">
        <v>1.921480887</v>
      </c>
      <c r="O2759">
        <v>3.0856645180000002</v>
      </c>
      <c r="P2759">
        <v>0.44706724399999997</v>
      </c>
      <c r="Q2759">
        <v>-0.354940863</v>
      </c>
      <c r="S2759" s="13">
        <v>-1.4965862160000001</v>
      </c>
      <c r="T2759">
        <v>-0.61454665100000005</v>
      </c>
      <c r="U2759">
        <v>-0.239327554</v>
      </c>
    </row>
    <row r="2760" spans="1:21" x14ac:dyDescent="0.2">
      <c r="A2760" t="s">
        <v>157</v>
      </c>
      <c r="B2760">
        <v>438200</v>
      </c>
      <c r="C2760" t="s">
        <v>6931</v>
      </c>
      <c r="D2760" t="s">
        <v>157</v>
      </c>
      <c r="E2760" t="s">
        <v>6946</v>
      </c>
      <c r="F2760">
        <v>14</v>
      </c>
      <c r="G2760">
        <v>11</v>
      </c>
      <c r="H2760" t="s">
        <v>12508</v>
      </c>
      <c r="N2760">
        <v>1.9323965059999999</v>
      </c>
      <c r="O2760">
        <v>3.0528020530000002</v>
      </c>
      <c r="P2760">
        <v>2.6493138999999999E-2</v>
      </c>
      <c r="Q2760">
        <v>-0.38692188</v>
      </c>
      <c r="S2760" s="13">
        <v>-1.4967216350000001</v>
      </c>
      <c r="T2760">
        <v>-0.615138399</v>
      </c>
      <c r="U2760">
        <v>-0.201693501</v>
      </c>
    </row>
    <row r="2761" spans="1:21" x14ac:dyDescent="0.2">
      <c r="A2761" t="s">
        <v>1058</v>
      </c>
      <c r="B2761">
        <v>104880</v>
      </c>
      <c r="C2761" t="s">
        <v>6961</v>
      </c>
      <c r="D2761" t="s">
        <v>1059</v>
      </c>
      <c r="E2761" t="s">
        <v>6911</v>
      </c>
      <c r="F2761">
        <v>6</v>
      </c>
      <c r="G2761">
        <v>12</v>
      </c>
      <c r="H2761" t="s">
        <v>12509</v>
      </c>
      <c r="J2761" t="s">
        <v>5813</v>
      </c>
      <c r="M2761" t="s">
        <v>12510</v>
      </c>
      <c r="N2761">
        <v>2.7247480949999998</v>
      </c>
      <c r="O2761">
        <v>7.0822175119999997</v>
      </c>
      <c r="P2761">
        <v>0.61298291999999999</v>
      </c>
      <c r="Q2761">
        <v>0.48262032500000002</v>
      </c>
      <c r="S2761" s="13">
        <v>-1.49677021</v>
      </c>
      <c r="T2761">
        <v>-0.61535066199999999</v>
      </c>
      <c r="U2761">
        <v>-0.46944260100000001</v>
      </c>
    </row>
    <row r="2762" spans="1:21" x14ac:dyDescent="0.2">
      <c r="A2762" t="s">
        <v>214</v>
      </c>
      <c r="B2762">
        <v>567040</v>
      </c>
      <c r="C2762" t="s">
        <v>6953</v>
      </c>
      <c r="D2762" t="s">
        <v>215</v>
      </c>
      <c r="E2762" t="s">
        <v>6939</v>
      </c>
      <c r="F2762">
        <v>9</v>
      </c>
      <c r="G2762">
        <v>2</v>
      </c>
      <c r="H2762" t="s">
        <v>12511</v>
      </c>
      <c r="J2762" t="s">
        <v>875</v>
      </c>
      <c r="M2762" t="s">
        <v>12512</v>
      </c>
      <c r="N2762">
        <v>1.921480887</v>
      </c>
      <c r="O2762">
        <v>3.0856645180000002</v>
      </c>
      <c r="P2762">
        <v>0.44706724399999997</v>
      </c>
      <c r="Q2762">
        <v>-0.354940863</v>
      </c>
      <c r="S2762" s="13">
        <v>-1.4968352460000001</v>
      </c>
      <c r="T2762">
        <v>-0.61563485500000004</v>
      </c>
      <c r="U2762">
        <v>-0.23952359100000001</v>
      </c>
    </row>
    <row r="2763" spans="1:21" x14ac:dyDescent="0.2">
      <c r="A2763" t="s">
        <v>385</v>
      </c>
      <c r="B2763">
        <v>501720</v>
      </c>
      <c r="C2763" t="s">
        <v>6927</v>
      </c>
      <c r="D2763" t="s">
        <v>386</v>
      </c>
      <c r="E2763" t="s">
        <v>6928</v>
      </c>
      <c r="F2763">
        <v>7</v>
      </c>
      <c r="G2763">
        <v>16</v>
      </c>
      <c r="H2763" t="s">
        <v>12513</v>
      </c>
      <c r="J2763" t="s">
        <v>12514</v>
      </c>
      <c r="M2763" t="s">
        <v>12515</v>
      </c>
      <c r="N2763">
        <v>1.982575982</v>
      </c>
      <c r="O2763">
        <v>3.4571926419999999</v>
      </c>
      <c r="P2763">
        <v>-0.114791479</v>
      </c>
      <c r="Q2763">
        <v>1.868949E-3</v>
      </c>
      <c r="S2763" s="13">
        <v>-1.4971361569999999</v>
      </c>
      <c r="T2763">
        <v>-0.61694976700000004</v>
      </c>
      <c r="U2763">
        <v>-0.312054948</v>
      </c>
    </row>
    <row r="2764" spans="1:21" x14ac:dyDescent="0.2">
      <c r="A2764" t="s">
        <v>444</v>
      </c>
      <c r="B2764">
        <v>504040</v>
      </c>
      <c r="C2764" t="s">
        <v>6906</v>
      </c>
      <c r="D2764" t="s">
        <v>445</v>
      </c>
      <c r="E2764" t="s">
        <v>7006</v>
      </c>
      <c r="F2764">
        <v>2</v>
      </c>
      <c r="G2764">
        <v>3</v>
      </c>
      <c r="H2764" t="s">
        <v>12516</v>
      </c>
      <c r="J2764" t="s">
        <v>3341</v>
      </c>
      <c r="M2764" t="s">
        <v>12517</v>
      </c>
      <c r="N2764">
        <v>1.813871112</v>
      </c>
      <c r="O2764">
        <v>2.6633694910000001</v>
      </c>
      <c r="P2764">
        <v>-0.29586356800000002</v>
      </c>
      <c r="Q2764">
        <v>-0.59018158399999998</v>
      </c>
      <c r="S2764" s="13">
        <v>-1.4974611929999999</v>
      </c>
      <c r="T2764">
        <v>-0.61837009799999998</v>
      </c>
      <c r="U2764">
        <v>-0.242771036</v>
      </c>
    </row>
    <row r="2765" spans="1:21" x14ac:dyDescent="0.2">
      <c r="A2765" t="s">
        <v>18</v>
      </c>
      <c r="B2765">
        <v>503960</v>
      </c>
      <c r="C2765" t="s">
        <v>6906</v>
      </c>
      <c r="D2765" t="s">
        <v>19</v>
      </c>
      <c r="E2765" t="s">
        <v>6928</v>
      </c>
      <c r="F2765">
        <v>1</v>
      </c>
      <c r="G2765">
        <v>16</v>
      </c>
      <c r="H2765" t="s">
        <v>12518</v>
      </c>
      <c r="J2765" t="s">
        <v>4144</v>
      </c>
      <c r="M2765" t="s">
        <v>12519</v>
      </c>
      <c r="N2765">
        <v>1.813871112</v>
      </c>
      <c r="O2765">
        <v>2.6633694910000001</v>
      </c>
      <c r="P2765">
        <v>-0.29586356800000002</v>
      </c>
      <c r="Q2765">
        <v>-0.59018158399999998</v>
      </c>
      <c r="S2765" s="13">
        <v>-1.4975772519999999</v>
      </c>
      <c r="T2765">
        <v>-0.61887725199999999</v>
      </c>
      <c r="U2765">
        <v>-0.242836891</v>
      </c>
    </row>
    <row r="2766" spans="1:21" x14ac:dyDescent="0.2">
      <c r="A2766" t="s">
        <v>303</v>
      </c>
      <c r="B2766">
        <v>437480</v>
      </c>
      <c r="C2766" t="s">
        <v>6931</v>
      </c>
      <c r="D2766" t="s">
        <v>304</v>
      </c>
      <c r="E2766" t="s">
        <v>7006</v>
      </c>
      <c r="F2766">
        <v>3</v>
      </c>
      <c r="G2766">
        <v>3</v>
      </c>
      <c r="H2766" t="s">
        <v>12520</v>
      </c>
      <c r="J2766" t="s">
        <v>1549</v>
      </c>
      <c r="M2766" t="s">
        <v>12521</v>
      </c>
      <c r="N2766">
        <v>1.9323965059999999</v>
      </c>
      <c r="O2766">
        <v>3.0528020530000002</v>
      </c>
      <c r="P2766">
        <v>2.6493138999999999E-2</v>
      </c>
      <c r="Q2766">
        <v>-0.38692188</v>
      </c>
      <c r="S2766" s="13">
        <v>-1.4976676959999999</v>
      </c>
      <c r="T2766">
        <v>-0.61927247100000005</v>
      </c>
      <c r="U2766">
        <v>-0.20223300699999999</v>
      </c>
    </row>
    <row r="2767" spans="1:21" x14ac:dyDescent="0.2">
      <c r="A2767" t="s">
        <v>2108</v>
      </c>
      <c r="B2767">
        <v>598000</v>
      </c>
      <c r="C2767" t="s">
        <v>6914</v>
      </c>
      <c r="D2767" t="s">
        <v>2108</v>
      </c>
      <c r="E2767" t="s">
        <v>6956</v>
      </c>
      <c r="F2767">
        <v>17</v>
      </c>
      <c r="G2767">
        <v>7</v>
      </c>
      <c r="H2767" t="s">
        <v>12522</v>
      </c>
      <c r="J2767" t="s">
        <v>3614</v>
      </c>
      <c r="M2767" t="s">
        <v>12523</v>
      </c>
      <c r="N2767">
        <v>1.8217074179999999</v>
      </c>
      <c r="O2767">
        <v>4.1700741289999996</v>
      </c>
      <c r="P2767">
        <v>0.189705977</v>
      </c>
      <c r="Q2767">
        <v>-1.7194070999999998E-2</v>
      </c>
      <c r="S2767" s="13">
        <v>-1.4977267809999999</v>
      </c>
      <c r="T2767">
        <v>-0.61953065699999998</v>
      </c>
      <c r="U2767">
        <v>-0.29674473800000001</v>
      </c>
    </row>
    <row r="2768" spans="1:21" x14ac:dyDescent="0.2">
      <c r="A2768" t="s">
        <v>2902</v>
      </c>
      <c r="B2768">
        <v>437320</v>
      </c>
      <c r="C2768" t="s">
        <v>6931</v>
      </c>
      <c r="D2768" t="s">
        <v>2903</v>
      </c>
      <c r="E2768" t="s">
        <v>6977</v>
      </c>
      <c r="F2768">
        <v>6</v>
      </c>
      <c r="G2768">
        <v>5</v>
      </c>
      <c r="H2768" t="s">
        <v>12524</v>
      </c>
      <c r="N2768">
        <v>1.9323965059999999</v>
      </c>
      <c r="O2768">
        <v>3.0528020530000002</v>
      </c>
      <c r="P2768">
        <v>2.6493138999999999E-2</v>
      </c>
      <c r="Q2768">
        <v>-0.38692188</v>
      </c>
      <c r="S2768" s="13">
        <v>-1.497877932</v>
      </c>
      <c r="T2768">
        <v>-0.62019115300000005</v>
      </c>
      <c r="U2768">
        <v>-0.20235298800000001</v>
      </c>
    </row>
    <row r="2769" spans="1:21" x14ac:dyDescent="0.2">
      <c r="A2769" t="s">
        <v>1971</v>
      </c>
      <c r="B2769">
        <v>437200</v>
      </c>
      <c r="C2769" t="s">
        <v>6931</v>
      </c>
      <c r="D2769" t="s">
        <v>1971</v>
      </c>
      <c r="E2769" t="s">
        <v>7115</v>
      </c>
      <c r="F2769">
        <v>10</v>
      </c>
      <c r="G2769">
        <v>10</v>
      </c>
      <c r="H2769" t="s">
        <v>12525</v>
      </c>
      <c r="N2769">
        <v>1.9323965059999999</v>
      </c>
      <c r="O2769">
        <v>3.0528020530000002</v>
      </c>
      <c r="P2769">
        <v>2.6493138999999999E-2</v>
      </c>
      <c r="Q2769">
        <v>-0.38692188</v>
      </c>
      <c r="S2769" s="13">
        <v>-1.498035609</v>
      </c>
      <c r="T2769">
        <v>-0.62088016499999998</v>
      </c>
      <c r="U2769">
        <v>-0.20244299599999999</v>
      </c>
    </row>
    <row r="2770" spans="1:21" x14ac:dyDescent="0.2">
      <c r="A2770" t="s">
        <v>924</v>
      </c>
      <c r="B2770">
        <v>339320</v>
      </c>
      <c r="C2770" t="s">
        <v>6945</v>
      </c>
      <c r="D2770" t="s">
        <v>924</v>
      </c>
      <c r="E2770" t="s">
        <v>7115</v>
      </c>
      <c r="F2770">
        <v>17</v>
      </c>
      <c r="G2770">
        <v>10</v>
      </c>
      <c r="H2770" t="s">
        <v>12526</v>
      </c>
      <c r="J2770" t="s">
        <v>4952</v>
      </c>
      <c r="M2770" t="s">
        <v>12527</v>
      </c>
      <c r="N2770">
        <v>2.2220813349999999</v>
      </c>
      <c r="O2770">
        <v>6.5440947090000003</v>
      </c>
      <c r="P2770">
        <v>0.58228215500000002</v>
      </c>
      <c r="Q2770">
        <v>0.35188233000000002</v>
      </c>
      <c r="S2770" s="13">
        <v>-1.4982172840000001</v>
      </c>
      <c r="T2770">
        <v>-0.62167404400000004</v>
      </c>
      <c r="U2770">
        <v>-0.37790084699999998</v>
      </c>
    </row>
    <row r="2771" spans="1:21" x14ac:dyDescent="0.2">
      <c r="A2771" t="s">
        <v>438</v>
      </c>
      <c r="B2771">
        <v>565640</v>
      </c>
      <c r="C2771" t="s">
        <v>6953</v>
      </c>
      <c r="D2771" t="s">
        <v>438</v>
      </c>
      <c r="E2771" t="s">
        <v>6956</v>
      </c>
      <c r="F2771">
        <v>11</v>
      </c>
      <c r="G2771">
        <v>7</v>
      </c>
      <c r="H2771" t="s">
        <v>12528</v>
      </c>
      <c r="J2771" t="s">
        <v>3892</v>
      </c>
      <c r="M2771" t="s">
        <v>12529</v>
      </c>
      <c r="N2771">
        <v>1.921480887</v>
      </c>
      <c r="O2771">
        <v>3.0856645180000002</v>
      </c>
      <c r="P2771">
        <v>0.44706724399999997</v>
      </c>
      <c r="Q2771">
        <v>-0.354940863</v>
      </c>
      <c r="S2771" s="13">
        <v>-1.4982879200000001</v>
      </c>
      <c r="T2771">
        <v>-0.621982708</v>
      </c>
      <c r="U2771">
        <v>-0.24066890499999999</v>
      </c>
    </row>
    <row r="2772" spans="1:21" x14ac:dyDescent="0.2">
      <c r="A2772" t="s">
        <v>1794</v>
      </c>
      <c r="B2772">
        <v>565440</v>
      </c>
      <c r="C2772" t="s">
        <v>6953</v>
      </c>
      <c r="D2772" t="s">
        <v>1794</v>
      </c>
      <c r="E2772" t="s">
        <v>7115</v>
      </c>
      <c r="F2772">
        <v>13</v>
      </c>
      <c r="G2772">
        <v>10</v>
      </c>
      <c r="H2772" t="s">
        <v>12530</v>
      </c>
      <c r="J2772" t="s">
        <v>1796</v>
      </c>
      <c r="M2772" t="s">
        <v>12531</v>
      </c>
      <c r="N2772">
        <v>1.921480887</v>
      </c>
      <c r="O2772">
        <v>3.0856645180000002</v>
      </c>
      <c r="P2772">
        <v>0.44706724399999997</v>
      </c>
      <c r="Q2772">
        <v>-0.354940863</v>
      </c>
      <c r="S2772" s="13">
        <v>-1.4984954450000001</v>
      </c>
      <c r="T2772">
        <v>-0.62288954399999996</v>
      </c>
      <c r="U2772">
        <v>-0.240832768</v>
      </c>
    </row>
    <row r="2773" spans="1:21" x14ac:dyDescent="0.2">
      <c r="A2773" t="s">
        <v>392</v>
      </c>
      <c r="B2773">
        <v>597360</v>
      </c>
      <c r="C2773" t="s">
        <v>6914</v>
      </c>
      <c r="D2773" t="s">
        <v>392</v>
      </c>
      <c r="E2773" t="s">
        <v>7006</v>
      </c>
      <c r="F2773">
        <v>21</v>
      </c>
      <c r="G2773">
        <v>3</v>
      </c>
      <c r="H2773" t="s">
        <v>12532</v>
      </c>
      <c r="J2773" t="s">
        <v>1248</v>
      </c>
      <c r="M2773" t="s">
        <v>12533</v>
      </c>
      <c r="N2773">
        <v>1.8217074179999999</v>
      </c>
      <c r="O2773">
        <v>4.1700741289999996</v>
      </c>
      <c r="P2773">
        <v>0.189705977</v>
      </c>
      <c r="Q2773">
        <v>-1.7194070999999998E-2</v>
      </c>
      <c r="S2773" s="13">
        <v>-1.4984965480000001</v>
      </c>
      <c r="T2773">
        <v>-0.62289436499999995</v>
      </c>
      <c r="U2773">
        <v>-0.297341668</v>
      </c>
    </row>
    <row r="2774" spans="1:21" x14ac:dyDescent="0.2">
      <c r="A2774" t="s">
        <v>33</v>
      </c>
      <c r="B2774">
        <v>477840</v>
      </c>
      <c r="C2774" t="s">
        <v>6910</v>
      </c>
      <c r="D2774" t="s">
        <v>33</v>
      </c>
      <c r="E2774" t="s">
        <v>6918</v>
      </c>
      <c r="F2774">
        <v>17</v>
      </c>
      <c r="G2774">
        <v>1</v>
      </c>
      <c r="H2774" t="s">
        <v>12534</v>
      </c>
      <c r="J2774" t="s">
        <v>941</v>
      </c>
      <c r="M2774" t="s">
        <v>12535</v>
      </c>
      <c r="N2774">
        <v>1.9874741039999999</v>
      </c>
      <c r="O2774">
        <v>3.7453511220000002</v>
      </c>
      <c r="P2774">
        <v>0.451009722</v>
      </c>
      <c r="Q2774">
        <v>-0.102386592</v>
      </c>
      <c r="S2774" s="13">
        <v>-1.4985798210000001</v>
      </c>
      <c r="T2774">
        <v>-0.62325824600000002</v>
      </c>
      <c r="U2774">
        <v>-0.231541738</v>
      </c>
    </row>
    <row r="2775" spans="1:21" x14ac:dyDescent="0.2">
      <c r="A2775" t="s">
        <v>1082</v>
      </c>
      <c r="B2775">
        <v>597120</v>
      </c>
      <c r="C2775" t="s">
        <v>6914</v>
      </c>
      <c r="D2775" t="s">
        <v>1082</v>
      </c>
      <c r="E2775" t="s">
        <v>7115</v>
      </c>
      <c r="F2775">
        <v>21</v>
      </c>
      <c r="G2775">
        <v>10</v>
      </c>
      <c r="H2775" t="s">
        <v>12536</v>
      </c>
      <c r="J2775" t="s">
        <v>3052</v>
      </c>
      <c r="M2775" t="s">
        <v>12537</v>
      </c>
      <c r="N2775">
        <v>1.8217074179999999</v>
      </c>
      <c r="O2775">
        <v>4.1700741289999996</v>
      </c>
      <c r="P2775">
        <v>0.189705977</v>
      </c>
      <c r="Q2775">
        <v>-1.7194070999999998E-2</v>
      </c>
      <c r="S2775" s="13">
        <v>-1.498785211</v>
      </c>
      <c r="T2775">
        <v>-0.62415575499999998</v>
      </c>
      <c r="U2775">
        <v>-0.29756572799999997</v>
      </c>
    </row>
    <row r="2776" spans="1:21" x14ac:dyDescent="0.2">
      <c r="A2776" t="s">
        <v>832</v>
      </c>
      <c r="B2776">
        <v>565040</v>
      </c>
      <c r="C2776" t="s">
        <v>6953</v>
      </c>
      <c r="D2776" t="s">
        <v>832</v>
      </c>
      <c r="E2776" t="s">
        <v>6924</v>
      </c>
      <c r="F2776">
        <v>21</v>
      </c>
      <c r="G2776">
        <v>6</v>
      </c>
      <c r="H2776" t="s">
        <v>12538</v>
      </c>
      <c r="J2776" t="s">
        <v>5477</v>
      </c>
      <c r="M2776" t="s">
        <v>12539</v>
      </c>
      <c r="N2776">
        <v>1.921480887</v>
      </c>
      <c r="O2776">
        <v>3.0856645180000002</v>
      </c>
      <c r="P2776">
        <v>0.44706724399999997</v>
      </c>
      <c r="Q2776">
        <v>-0.354940863</v>
      </c>
      <c r="S2776" s="13">
        <v>-1.4989104950000001</v>
      </c>
      <c r="T2776">
        <v>-0.62470321600000001</v>
      </c>
      <c r="U2776">
        <v>-0.24116067899999999</v>
      </c>
    </row>
    <row r="2777" spans="1:21" x14ac:dyDescent="0.2">
      <c r="A2777" t="s">
        <v>1330</v>
      </c>
      <c r="B2777">
        <v>499880</v>
      </c>
      <c r="C2777" t="s">
        <v>6927</v>
      </c>
      <c r="D2777" t="s">
        <v>1330</v>
      </c>
      <c r="E2777" t="s">
        <v>6915</v>
      </c>
      <c r="F2777">
        <v>23</v>
      </c>
      <c r="G2777">
        <v>13</v>
      </c>
      <c r="H2777" t="s">
        <v>12540</v>
      </c>
      <c r="J2777" t="s">
        <v>12541</v>
      </c>
      <c r="M2777" t="s">
        <v>12542</v>
      </c>
      <c r="N2777">
        <v>1.982575982</v>
      </c>
      <c r="O2777">
        <v>3.4571926419999999</v>
      </c>
      <c r="P2777">
        <v>-0.114791479</v>
      </c>
      <c r="Q2777">
        <v>1.868949E-3</v>
      </c>
      <c r="S2777" s="13">
        <v>-1.4990453859999999</v>
      </c>
      <c r="T2777">
        <v>-0.62529265999999994</v>
      </c>
      <c r="U2777">
        <v>-0.31383512299999999</v>
      </c>
    </row>
    <row r="2778" spans="1:21" x14ac:dyDescent="0.2">
      <c r="A2778" t="s">
        <v>718</v>
      </c>
      <c r="B2778">
        <v>338360</v>
      </c>
      <c r="C2778" t="s">
        <v>6945</v>
      </c>
      <c r="D2778" t="s">
        <v>718</v>
      </c>
      <c r="E2778" t="s">
        <v>6924</v>
      </c>
      <c r="F2778">
        <v>14</v>
      </c>
      <c r="G2778">
        <v>6</v>
      </c>
      <c r="H2778" t="s">
        <v>12543</v>
      </c>
      <c r="J2778" t="s">
        <v>5393</v>
      </c>
      <c r="M2778" t="s">
        <v>12544</v>
      </c>
      <c r="N2778">
        <v>2.2220813349999999</v>
      </c>
      <c r="O2778">
        <v>6.5440947090000003</v>
      </c>
      <c r="P2778">
        <v>0.58228215500000002</v>
      </c>
      <c r="Q2778">
        <v>0.35188233000000002</v>
      </c>
      <c r="S2778" s="13">
        <v>-1.4991227899999999</v>
      </c>
      <c r="T2778">
        <v>-0.62563090099999996</v>
      </c>
      <c r="U2778">
        <v>-0.378980818</v>
      </c>
    </row>
    <row r="2779" spans="1:21" x14ac:dyDescent="0.2">
      <c r="A2779" t="s">
        <v>225</v>
      </c>
      <c r="B2779">
        <v>101560</v>
      </c>
      <c r="C2779" t="s">
        <v>6961</v>
      </c>
      <c r="D2779" t="s">
        <v>225</v>
      </c>
      <c r="E2779" t="s">
        <v>6918</v>
      </c>
      <c r="F2779">
        <v>20</v>
      </c>
      <c r="G2779">
        <v>1</v>
      </c>
      <c r="H2779" t="s">
        <v>12545</v>
      </c>
      <c r="J2779" t="s">
        <v>6605</v>
      </c>
      <c r="M2779" t="s">
        <v>12546</v>
      </c>
      <c r="N2779">
        <v>2.7247480949999998</v>
      </c>
      <c r="O2779">
        <v>7.0822175119999997</v>
      </c>
      <c r="P2779">
        <v>0.61298291999999999</v>
      </c>
      <c r="Q2779">
        <v>0.48262032500000002</v>
      </c>
      <c r="S2779" s="13">
        <v>-1.4993983719999999</v>
      </c>
      <c r="T2779">
        <v>-0.62683513099999999</v>
      </c>
      <c r="U2779">
        <v>-0.47407273900000002</v>
      </c>
    </row>
    <row r="2780" spans="1:21" x14ac:dyDescent="0.2">
      <c r="A2780" t="s">
        <v>2270</v>
      </c>
      <c r="B2780">
        <v>564520</v>
      </c>
      <c r="C2780" t="s">
        <v>6953</v>
      </c>
      <c r="D2780" t="s">
        <v>2271</v>
      </c>
      <c r="E2780" t="s">
        <v>6921</v>
      </c>
      <c r="F2780">
        <v>8</v>
      </c>
      <c r="G2780">
        <v>8</v>
      </c>
      <c r="H2780" t="s">
        <v>12547</v>
      </c>
      <c r="J2780" t="s">
        <v>2944</v>
      </c>
      <c r="M2780" t="s">
        <v>12548</v>
      </c>
      <c r="N2780">
        <v>1.921480887</v>
      </c>
      <c r="O2780">
        <v>3.0856645180000002</v>
      </c>
      <c r="P2780">
        <v>0.44706724399999997</v>
      </c>
      <c r="Q2780">
        <v>-0.354940863</v>
      </c>
      <c r="S2780" s="13">
        <v>-1.4994500589999999</v>
      </c>
      <c r="T2780">
        <v>-0.62706099000000004</v>
      </c>
      <c r="U2780">
        <v>-0.24158733499999999</v>
      </c>
    </row>
    <row r="2781" spans="1:21" x14ac:dyDescent="0.2">
      <c r="A2781" t="s">
        <v>1013</v>
      </c>
      <c r="B2781">
        <v>484000</v>
      </c>
      <c r="C2781" t="s">
        <v>6938</v>
      </c>
      <c r="D2781" t="s">
        <v>1014</v>
      </c>
      <c r="E2781" t="s">
        <v>7006</v>
      </c>
      <c r="F2781">
        <v>6</v>
      </c>
      <c r="G2781">
        <v>3</v>
      </c>
      <c r="H2781" t="s">
        <v>12549</v>
      </c>
      <c r="J2781" t="s">
        <v>4024</v>
      </c>
      <c r="M2781" t="s">
        <v>12550</v>
      </c>
      <c r="N2781">
        <v>2.092758737</v>
      </c>
      <c r="O2781">
        <v>5.3323610669999999</v>
      </c>
      <c r="P2781">
        <v>0.70420098600000003</v>
      </c>
      <c r="Q2781">
        <v>0.41355372699999998</v>
      </c>
      <c r="S2781" s="13">
        <v>-1.4994503610000001</v>
      </c>
      <c r="T2781">
        <v>-0.62706230799999996</v>
      </c>
      <c r="U2781">
        <v>-0.36529919999999999</v>
      </c>
    </row>
    <row r="2782" spans="1:21" x14ac:dyDescent="0.2">
      <c r="A2782" t="s">
        <v>1318</v>
      </c>
      <c r="B2782">
        <v>596520</v>
      </c>
      <c r="C2782" t="s">
        <v>6914</v>
      </c>
      <c r="D2782" t="s">
        <v>1318</v>
      </c>
      <c r="E2782" t="s">
        <v>6946</v>
      </c>
      <c r="F2782">
        <v>20</v>
      </c>
      <c r="G2782">
        <v>11</v>
      </c>
      <c r="H2782" t="s">
        <v>12551</v>
      </c>
      <c r="J2782" t="s">
        <v>1320</v>
      </c>
      <c r="M2782" t="s">
        <v>12552</v>
      </c>
      <c r="N2782">
        <v>1.8217074179999999</v>
      </c>
      <c r="O2782">
        <v>4.1700741289999996</v>
      </c>
      <c r="P2782">
        <v>0.189705977</v>
      </c>
      <c r="Q2782">
        <v>-1.7194070999999998E-2</v>
      </c>
      <c r="S2782" s="13">
        <v>-1.4995068680000001</v>
      </c>
      <c r="T2782">
        <v>-0.62730923100000002</v>
      </c>
      <c r="U2782">
        <v>-0.29812638600000002</v>
      </c>
    </row>
    <row r="2783" spans="1:21" x14ac:dyDescent="0.2">
      <c r="A2783" t="s">
        <v>400</v>
      </c>
      <c r="B2783">
        <v>499240</v>
      </c>
      <c r="C2783" t="s">
        <v>6927</v>
      </c>
      <c r="D2783" t="s">
        <v>400</v>
      </c>
      <c r="E2783" t="s">
        <v>6939</v>
      </c>
      <c r="F2783">
        <v>11</v>
      </c>
      <c r="G2783">
        <v>2</v>
      </c>
      <c r="H2783" t="s">
        <v>12553</v>
      </c>
      <c r="J2783" t="s">
        <v>12554</v>
      </c>
      <c r="M2783" t="s">
        <v>12555</v>
      </c>
      <c r="N2783">
        <v>1.982575982</v>
      </c>
      <c r="O2783">
        <v>3.4571926419999999</v>
      </c>
      <c r="P2783">
        <v>-0.114791479</v>
      </c>
      <c r="Q2783">
        <v>1.868949E-3</v>
      </c>
      <c r="S2783" s="13">
        <v>-1.499709465</v>
      </c>
      <c r="T2783">
        <v>-0.628194535</v>
      </c>
      <c r="U2783">
        <v>-0.31445602900000003</v>
      </c>
    </row>
    <row r="2784" spans="1:21" x14ac:dyDescent="0.2">
      <c r="A2784" t="s">
        <v>1391</v>
      </c>
      <c r="B2784">
        <v>425160</v>
      </c>
      <c r="C2784" t="s">
        <v>6942</v>
      </c>
      <c r="D2784" t="s">
        <v>1391</v>
      </c>
      <c r="E2784" t="s">
        <v>7085</v>
      </c>
      <c r="F2784">
        <v>12</v>
      </c>
      <c r="G2784">
        <v>9</v>
      </c>
      <c r="H2784" t="s">
        <v>12556</v>
      </c>
      <c r="J2784" t="s">
        <v>3048</v>
      </c>
      <c r="M2784" t="s">
        <v>12557</v>
      </c>
      <c r="N2784">
        <v>2.0902262079999998</v>
      </c>
      <c r="O2784">
        <v>4.2704203920000001</v>
      </c>
      <c r="P2784">
        <v>0.23425843900000001</v>
      </c>
      <c r="Q2784">
        <v>1.6181978999999999E-2</v>
      </c>
      <c r="S2784" s="13">
        <v>-1.4999509259999999</v>
      </c>
      <c r="T2784">
        <v>-0.62924966199999999</v>
      </c>
      <c r="U2784">
        <v>-0.36130116400000001</v>
      </c>
    </row>
    <row r="2785" spans="1:21" x14ac:dyDescent="0.2">
      <c r="A2785" t="s">
        <v>1336</v>
      </c>
      <c r="B2785">
        <v>476400</v>
      </c>
      <c r="C2785" t="s">
        <v>6910</v>
      </c>
      <c r="D2785" t="s">
        <v>1336</v>
      </c>
      <c r="E2785" t="s">
        <v>6915</v>
      </c>
      <c r="F2785">
        <v>15</v>
      </c>
      <c r="G2785">
        <v>13</v>
      </c>
      <c r="H2785" t="s">
        <v>12558</v>
      </c>
      <c r="J2785" t="s">
        <v>2877</v>
      </c>
      <c r="M2785" t="s">
        <v>12559</v>
      </c>
      <c r="N2785">
        <v>1.9874741039999999</v>
      </c>
      <c r="O2785">
        <v>3.7453511220000002</v>
      </c>
      <c r="P2785">
        <v>0.451009722</v>
      </c>
      <c r="Q2785">
        <v>-0.102386592</v>
      </c>
      <c r="S2785" s="13">
        <v>-1.500129107</v>
      </c>
      <c r="T2785">
        <v>-0.63002827500000003</v>
      </c>
      <c r="U2785">
        <v>-0.23269833700000001</v>
      </c>
    </row>
    <row r="2786" spans="1:21" x14ac:dyDescent="0.2">
      <c r="A2786" t="s">
        <v>1788</v>
      </c>
      <c r="B2786">
        <v>563680</v>
      </c>
      <c r="C2786" t="s">
        <v>6953</v>
      </c>
      <c r="D2786" t="s">
        <v>1788</v>
      </c>
      <c r="E2786" t="s">
        <v>6956</v>
      </c>
      <c r="F2786">
        <v>10</v>
      </c>
      <c r="G2786">
        <v>7</v>
      </c>
      <c r="H2786" t="s">
        <v>12560</v>
      </c>
      <c r="J2786" t="s">
        <v>2918</v>
      </c>
      <c r="M2786" t="s">
        <v>12561</v>
      </c>
      <c r="N2786">
        <v>1.921480887</v>
      </c>
      <c r="O2786">
        <v>3.0856645180000002</v>
      </c>
      <c r="P2786">
        <v>0.44706724399999997</v>
      </c>
      <c r="Q2786">
        <v>-0.354940863</v>
      </c>
      <c r="S2786" s="13">
        <v>-1.5003216640000001</v>
      </c>
      <c r="T2786">
        <v>-0.63086970200000003</v>
      </c>
      <c r="U2786">
        <v>-0.24227743500000001</v>
      </c>
    </row>
    <row r="2787" spans="1:21" x14ac:dyDescent="0.2">
      <c r="A2787" t="s">
        <v>1521</v>
      </c>
      <c r="B2787">
        <v>435440</v>
      </c>
      <c r="C2787" t="s">
        <v>6931</v>
      </c>
      <c r="D2787" t="s">
        <v>1521</v>
      </c>
      <c r="E2787" t="s">
        <v>6921</v>
      </c>
      <c r="F2787">
        <v>10</v>
      </c>
      <c r="G2787">
        <v>8</v>
      </c>
      <c r="H2787" t="s">
        <v>12562</v>
      </c>
      <c r="N2787">
        <v>1.9323965059999999</v>
      </c>
      <c r="O2787">
        <v>3.0528020530000002</v>
      </c>
      <c r="P2787">
        <v>2.6493138999999999E-2</v>
      </c>
      <c r="Q2787">
        <v>-0.38692188</v>
      </c>
      <c r="S2787" s="13">
        <v>-1.5003482029999999</v>
      </c>
      <c r="T2787">
        <v>-0.63098567400000005</v>
      </c>
      <c r="U2787">
        <v>-0.20376525600000001</v>
      </c>
    </row>
    <row r="2788" spans="1:21" x14ac:dyDescent="0.2">
      <c r="A2788" t="s">
        <v>1092</v>
      </c>
      <c r="B2788">
        <v>563560</v>
      </c>
      <c r="C2788" t="s">
        <v>6953</v>
      </c>
      <c r="D2788" t="s">
        <v>1092</v>
      </c>
      <c r="E2788" t="s">
        <v>6970</v>
      </c>
      <c r="F2788">
        <v>20</v>
      </c>
      <c r="G2788">
        <v>14</v>
      </c>
      <c r="H2788" t="s">
        <v>12563</v>
      </c>
      <c r="J2788" t="s">
        <v>3479</v>
      </c>
      <c r="M2788" t="s">
        <v>12564</v>
      </c>
      <c r="N2788">
        <v>1.921480887</v>
      </c>
      <c r="O2788">
        <v>3.0856645180000002</v>
      </c>
      <c r="P2788">
        <v>0.44706724399999997</v>
      </c>
      <c r="Q2788">
        <v>-0.354940863</v>
      </c>
      <c r="S2788" s="13">
        <v>-1.500446178</v>
      </c>
      <c r="T2788">
        <v>-0.63141380400000002</v>
      </c>
      <c r="U2788">
        <v>-0.24237611000000001</v>
      </c>
    </row>
    <row r="2789" spans="1:21" x14ac:dyDescent="0.2">
      <c r="A2789" t="s">
        <v>644</v>
      </c>
      <c r="B2789">
        <v>563520</v>
      </c>
      <c r="C2789" t="s">
        <v>6953</v>
      </c>
      <c r="D2789" t="s">
        <v>644</v>
      </c>
      <c r="E2789" t="s">
        <v>6946</v>
      </c>
      <c r="F2789">
        <v>11</v>
      </c>
      <c r="G2789">
        <v>11</v>
      </c>
      <c r="H2789" t="s">
        <v>12565</v>
      </c>
      <c r="J2789" t="s">
        <v>2006</v>
      </c>
      <c r="M2789" t="s">
        <v>12566</v>
      </c>
      <c r="N2789">
        <v>1.921480887</v>
      </c>
      <c r="O2789">
        <v>3.0856645180000002</v>
      </c>
      <c r="P2789">
        <v>0.44706724399999997</v>
      </c>
      <c r="Q2789">
        <v>-0.354940863</v>
      </c>
      <c r="S2789" s="13">
        <v>-1.500487683</v>
      </c>
      <c r="T2789">
        <v>-0.63159517099999996</v>
      </c>
      <c r="U2789">
        <v>-0.24240900700000001</v>
      </c>
    </row>
    <row r="2790" spans="1:21" x14ac:dyDescent="0.2">
      <c r="A2790" t="s">
        <v>907</v>
      </c>
      <c r="B2790">
        <v>595680</v>
      </c>
      <c r="C2790" t="s">
        <v>6914</v>
      </c>
      <c r="D2790" t="s">
        <v>907</v>
      </c>
      <c r="E2790" t="s">
        <v>6946</v>
      </c>
      <c r="F2790">
        <v>19</v>
      </c>
      <c r="G2790">
        <v>11</v>
      </c>
      <c r="H2790" t="s">
        <v>12567</v>
      </c>
      <c r="J2790" t="s">
        <v>5415</v>
      </c>
      <c r="M2790" t="s">
        <v>12568</v>
      </c>
      <c r="N2790">
        <v>1.8217074179999999</v>
      </c>
      <c r="O2790">
        <v>4.1700741289999996</v>
      </c>
      <c r="P2790">
        <v>0.189705977</v>
      </c>
      <c r="Q2790">
        <v>-1.7194070999999998E-2</v>
      </c>
      <c r="S2790" s="13">
        <v>-1.500517187</v>
      </c>
      <c r="T2790">
        <v>-0.63172409699999998</v>
      </c>
      <c r="U2790">
        <v>-0.29891252400000001</v>
      </c>
    </row>
    <row r="2791" spans="1:21" x14ac:dyDescent="0.2">
      <c r="A2791" t="s">
        <v>572</v>
      </c>
      <c r="B2791">
        <v>501920</v>
      </c>
      <c r="C2791" t="s">
        <v>6906</v>
      </c>
      <c r="D2791" t="s">
        <v>572</v>
      </c>
      <c r="E2791" t="s">
        <v>7006</v>
      </c>
      <c r="F2791">
        <v>13</v>
      </c>
      <c r="G2791">
        <v>3</v>
      </c>
      <c r="H2791" t="s">
        <v>12569</v>
      </c>
      <c r="J2791" t="s">
        <v>12570</v>
      </c>
      <c r="M2791" t="s">
        <v>12571</v>
      </c>
      <c r="N2791">
        <v>1.813871112</v>
      </c>
      <c r="O2791">
        <v>2.6633694910000001</v>
      </c>
      <c r="P2791">
        <v>-0.29586356800000002</v>
      </c>
      <c r="Q2791">
        <v>-0.59018158399999998</v>
      </c>
      <c r="S2791" s="13">
        <v>-1.5005367759999999</v>
      </c>
      <c r="T2791">
        <v>-0.63180969600000003</v>
      </c>
      <c r="U2791">
        <v>-0.244519598</v>
      </c>
    </row>
    <row r="2792" spans="1:21" x14ac:dyDescent="0.2">
      <c r="A2792" t="s">
        <v>1939</v>
      </c>
      <c r="B2792">
        <v>99840</v>
      </c>
      <c r="C2792" t="s">
        <v>6961</v>
      </c>
      <c r="D2792" t="s">
        <v>1939</v>
      </c>
      <c r="E2792" t="s">
        <v>6928</v>
      </c>
      <c r="F2792">
        <v>19</v>
      </c>
      <c r="G2792">
        <v>16</v>
      </c>
      <c r="H2792" t="s">
        <v>12572</v>
      </c>
      <c r="J2792" t="s">
        <v>6237</v>
      </c>
      <c r="M2792" t="s">
        <v>12573</v>
      </c>
      <c r="N2792">
        <v>2.7247480949999998</v>
      </c>
      <c r="O2792">
        <v>7.0822175119999997</v>
      </c>
      <c r="P2792">
        <v>0.61298291999999999</v>
      </c>
      <c r="Q2792">
        <v>0.48262032500000002</v>
      </c>
      <c r="S2792" s="13">
        <v>-1.500759951</v>
      </c>
      <c r="T2792">
        <v>-0.63278491599999998</v>
      </c>
      <c r="U2792">
        <v>-0.47649103799999998</v>
      </c>
    </row>
    <row r="2793" spans="1:21" x14ac:dyDescent="0.2">
      <c r="A2793" t="s">
        <v>2080</v>
      </c>
      <c r="B2793">
        <v>595320</v>
      </c>
      <c r="C2793" t="s">
        <v>6914</v>
      </c>
      <c r="D2793" t="s">
        <v>2080</v>
      </c>
      <c r="E2793" t="s">
        <v>6970</v>
      </c>
      <c r="F2793">
        <v>12</v>
      </c>
      <c r="G2793">
        <v>14</v>
      </c>
      <c r="H2793" t="s">
        <v>12574</v>
      </c>
      <c r="J2793" t="s">
        <v>2082</v>
      </c>
      <c r="M2793" t="s">
        <v>12575</v>
      </c>
      <c r="N2793">
        <v>1.8217074179999999</v>
      </c>
      <c r="O2793">
        <v>4.1700741289999996</v>
      </c>
      <c r="P2793">
        <v>0.189705977</v>
      </c>
      <c r="Q2793">
        <v>-1.7194070999999998E-2</v>
      </c>
      <c r="S2793" s="13">
        <v>-1.500950182</v>
      </c>
      <c r="T2793">
        <v>-0.633616183</v>
      </c>
      <c r="U2793">
        <v>-0.29924987600000003</v>
      </c>
    </row>
    <row r="2794" spans="1:21" x14ac:dyDescent="0.2">
      <c r="A2794" t="s">
        <v>1659</v>
      </c>
      <c r="B2794">
        <v>475080</v>
      </c>
      <c r="C2794" t="s">
        <v>6910</v>
      </c>
      <c r="D2794" t="s">
        <v>1660</v>
      </c>
      <c r="E2794" t="s">
        <v>6946</v>
      </c>
      <c r="F2794">
        <v>8</v>
      </c>
      <c r="G2794">
        <v>11</v>
      </c>
      <c r="H2794" t="s">
        <v>12576</v>
      </c>
      <c r="J2794" t="s">
        <v>4635</v>
      </c>
      <c r="M2794" t="s">
        <v>12577</v>
      </c>
      <c r="N2794">
        <v>1.9874741039999999</v>
      </c>
      <c r="O2794">
        <v>3.7453511220000002</v>
      </c>
      <c r="P2794">
        <v>0.451009722</v>
      </c>
      <c r="Q2794">
        <v>-0.102386592</v>
      </c>
      <c r="S2794" s="13">
        <v>-1.501549287</v>
      </c>
      <c r="T2794">
        <v>-0.63623413500000003</v>
      </c>
      <c r="U2794">
        <v>-0.233761265</v>
      </c>
    </row>
    <row r="2795" spans="1:21" x14ac:dyDescent="0.2">
      <c r="A2795" t="s">
        <v>482</v>
      </c>
      <c r="B2795">
        <v>474680</v>
      </c>
      <c r="C2795" t="s">
        <v>6910</v>
      </c>
      <c r="D2795" t="s">
        <v>482</v>
      </c>
      <c r="E2795" t="s">
        <v>6946</v>
      </c>
      <c r="F2795">
        <v>15</v>
      </c>
      <c r="G2795">
        <v>11</v>
      </c>
      <c r="H2795" t="s">
        <v>12578</v>
      </c>
      <c r="J2795" t="s">
        <v>4822</v>
      </c>
      <c r="M2795" t="s">
        <v>12579</v>
      </c>
      <c r="N2795">
        <v>1.9874741039999999</v>
      </c>
      <c r="O2795">
        <v>3.7453511220000002</v>
      </c>
      <c r="P2795">
        <v>0.451009722</v>
      </c>
      <c r="Q2795">
        <v>-0.102386592</v>
      </c>
      <c r="S2795" s="13">
        <v>-1.5019796439999999</v>
      </c>
      <c r="T2795">
        <v>-0.63811469799999998</v>
      </c>
      <c r="U2795">
        <v>-0.234083878</v>
      </c>
    </row>
    <row r="2796" spans="1:21" x14ac:dyDescent="0.2">
      <c r="A2796" t="s">
        <v>2149</v>
      </c>
      <c r="B2796">
        <v>98280</v>
      </c>
      <c r="C2796" t="s">
        <v>6961</v>
      </c>
      <c r="D2796" t="s">
        <v>2149</v>
      </c>
      <c r="E2796" t="s">
        <v>7085</v>
      </c>
      <c r="F2796">
        <v>13</v>
      </c>
      <c r="G2796">
        <v>9</v>
      </c>
      <c r="H2796" t="s">
        <v>12580</v>
      </c>
      <c r="J2796" t="s">
        <v>6389</v>
      </c>
      <c r="M2796" t="s">
        <v>12581</v>
      </c>
      <c r="N2796">
        <v>2.7247480949999998</v>
      </c>
      <c r="O2796">
        <v>7.0822175119999997</v>
      </c>
      <c r="P2796">
        <v>0.61298291999999999</v>
      </c>
      <c r="Q2796">
        <v>0.48262032500000002</v>
      </c>
      <c r="S2796" s="13">
        <v>-1.5019948700000001</v>
      </c>
      <c r="T2796">
        <v>-0.63818123299999996</v>
      </c>
      <c r="U2796">
        <v>-0.47869608600000002</v>
      </c>
    </row>
    <row r="2797" spans="1:21" x14ac:dyDescent="0.2">
      <c r="A2797" t="s">
        <v>788</v>
      </c>
      <c r="B2797">
        <v>561440</v>
      </c>
      <c r="C2797" t="s">
        <v>6953</v>
      </c>
      <c r="D2797" t="s">
        <v>788</v>
      </c>
      <c r="E2797" t="s">
        <v>6921</v>
      </c>
      <c r="F2797">
        <v>13</v>
      </c>
      <c r="G2797">
        <v>8</v>
      </c>
      <c r="H2797" t="s">
        <v>12582</v>
      </c>
      <c r="J2797" t="s">
        <v>3171</v>
      </c>
      <c r="M2797" t="s">
        <v>12583</v>
      </c>
      <c r="N2797">
        <v>1.921480887</v>
      </c>
      <c r="O2797">
        <v>3.0856645180000002</v>
      </c>
      <c r="P2797">
        <v>0.44706724399999997</v>
      </c>
      <c r="Q2797">
        <v>-0.354940863</v>
      </c>
      <c r="S2797" s="13">
        <v>-1.502645942</v>
      </c>
      <c r="T2797">
        <v>-0.64102626699999998</v>
      </c>
      <c r="U2797">
        <v>-0.24412307999999999</v>
      </c>
    </row>
    <row r="2798" spans="1:21" x14ac:dyDescent="0.2">
      <c r="A2798" t="s">
        <v>714</v>
      </c>
      <c r="B2798">
        <v>593840</v>
      </c>
      <c r="C2798" t="s">
        <v>6914</v>
      </c>
      <c r="D2798" t="s">
        <v>715</v>
      </c>
      <c r="E2798" t="s">
        <v>6956</v>
      </c>
      <c r="F2798">
        <v>5</v>
      </c>
      <c r="G2798">
        <v>7</v>
      </c>
      <c r="H2798" t="s">
        <v>12584</v>
      </c>
      <c r="J2798" t="s">
        <v>6141</v>
      </c>
      <c r="M2798" t="s">
        <v>12585</v>
      </c>
      <c r="N2798">
        <v>1.8217074179999999</v>
      </c>
      <c r="O2798">
        <v>4.1700741289999996</v>
      </c>
      <c r="P2798">
        <v>0.189705977</v>
      </c>
      <c r="Q2798">
        <v>-1.7194070999999998E-2</v>
      </c>
      <c r="S2798" s="13">
        <v>-1.502730269</v>
      </c>
      <c r="T2798">
        <v>-0.64139475599999995</v>
      </c>
      <c r="U2798">
        <v>-0.30063952999999999</v>
      </c>
    </row>
    <row r="2799" spans="1:21" x14ac:dyDescent="0.2">
      <c r="A2799" t="s">
        <v>1422</v>
      </c>
      <c r="B2799">
        <v>473320</v>
      </c>
      <c r="C2799" t="s">
        <v>6910</v>
      </c>
      <c r="D2799" t="s">
        <v>1423</v>
      </c>
      <c r="E2799" t="s">
        <v>6956</v>
      </c>
      <c r="F2799">
        <v>4</v>
      </c>
      <c r="G2799">
        <v>7</v>
      </c>
      <c r="H2799" t="s">
        <v>12586</v>
      </c>
      <c r="J2799" t="s">
        <v>4401</v>
      </c>
      <c r="M2799" t="s">
        <v>12587</v>
      </c>
      <c r="N2799">
        <v>1.9874741039999999</v>
      </c>
      <c r="O2799">
        <v>3.7453511220000002</v>
      </c>
      <c r="P2799">
        <v>0.451009722</v>
      </c>
      <c r="Q2799">
        <v>-0.102386592</v>
      </c>
      <c r="S2799" s="13">
        <v>-1.503442859</v>
      </c>
      <c r="T2799">
        <v>-0.64450861400000004</v>
      </c>
      <c r="U2799">
        <v>-0.23518256100000001</v>
      </c>
    </row>
    <row r="2800" spans="1:21" x14ac:dyDescent="0.2">
      <c r="A2800" t="s">
        <v>832</v>
      </c>
      <c r="B2800">
        <v>472680</v>
      </c>
      <c r="C2800" t="s">
        <v>6910</v>
      </c>
      <c r="D2800" t="s">
        <v>832</v>
      </c>
      <c r="E2800" t="s">
        <v>6924</v>
      </c>
      <c r="F2800">
        <v>21</v>
      </c>
      <c r="G2800">
        <v>6</v>
      </c>
      <c r="H2800" t="s">
        <v>12588</v>
      </c>
      <c r="J2800" t="s">
        <v>2694</v>
      </c>
      <c r="M2800" t="s">
        <v>12589</v>
      </c>
      <c r="N2800">
        <v>1.9874741039999999</v>
      </c>
      <c r="O2800">
        <v>3.7453511220000002</v>
      </c>
      <c r="P2800">
        <v>0.451009722</v>
      </c>
      <c r="Q2800">
        <v>-0.102386592</v>
      </c>
      <c r="S2800" s="13">
        <v>-1.504131431</v>
      </c>
      <c r="T2800">
        <v>-0.64751751599999996</v>
      </c>
      <c r="U2800">
        <v>-0.23570055200000001</v>
      </c>
    </row>
    <row r="2801" spans="1:21" x14ac:dyDescent="0.2">
      <c r="A2801" t="s">
        <v>1698</v>
      </c>
      <c r="B2801">
        <v>592400</v>
      </c>
      <c r="C2801" t="s">
        <v>6914</v>
      </c>
      <c r="D2801" t="s">
        <v>1698</v>
      </c>
      <c r="E2801" t="s">
        <v>6921</v>
      </c>
      <c r="F2801">
        <v>11</v>
      </c>
      <c r="G2801">
        <v>8</v>
      </c>
      <c r="H2801" t="s">
        <v>12590</v>
      </c>
      <c r="J2801" t="s">
        <v>3403</v>
      </c>
      <c r="M2801" t="s">
        <v>12591</v>
      </c>
      <c r="N2801">
        <v>1.8217074179999999</v>
      </c>
      <c r="O2801">
        <v>4.1700741289999996</v>
      </c>
      <c r="P2801">
        <v>0.189705977</v>
      </c>
      <c r="Q2801">
        <v>-1.7194070999999998E-2</v>
      </c>
      <c r="S2801" s="13">
        <v>-1.504462245</v>
      </c>
      <c r="T2801">
        <v>-0.64896309799999996</v>
      </c>
      <c r="U2801">
        <v>-0.30199590599999998</v>
      </c>
    </row>
    <row r="2802" spans="1:21" x14ac:dyDescent="0.2">
      <c r="A2802" t="s">
        <v>1174</v>
      </c>
      <c r="B2802">
        <v>559640</v>
      </c>
      <c r="C2802" t="s">
        <v>6953</v>
      </c>
      <c r="D2802" t="s">
        <v>1174</v>
      </c>
      <c r="E2802" t="s">
        <v>7085</v>
      </c>
      <c r="F2802">
        <v>16</v>
      </c>
      <c r="G2802">
        <v>9</v>
      </c>
      <c r="H2802" t="s">
        <v>12592</v>
      </c>
      <c r="J2802" t="s">
        <v>2534</v>
      </c>
      <c r="M2802" t="s">
        <v>12593</v>
      </c>
      <c r="N2802">
        <v>1.921480887</v>
      </c>
      <c r="O2802">
        <v>3.0856645180000002</v>
      </c>
      <c r="P2802">
        <v>0.44706724399999997</v>
      </c>
      <c r="Q2802">
        <v>-0.354940863</v>
      </c>
      <c r="S2802" s="13">
        <v>-1.504513666</v>
      </c>
      <c r="T2802">
        <v>-0.64918779299999996</v>
      </c>
      <c r="U2802">
        <v>-0.245611893</v>
      </c>
    </row>
    <row r="2803" spans="1:21" x14ac:dyDescent="0.2">
      <c r="A2803" t="s">
        <v>246</v>
      </c>
      <c r="B2803">
        <v>498680</v>
      </c>
      <c r="C2803" t="s">
        <v>6906</v>
      </c>
      <c r="D2803" t="s">
        <v>246</v>
      </c>
      <c r="E2803" t="s">
        <v>6939</v>
      </c>
      <c r="F2803">
        <v>10</v>
      </c>
      <c r="G2803">
        <v>2</v>
      </c>
      <c r="H2803" t="s">
        <v>12594</v>
      </c>
      <c r="J2803" t="s">
        <v>12595</v>
      </c>
      <c r="M2803" t="s">
        <v>12596</v>
      </c>
      <c r="N2803">
        <v>1.813871112</v>
      </c>
      <c r="O2803">
        <v>2.6633694910000001</v>
      </c>
      <c r="P2803">
        <v>-0.29586356800000002</v>
      </c>
      <c r="Q2803">
        <v>-0.59018158399999998</v>
      </c>
      <c r="S2803" s="13">
        <v>-1.505237197</v>
      </c>
      <c r="T2803">
        <v>-0.65234946000000005</v>
      </c>
      <c r="U2803">
        <v>-0.24720560499999999</v>
      </c>
    </row>
    <row r="2804" spans="1:21" x14ac:dyDescent="0.2">
      <c r="A2804" t="s">
        <v>1825</v>
      </c>
      <c r="B2804">
        <v>419760</v>
      </c>
      <c r="C2804" t="s">
        <v>6942</v>
      </c>
      <c r="D2804" t="s">
        <v>1826</v>
      </c>
      <c r="E2804" t="s">
        <v>6956</v>
      </c>
      <c r="F2804">
        <v>9</v>
      </c>
      <c r="G2804">
        <v>7</v>
      </c>
      <c r="H2804" t="s">
        <v>12597</v>
      </c>
      <c r="J2804" t="s">
        <v>1828</v>
      </c>
      <c r="M2804" t="s">
        <v>12598</v>
      </c>
      <c r="N2804">
        <v>2.0902262079999998</v>
      </c>
      <c r="O2804">
        <v>4.2704203920000001</v>
      </c>
      <c r="P2804">
        <v>0.23425843900000001</v>
      </c>
      <c r="Q2804">
        <v>1.6181978999999999E-2</v>
      </c>
      <c r="S2804" s="13">
        <v>-1.5052509670000001</v>
      </c>
      <c r="T2804">
        <v>-0.65240963100000005</v>
      </c>
      <c r="U2804">
        <v>-0.367180544</v>
      </c>
    </row>
    <row r="2805" spans="1:21" x14ac:dyDescent="0.2">
      <c r="A2805" t="s">
        <v>214</v>
      </c>
      <c r="B2805">
        <v>331680</v>
      </c>
      <c r="C2805" t="s">
        <v>6945</v>
      </c>
      <c r="D2805" t="s">
        <v>215</v>
      </c>
      <c r="E2805" t="s">
        <v>6939</v>
      </c>
      <c r="F2805">
        <v>9</v>
      </c>
      <c r="G2805">
        <v>2</v>
      </c>
      <c r="H2805" t="s">
        <v>12599</v>
      </c>
      <c r="J2805" t="s">
        <v>5907</v>
      </c>
      <c r="M2805" t="s">
        <v>12600</v>
      </c>
      <c r="N2805">
        <v>2.2220813349999999</v>
      </c>
      <c r="O2805">
        <v>6.5440947090000003</v>
      </c>
      <c r="P2805">
        <v>0.58228215500000002</v>
      </c>
      <c r="Q2805">
        <v>0.35188233000000002</v>
      </c>
      <c r="S2805" s="13">
        <v>-1.505423607</v>
      </c>
      <c r="T2805">
        <v>-0.65316403000000001</v>
      </c>
      <c r="U2805">
        <v>-0.38657091100000002</v>
      </c>
    </row>
    <row r="2806" spans="1:21" x14ac:dyDescent="0.2">
      <c r="A2806" t="s">
        <v>2149</v>
      </c>
      <c r="B2806">
        <v>419440</v>
      </c>
      <c r="C2806" t="s">
        <v>6942</v>
      </c>
      <c r="D2806" t="s">
        <v>2149</v>
      </c>
      <c r="E2806" t="s">
        <v>7085</v>
      </c>
      <c r="F2806">
        <v>13</v>
      </c>
      <c r="G2806">
        <v>9</v>
      </c>
      <c r="H2806" t="s">
        <v>12601</v>
      </c>
      <c r="J2806" t="s">
        <v>4572</v>
      </c>
      <c r="M2806" t="s">
        <v>12602</v>
      </c>
      <c r="N2806">
        <v>2.0902262079999998</v>
      </c>
      <c r="O2806">
        <v>4.2704203920000001</v>
      </c>
      <c r="P2806">
        <v>0.23425843900000001</v>
      </c>
      <c r="Q2806">
        <v>1.6181978999999999E-2</v>
      </c>
      <c r="S2806" s="13">
        <v>-1.505565043</v>
      </c>
      <c r="T2806">
        <v>-0.65378207300000002</v>
      </c>
      <c r="U2806">
        <v>-0.367531463</v>
      </c>
    </row>
    <row r="2807" spans="1:21" x14ac:dyDescent="0.2">
      <c r="A2807" t="s">
        <v>2239</v>
      </c>
      <c r="B2807">
        <v>558160</v>
      </c>
      <c r="C2807" t="s">
        <v>6953</v>
      </c>
      <c r="D2807" t="s">
        <v>2240</v>
      </c>
      <c r="E2807" t="s">
        <v>6924</v>
      </c>
      <c r="F2807">
        <v>9</v>
      </c>
      <c r="G2807">
        <v>6</v>
      </c>
      <c r="H2807" t="s">
        <v>12603</v>
      </c>
      <c r="J2807" t="s">
        <v>5475</v>
      </c>
      <c r="M2807" t="s">
        <v>12604</v>
      </c>
      <c r="N2807">
        <v>1.921480887</v>
      </c>
      <c r="O2807">
        <v>3.0856645180000002</v>
      </c>
      <c r="P2807">
        <v>0.44706724399999997</v>
      </c>
      <c r="Q2807">
        <v>-0.354940863</v>
      </c>
      <c r="S2807" s="13">
        <v>-1.506049349</v>
      </c>
      <c r="T2807">
        <v>-0.65589838</v>
      </c>
      <c r="U2807">
        <v>-0.24683986299999999</v>
      </c>
    </row>
    <row r="2808" spans="1:21" x14ac:dyDescent="0.2">
      <c r="A2808" t="s">
        <v>1391</v>
      </c>
      <c r="B2808">
        <v>498120</v>
      </c>
      <c r="C2808" t="s">
        <v>6906</v>
      </c>
      <c r="D2808" t="s">
        <v>1391</v>
      </c>
      <c r="E2808" t="s">
        <v>7085</v>
      </c>
      <c r="F2808">
        <v>12</v>
      </c>
      <c r="G2808">
        <v>9</v>
      </c>
      <c r="H2808" t="s">
        <v>12605</v>
      </c>
      <c r="J2808" t="s">
        <v>12606</v>
      </c>
      <c r="M2808" t="s">
        <v>12607</v>
      </c>
      <c r="N2808">
        <v>1.813871112</v>
      </c>
      <c r="O2808">
        <v>2.6633694910000001</v>
      </c>
      <c r="P2808">
        <v>-0.29586356800000002</v>
      </c>
      <c r="Q2808">
        <v>-0.59018158399999998</v>
      </c>
      <c r="S2808" s="13">
        <v>-1.5060496160000001</v>
      </c>
      <c r="T2808">
        <v>-0.65589954299999997</v>
      </c>
      <c r="U2808">
        <v>-0.24767154199999999</v>
      </c>
    </row>
    <row r="2809" spans="1:21" x14ac:dyDescent="0.2">
      <c r="A2809" t="s">
        <v>519</v>
      </c>
      <c r="B2809">
        <v>557960</v>
      </c>
      <c r="C2809" t="s">
        <v>6953</v>
      </c>
      <c r="D2809" t="s">
        <v>519</v>
      </c>
      <c r="E2809" t="s">
        <v>6956</v>
      </c>
      <c r="F2809">
        <v>18</v>
      </c>
      <c r="G2809">
        <v>7</v>
      </c>
      <c r="H2809" t="s">
        <v>12608</v>
      </c>
      <c r="J2809" t="s">
        <v>4972</v>
      </c>
      <c r="M2809" t="s">
        <v>12609</v>
      </c>
      <c r="N2809">
        <v>1.921480887</v>
      </c>
      <c r="O2809">
        <v>3.0856645180000002</v>
      </c>
      <c r="P2809">
        <v>0.44706724399999997</v>
      </c>
      <c r="Q2809">
        <v>-0.354940863</v>
      </c>
      <c r="S2809" s="13">
        <v>-1.506256874</v>
      </c>
      <c r="T2809">
        <v>-0.65680521599999997</v>
      </c>
      <c r="U2809">
        <v>-0.24700607099999999</v>
      </c>
    </row>
    <row r="2810" spans="1:21" x14ac:dyDescent="0.2">
      <c r="A2810" t="s">
        <v>1263</v>
      </c>
      <c r="B2810">
        <v>492880</v>
      </c>
      <c r="C2810" t="s">
        <v>6927</v>
      </c>
      <c r="D2810" t="s">
        <v>1264</v>
      </c>
      <c r="E2810" t="s">
        <v>6911</v>
      </c>
      <c r="F2810">
        <v>7</v>
      </c>
      <c r="G2810">
        <v>12</v>
      </c>
      <c r="H2810" t="s">
        <v>12610</v>
      </c>
      <c r="J2810" t="s">
        <v>12611</v>
      </c>
      <c r="M2810" t="s">
        <v>12612</v>
      </c>
      <c r="N2810">
        <v>1.982575982</v>
      </c>
      <c r="O2810">
        <v>3.4571926419999999</v>
      </c>
      <c r="P2810">
        <v>-0.114791479</v>
      </c>
      <c r="Q2810">
        <v>1.868949E-3</v>
      </c>
      <c r="S2810" s="13">
        <v>-1.5063087550000001</v>
      </c>
      <c r="T2810">
        <v>-0.65703192499999996</v>
      </c>
      <c r="U2810">
        <v>-0.32067500900000001</v>
      </c>
    </row>
    <row r="2811" spans="1:21" x14ac:dyDescent="0.2">
      <c r="A2811" t="s">
        <v>426</v>
      </c>
      <c r="B2811">
        <v>497880</v>
      </c>
      <c r="C2811" t="s">
        <v>6906</v>
      </c>
      <c r="D2811" t="s">
        <v>426</v>
      </c>
      <c r="E2811" t="s">
        <v>6911</v>
      </c>
      <c r="F2811">
        <v>22</v>
      </c>
      <c r="G2811">
        <v>12</v>
      </c>
      <c r="H2811" t="s">
        <v>12613</v>
      </c>
      <c r="J2811" t="s">
        <v>2618</v>
      </c>
      <c r="M2811" t="s">
        <v>12614</v>
      </c>
      <c r="N2811">
        <v>1.813871112</v>
      </c>
      <c r="O2811">
        <v>2.6633694910000001</v>
      </c>
      <c r="P2811">
        <v>-0.29586356800000002</v>
      </c>
      <c r="Q2811">
        <v>-0.59018158399999998</v>
      </c>
      <c r="S2811" s="13">
        <v>-1.506397795</v>
      </c>
      <c r="T2811">
        <v>-0.65742100699999995</v>
      </c>
      <c r="U2811">
        <v>-0.247871382</v>
      </c>
    </row>
    <row r="2812" spans="1:21" x14ac:dyDescent="0.2">
      <c r="A2812" t="s">
        <v>3164</v>
      </c>
      <c r="B2812">
        <v>497800</v>
      </c>
      <c r="C2812" t="s">
        <v>6906</v>
      </c>
      <c r="D2812" t="s">
        <v>3165</v>
      </c>
      <c r="E2812" t="s">
        <v>6918</v>
      </c>
      <c r="F2812">
        <v>9</v>
      </c>
      <c r="G2812">
        <v>1</v>
      </c>
      <c r="H2812" t="s">
        <v>12615</v>
      </c>
      <c r="J2812" t="s">
        <v>3167</v>
      </c>
      <c r="M2812" t="s">
        <v>12616</v>
      </c>
      <c r="N2812">
        <v>1.813871112</v>
      </c>
      <c r="O2812">
        <v>2.6633694910000001</v>
      </c>
      <c r="P2812">
        <v>-0.29586356800000002</v>
      </c>
      <c r="Q2812">
        <v>-0.59018158399999998</v>
      </c>
      <c r="S2812" s="13">
        <v>-1.5065138549999999</v>
      </c>
      <c r="T2812">
        <v>-0.65792816200000004</v>
      </c>
      <c r="U2812">
        <v>-0.24793801600000001</v>
      </c>
    </row>
    <row r="2813" spans="1:21" x14ac:dyDescent="0.2">
      <c r="A2813" t="s">
        <v>263</v>
      </c>
      <c r="B2813">
        <v>330360</v>
      </c>
      <c r="C2813" t="s">
        <v>6945</v>
      </c>
      <c r="D2813" t="s">
        <v>264</v>
      </c>
      <c r="E2813" t="s">
        <v>6974</v>
      </c>
      <c r="F2813">
        <v>5</v>
      </c>
      <c r="G2813">
        <v>15</v>
      </c>
      <c r="H2813" t="s">
        <v>12617</v>
      </c>
      <c r="J2813" t="s">
        <v>6021</v>
      </c>
      <c r="M2813" t="s">
        <v>12618</v>
      </c>
      <c r="N2813">
        <v>2.2220813349999999</v>
      </c>
      <c r="O2813">
        <v>6.5440947090000003</v>
      </c>
      <c r="P2813">
        <v>0.58228215500000002</v>
      </c>
      <c r="Q2813">
        <v>0.35188233000000002</v>
      </c>
      <c r="S2813" s="13">
        <v>-1.5066686789999999</v>
      </c>
      <c r="T2813">
        <v>-0.65860470800000004</v>
      </c>
      <c r="U2813">
        <v>-0.38808657400000002</v>
      </c>
    </row>
    <row r="2814" spans="1:21" x14ac:dyDescent="0.2">
      <c r="A2814" t="s">
        <v>1484</v>
      </c>
      <c r="B2814">
        <v>590560</v>
      </c>
      <c r="C2814" t="s">
        <v>6914</v>
      </c>
      <c r="D2814" t="s">
        <v>1484</v>
      </c>
      <c r="E2814" t="s">
        <v>6977</v>
      </c>
      <c r="F2814">
        <v>16</v>
      </c>
      <c r="G2814">
        <v>5</v>
      </c>
      <c r="H2814" t="s">
        <v>12619</v>
      </c>
      <c r="J2814" t="s">
        <v>4858</v>
      </c>
      <c r="M2814" t="s">
        <v>12620</v>
      </c>
      <c r="N2814">
        <v>1.8217074179999999</v>
      </c>
      <c r="O2814">
        <v>4.1700741289999996</v>
      </c>
      <c r="P2814">
        <v>0.189705977</v>
      </c>
      <c r="Q2814">
        <v>-1.7194070999999998E-2</v>
      </c>
      <c r="S2814" s="13">
        <v>-1.506675327</v>
      </c>
      <c r="T2814">
        <v>-0.65863375700000004</v>
      </c>
      <c r="U2814">
        <v>-0.30373524200000002</v>
      </c>
    </row>
    <row r="2815" spans="1:21" x14ac:dyDescent="0.2">
      <c r="A2815" t="s">
        <v>1062</v>
      </c>
      <c r="B2815">
        <v>430600</v>
      </c>
      <c r="C2815" t="s">
        <v>6931</v>
      </c>
      <c r="D2815" t="s">
        <v>1062</v>
      </c>
      <c r="E2815" t="s">
        <v>6924</v>
      </c>
      <c r="F2815">
        <v>17</v>
      </c>
      <c r="G2815">
        <v>6</v>
      </c>
      <c r="H2815" t="s">
        <v>12621</v>
      </c>
      <c r="N2815">
        <v>1.9323965059999999</v>
      </c>
      <c r="O2815">
        <v>3.0528020530000002</v>
      </c>
      <c r="P2815">
        <v>2.6493138999999999E-2</v>
      </c>
      <c r="Q2815">
        <v>-0.38692188</v>
      </c>
      <c r="S2815" s="13">
        <v>-1.5067078380000001</v>
      </c>
      <c r="T2815">
        <v>-0.65877582400000001</v>
      </c>
      <c r="U2815">
        <v>-0.207422367</v>
      </c>
    </row>
    <row r="2816" spans="1:21" x14ac:dyDescent="0.2">
      <c r="A2816" t="s">
        <v>1714</v>
      </c>
      <c r="B2816">
        <v>475240</v>
      </c>
      <c r="C2816" t="s">
        <v>6938</v>
      </c>
      <c r="D2816" t="s">
        <v>1715</v>
      </c>
      <c r="E2816" t="s">
        <v>6915</v>
      </c>
      <c r="F2816">
        <v>7</v>
      </c>
      <c r="G2816">
        <v>13</v>
      </c>
      <c r="H2816" t="s">
        <v>12622</v>
      </c>
      <c r="J2816" t="s">
        <v>5659</v>
      </c>
      <c r="M2816" t="s">
        <v>12623</v>
      </c>
      <c r="N2816">
        <v>2.092758737</v>
      </c>
      <c r="O2816">
        <v>5.3323610669999999</v>
      </c>
      <c r="P2816">
        <v>0.70420098600000003</v>
      </c>
      <c r="Q2816">
        <v>0.41355372699999998</v>
      </c>
      <c r="S2816" s="13">
        <v>-1.506973549</v>
      </c>
      <c r="T2816">
        <v>-0.65993691899999996</v>
      </c>
      <c r="U2816">
        <v>-0.37496701900000001</v>
      </c>
    </row>
    <row r="2817" spans="1:21" x14ac:dyDescent="0.2">
      <c r="A2817" t="s">
        <v>644</v>
      </c>
      <c r="B2817">
        <v>475200</v>
      </c>
      <c r="C2817" t="s">
        <v>6938</v>
      </c>
      <c r="D2817" t="s">
        <v>644</v>
      </c>
      <c r="E2817" t="s">
        <v>6946</v>
      </c>
      <c r="F2817">
        <v>11</v>
      </c>
      <c r="G2817">
        <v>11</v>
      </c>
      <c r="H2817" t="s">
        <v>12624</v>
      </c>
      <c r="J2817" t="s">
        <v>1674</v>
      </c>
      <c r="M2817" t="s">
        <v>12625</v>
      </c>
      <c r="N2817">
        <v>2.092758737</v>
      </c>
      <c r="O2817">
        <v>5.3323610669999999</v>
      </c>
      <c r="P2817">
        <v>0.70420098600000003</v>
      </c>
      <c r="Q2817">
        <v>0.41355372699999998</v>
      </c>
      <c r="S2817" s="13">
        <v>-1.5070079009999999</v>
      </c>
      <c r="T2817">
        <v>-0.66008703199999996</v>
      </c>
      <c r="U2817">
        <v>-0.37501166200000002</v>
      </c>
    </row>
    <row r="2818" spans="1:21" x14ac:dyDescent="0.2">
      <c r="A2818" t="s">
        <v>1275</v>
      </c>
      <c r="B2818">
        <v>557040</v>
      </c>
      <c r="C2818" t="s">
        <v>6953</v>
      </c>
      <c r="D2818" t="s">
        <v>1276</v>
      </c>
      <c r="E2818" t="s">
        <v>7085</v>
      </c>
      <c r="F2818">
        <v>5</v>
      </c>
      <c r="G2818">
        <v>9</v>
      </c>
      <c r="H2818" t="s">
        <v>12626</v>
      </c>
      <c r="J2818" t="s">
        <v>2409</v>
      </c>
      <c r="M2818" t="s">
        <v>12627</v>
      </c>
      <c r="N2818">
        <v>1.921480887</v>
      </c>
      <c r="O2818">
        <v>3.0856645180000002</v>
      </c>
      <c r="P2818">
        <v>0.44706724399999997</v>
      </c>
      <c r="Q2818">
        <v>-0.354940863</v>
      </c>
      <c r="S2818" s="13">
        <v>-1.5072114889999999</v>
      </c>
      <c r="T2818">
        <v>-0.66097666300000002</v>
      </c>
      <c r="U2818">
        <v>-0.24777145</v>
      </c>
    </row>
    <row r="2819" spans="1:21" x14ac:dyDescent="0.2">
      <c r="A2819" t="s">
        <v>846</v>
      </c>
      <c r="B2819">
        <v>492000</v>
      </c>
      <c r="C2819" t="s">
        <v>6927</v>
      </c>
      <c r="D2819" t="s">
        <v>847</v>
      </c>
      <c r="E2819" t="s">
        <v>6911</v>
      </c>
      <c r="F2819">
        <v>9</v>
      </c>
      <c r="G2819">
        <v>12</v>
      </c>
      <c r="H2819" t="s">
        <v>12628</v>
      </c>
      <c r="J2819" t="s">
        <v>12629</v>
      </c>
      <c r="M2819" t="s">
        <v>12630</v>
      </c>
      <c r="N2819">
        <v>1.982575982</v>
      </c>
      <c r="O2819">
        <v>3.4571926419999999</v>
      </c>
      <c r="P2819">
        <v>-0.114791479</v>
      </c>
      <c r="Q2819">
        <v>1.868949E-3</v>
      </c>
      <c r="S2819" s="13">
        <v>-1.507221865</v>
      </c>
      <c r="T2819">
        <v>-0.661022004</v>
      </c>
      <c r="U2819">
        <v>-0.32154255399999998</v>
      </c>
    </row>
    <row r="2820" spans="1:21" x14ac:dyDescent="0.2">
      <c r="A2820" t="s">
        <v>1954</v>
      </c>
      <c r="B2820">
        <v>91040</v>
      </c>
      <c r="C2820" t="s">
        <v>6961</v>
      </c>
      <c r="D2820" t="s">
        <v>1955</v>
      </c>
      <c r="E2820" t="s">
        <v>6918</v>
      </c>
      <c r="F2820">
        <v>1</v>
      </c>
      <c r="G2820">
        <v>1</v>
      </c>
      <c r="H2820" t="s">
        <v>12631</v>
      </c>
      <c r="J2820" t="s">
        <v>6185</v>
      </c>
      <c r="M2820" t="s">
        <v>12632</v>
      </c>
      <c r="N2820">
        <v>2.7247480949999998</v>
      </c>
      <c r="O2820">
        <v>7.0822175119999997</v>
      </c>
      <c r="P2820">
        <v>0.61298291999999999</v>
      </c>
      <c r="Q2820">
        <v>0.48262032500000002</v>
      </c>
      <c r="S2820" s="13">
        <v>-1.5077261639999999</v>
      </c>
      <c r="T2820">
        <v>-0.66322567899999996</v>
      </c>
      <c r="U2820">
        <v>-0.489078921</v>
      </c>
    </row>
    <row r="2821" spans="1:21" x14ac:dyDescent="0.2">
      <c r="A2821" t="s">
        <v>157</v>
      </c>
      <c r="B2821">
        <v>496960</v>
      </c>
      <c r="C2821" t="s">
        <v>6906</v>
      </c>
      <c r="D2821" t="s">
        <v>157</v>
      </c>
      <c r="E2821" t="s">
        <v>6946</v>
      </c>
      <c r="F2821">
        <v>14</v>
      </c>
      <c r="G2821">
        <v>11</v>
      </c>
      <c r="H2821" t="s">
        <v>12633</v>
      </c>
      <c r="J2821" t="s">
        <v>12634</v>
      </c>
      <c r="M2821" t="s">
        <v>12635</v>
      </c>
      <c r="N2821">
        <v>1.813871112</v>
      </c>
      <c r="O2821">
        <v>2.6633694910000001</v>
      </c>
      <c r="P2821">
        <v>-0.29586356800000002</v>
      </c>
      <c r="Q2821">
        <v>-0.59018158399999998</v>
      </c>
      <c r="S2821" s="13">
        <v>-1.507732482</v>
      </c>
      <c r="T2821">
        <v>-0.663253286</v>
      </c>
      <c r="U2821">
        <v>-0.24863828900000001</v>
      </c>
    </row>
    <row r="2822" spans="1:21" x14ac:dyDescent="0.2">
      <c r="A2822" t="s">
        <v>165</v>
      </c>
      <c r="B2822">
        <v>496920</v>
      </c>
      <c r="C2822" t="s">
        <v>6906</v>
      </c>
      <c r="D2822" t="s">
        <v>166</v>
      </c>
      <c r="E2822" t="s">
        <v>6928</v>
      </c>
      <c r="F2822">
        <v>2</v>
      </c>
      <c r="G2822">
        <v>16</v>
      </c>
      <c r="H2822" t="s">
        <v>12636</v>
      </c>
      <c r="J2822" t="s">
        <v>4058</v>
      </c>
      <c r="M2822" t="s">
        <v>12637</v>
      </c>
      <c r="N2822">
        <v>1.813871112</v>
      </c>
      <c r="O2822">
        <v>2.6633694910000001</v>
      </c>
      <c r="P2822">
        <v>-0.29586356800000002</v>
      </c>
      <c r="Q2822">
        <v>-0.59018158399999998</v>
      </c>
      <c r="S2822" s="13">
        <v>-1.5077905119999999</v>
      </c>
      <c r="T2822">
        <v>-0.66350686299999995</v>
      </c>
      <c r="U2822">
        <v>-0.24867166399999999</v>
      </c>
    </row>
    <row r="2823" spans="1:21" x14ac:dyDescent="0.2">
      <c r="A2823" t="s">
        <v>529</v>
      </c>
      <c r="B2823">
        <v>474280</v>
      </c>
      <c r="C2823" t="s">
        <v>6938</v>
      </c>
      <c r="D2823" t="s">
        <v>529</v>
      </c>
      <c r="E2823" t="s">
        <v>6956</v>
      </c>
      <c r="F2823">
        <v>22</v>
      </c>
      <c r="G2823">
        <v>7</v>
      </c>
      <c r="H2823" t="s">
        <v>12638</v>
      </c>
      <c r="J2823" t="s">
        <v>5497</v>
      </c>
      <c r="M2823" t="s">
        <v>12639</v>
      </c>
      <c r="N2823">
        <v>2.092758737</v>
      </c>
      <c r="O2823">
        <v>5.3323610669999999</v>
      </c>
      <c r="P2823">
        <v>0.70420098600000003</v>
      </c>
      <c r="Q2823">
        <v>0.41355372699999998</v>
      </c>
      <c r="S2823" s="13">
        <v>-1.507798008</v>
      </c>
      <c r="T2823">
        <v>-0.66353961699999997</v>
      </c>
      <c r="U2823">
        <v>-0.37603971000000003</v>
      </c>
    </row>
    <row r="2824" spans="1:21" x14ac:dyDescent="0.2">
      <c r="A2824" t="s">
        <v>880</v>
      </c>
      <c r="B2824">
        <v>496680</v>
      </c>
      <c r="C2824" t="s">
        <v>6906</v>
      </c>
      <c r="D2824" t="s">
        <v>880</v>
      </c>
      <c r="E2824" t="s">
        <v>6939</v>
      </c>
      <c r="F2824">
        <v>19</v>
      </c>
      <c r="G2824">
        <v>2</v>
      </c>
      <c r="H2824" t="s">
        <v>12640</v>
      </c>
      <c r="J2824" t="s">
        <v>2983</v>
      </c>
      <c r="M2824" t="s">
        <v>12641</v>
      </c>
      <c r="N2824">
        <v>1.813871112</v>
      </c>
      <c r="O2824">
        <v>2.6633694910000001</v>
      </c>
      <c r="P2824">
        <v>-0.29586356800000002</v>
      </c>
      <c r="Q2824">
        <v>-0.59018158399999998</v>
      </c>
      <c r="S2824" s="13">
        <v>-1.5081386910000001</v>
      </c>
      <c r="T2824">
        <v>-0.66502832700000003</v>
      </c>
      <c r="U2824">
        <v>-0.248871965</v>
      </c>
    </row>
    <row r="2825" spans="1:21" x14ac:dyDescent="0.2">
      <c r="A2825" t="s">
        <v>1986</v>
      </c>
      <c r="B2825">
        <v>473600</v>
      </c>
      <c r="C2825" t="s">
        <v>6938</v>
      </c>
      <c r="D2825" t="s">
        <v>1986</v>
      </c>
      <c r="E2825" t="s">
        <v>6977</v>
      </c>
      <c r="F2825">
        <v>11</v>
      </c>
      <c r="G2825">
        <v>5</v>
      </c>
      <c r="H2825" t="s">
        <v>12642</v>
      </c>
      <c r="J2825" t="s">
        <v>12643</v>
      </c>
      <c r="M2825" t="s">
        <v>12644</v>
      </c>
      <c r="N2825">
        <v>2.092758737</v>
      </c>
      <c r="O2825">
        <v>5.3323610669999999</v>
      </c>
      <c r="P2825">
        <v>0.70420098600000003</v>
      </c>
      <c r="Q2825">
        <v>0.41355372699999998</v>
      </c>
      <c r="S2825" s="13">
        <v>-1.508381999</v>
      </c>
      <c r="T2825">
        <v>-0.66609152699999996</v>
      </c>
      <c r="U2825">
        <v>-0.37680113999999998</v>
      </c>
    </row>
    <row r="2826" spans="1:21" x14ac:dyDescent="0.2">
      <c r="A2826" t="s">
        <v>610</v>
      </c>
      <c r="B2826">
        <v>89880</v>
      </c>
      <c r="C2826" t="s">
        <v>6961</v>
      </c>
      <c r="D2826" t="s">
        <v>611</v>
      </c>
      <c r="E2826" t="s">
        <v>6974</v>
      </c>
      <c r="F2826">
        <v>9</v>
      </c>
      <c r="G2826">
        <v>15</v>
      </c>
      <c r="H2826" t="s">
        <v>12645</v>
      </c>
      <c r="J2826" t="s">
        <v>6429</v>
      </c>
      <c r="M2826" t="s">
        <v>12646</v>
      </c>
      <c r="N2826">
        <v>2.7247480949999998</v>
      </c>
      <c r="O2826">
        <v>7.0822175119999997</v>
      </c>
      <c r="P2826">
        <v>0.61298291999999999</v>
      </c>
      <c r="Q2826">
        <v>0.48262032500000002</v>
      </c>
      <c r="S2826" s="13">
        <v>-1.5086444379999999</v>
      </c>
      <c r="T2826">
        <v>-0.66723832500000002</v>
      </c>
      <c r="U2826">
        <v>-0.49076578599999998</v>
      </c>
    </row>
    <row r="2827" spans="1:21" x14ac:dyDescent="0.2">
      <c r="A2827" t="s">
        <v>741</v>
      </c>
      <c r="B2827">
        <v>428960</v>
      </c>
      <c r="C2827" t="s">
        <v>6931</v>
      </c>
      <c r="D2827" t="s">
        <v>741</v>
      </c>
      <c r="E2827" t="s">
        <v>6946</v>
      </c>
      <c r="F2827">
        <v>17</v>
      </c>
      <c r="G2827">
        <v>11</v>
      </c>
      <c r="H2827" t="s">
        <v>12647</v>
      </c>
      <c r="N2827">
        <v>1.9323965059999999</v>
      </c>
      <c r="O2827">
        <v>3.0528020530000002</v>
      </c>
      <c r="P2827">
        <v>2.6493138999999999E-2</v>
      </c>
      <c r="Q2827">
        <v>-0.38692188</v>
      </c>
      <c r="S2827" s="13">
        <v>-1.508862755</v>
      </c>
      <c r="T2827">
        <v>-0.66819232100000003</v>
      </c>
      <c r="U2827">
        <v>-0.208668572</v>
      </c>
    </row>
    <row r="2828" spans="1:21" x14ac:dyDescent="0.2">
      <c r="A2828" t="s">
        <v>1309</v>
      </c>
      <c r="B2828">
        <v>490360</v>
      </c>
      <c r="C2828" t="s">
        <v>6927</v>
      </c>
      <c r="D2828" t="s">
        <v>1309</v>
      </c>
      <c r="E2828" t="s">
        <v>6921</v>
      </c>
      <c r="F2828">
        <v>20</v>
      </c>
      <c r="G2828">
        <v>8</v>
      </c>
      <c r="H2828" t="s">
        <v>12648</v>
      </c>
      <c r="J2828" t="s">
        <v>12649</v>
      </c>
      <c r="M2828" t="s">
        <v>12650</v>
      </c>
      <c r="N2828">
        <v>1.982575982</v>
      </c>
      <c r="O2828">
        <v>3.4571926419999999</v>
      </c>
      <c r="P2828">
        <v>-0.114791479</v>
      </c>
      <c r="Q2828">
        <v>1.868949E-3</v>
      </c>
      <c r="S2828" s="13">
        <v>-1.508923569</v>
      </c>
      <c r="T2828">
        <v>-0.66845806100000005</v>
      </c>
      <c r="U2828">
        <v>-0.32316397899999999</v>
      </c>
    </row>
    <row r="2829" spans="1:21" x14ac:dyDescent="0.2">
      <c r="A2829" t="s">
        <v>2960</v>
      </c>
      <c r="B2829">
        <v>472800</v>
      </c>
      <c r="C2829" t="s">
        <v>6938</v>
      </c>
      <c r="D2829" t="s">
        <v>2961</v>
      </c>
      <c r="E2829" t="s">
        <v>6939</v>
      </c>
      <c r="F2829">
        <v>7</v>
      </c>
      <c r="G2829">
        <v>2</v>
      </c>
      <c r="H2829" t="s">
        <v>12651</v>
      </c>
      <c r="J2829" t="s">
        <v>2963</v>
      </c>
      <c r="M2829" t="s">
        <v>12652</v>
      </c>
      <c r="N2829">
        <v>2.092758737</v>
      </c>
      <c r="O2829">
        <v>5.3323610669999999</v>
      </c>
      <c r="P2829">
        <v>0.70420098600000003</v>
      </c>
      <c r="Q2829">
        <v>0.41355372699999998</v>
      </c>
      <c r="S2829" s="13">
        <v>-1.509069048</v>
      </c>
      <c r="T2829">
        <v>-0.669093775</v>
      </c>
      <c r="U2829">
        <v>-0.377698651</v>
      </c>
    </row>
    <row r="2830" spans="1:21" x14ac:dyDescent="0.2">
      <c r="A2830" t="s">
        <v>438</v>
      </c>
      <c r="B2830">
        <v>472240</v>
      </c>
      <c r="C2830" t="s">
        <v>6938</v>
      </c>
      <c r="D2830" t="s">
        <v>438</v>
      </c>
      <c r="E2830" t="s">
        <v>6956</v>
      </c>
      <c r="F2830">
        <v>11</v>
      </c>
      <c r="G2830">
        <v>7</v>
      </c>
      <c r="H2830" t="s">
        <v>12653</v>
      </c>
      <c r="J2830" t="s">
        <v>4976</v>
      </c>
      <c r="M2830" t="s">
        <v>12654</v>
      </c>
      <c r="N2830">
        <v>2.092758737</v>
      </c>
      <c r="O2830">
        <v>5.3323610669999999</v>
      </c>
      <c r="P2830">
        <v>0.70420098600000003</v>
      </c>
      <c r="Q2830">
        <v>0.41355372699999998</v>
      </c>
      <c r="S2830" s="13">
        <v>-1.5095499830000001</v>
      </c>
      <c r="T2830">
        <v>-0.67119534800000002</v>
      </c>
      <c r="U2830">
        <v>-0.37832801500000002</v>
      </c>
    </row>
    <row r="2831" spans="1:21" x14ac:dyDescent="0.2">
      <c r="A2831" t="s">
        <v>225</v>
      </c>
      <c r="B2831">
        <v>489400</v>
      </c>
      <c r="C2831" t="s">
        <v>6927</v>
      </c>
      <c r="D2831" t="s">
        <v>225</v>
      </c>
      <c r="E2831" t="s">
        <v>6918</v>
      </c>
      <c r="F2831">
        <v>20</v>
      </c>
      <c r="G2831">
        <v>1</v>
      </c>
      <c r="H2831" t="s">
        <v>12655</v>
      </c>
      <c r="J2831" t="s">
        <v>12656</v>
      </c>
      <c r="M2831" t="s">
        <v>12657</v>
      </c>
      <c r="N2831">
        <v>1.982575982</v>
      </c>
      <c r="O2831">
        <v>3.4571926419999999</v>
      </c>
      <c r="P2831">
        <v>-0.114791479</v>
      </c>
      <c r="Q2831">
        <v>1.868949E-3</v>
      </c>
      <c r="S2831" s="13">
        <v>-1.5099196880000001</v>
      </c>
      <c r="T2831">
        <v>-0.67281087500000003</v>
      </c>
      <c r="U2831">
        <v>-0.32411592299999997</v>
      </c>
    </row>
    <row r="2832" spans="1:21" x14ac:dyDescent="0.2">
      <c r="A2832" t="s">
        <v>832</v>
      </c>
      <c r="B2832">
        <v>587680</v>
      </c>
      <c r="C2832" t="s">
        <v>6914</v>
      </c>
      <c r="D2832" t="s">
        <v>832</v>
      </c>
      <c r="E2832" t="s">
        <v>6924</v>
      </c>
      <c r="F2832">
        <v>21</v>
      </c>
      <c r="G2832">
        <v>6</v>
      </c>
      <c r="H2832" t="s">
        <v>12658</v>
      </c>
      <c r="J2832" t="s">
        <v>834</v>
      </c>
      <c r="M2832" t="s">
        <v>12659</v>
      </c>
      <c r="N2832">
        <v>1.8217074179999999</v>
      </c>
      <c r="O2832">
        <v>4.1700741289999996</v>
      </c>
      <c r="P2832">
        <v>0.189705977</v>
      </c>
      <c r="Q2832">
        <v>-1.7194070999999998E-2</v>
      </c>
      <c r="S2832" s="13">
        <v>-1.51013928</v>
      </c>
      <c r="T2832">
        <v>-0.67377044100000005</v>
      </c>
      <c r="U2832">
        <v>-0.30647174199999999</v>
      </c>
    </row>
    <row r="2833" spans="1:21" x14ac:dyDescent="0.2">
      <c r="A2833" t="s">
        <v>1126</v>
      </c>
      <c r="B2833">
        <v>489160</v>
      </c>
      <c r="C2833" t="s">
        <v>6927</v>
      </c>
      <c r="D2833" t="s">
        <v>1126</v>
      </c>
      <c r="E2833" t="s">
        <v>6970</v>
      </c>
      <c r="F2833">
        <v>10</v>
      </c>
      <c r="G2833">
        <v>14</v>
      </c>
      <c r="H2833" t="s">
        <v>12660</v>
      </c>
      <c r="J2833" t="s">
        <v>12661</v>
      </c>
      <c r="M2833" t="s">
        <v>12662</v>
      </c>
      <c r="N2833">
        <v>1.982575982</v>
      </c>
      <c r="O2833">
        <v>3.4571926419999999</v>
      </c>
      <c r="P2833">
        <v>-0.114791479</v>
      </c>
      <c r="Q2833">
        <v>1.868949E-3</v>
      </c>
      <c r="S2833" s="13">
        <v>-1.5101687180000001</v>
      </c>
      <c r="T2833">
        <v>-0.67389907800000004</v>
      </c>
      <c r="U2833">
        <v>-0.32435423600000002</v>
      </c>
    </row>
    <row r="2834" spans="1:21" x14ac:dyDescent="0.2">
      <c r="A2834" t="s">
        <v>924</v>
      </c>
      <c r="B2834">
        <v>427760</v>
      </c>
      <c r="C2834" t="s">
        <v>6931</v>
      </c>
      <c r="D2834" t="s">
        <v>924</v>
      </c>
      <c r="E2834" t="s">
        <v>7115</v>
      </c>
      <c r="F2834">
        <v>17</v>
      </c>
      <c r="G2834">
        <v>10</v>
      </c>
      <c r="H2834" t="s">
        <v>12663</v>
      </c>
      <c r="N2834">
        <v>1.9323965059999999</v>
      </c>
      <c r="O2834">
        <v>3.0528020530000002</v>
      </c>
      <c r="P2834">
        <v>2.6493138999999999E-2</v>
      </c>
      <c r="Q2834">
        <v>-0.38692188</v>
      </c>
      <c r="S2834" s="13">
        <v>-1.5104395239999999</v>
      </c>
      <c r="T2834">
        <v>-0.67508244100000003</v>
      </c>
      <c r="U2834">
        <v>-0.20958270000000001</v>
      </c>
    </row>
    <row r="2835" spans="1:21" x14ac:dyDescent="0.2">
      <c r="A2835" t="s">
        <v>1736</v>
      </c>
      <c r="B2835">
        <v>495080</v>
      </c>
      <c r="C2835" t="s">
        <v>6906</v>
      </c>
      <c r="D2835" t="s">
        <v>1736</v>
      </c>
      <c r="E2835" t="s">
        <v>6924</v>
      </c>
      <c r="F2835">
        <v>16</v>
      </c>
      <c r="G2835">
        <v>6</v>
      </c>
      <c r="H2835" t="s">
        <v>12664</v>
      </c>
      <c r="J2835" t="s">
        <v>4268</v>
      </c>
      <c r="M2835" t="s">
        <v>12665</v>
      </c>
      <c r="N2835">
        <v>1.813871112</v>
      </c>
      <c r="O2835">
        <v>2.6633694910000001</v>
      </c>
      <c r="P2835">
        <v>-0.29586356800000002</v>
      </c>
      <c r="Q2835">
        <v>-0.59018158399999998</v>
      </c>
      <c r="S2835" s="13">
        <v>-1.5104598869999999</v>
      </c>
      <c r="T2835">
        <v>-0.67517141999999997</v>
      </c>
      <c r="U2835">
        <v>-0.25020967199999999</v>
      </c>
    </row>
    <row r="2836" spans="1:21" x14ac:dyDescent="0.2">
      <c r="A2836" t="s">
        <v>1882</v>
      </c>
      <c r="B2836">
        <v>553400</v>
      </c>
      <c r="C2836" t="s">
        <v>6953</v>
      </c>
      <c r="D2836" t="s">
        <v>1882</v>
      </c>
      <c r="E2836" t="s">
        <v>7006</v>
      </c>
      <c r="F2836">
        <v>20</v>
      </c>
      <c r="G2836">
        <v>3</v>
      </c>
      <c r="H2836" t="s">
        <v>12666</v>
      </c>
      <c r="J2836" t="s">
        <v>2724</v>
      </c>
      <c r="M2836" t="s">
        <v>12667</v>
      </c>
      <c r="N2836">
        <v>1.921480887</v>
      </c>
      <c r="O2836">
        <v>3.0856645180000002</v>
      </c>
      <c r="P2836">
        <v>0.44706724399999997</v>
      </c>
      <c r="Q2836">
        <v>-0.354940863</v>
      </c>
      <c r="S2836" s="13">
        <v>-1.5109884410000001</v>
      </c>
      <c r="T2836">
        <v>-0.67748108100000004</v>
      </c>
      <c r="U2836">
        <v>-0.25081298699999999</v>
      </c>
    </row>
    <row r="2837" spans="1:21" x14ac:dyDescent="0.2">
      <c r="A2837" t="s">
        <v>859</v>
      </c>
      <c r="B2837">
        <v>466120</v>
      </c>
      <c r="C2837" t="s">
        <v>6910</v>
      </c>
      <c r="D2837" t="s">
        <v>859</v>
      </c>
      <c r="E2837" t="s">
        <v>7115</v>
      </c>
      <c r="F2837">
        <v>19</v>
      </c>
      <c r="G2837">
        <v>10</v>
      </c>
      <c r="H2837" t="s">
        <v>12668</v>
      </c>
      <c r="J2837" t="s">
        <v>3488</v>
      </c>
      <c r="M2837" t="s">
        <v>12669</v>
      </c>
      <c r="N2837">
        <v>1.9874741039999999</v>
      </c>
      <c r="O2837">
        <v>3.7453511220000002</v>
      </c>
      <c r="P2837">
        <v>0.451009722</v>
      </c>
      <c r="Q2837">
        <v>-0.102386592</v>
      </c>
      <c r="S2837" s="13">
        <v>-1.5111892929999999</v>
      </c>
      <c r="T2837">
        <v>-0.67835875700000003</v>
      </c>
      <c r="U2837">
        <v>-0.24104588199999999</v>
      </c>
    </row>
    <row r="2838" spans="1:21" x14ac:dyDescent="0.2">
      <c r="A2838" t="s">
        <v>139</v>
      </c>
      <c r="B2838">
        <v>586800</v>
      </c>
      <c r="C2838" t="s">
        <v>6914</v>
      </c>
      <c r="D2838" t="s">
        <v>139</v>
      </c>
      <c r="E2838" t="s">
        <v>6939</v>
      </c>
      <c r="F2838">
        <v>17</v>
      </c>
      <c r="G2838">
        <v>2</v>
      </c>
      <c r="H2838" t="s">
        <v>12670</v>
      </c>
      <c r="J2838" t="s">
        <v>1558</v>
      </c>
      <c r="M2838" t="s">
        <v>12671</v>
      </c>
      <c r="N2838">
        <v>1.8217074179999999</v>
      </c>
      <c r="O2838">
        <v>4.1700741289999996</v>
      </c>
      <c r="P2838">
        <v>0.189705977</v>
      </c>
      <c r="Q2838">
        <v>-1.7194070999999998E-2</v>
      </c>
      <c r="S2838" s="13">
        <v>-1.51119771</v>
      </c>
      <c r="T2838">
        <v>-0.67839553900000005</v>
      </c>
      <c r="U2838">
        <v>-0.30731134599999999</v>
      </c>
    </row>
    <row r="2839" spans="1:21" x14ac:dyDescent="0.2">
      <c r="A2839" t="s">
        <v>397</v>
      </c>
      <c r="B2839">
        <v>586720</v>
      </c>
      <c r="C2839" t="s">
        <v>6914</v>
      </c>
      <c r="D2839" t="s">
        <v>397</v>
      </c>
      <c r="E2839" t="s">
        <v>7006</v>
      </c>
      <c r="F2839">
        <v>10</v>
      </c>
      <c r="G2839">
        <v>3</v>
      </c>
      <c r="H2839" t="s">
        <v>12672</v>
      </c>
      <c r="J2839" t="s">
        <v>2870</v>
      </c>
      <c r="M2839" t="s">
        <v>12673</v>
      </c>
      <c r="N2839">
        <v>1.8217074179999999</v>
      </c>
      <c r="O2839">
        <v>4.1700741289999996</v>
      </c>
      <c r="P2839">
        <v>0.189705977</v>
      </c>
      <c r="Q2839">
        <v>-1.7194070999999998E-2</v>
      </c>
      <c r="S2839" s="13">
        <v>-1.511293931</v>
      </c>
      <c r="T2839">
        <v>-0.67881600200000003</v>
      </c>
      <c r="U2839">
        <v>-0.30738775400000001</v>
      </c>
    </row>
    <row r="2840" spans="1:21" x14ac:dyDescent="0.2">
      <c r="A2840" t="s">
        <v>435</v>
      </c>
      <c r="B2840">
        <v>426840</v>
      </c>
      <c r="C2840" t="s">
        <v>6931</v>
      </c>
      <c r="D2840" t="s">
        <v>435</v>
      </c>
      <c r="E2840" t="s">
        <v>6915</v>
      </c>
      <c r="F2840">
        <v>14</v>
      </c>
      <c r="G2840">
        <v>13</v>
      </c>
      <c r="H2840" t="s">
        <v>12674</v>
      </c>
      <c r="N2840">
        <v>1.9323965059999999</v>
      </c>
      <c r="O2840">
        <v>3.0528020530000002</v>
      </c>
      <c r="P2840">
        <v>2.6493138999999999E-2</v>
      </c>
      <c r="Q2840">
        <v>-0.38692188</v>
      </c>
      <c r="S2840" s="13">
        <v>-1.5116483810000001</v>
      </c>
      <c r="T2840">
        <v>-0.68036486600000001</v>
      </c>
      <c r="U2840">
        <v>-0.210284837</v>
      </c>
    </row>
    <row r="2841" spans="1:21" x14ac:dyDescent="0.2">
      <c r="A2841" t="s">
        <v>574</v>
      </c>
      <c r="B2841">
        <v>552680</v>
      </c>
      <c r="C2841" t="s">
        <v>6953</v>
      </c>
      <c r="D2841" t="s">
        <v>574</v>
      </c>
      <c r="E2841" t="s">
        <v>6977</v>
      </c>
      <c r="F2841">
        <v>20</v>
      </c>
      <c r="G2841">
        <v>5</v>
      </c>
      <c r="H2841" t="s">
        <v>12675</v>
      </c>
      <c r="J2841" t="s">
        <v>1400</v>
      </c>
      <c r="M2841" t="s">
        <v>12676</v>
      </c>
      <c r="N2841">
        <v>1.921480887</v>
      </c>
      <c r="O2841">
        <v>3.0856645180000002</v>
      </c>
      <c r="P2841">
        <v>0.44706724399999997</v>
      </c>
      <c r="Q2841">
        <v>-0.354940863</v>
      </c>
      <c r="S2841" s="13">
        <v>-1.5117355299999999</v>
      </c>
      <c r="T2841">
        <v>-0.68074569100000004</v>
      </c>
      <c r="U2841">
        <v>-0.25141714100000001</v>
      </c>
    </row>
    <row r="2842" spans="1:21" x14ac:dyDescent="0.2">
      <c r="A2842" t="s">
        <v>796</v>
      </c>
      <c r="B2842">
        <v>85840</v>
      </c>
      <c r="C2842" t="s">
        <v>6961</v>
      </c>
      <c r="D2842" t="s">
        <v>796</v>
      </c>
      <c r="E2842" t="s">
        <v>6918</v>
      </c>
      <c r="F2842">
        <v>13</v>
      </c>
      <c r="G2842">
        <v>1</v>
      </c>
      <c r="H2842" t="s">
        <v>12677</v>
      </c>
      <c r="J2842" t="s">
        <v>6593</v>
      </c>
      <c r="M2842" t="s">
        <v>12678</v>
      </c>
      <c r="N2842">
        <v>2.7247480949999998</v>
      </c>
      <c r="O2842">
        <v>7.0822175119999997</v>
      </c>
      <c r="P2842">
        <v>0.61298291999999999</v>
      </c>
      <c r="Q2842">
        <v>0.48262032500000002</v>
      </c>
      <c r="S2842" s="13">
        <v>-1.5118425639999999</v>
      </c>
      <c r="T2842">
        <v>-0.68121340200000002</v>
      </c>
      <c r="U2842">
        <v>-0.49669240999999997</v>
      </c>
    </row>
    <row r="2843" spans="1:21" x14ac:dyDescent="0.2">
      <c r="A2843" t="s">
        <v>956</v>
      </c>
      <c r="B2843">
        <v>552480</v>
      </c>
      <c r="C2843" t="s">
        <v>6953</v>
      </c>
      <c r="D2843" t="s">
        <v>956</v>
      </c>
      <c r="E2843" t="s">
        <v>6974</v>
      </c>
      <c r="F2843">
        <v>15</v>
      </c>
      <c r="G2843">
        <v>15</v>
      </c>
      <c r="H2843" t="s">
        <v>12679</v>
      </c>
      <c r="J2843" t="s">
        <v>4606</v>
      </c>
      <c r="M2843" t="s">
        <v>12680</v>
      </c>
      <c r="N2843">
        <v>1.921480887</v>
      </c>
      <c r="O2843">
        <v>3.0856645180000002</v>
      </c>
      <c r="P2843">
        <v>0.44706724399999997</v>
      </c>
      <c r="Q2843">
        <v>-0.354940863</v>
      </c>
      <c r="S2843" s="13">
        <v>-1.5119430549999999</v>
      </c>
      <c r="T2843">
        <v>-0.68165252700000001</v>
      </c>
      <c r="U2843">
        <v>-0.25158511099999997</v>
      </c>
    </row>
    <row r="2844" spans="1:21" x14ac:dyDescent="0.2">
      <c r="A2844" t="s">
        <v>516</v>
      </c>
      <c r="B2844">
        <v>552240</v>
      </c>
      <c r="C2844" t="s">
        <v>6953</v>
      </c>
      <c r="D2844" t="s">
        <v>516</v>
      </c>
      <c r="E2844" t="s">
        <v>6939</v>
      </c>
      <c r="F2844">
        <v>13</v>
      </c>
      <c r="G2844">
        <v>2</v>
      </c>
      <c r="H2844" t="s">
        <v>12681</v>
      </c>
      <c r="J2844" t="s">
        <v>2776</v>
      </c>
      <c r="M2844" t="s">
        <v>12682</v>
      </c>
      <c r="N2844">
        <v>1.921480887</v>
      </c>
      <c r="O2844">
        <v>3.0856645180000002</v>
      </c>
      <c r="P2844">
        <v>0.44706724399999997</v>
      </c>
      <c r="Q2844">
        <v>-0.354940863</v>
      </c>
      <c r="S2844" s="13">
        <v>-1.5121920849999999</v>
      </c>
      <c r="T2844">
        <v>-0.68274073000000002</v>
      </c>
      <c r="U2844">
        <v>-0.25178676</v>
      </c>
    </row>
    <row r="2845" spans="1:21" x14ac:dyDescent="0.2">
      <c r="A2845" t="s">
        <v>277</v>
      </c>
      <c r="B2845">
        <v>426360</v>
      </c>
      <c r="C2845" t="s">
        <v>6931</v>
      </c>
      <c r="D2845" t="s">
        <v>277</v>
      </c>
      <c r="E2845" t="s">
        <v>7085</v>
      </c>
      <c r="F2845">
        <v>22</v>
      </c>
      <c r="G2845">
        <v>9</v>
      </c>
      <c r="H2845" t="s">
        <v>12683</v>
      </c>
      <c r="N2845">
        <v>1.9323965059999999</v>
      </c>
      <c r="O2845">
        <v>3.0528020530000002</v>
      </c>
      <c r="P2845">
        <v>2.6493138999999999E-2</v>
      </c>
      <c r="Q2845">
        <v>-0.38692188</v>
      </c>
      <c r="S2845" s="13">
        <v>-1.5122790880000001</v>
      </c>
      <c r="T2845">
        <v>-0.68312091399999997</v>
      </c>
      <c r="U2845">
        <v>-0.21065162000000001</v>
      </c>
    </row>
    <row r="2846" spans="1:21" x14ac:dyDescent="0.2">
      <c r="A2846" t="s">
        <v>1739</v>
      </c>
      <c r="B2846">
        <v>464920</v>
      </c>
      <c r="C2846" t="s">
        <v>6910</v>
      </c>
      <c r="D2846" t="s">
        <v>1739</v>
      </c>
      <c r="E2846" t="s">
        <v>7085</v>
      </c>
      <c r="F2846">
        <v>10</v>
      </c>
      <c r="G2846">
        <v>9</v>
      </c>
      <c r="H2846" t="s">
        <v>12684</v>
      </c>
      <c r="J2846" t="s">
        <v>5951</v>
      </c>
      <c r="M2846" t="s">
        <v>12685</v>
      </c>
      <c r="N2846">
        <v>1.9874741039999999</v>
      </c>
      <c r="O2846">
        <v>3.7453511220000002</v>
      </c>
      <c r="P2846">
        <v>0.451009722</v>
      </c>
      <c r="Q2846">
        <v>-0.102386592</v>
      </c>
      <c r="S2846" s="13">
        <v>-1.512480365</v>
      </c>
      <c r="T2846">
        <v>-0.68400044800000004</v>
      </c>
      <c r="U2846">
        <v>-0.24203084499999999</v>
      </c>
    </row>
    <row r="2847" spans="1:21" x14ac:dyDescent="0.2">
      <c r="A2847" t="s">
        <v>1321</v>
      </c>
      <c r="B2847">
        <v>486560</v>
      </c>
      <c r="C2847" t="s">
        <v>6927</v>
      </c>
      <c r="D2847" t="s">
        <v>1321</v>
      </c>
      <c r="E2847" t="s">
        <v>7115</v>
      </c>
      <c r="F2847">
        <v>15</v>
      </c>
      <c r="G2847">
        <v>10</v>
      </c>
      <c r="H2847" t="s">
        <v>12686</v>
      </c>
      <c r="J2847" t="s">
        <v>12687</v>
      </c>
      <c r="M2847" t="s">
        <v>12688</v>
      </c>
      <c r="N2847">
        <v>1.982575982</v>
      </c>
      <c r="O2847">
        <v>3.4571926419999999</v>
      </c>
      <c r="P2847">
        <v>-0.114791479</v>
      </c>
      <c r="Q2847">
        <v>1.868949E-3</v>
      </c>
      <c r="S2847" s="13">
        <v>-1.512866541</v>
      </c>
      <c r="T2847">
        <v>-0.68568794799999999</v>
      </c>
      <c r="U2847">
        <v>-0.32694436999999998</v>
      </c>
    </row>
    <row r="2848" spans="1:21" x14ac:dyDescent="0.2">
      <c r="A2848" t="s">
        <v>1318</v>
      </c>
      <c r="B2848">
        <v>411920</v>
      </c>
      <c r="C2848" t="s">
        <v>6942</v>
      </c>
      <c r="D2848" t="s">
        <v>1318</v>
      </c>
      <c r="E2848" t="s">
        <v>6946</v>
      </c>
      <c r="F2848">
        <v>20</v>
      </c>
      <c r="G2848">
        <v>11</v>
      </c>
      <c r="H2848" t="s">
        <v>12689</v>
      </c>
      <c r="J2848" t="s">
        <v>4750</v>
      </c>
      <c r="M2848" t="s">
        <v>12690</v>
      </c>
      <c r="N2848">
        <v>2.0902262079999998</v>
      </c>
      <c r="O2848">
        <v>4.2704203920000001</v>
      </c>
      <c r="P2848">
        <v>0.23425843900000001</v>
      </c>
      <c r="Q2848">
        <v>1.6181978999999999E-2</v>
      </c>
      <c r="S2848" s="13">
        <v>-1.5129458410000001</v>
      </c>
      <c r="T2848">
        <v>-0.68603447399999995</v>
      </c>
      <c r="U2848">
        <v>-0.37586074400000002</v>
      </c>
    </row>
    <row r="2849" spans="1:21" x14ac:dyDescent="0.2">
      <c r="A2849" t="s">
        <v>1335</v>
      </c>
      <c r="B2849">
        <v>411840</v>
      </c>
      <c r="C2849" t="s">
        <v>6942</v>
      </c>
      <c r="D2849" t="s">
        <v>1335</v>
      </c>
      <c r="E2849" t="s">
        <v>6915</v>
      </c>
      <c r="F2849">
        <v>12</v>
      </c>
      <c r="G2849">
        <v>13</v>
      </c>
      <c r="H2849" t="s">
        <v>12691</v>
      </c>
      <c r="J2849" t="s">
        <v>4746</v>
      </c>
      <c r="M2849" t="s">
        <v>12692</v>
      </c>
      <c r="N2849">
        <v>2.0902262079999998</v>
      </c>
      <c r="O2849">
        <v>4.2704203920000001</v>
      </c>
      <c r="P2849">
        <v>0.23425843900000001</v>
      </c>
      <c r="Q2849">
        <v>1.6181978999999999E-2</v>
      </c>
      <c r="S2849" s="13">
        <v>-1.513024361</v>
      </c>
      <c r="T2849">
        <v>-0.68637758400000004</v>
      </c>
      <c r="U2849">
        <v>-0.375950218</v>
      </c>
    </row>
    <row r="2850" spans="1:21" x14ac:dyDescent="0.2">
      <c r="A2850" t="s">
        <v>172</v>
      </c>
      <c r="B2850">
        <v>551000</v>
      </c>
      <c r="C2850" t="s">
        <v>6953</v>
      </c>
      <c r="D2850" t="s">
        <v>172</v>
      </c>
      <c r="E2850" t="s">
        <v>7006</v>
      </c>
      <c r="F2850">
        <v>11</v>
      </c>
      <c r="G2850">
        <v>3</v>
      </c>
      <c r="H2850" t="s">
        <v>12693</v>
      </c>
      <c r="J2850" t="s">
        <v>1154</v>
      </c>
      <c r="M2850" t="s">
        <v>12694</v>
      </c>
      <c r="N2850">
        <v>1.921480887</v>
      </c>
      <c r="O2850">
        <v>3.0856645180000002</v>
      </c>
      <c r="P2850">
        <v>0.44706724399999997</v>
      </c>
      <c r="Q2850">
        <v>-0.354940863</v>
      </c>
      <c r="S2850" s="13">
        <v>-1.513478739</v>
      </c>
      <c r="T2850">
        <v>-0.68836311500000003</v>
      </c>
      <c r="U2850">
        <v>-0.25283011100000002</v>
      </c>
    </row>
    <row r="2851" spans="1:21" x14ac:dyDescent="0.2">
      <c r="A2851" t="s">
        <v>482</v>
      </c>
      <c r="B2851">
        <v>425240</v>
      </c>
      <c r="C2851" t="s">
        <v>6931</v>
      </c>
      <c r="D2851" t="s">
        <v>482</v>
      </c>
      <c r="E2851" t="s">
        <v>6946</v>
      </c>
      <c r="F2851">
        <v>15</v>
      </c>
      <c r="G2851">
        <v>11</v>
      </c>
      <c r="H2851" t="s">
        <v>12695</v>
      </c>
      <c r="N2851">
        <v>1.9323965059999999</v>
      </c>
      <c r="O2851">
        <v>3.0528020530000002</v>
      </c>
      <c r="P2851">
        <v>2.6493138999999999E-2</v>
      </c>
      <c r="Q2851">
        <v>-0.38692188</v>
      </c>
      <c r="S2851" s="13">
        <v>-1.513750739</v>
      </c>
      <c r="T2851">
        <v>-0.68955169299999997</v>
      </c>
      <c r="U2851">
        <v>-0.21150865499999999</v>
      </c>
    </row>
    <row r="2852" spans="1:21" x14ac:dyDescent="0.2">
      <c r="A2852" t="s">
        <v>2319</v>
      </c>
      <c r="B2852">
        <v>550640</v>
      </c>
      <c r="C2852" t="s">
        <v>6953</v>
      </c>
      <c r="D2852" t="s">
        <v>2320</v>
      </c>
      <c r="E2852" t="s">
        <v>6915</v>
      </c>
      <c r="F2852">
        <v>8</v>
      </c>
      <c r="G2852">
        <v>13</v>
      </c>
      <c r="H2852" t="s">
        <v>12696</v>
      </c>
      <c r="J2852" t="s">
        <v>2322</v>
      </c>
      <c r="M2852" t="s">
        <v>12697</v>
      </c>
      <c r="N2852">
        <v>1.921480887</v>
      </c>
      <c r="O2852">
        <v>3.0856645180000002</v>
      </c>
      <c r="P2852">
        <v>0.44706724399999997</v>
      </c>
      <c r="Q2852">
        <v>-0.354940863</v>
      </c>
      <c r="S2852" s="13">
        <v>-1.5138522839999999</v>
      </c>
      <c r="T2852">
        <v>-0.68999542000000003</v>
      </c>
      <c r="U2852">
        <v>-0.25313348899999999</v>
      </c>
    </row>
    <row r="2853" spans="1:21" x14ac:dyDescent="0.2">
      <c r="A2853" t="s">
        <v>2224</v>
      </c>
      <c r="B2853">
        <v>550080</v>
      </c>
      <c r="C2853" t="s">
        <v>6953</v>
      </c>
      <c r="D2853" t="s">
        <v>2224</v>
      </c>
      <c r="E2853" t="s">
        <v>6974</v>
      </c>
      <c r="F2853">
        <v>18</v>
      </c>
      <c r="G2853">
        <v>15</v>
      </c>
      <c r="H2853" t="s">
        <v>12698</v>
      </c>
      <c r="J2853" t="s">
        <v>2226</v>
      </c>
      <c r="M2853" t="s">
        <v>12699</v>
      </c>
      <c r="N2853">
        <v>1.921480887</v>
      </c>
      <c r="O2853">
        <v>3.0856645180000002</v>
      </c>
      <c r="P2853">
        <v>0.44706724399999997</v>
      </c>
      <c r="Q2853">
        <v>-0.354940863</v>
      </c>
      <c r="S2853" s="13">
        <v>-1.514433353</v>
      </c>
      <c r="T2853">
        <v>-0.69253456099999999</v>
      </c>
      <c r="U2853">
        <v>-0.253605833</v>
      </c>
    </row>
    <row r="2854" spans="1:21" x14ac:dyDescent="0.2">
      <c r="A2854" t="s">
        <v>995</v>
      </c>
      <c r="B2854">
        <v>410400</v>
      </c>
      <c r="C2854" t="s">
        <v>6942</v>
      </c>
      <c r="D2854" t="s">
        <v>995</v>
      </c>
      <c r="E2854" t="s">
        <v>6907</v>
      </c>
      <c r="F2854">
        <v>20</v>
      </c>
      <c r="G2854">
        <v>4</v>
      </c>
      <c r="H2854" t="s">
        <v>12700</v>
      </c>
      <c r="J2854" t="s">
        <v>4934</v>
      </c>
      <c r="M2854" t="s">
        <v>12701</v>
      </c>
      <c r="N2854">
        <v>2.0902262079999998</v>
      </c>
      <c r="O2854">
        <v>4.2704203920000001</v>
      </c>
      <c r="P2854">
        <v>0.23425843900000001</v>
      </c>
      <c r="Q2854">
        <v>1.6181978999999999E-2</v>
      </c>
      <c r="S2854" s="13">
        <v>-1.514437705</v>
      </c>
      <c r="T2854">
        <v>-0.692553576</v>
      </c>
      <c r="U2854">
        <v>-0.377563906</v>
      </c>
    </row>
    <row r="2855" spans="1:21" x14ac:dyDescent="0.2">
      <c r="A2855" t="s">
        <v>951</v>
      </c>
      <c r="B2855">
        <v>492280</v>
      </c>
      <c r="C2855" t="s">
        <v>6906</v>
      </c>
      <c r="D2855" t="s">
        <v>951</v>
      </c>
      <c r="E2855" t="s">
        <v>6970</v>
      </c>
      <c r="F2855">
        <v>16</v>
      </c>
      <c r="G2855">
        <v>14</v>
      </c>
      <c r="H2855" t="s">
        <v>12702</v>
      </c>
      <c r="J2855" t="s">
        <v>2014</v>
      </c>
      <c r="M2855" t="s">
        <v>12703</v>
      </c>
      <c r="N2855">
        <v>1.813871112</v>
      </c>
      <c r="O2855">
        <v>2.6633694910000001</v>
      </c>
      <c r="P2855">
        <v>-0.29586356800000002</v>
      </c>
      <c r="Q2855">
        <v>-0.59018158399999998</v>
      </c>
      <c r="S2855" s="13">
        <v>-1.514521979</v>
      </c>
      <c r="T2855">
        <v>-0.69292183399999996</v>
      </c>
      <c r="U2855">
        <v>-0.25256061899999999</v>
      </c>
    </row>
    <row r="2856" spans="1:21" x14ac:dyDescent="0.2">
      <c r="A2856" t="s">
        <v>632</v>
      </c>
      <c r="B2856">
        <v>484960</v>
      </c>
      <c r="C2856" t="s">
        <v>6927</v>
      </c>
      <c r="D2856" t="s">
        <v>632</v>
      </c>
      <c r="E2856" t="s">
        <v>6924</v>
      </c>
      <c r="F2856">
        <v>18</v>
      </c>
      <c r="G2856">
        <v>6</v>
      </c>
      <c r="H2856" t="s">
        <v>12704</v>
      </c>
      <c r="J2856" t="s">
        <v>12705</v>
      </c>
      <c r="M2856" t="s">
        <v>12706</v>
      </c>
      <c r="N2856">
        <v>1.982575982</v>
      </c>
      <c r="O2856">
        <v>3.4571926419999999</v>
      </c>
      <c r="P2856">
        <v>-0.114791479</v>
      </c>
      <c r="Q2856">
        <v>1.868949E-3</v>
      </c>
      <c r="S2856" s="13">
        <v>-1.51452674</v>
      </c>
      <c r="T2856">
        <v>-0.69294263700000003</v>
      </c>
      <c r="U2856">
        <v>-0.32854601100000003</v>
      </c>
    </row>
    <row r="2857" spans="1:21" x14ac:dyDescent="0.2">
      <c r="A2857" t="s">
        <v>519</v>
      </c>
      <c r="B2857">
        <v>321640</v>
      </c>
      <c r="C2857" t="s">
        <v>6945</v>
      </c>
      <c r="D2857" t="s">
        <v>519</v>
      </c>
      <c r="E2857" t="s">
        <v>6956</v>
      </c>
      <c r="F2857">
        <v>18</v>
      </c>
      <c r="G2857">
        <v>7</v>
      </c>
      <c r="H2857" t="s">
        <v>12707</v>
      </c>
      <c r="J2857" t="s">
        <v>5839</v>
      </c>
      <c r="M2857" t="s">
        <v>12708</v>
      </c>
      <c r="N2857">
        <v>2.2220813349999999</v>
      </c>
      <c r="O2857">
        <v>6.5440947090000003</v>
      </c>
      <c r="P2857">
        <v>0.58228215500000002</v>
      </c>
      <c r="Q2857">
        <v>0.35188233000000002</v>
      </c>
      <c r="S2857" s="13">
        <v>-1.514893697</v>
      </c>
      <c r="T2857">
        <v>-0.69454615900000005</v>
      </c>
      <c r="U2857">
        <v>-0.398234266</v>
      </c>
    </row>
    <row r="2858" spans="1:21" x14ac:dyDescent="0.2">
      <c r="A2858" t="s">
        <v>1544</v>
      </c>
      <c r="B2858">
        <v>424080</v>
      </c>
      <c r="C2858" t="s">
        <v>6931</v>
      </c>
      <c r="D2858" t="s">
        <v>1545</v>
      </c>
      <c r="E2858" t="s">
        <v>6924</v>
      </c>
      <c r="F2858">
        <v>6</v>
      </c>
      <c r="G2858">
        <v>6</v>
      </c>
      <c r="H2858" t="s">
        <v>12709</v>
      </c>
      <c r="N2858">
        <v>1.9323965059999999</v>
      </c>
      <c r="O2858">
        <v>3.0528020530000002</v>
      </c>
      <c r="P2858">
        <v>2.6493138999999999E-2</v>
      </c>
      <c r="Q2858">
        <v>-0.38692188</v>
      </c>
      <c r="S2858" s="13">
        <v>-1.5152749489999999</v>
      </c>
      <c r="T2858">
        <v>-0.69621214200000003</v>
      </c>
      <c r="U2858">
        <v>-0.21239808399999999</v>
      </c>
    </row>
    <row r="2859" spans="1:21" x14ac:dyDescent="0.2">
      <c r="A2859" t="s">
        <v>116</v>
      </c>
      <c r="B2859">
        <v>409200</v>
      </c>
      <c r="C2859" t="s">
        <v>6942</v>
      </c>
      <c r="D2859" t="s">
        <v>117</v>
      </c>
      <c r="E2859" t="s">
        <v>6921</v>
      </c>
      <c r="F2859">
        <v>3</v>
      </c>
      <c r="G2859">
        <v>8</v>
      </c>
      <c r="H2859" t="s">
        <v>12710</v>
      </c>
      <c r="J2859" t="s">
        <v>2397</v>
      </c>
      <c r="M2859" t="s">
        <v>12711</v>
      </c>
      <c r="N2859">
        <v>2.0902262079999998</v>
      </c>
      <c r="O2859">
        <v>4.2704203920000001</v>
      </c>
      <c r="P2859">
        <v>0.23425843900000001</v>
      </c>
      <c r="Q2859">
        <v>1.6181978999999999E-2</v>
      </c>
      <c r="S2859" s="13">
        <v>-1.515615492</v>
      </c>
      <c r="T2859">
        <v>-0.69770023599999997</v>
      </c>
      <c r="U2859">
        <v>-0.37891324100000001</v>
      </c>
    </row>
    <row r="2860" spans="1:21" x14ac:dyDescent="0.2">
      <c r="A2860" t="s">
        <v>892</v>
      </c>
      <c r="B2860">
        <v>548680</v>
      </c>
      <c r="C2860" t="s">
        <v>6953</v>
      </c>
      <c r="D2860" t="s">
        <v>892</v>
      </c>
      <c r="E2860" t="s">
        <v>6977</v>
      </c>
      <c r="F2860">
        <v>21</v>
      </c>
      <c r="G2860">
        <v>5</v>
      </c>
      <c r="H2860" t="s">
        <v>12712</v>
      </c>
      <c r="J2860" t="s">
        <v>5505</v>
      </c>
      <c r="M2860" t="s">
        <v>12713</v>
      </c>
      <c r="N2860">
        <v>1.921480887</v>
      </c>
      <c r="O2860">
        <v>3.0856645180000002</v>
      </c>
      <c r="P2860">
        <v>0.44706724399999997</v>
      </c>
      <c r="Q2860">
        <v>-0.354940863</v>
      </c>
      <c r="S2860" s="13">
        <v>-1.5158860270000001</v>
      </c>
      <c r="T2860">
        <v>-0.69888241399999995</v>
      </c>
      <c r="U2860">
        <v>-0.25478894400000002</v>
      </c>
    </row>
    <row r="2861" spans="1:21" x14ac:dyDescent="0.2">
      <c r="A2861" t="s">
        <v>1140</v>
      </c>
      <c r="B2861">
        <v>548520</v>
      </c>
      <c r="C2861" t="s">
        <v>6953</v>
      </c>
      <c r="D2861" t="s">
        <v>1141</v>
      </c>
      <c r="E2861" t="s">
        <v>7085</v>
      </c>
      <c r="F2861">
        <v>4</v>
      </c>
      <c r="G2861">
        <v>9</v>
      </c>
      <c r="H2861" t="s">
        <v>12714</v>
      </c>
      <c r="J2861" t="s">
        <v>4062</v>
      </c>
      <c r="M2861" t="s">
        <v>12715</v>
      </c>
      <c r="N2861">
        <v>1.921480887</v>
      </c>
      <c r="O2861">
        <v>3.0856645180000002</v>
      </c>
      <c r="P2861">
        <v>0.44706724399999997</v>
      </c>
      <c r="Q2861">
        <v>-0.354940863</v>
      </c>
      <c r="S2861" s="13">
        <v>-1.5160520470000001</v>
      </c>
      <c r="T2861">
        <v>-0.69960788299999999</v>
      </c>
      <c r="U2861">
        <v>-0.25492436200000002</v>
      </c>
    </row>
    <row r="2862" spans="1:21" x14ac:dyDescent="0.2">
      <c r="A2862" t="s">
        <v>2040</v>
      </c>
      <c r="B2862">
        <v>423480</v>
      </c>
      <c r="C2862" t="s">
        <v>6931</v>
      </c>
      <c r="D2862" t="s">
        <v>2040</v>
      </c>
      <c r="E2862" t="s">
        <v>6946</v>
      </c>
      <c r="F2862">
        <v>18</v>
      </c>
      <c r="G2862">
        <v>11</v>
      </c>
      <c r="H2862" t="s">
        <v>12716</v>
      </c>
      <c r="N2862">
        <v>1.9323965059999999</v>
      </c>
      <c r="O2862">
        <v>3.0528020530000002</v>
      </c>
      <c r="P2862">
        <v>2.6493138999999999E-2</v>
      </c>
      <c r="Q2862">
        <v>-0.38692188</v>
      </c>
      <c r="S2862" s="13">
        <v>-1.516063334</v>
      </c>
      <c r="T2862">
        <v>-0.69965720200000003</v>
      </c>
      <c r="U2862">
        <v>-0.21285884999999999</v>
      </c>
    </row>
    <row r="2863" spans="1:21" x14ac:dyDescent="0.2">
      <c r="A2863" t="s">
        <v>1521</v>
      </c>
      <c r="B2863">
        <v>464320</v>
      </c>
      <c r="C2863" t="s">
        <v>6938</v>
      </c>
      <c r="D2863" t="s">
        <v>1521</v>
      </c>
      <c r="E2863" t="s">
        <v>6921</v>
      </c>
      <c r="F2863">
        <v>10</v>
      </c>
      <c r="G2863">
        <v>8</v>
      </c>
      <c r="H2863" t="s">
        <v>12717</v>
      </c>
      <c r="J2863" t="s">
        <v>3612</v>
      </c>
      <c r="M2863" t="s">
        <v>12718</v>
      </c>
      <c r="N2863">
        <v>2.092758737</v>
      </c>
      <c r="O2863">
        <v>5.3323610669999999</v>
      </c>
      <c r="P2863">
        <v>0.70420098600000003</v>
      </c>
      <c r="Q2863">
        <v>0.41355372699999998</v>
      </c>
      <c r="S2863" s="13">
        <v>-1.5163517689999999</v>
      </c>
      <c r="T2863">
        <v>-0.70091759899999995</v>
      </c>
      <c r="U2863">
        <v>-0.38732808099999999</v>
      </c>
    </row>
    <row r="2864" spans="1:21" x14ac:dyDescent="0.2">
      <c r="A2864" t="s">
        <v>1101</v>
      </c>
      <c r="B2864">
        <v>547760</v>
      </c>
      <c r="C2864" t="s">
        <v>6953</v>
      </c>
      <c r="D2864" t="s">
        <v>1101</v>
      </c>
      <c r="E2864" t="s">
        <v>6911</v>
      </c>
      <c r="F2864">
        <v>14</v>
      </c>
      <c r="G2864">
        <v>12</v>
      </c>
      <c r="H2864" t="s">
        <v>12719</v>
      </c>
      <c r="J2864" t="s">
        <v>1103</v>
      </c>
      <c r="M2864" t="s">
        <v>12720</v>
      </c>
      <c r="N2864">
        <v>1.921480887</v>
      </c>
      <c r="O2864">
        <v>3.0856645180000002</v>
      </c>
      <c r="P2864">
        <v>0.44706724399999997</v>
      </c>
      <c r="Q2864">
        <v>-0.354940863</v>
      </c>
      <c r="S2864" s="13">
        <v>-1.516840642</v>
      </c>
      <c r="T2864">
        <v>-0.70305386000000003</v>
      </c>
      <c r="U2864">
        <v>-0.25556817500000001</v>
      </c>
    </row>
    <row r="2865" spans="1:21" x14ac:dyDescent="0.2">
      <c r="A2865" t="s">
        <v>1031</v>
      </c>
      <c r="B2865">
        <v>490600</v>
      </c>
      <c r="C2865" t="s">
        <v>6906</v>
      </c>
      <c r="D2865" t="s">
        <v>1031</v>
      </c>
      <c r="E2865" t="s">
        <v>6956</v>
      </c>
      <c r="F2865">
        <v>13</v>
      </c>
      <c r="G2865">
        <v>7</v>
      </c>
      <c r="H2865" t="s">
        <v>12721</v>
      </c>
      <c r="J2865" t="s">
        <v>12722</v>
      </c>
      <c r="M2865" t="s">
        <v>12723</v>
      </c>
      <c r="N2865">
        <v>1.813871112</v>
      </c>
      <c r="O2865">
        <v>2.6633694910000001</v>
      </c>
      <c r="P2865">
        <v>-0.29586356800000002</v>
      </c>
      <c r="Q2865">
        <v>-0.59018158399999998</v>
      </c>
      <c r="S2865" s="13">
        <v>-1.516959234</v>
      </c>
      <c r="T2865">
        <v>-0.70357208199999999</v>
      </c>
      <c r="U2865">
        <v>-0.25397732000000001</v>
      </c>
    </row>
    <row r="2866" spans="1:21" x14ac:dyDescent="0.2">
      <c r="A2866" t="s">
        <v>47</v>
      </c>
      <c r="B2866">
        <v>581840</v>
      </c>
      <c r="C2866" t="s">
        <v>6914</v>
      </c>
      <c r="D2866" t="s">
        <v>48</v>
      </c>
      <c r="E2866" t="s">
        <v>6918</v>
      </c>
      <c r="F2866">
        <v>8</v>
      </c>
      <c r="G2866">
        <v>1</v>
      </c>
      <c r="H2866" t="s">
        <v>12724</v>
      </c>
      <c r="J2866" t="s">
        <v>6851</v>
      </c>
      <c r="M2866" t="s">
        <v>12725</v>
      </c>
      <c r="N2866">
        <v>1.8217074179999999</v>
      </c>
      <c r="O2866">
        <v>4.1700741289999996</v>
      </c>
      <c r="P2866">
        <v>0.189705977</v>
      </c>
      <c r="Q2866">
        <v>-1.7194070999999998E-2</v>
      </c>
      <c r="S2866" s="13">
        <v>-1.517163407</v>
      </c>
      <c r="T2866">
        <v>-0.70446427199999995</v>
      </c>
      <c r="U2866">
        <v>-0.31207425799999999</v>
      </c>
    </row>
    <row r="2867" spans="1:21" x14ac:dyDescent="0.2">
      <c r="A2867" t="s">
        <v>47</v>
      </c>
      <c r="B2867">
        <v>422440</v>
      </c>
      <c r="C2867" t="s">
        <v>6931</v>
      </c>
      <c r="D2867" t="s">
        <v>48</v>
      </c>
      <c r="E2867" t="s">
        <v>6918</v>
      </c>
      <c r="F2867">
        <v>8</v>
      </c>
      <c r="G2867">
        <v>1</v>
      </c>
      <c r="H2867" t="s">
        <v>12726</v>
      </c>
      <c r="N2867">
        <v>1.9323965059999999</v>
      </c>
      <c r="O2867">
        <v>3.0528020530000002</v>
      </c>
      <c r="P2867">
        <v>2.6493138999999999E-2</v>
      </c>
      <c r="Q2867">
        <v>-0.38692188</v>
      </c>
      <c r="S2867" s="13">
        <v>-1.5174298669999999</v>
      </c>
      <c r="T2867">
        <v>-0.70562863899999995</v>
      </c>
      <c r="U2867">
        <v>-0.21365866999999999</v>
      </c>
    </row>
    <row r="2868" spans="1:21" x14ac:dyDescent="0.2">
      <c r="A2868" t="s">
        <v>1069</v>
      </c>
      <c r="B2868">
        <v>462960</v>
      </c>
      <c r="C2868" t="s">
        <v>6938</v>
      </c>
      <c r="D2868" t="s">
        <v>1070</v>
      </c>
      <c r="E2868" t="s">
        <v>7085</v>
      </c>
      <c r="F2868">
        <v>6</v>
      </c>
      <c r="G2868">
        <v>9</v>
      </c>
      <c r="H2868" t="s">
        <v>12727</v>
      </c>
      <c r="J2868" t="s">
        <v>3518</v>
      </c>
      <c r="M2868" t="s">
        <v>12728</v>
      </c>
      <c r="N2868">
        <v>2.092758737</v>
      </c>
      <c r="O2868">
        <v>5.3323610669999999</v>
      </c>
      <c r="P2868">
        <v>0.70420098600000003</v>
      </c>
      <c r="Q2868">
        <v>0.41355372699999998</v>
      </c>
      <c r="S2868" s="13">
        <v>-1.517519753</v>
      </c>
      <c r="T2868">
        <v>-0.70602142000000001</v>
      </c>
      <c r="U2868">
        <v>-0.38889248599999998</v>
      </c>
    </row>
    <row r="2869" spans="1:21" x14ac:dyDescent="0.2">
      <c r="A2869" t="s">
        <v>1269</v>
      </c>
      <c r="B2869">
        <v>462760</v>
      </c>
      <c r="C2869" t="s">
        <v>6938</v>
      </c>
      <c r="D2869" t="s">
        <v>1269</v>
      </c>
      <c r="E2869" t="s">
        <v>6924</v>
      </c>
      <c r="F2869">
        <v>11</v>
      </c>
      <c r="G2869">
        <v>6</v>
      </c>
      <c r="H2869" t="s">
        <v>12729</v>
      </c>
      <c r="J2869" t="s">
        <v>5165</v>
      </c>
      <c r="M2869" t="s">
        <v>12730</v>
      </c>
      <c r="N2869">
        <v>2.092758737</v>
      </c>
      <c r="O2869">
        <v>5.3323610669999999</v>
      </c>
      <c r="P2869">
        <v>0.70420098600000003</v>
      </c>
      <c r="Q2869">
        <v>0.41355372699999998</v>
      </c>
      <c r="S2869" s="13">
        <v>-1.5176915150000001</v>
      </c>
      <c r="T2869">
        <v>-0.70677198200000002</v>
      </c>
      <c r="U2869">
        <v>-0.38912302199999999</v>
      </c>
    </row>
    <row r="2870" spans="1:21" x14ac:dyDescent="0.2">
      <c r="A2870" t="s">
        <v>1208</v>
      </c>
      <c r="B2870">
        <v>581400</v>
      </c>
      <c r="C2870" t="s">
        <v>6914</v>
      </c>
      <c r="D2870" t="s">
        <v>1208</v>
      </c>
      <c r="E2870" t="s">
        <v>6921</v>
      </c>
      <c r="F2870">
        <v>15</v>
      </c>
      <c r="G2870">
        <v>8</v>
      </c>
      <c r="H2870" t="s">
        <v>12731</v>
      </c>
      <c r="J2870" t="s">
        <v>4443</v>
      </c>
      <c r="M2870" t="s">
        <v>12732</v>
      </c>
      <c r="N2870">
        <v>1.8217074179999999</v>
      </c>
      <c r="O2870">
        <v>4.1700741289999996</v>
      </c>
      <c r="P2870">
        <v>0.189705977</v>
      </c>
      <c r="Q2870">
        <v>-1.7194070999999998E-2</v>
      </c>
      <c r="S2870" s="13">
        <v>-1.517692622</v>
      </c>
      <c r="T2870">
        <v>-0.70677682100000006</v>
      </c>
      <c r="U2870">
        <v>-0.31249930799999998</v>
      </c>
    </row>
    <row r="2871" spans="1:21" x14ac:dyDescent="0.2">
      <c r="A2871" t="s">
        <v>1897</v>
      </c>
      <c r="B2871">
        <v>459840</v>
      </c>
      <c r="C2871" t="s">
        <v>6910</v>
      </c>
      <c r="D2871" t="s">
        <v>1897</v>
      </c>
      <c r="E2871" t="s">
        <v>7085</v>
      </c>
      <c r="F2871">
        <v>14</v>
      </c>
      <c r="G2871">
        <v>9</v>
      </c>
      <c r="H2871" t="s">
        <v>12733</v>
      </c>
      <c r="J2871" t="s">
        <v>6125</v>
      </c>
      <c r="M2871" t="s">
        <v>12734</v>
      </c>
      <c r="N2871">
        <v>1.9874741039999999</v>
      </c>
      <c r="O2871">
        <v>3.7453511220000002</v>
      </c>
      <c r="P2871">
        <v>0.451009722</v>
      </c>
      <c r="Q2871">
        <v>-0.102386592</v>
      </c>
      <c r="S2871" s="13">
        <v>-1.5179459040000001</v>
      </c>
      <c r="T2871">
        <v>-0.70788360500000003</v>
      </c>
      <c r="U2871">
        <v>-0.24622544399999999</v>
      </c>
    </row>
    <row r="2872" spans="1:21" x14ac:dyDescent="0.2">
      <c r="A2872" t="s">
        <v>500</v>
      </c>
      <c r="B2872">
        <v>581120</v>
      </c>
      <c r="C2872" t="s">
        <v>6914</v>
      </c>
      <c r="D2872" t="s">
        <v>501</v>
      </c>
      <c r="E2872" t="s">
        <v>7115</v>
      </c>
      <c r="F2872">
        <v>9</v>
      </c>
      <c r="G2872">
        <v>10</v>
      </c>
      <c r="H2872" t="s">
        <v>12735</v>
      </c>
      <c r="J2872" t="s">
        <v>503</v>
      </c>
      <c r="M2872" t="s">
        <v>12736</v>
      </c>
      <c r="N2872">
        <v>1.8217074179999999</v>
      </c>
      <c r="O2872">
        <v>4.1700741289999996</v>
      </c>
      <c r="P2872">
        <v>0.189705977</v>
      </c>
      <c r="Q2872">
        <v>-1.7194070999999998E-2</v>
      </c>
      <c r="S2872" s="13">
        <v>-1.5180293949999999</v>
      </c>
      <c r="T2872">
        <v>-0.70824844300000001</v>
      </c>
      <c r="U2872">
        <v>-0.31277001100000001</v>
      </c>
    </row>
    <row r="2873" spans="1:21" x14ac:dyDescent="0.2">
      <c r="A2873" t="s">
        <v>320</v>
      </c>
      <c r="B2873">
        <v>489680</v>
      </c>
      <c r="C2873" t="s">
        <v>6906</v>
      </c>
      <c r="D2873" t="s">
        <v>320</v>
      </c>
      <c r="E2873" t="s">
        <v>6907</v>
      </c>
      <c r="F2873">
        <v>13</v>
      </c>
      <c r="G2873">
        <v>4</v>
      </c>
      <c r="H2873" t="s">
        <v>12737</v>
      </c>
      <c r="J2873" t="s">
        <v>12738</v>
      </c>
      <c r="M2873" t="s">
        <v>12739</v>
      </c>
      <c r="N2873">
        <v>1.813871112</v>
      </c>
      <c r="O2873">
        <v>2.6633694910000001</v>
      </c>
      <c r="P2873">
        <v>-0.29586356800000002</v>
      </c>
      <c r="Q2873">
        <v>-0.59018158399999998</v>
      </c>
      <c r="S2873" s="13">
        <v>-1.5182939209999999</v>
      </c>
      <c r="T2873">
        <v>-0.70940436100000004</v>
      </c>
      <c r="U2873">
        <v>-0.25475509600000001</v>
      </c>
    </row>
    <row r="2874" spans="1:21" x14ac:dyDescent="0.2">
      <c r="A2874" t="s">
        <v>2885</v>
      </c>
      <c r="B2874">
        <v>461800</v>
      </c>
      <c r="C2874" t="s">
        <v>6938</v>
      </c>
      <c r="D2874" t="s">
        <v>2885</v>
      </c>
      <c r="E2874" t="s">
        <v>7085</v>
      </c>
      <c r="F2874">
        <v>11</v>
      </c>
      <c r="G2874">
        <v>9</v>
      </c>
      <c r="H2874" t="s">
        <v>12740</v>
      </c>
      <c r="J2874" t="s">
        <v>2887</v>
      </c>
      <c r="M2874" t="s">
        <v>12741</v>
      </c>
      <c r="N2874">
        <v>2.092758737</v>
      </c>
      <c r="O2874">
        <v>5.3323610669999999</v>
      </c>
      <c r="P2874">
        <v>0.70420098600000003</v>
      </c>
      <c r="Q2874">
        <v>0.41355372699999998</v>
      </c>
      <c r="S2874" s="13">
        <v>-1.518515974</v>
      </c>
      <c r="T2874">
        <v>-0.71037467899999995</v>
      </c>
      <c r="U2874">
        <v>-0.39023129899999998</v>
      </c>
    </row>
    <row r="2875" spans="1:21" x14ac:dyDescent="0.2">
      <c r="A2875" t="s">
        <v>1256</v>
      </c>
      <c r="B2875">
        <v>489520</v>
      </c>
      <c r="C2875" t="s">
        <v>6906</v>
      </c>
      <c r="D2875" t="s">
        <v>1257</v>
      </c>
      <c r="E2875" t="s">
        <v>6946</v>
      </c>
      <c r="F2875">
        <v>7</v>
      </c>
      <c r="G2875">
        <v>11</v>
      </c>
      <c r="H2875" t="s">
        <v>12742</v>
      </c>
      <c r="J2875" t="s">
        <v>1510</v>
      </c>
      <c r="M2875" t="s">
        <v>12743</v>
      </c>
      <c r="N2875">
        <v>1.813871112</v>
      </c>
      <c r="O2875">
        <v>2.6633694910000001</v>
      </c>
      <c r="P2875">
        <v>-0.29586356800000002</v>
      </c>
      <c r="Q2875">
        <v>-0.59018158399999998</v>
      </c>
      <c r="S2875" s="13">
        <v>-1.5185260410000001</v>
      </c>
      <c r="T2875">
        <v>-0.71041867000000003</v>
      </c>
      <c r="U2875">
        <v>-0.25489050299999999</v>
      </c>
    </row>
    <row r="2876" spans="1:21" x14ac:dyDescent="0.2">
      <c r="A2876" t="s">
        <v>1290</v>
      </c>
      <c r="B2876">
        <v>481040</v>
      </c>
      <c r="C2876" t="s">
        <v>6927</v>
      </c>
      <c r="D2876" t="s">
        <v>1291</v>
      </c>
      <c r="E2876" t="s">
        <v>6924</v>
      </c>
      <c r="F2876">
        <v>7</v>
      </c>
      <c r="G2876">
        <v>6</v>
      </c>
      <c r="H2876" t="s">
        <v>12744</v>
      </c>
      <c r="J2876" t="s">
        <v>12745</v>
      </c>
      <c r="M2876" t="s">
        <v>12746</v>
      </c>
      <c r="N2876">
        <v>1.982575982</v>
      </c>
      <c r="O2876">
        <v>3.4571926419999999</v>
      </c>
      <c r="P2876">
        <v>-0.114791479</v>
      </c>
      <c r="Q2876">
        <v>1.868949E-3</v>
      </c>
      <c r="S2876" s="13">
        <v>-1.5185942269999999</v>
      </c>
      <c r="T2876">
        <v>-0.71071662599999996</v>
      </c>
      <c r="U2876">
        <v>-0.33249517699999998</v>
      </c>
    </row>
    <row r="2877" spans="1:21" x14ac:dyDescent="0.2">
      <c r="A2877" t="s">
        <v>451</v>
      </c>
      <c r="B2877">
        <v>421480</v>
      </c>
      <c r="C2877" t="s">
        <v>6931</v>
      </c>
      <c r="D2877" t="s">
        <v>452</v>
      </c>
      <c r="E2877" t="s">
        <v>6907</v>
      </c>
      <c r="F2877">
        <v>9</v>
      </c>
      <c r="G2877">
        <v>4</v>
      </c>
      <c r="H2877" t="s">
        <v>12747</v>
      </c>
      <c r="N2877">
        <v>1.9323965059999999</v>
      </c>
      <c r="O2877">
        <v>3.0528020530000002</v>
      </c>
      <c r="P2877">
        <v>2.6493138999999999E-2</v>
      </c>
      <c r="Q2877">
        <v>-0.38692188</v>
      </c>
      <c r="S2877" s="13">
        <v>-1.518691282</v>
      </c>
      <c r="T2877">
        <v>-0.71114073499999997</v>
      </c>
      <c r="U2877">
        <v>-0.214398275</v>
      </c>
    </row>
    <row r="2878" spans="1:21" x14ac:dyDescent="0.2">
      <c r="A2878" t="s">
        <v>671</v>
      </c>
      <c r="B2878">
        <v>580520</v>
      </c>
      <c r="C2878" t="s">
        <v>6914</v>
      </c>
      <c r="D2878" t="s">
        <v>672</v>
      </c>
      <c r="E2878" t="s">
        <v>6970</v>
      </c>
      <c r="F2878">
        <v>6</v>
      </c>
      <c r="G2878">
        <v>14</v>
      </c>
      <c r="H2878" t="s">
        <v>12748</v>
      </c>
      <c r="J2878" t="s">
        <v>6801</v>
      </c>
      <c r="M2878" t="s">
        <v>12749</v>
      </c>
      <c r="N2878">
        <v>1.8217074179999999</v>
      </c>
      <c r="O2878">
        <v>4.1700741289999996</v>
      </c>
      <c r="P2878">
        <v>0.189705977</v>
      </c>
      <c r="Q2878">
        <v>-1.7194070999999998E-2</v>
      </c>
      <c r="S2878" s="13">
        <v>-1.518751052</v>
      </c>
      <c r="T2878">
        <v>-0.71140191900000005</v>
      </c>
      <c r="U2878">
        <v>-0.31335065699999998</v>
      </c>
    </row>
    <row r="2879" spans="1:21" x14ac:dyDescent="0.2">
      <c r="A2879" t="s">
        <v>2073</v>
      </c>
      <c r="B2879">
        <v>459080</v>
      </c>
      <c r="C2879" t="s">
        <v>6910</v>
      </c>
      <c r="D2879" t="s">
        <v>2074</v>
      </c>
      <c r="E2879" t="s">
        <v>7085</v>
      </c>
      <c r="F2879">
        <v>2</v>
      </c>
      <c r="G2879">
        <v>9</v>
      </c>
      <c r="H2879" t="s">
        <v>12750</v>
      </c>
      <c r="J2879" t="s">
        <v>5229</v>
      </c>
      <c r="M2879" t="s">
        <v>12751</v>
      </c>
      <c r="N2879">
        <v>1.9874741039999999</v>
      </c>
      <c r="O2879">
        <v>3.7453511220000002</v>
      </c>
      <c r="P2879">
        <v>0.451009722</v>
      </c>
      <c r="Q2879">
        <v>-0.102386592</v>
      </c>
      <c r="S2879" s="13">
        <v>-1.5187635829999999</v>
      </c>
      <c r="T2879">
        <v>-0.71145667499999998</v>
      </c>
      <c r="U2879">
        <v>-0.24685648099999999</v>
      </c>
    </row>
    <row r="2880" spans="1:21" x14ac:dyDescent="0.2">
      <c r="A2880" t="s">
        <v>985</v>
      </c>
      <c r="B2880">
        <v>421240</v>
      </c>
      <c r="C2880" t="s">
        <v>6931</v>
      </c>
      <c r="D2880" t="s">
        <v>985</v>
      </c>
      <c r="E2880" t="s">
        <v>6907</v>
      </c>
      <c r="F2880">
        <v>12</v>
      </c>
      <c r="G2880">
        <v>4</v>
      </c>
      <c r="H2880" t="s">
        <v>12752</v>
      </c>
      <c r="N2880">
        <v>1.9323965059999999</v>
      </c>
      <c r="O2880">
        <v>3.0528020530000002</v>
      </c>
      <c r="P2880">
        <v>2.6493138999999999E-2</v>
      </c>
      <c r="Q2880">
        <v>-0.38692188</v>
      </c>
      <c r="S2880" s="13">
        <v>-1.5190066360000001</v>
      </c>
      <c r="T2880">
        <v>-0.71251875899999995</v>
      </c>
      <c r="U2880">
        <v>-0.21458337299999999</v>
      </c>
    </row>
    <row r="2881" spans="1:21" x14ac:dyDescent="0.2">
      <c r="A2881" t="s">
        <v>1963</v>
      </c>
      <c r="B2881">
        <v>580240</v>
      </c>
      <c r="C2881" t="s">
        <v>6914</v>
      </c>
      <c r="D2881" t="s">
        <v>1963</v>
      </c>
      <c r="E2881" t="s">
        <v>6939</v>
      </c>
      <c r="F2881">
        <v>12</v>
      </c>
      <c r="G2881">
        <v>2</v>
      </c>
      <c r="H2881" t="s">
        <v>12753</v>
      </c>
      <c r="J2881" t="s">
        <v>6275</v>
      </c>
      <c r="M2881" t="s">
        <v>12754</v>
      </c>
      <c r="N2881">
        <v>1.8217074179999999</v>
      </c>
      <c r="O2881">
        <v>4.1700741289999996</v>
      </c>
      <c r="P2881">
        <v>0.189705977</v>
      </c>
      <c r="Q2881">
        <v>-1.7194070999999998E-2</v>
      </c>
      <c r="S2881" s="13">
        <v>-1.519087826</v>
      </c>
      <c r="T2881">
        <v>-0.712873541</v>
      </c>
      <c r="U2881">
        <v>-0.31362189200000001</v>
      </c>
    </row>
    <row r="2882" spans="1:21" x14ac:dyDescent="0.2">
      <c r="A2882" t="s">
        <v>2871</v>
      </c>
      <c r="B2882">
        <v>489120</v>
      </c>
      <c r="C2882" t="s">
        <v>6906</v>
      </c>
      <c r="D2882" t="s">
        <v>2871</v>
      </c>
      <c r="E2882" t="s">
        <v>6907</v>
      </c>
      <c r="F2882">
        <v>21</v>
      </c>
      <c r="G2882">
        <v>4</v>
      </c>
      <c r="H2882" t="s">
        <v>12755</v>
      </c>
      <c r="J2882" t="s">
        <v>4056</v>
      </c>
      <c r="M2882" t="s">
        <v>12756</v>
      </c>
      <c r="N2882">
        <v>1.813871112</v>
      </c>
      <c r="O2882">
        <v>2.6633694910000001</v>
      </c>
      <c r="P2882">
        <v>-0.29586356800000002</v>
      </c>
      <c r="Q2882">
        <v>-0.59018158399999998</v>
      </c>
      <c r="S2882" s="13">
        <v>-1.51910634</v>
      </c>
      <c r="T2882">
        <v>-0.71295444299999999</v>
      </c>
      <c r="U2882">
        <v>-0.25522920700000001</v>
      </c>
    </row>
    <row r="2883" spans="1:21" x14ac:dyDescent="0.2">
      <c r="A2883" t="s">
        <v>1683</v>
      </c>
      <c r="B2883">
        <v>405440</v>
      </c>
      <c r="C2883" t="s">
        <v>6942</v>
      </c>
      <c r="D2883" t="s">
        <v>1683</v>
      </c>
      <c r="E2883" t="s">
        <v>6915</v>
      </c>
      <c r="F2883">
        <v>16</v>
      </c>
      <c r="G2883">
        <v>13</v>
      </c>
      <c r="H2883" t="s">
        <v>12757</v>
      </c>
      <c r="J2883" t="s">
        <v>2937</v>
      </c>
      <c r="M2883" t="s">
        <v>12758</v>
      </c>
      <c r="N2883">
        <v>2.0902262079999998</v>
      </c>
      <c r="O2883">
        <v>4.2704203920000001</v>
      </c>
      <c r="P2883">
        <v>0.23425843900000001</v>
      </c>
      <c r="Q2883">
        <v>1.6181978999999999E-2</v>
      </c>
      <c r="S2883" s="13">
        <v>-1.5193058909999999</v>
      </c>
      <c r="T2883">
        <v>-0.71382643599999995</v>
      </c>
      <c r="U2883">
        <v>-0.38316851299999999</v>
      </c>
    </row>
    <row r="2884" spans="1:21" x14ac:dyDescent="0.2">
      <c r="A2884" t="s">
        <v>944</v>
      </c>
      <c r="B2884">
        <v>545280</v>
      </c>
      <c r="C2884" t="s">
        <v>6953</v>
      </c>
      <c r="D2884" t="s">
        <v>944</v>
      </c>
      <c r="E2884" t="s">
        <v>6924</v>
      </c>
      <c r="F2884">
        <v>12</v>
      </c>
      <c r="G2884">
        <v>6</v>
      </c>
      <c r="H2884" t="s">
        <v>12759</v>
      </c>
      <c r="J2884" t="s">
        <v>2128</v>
      </c>
      <c r="M2884" t="s">
        <v>12760</v>
      </c>
      <c r="N2884">
        <v>1.921480887</v>
      </c>
      <c r="O2884">
        <v>3.0856645180000002</v>
      </c>
      <c r="P2884">
        <v>0.44706724399999997</v>
      </c>
      <c r="Q2884">
        <v>-0.354940863</v>
      </c>
      <c r="S2884" s="13">
        <v>-1.5194139499999999</v>
      </c>
      <c r="T2884">
        <v>-0.71429862899999996</v>
      </c>
      <c r="U2884">
        <v>-0.25767570400000001</v>
      </c>
    </row>
    <row r="2885" spans="1:21" x14ac:dyDescent="0.2">
      <c r="A2885" t="s">
        <v>295</v>
      </c>
      <c r="B2885">
        <v>545200</v>
      </c>
      <c r="C2885" t="s">
        <v>6953</v>
      </c>
      <c r="D2885" t="s">
        <v>295</v>
      </c>
      <c r="E2885" t="s">
        <v>6911</v>
      </c>
      <c r="F2885">
        <v>20</v>
      </c>
      <c r="G2885">
        <v>12</v>
      </c>
      <c r="H2885" t="s">
        <v>12761</v>
      </c>
      <c r="J2885" t="s">
        <v>297</v>
      </c>
      <c r="M2885" t="s">
        <v>12762</v>
      </c>
      <c r="N2885">
        <v>1.921480887</v>
      </c>
      <c r="O2885">
        <v>3.0856645180000002</v>
      </c>
      <c r="P2885">
        <v>0.44706724399999997</v>
      </c>
      <c r="Q2885">
        <v>-0.354940863</v>
      </c>
      <c r="S2885" s="13">
        <v>-1.5194969599999999</v>
      </c>
      <c r="T2885">
        <v>-0.71466136300000005</v>
      </c>
      <c r="U2885">
        <v>-0.25774385900000002</v>
      </c>
    </row>
    <row r="2886" spans="1:21" x14ac:dyDescent="0.2">
      <c r="A2886" t="s">
        <v>1335</v>
      </c>
      <c r="B2886">
        <v>579800</v>
      </c>
      <c r="C2886" t="s">
        <v>6914</v>
      </c>
      <c r="D2886" t="s">
        <v>1335</v>
      </c>
      <c r="E2886" t="s">
        <v>6915</v>
      </c>
      <c r="F2886">
        <v>12</v>
      </c>
      <c r="G2886">
        <v>13</v>
      </c>
      <c r="H2886" t="s">
        <v>12763</v>
      </c>
      <c r="J2886" t="s">
        <v>6809</v>
      </c>
      <c r="M2886" t="s">
        <v>12764</v>
      </c>
      <c r="N2886">
        <v>1.8217074179999999</v>
      </c>
      <c r="O2886">
        <v>4.1700741289999996</v>
      </c>
      <c r="P2886">
        <v>0.189705977</v>
      </c>
      <c r="Q2886">
        <v>-1.7194070999999998E-2</v>
      </c>
      <c r="S2886" s="13">
        <v>-1.5196170410000001</v>
      </c>
      <c r="T2886">
        <v>-0.71518609</v>
      </c>
      <c r="U2886">
        <v>-0.314048459</v>
      </c>
    </row>
    <row r="2887" spans="1:21" x14ac:dyDescent="0.2">
      <c r="A2887" t="s">
        <v>807</v>
      </c>
      <c r="B2887">
        <v>458160</v>
      </c>
      <c r="C2887" t="s">
        <v>6910</v>
      </c>
      <c r="D2887" t="s">
        <v>807</v>
      </c>
      <c r="E2887" t="s">
        <v>6977</v>
      </c>
      <c r="F2887">
        <v>14</v>
      </c>
      <c r="G2887">
        <v>5</v>
      </c>
      <c r="H2887" t="s">
        <v>12765</v>
      </c>
      <c r="J2887" t="s">
        <v>6421</v>
      </c>
      <c r="M2887" t="s">
        <v>12766</v>
      </c>
      <c r="N2887">
        <v>1.9874741039999999</v>
      </c>
      <c r="O2887">
        <v>3.7453511220000002</v>
      </c>
      <c r="P2887">
        <v>0.451009722</v>
      </c>
      <c r="Q2887">
        <v>-0.102386592</v>
      </c>
      <c r="S2887" s="13">
        <v>-1.5197534049999999</v>
      </c>
      <c r="T2887">
        <v>-0.71578197099999996</v>
      </c>
      <c r="U2887">
        <v>-0.247621596</v>
      </c>
    </row>
    <row r="2888" spans="1:21" x14ac:dyDescent="0.2">
      <c r="A2888" t="s">
        <v>1160</v>
      </c>
      <c r="B2888">
        <v>420520</v>
      </c>
      <c r="C2888" t="s">
        <v>6931</v>
      </c>
      <c r="D2888" t="s">
        <v>1160</v>
      </c>
      <c r="E2888" t="s">
        <v>6907</v>
      </c>
      <c r="F2888">
        <v>22</v>
      </c>
      <c r="G2888">
        <v>4</v>
      </c>
      <c r="H2888" t="s">
        <v>12767</v>
      </c>
      <c r="N2888">
        <v>1.9323965059999999</v>
      </c>
      <c r="O2888">
        <v>3.0528020530000002</v>
      </c>
      <c r="P2888">
        <v>2.6493138999999999E-2</v>
      </c>
      <c r="Q2888">
        <v>-0.38692188</v>
      </c>
      <c r="S2888" s="13">
        <v>-1.5199526969999999</v>
      </c>
      <c r="T2888">
        <v>-0.71665283099999999</v>
      </c>
      <c r="U2888">
        <v>-0.21513914200000001</v>
      </c>
    </row>
    <row r="2889" spans="1:21" x14ac:dyDescent="0.2">
      <c r="A2889" t="s">
        <v>1413</v>
      </c>
      <c r="B2889">
        <v>544760</v>
      </c>
      <c r="C2889" t="s">
        <v>6953</v>
      </c>
      <c r="D2889" t="s">
        <v>1413</v>
      </c>
      <c r="E2889" t="s">
        <v>6977</v>
      </c>
      <c r="F2889">
        <v>18</v>
      </c>
      <c r="G2889">
        <v>5</v>
      </c>
      <c r="H2889" t="s">
        <v>12768</v>
      </c>
      <c r="J2889" t="s">
        <v>2616</v>
      </c>
      <c r="M2889" t="s">
        <v>12769</v>
      </c>
      <c r="N2889">
        <v>1.921480887</v>
      </c>
      <c r="O2889">
        <v>3.0856645180000002</v>
      </c>
      <c r="P2889">
        <v>0.44706724399999997</v>
      </c>
      <c r="Q2889">
        <v>-0.354940863</v>
      </c>
      <c r="S2889" s="13">
        <v>-1.519953514</v>
      </c>
      <c r="T2889">
        <v>-0.716656403</v>
      </c>
      <c r="U2889">
        <v>-0.25811890500000001</v>
      </c>
    </row>
    <row r="2890" spans="1:21" x14ac:dyDescent="0.2">
      <c r="A2890" t="s">
        <v>157</v>
      </c>
      <c r="B2890">
        <v>459880</v>
      </c>
      <c r="C2890" t="s">
        <v>6938</v>
      </c>
      <c r="D2890" t="s">
        <v>157</v>
      </c>
      <c r="E2890" t="s">
        <v>6946</v>
      </c>
      <c r="F2890">
        <v>14</v>
      </c>
      <c r="G2890">
        <v>11</v>
      </c>
      <c r="H2890" t="s">
        <v>12770</v>
      </c>
      <c r="J2890" t="s">
        <v>5757</v>
      </c>
      <c r="M2890" t="s">
        <v>12771</v>
      </c>
      <c r="N2890">
        <v>2.092758737</v>
      </c>
      <c r="O2890">
        <v>5.3323610669999999</v>
      </c>
      <c r="P2890">
        <v>0.70420098600000003</v>
      </c>
      <c r="Q2890">
        <v>0.41355372699999998</v>
      </c>
      <c r="S2890" s="13">
        <v>-1.5201648919999999</v>
      </c>
      <c r="T2890">
        <v>-0.71758007400000001</v>
      </c>
      <c r="U2890">
        <v>-0.39245637500000002</v>
      </c>
    </row>
    <row r="2891" spans="1:21" x14ac:dyDescent="0.2">
      <c r="A2891" t="s">
        <v>1126</v>
      </c>
      <c r="B2891">
        <v>316040</v>
      </c>
      <c r="C2891" t="s">
        <v>6945</v>
      </c>
      <c r="D2891" t="s">
        <v>1126</v>
      </c>
      <c r="E2891" t="s">
        <v>6970</v>
      </c>
      <c r="F2891">
        <v>10</v>
      </c>
      <c r="G2891">
        <v>14</v>
      </c>
      <c r="H2891" t="s">
        <v>12772</v>
      </c>
      <c r="J2891" t="s">
        <v>4802</v>
      </c>
      <c r="M2891" t="s">
        <v>12773</v>
      </c>
      <c r="N2891">
        <v>2.2220813349999999</v>
      </c>
      <c r="O2891">
        <v>6.5440947090000003</v>
      </c>
      <c r="P2891">
        <v>0.58228215500000002</v>
      </c>
      <c r="Q2891">
        <v>0.35188233000000002</v>
      </c>
      <c r="S2891" s="13">
        <v>-1.5201758190000001</v>
      </c>
      <c r="T2891">
        <v>-0.71762782400000003</v>
      </c>
      <c r="U2891">
        <v>-0.40487843099999998</v>
      </c>
    </row>
    <row r="2892" spans="1:21" x14ac:dyDescent="0.2">
      <c r="A2892" t="s">
        <v>1383</v>
      </c>
      <c r="B2892">
        <v>420160</v>
      </c>
      <c r="C2892" t="s">
        <v>6931</v>
      </c>
      <c r="D2892" t="s">
        <v>1384</v>
      </c>
      <c r="E2892" t="s">
        <v>6956</v>
      </c>
      <c r="F2892">
        <v>6</v>
      </c>
      <c r="G2892">
        <v>7</v>
      </c>
      <c r="H2892" t="s">
        <v>12774</v>
      </c>
      <c r="N2892">
        <v>1.9323965059999999</v>
      </c>
      <c r="O2892">
        <v>3.0528020530000002</v>
      </c>
      <c r="P2892">
        <v>2.6493138999999999E-2</v>
      </c>
      <c r="Q2892">
        <v>-0.38692188</v>
      </c>
      <c r="S2892" s="13">
        <v>-1.520425728</v>
      </c>
      <c r="T2892">
        <v>-0.71871986700000001</v>
      </c>
      <c r="U2892">
        <v>-0.21541729300000001</v>
      </c>
    </row>
    <row r="2893" spans="1:21" x14ac:dyDescent="0.2">
      <c r="A2893" t="s">
        <v>1498</v>
      </c>
      <c r="B2893">
        <v>544080</v>
      </c>
      <c r="C2893" t="s">
        <v>6953</v>
      </c>
      <c r="D2893" t="s">
        <v>1498</v>
      </c>
      <c r="E2893" t="s">
        <v>6911</v>
      </c>
      <c r="F2893">
        <v>17</v>
      </c>
      <c r="G2893">
        <v>12</v>
      </c>
      <c r="H2893" t="s">
        <v>12775</v>
      </c>
      <c r="J2893" t="s">
        <v>3448</v>
      </c>
      <c r="M2893" t="s">
        <v>12776</v>
      </c>
      <c r="N2893">
        <v>1.921480887</v>
      </c>
      <c r="O2893">
        <v>3.0856645180000002</v>
      </c>
      <c r="P2893">
        <v>0.44706724399999997</v>
      </c>
      <c r="Q2893">
        <v>-0.354940863</v>
      </c>
      <c r="S2893" s="13">
        <v>-1.520659099</v>
      </c>
      <c r="T2893">
        <v>-0.71973964599999996</v>
      </c>
      <c r="U2893">
        <v>-0.25869915900000001</v>
      </c>
    </row>
    <row r="2894" spans="1:21" x14ac:dyDescent="0.2">
      <c r="A2894" t="s">
        <v>1126</v>
      </c>
      <c r="B2894">
        <v>404000</v>
      </c>
      <c r="C2894" t="s">
        <v>6942</v>
      </c>
      <c r="D2894" t="s">
        <v>1126</v>
      </c>
      <c r="E2894" t="s">
        <v>6970</v>
      </c>
      <c r="F2894">
        <v>10</v>
      </c>
      <c r="G2894">
        <v>14</v>
      </c>
      <c r="H2894" t="s">
        <v>12777</v>
      </c>
      <c r="J2894" t="s">
        <v>4331</v>
      </c>
      <c r="M2894" t="s">
        <v>12778</v>
      </c>
      <c r="N2894">
        <v>2.0902262079999998</v>
      </c>
      <c r="O2894">
        <v>4.2704203920000001</v>
      </c>
      <c r="P2894">
        <v>0.23425843900000001</v>
      </c>
      <c r="Q2894">
        <v>1.6181978999999999E-2</v>
      </c>
      <c r="S2894" s="13">
        <v>-1.5207192350000001</v>
      </c>
      <c r="T2894">
        <v>-0.72000242800000003</v>
      </c>
      <c r="U2894">
        <v>-0.38480929699999999</v>
      </c>
    </row>
    <row r="2895" spans="1:21" x14ac:dyDescent="0.2">
      <c r="A2895" t="s">
        <v>1544</v>
      </c>
      <c r="B2895">
        <v>578720</v>
      </c>
      <c r="C2895" t="s">
        <v>6914</v>
      </c>
      <c r="D2895" t="s">
        <v>1545</v>
      </c>
      <c r="E2895" t="s">
        <v>6924</v>
      </c>
      <c r="F2895">
        <v>6</v>
      </c>
      <c r="G2895">
        <v>6</v>
      </c>
      <c r="H2895" t="s">
        <v>12779</v>
      </c>
      <c r="J2895" t="s">
        <v>3184</v>
      </c>
      <c r="M2895" t="s">
        <v>12780</v>
      </c>
      <c r="N2895">
        <v>1.8217074179999999</v>
      </c>
      <c r="O2895">
        <v>4.1700741289999996</v>
      </c>
      <c r="P2895">
        <v>0.189705977</v>
      </c>
      <c r="Q2895">
        <v>-1.7194070999999998E-2</v>
      </c>
      <c r="S2895" s="13">
        <v>-1.5209160230000001</v>
      </c>
      <c r="T2895">
        <v>-0.72086234599999999</v>
      </c>
      <c r="U2895">
        <v>-0.31509726900000001</v>
      </c>
    </row>
    <row r="2896" spans="1:21" x14ac:dyDescent="0.2">
      <c r="A2896" t="s">
        <v>1290</v>
      </c>
      <c r="B2896">
        <v>543680</v>
      </c>
      <c r="C2896" t="s">
        <v>6953</v>
      </c>
      <c r="D2896" t="s">
        <v>1291</v>
      </c>
      <c r="E2896" t="s">
        <v>6924</v>
      </c>
      <c r="F2896">
        <v>7</v>
      </c>
      <c r="G2896">
        <v>6</v>
      </c>
      <c r="H2896" t="s">
        <v>12781</v>
      </c>
      <c r="J2896" t="s">
        <v>2509</v>
      </c>
      <c r="M2896" t="s">
        <v>12782</v>
      </c>
      <c r="N2896">
        <v>1.921480887</v>
      </c>
      <c r="O2896">
        <v>3.0856645180000002</v>
      </c>
      <c r="P2896">
        <v>0.44706724399999997</v>
      </c>
      <c r="Q2896">
        <v>-0.354940863</v>
      </c>
      <c r="S2896" s="13">
        <v>-1.5210741489999999</v>
      </c>
      <c r="T2896">
        <v>-0.721553318</v>
      </c>
      <c r="U2896">
        <v>-0.25904084700000002</v>
      </c>
    </row>
    <row r="2897" spans="1:21" x14ac:dyDescent="0.2">
      <c r="A2897" t="s">
        <v>1343</v>
      </c>
      <c r="B2897">
        <v>456760</v>
      </c>
      <c r="C2897" t="s">
        <v>6910</v>
      </c>
      <c r="D2897" t="s">
        <v>1344</v>
      </c>
      <c r="E2897" t="s">
        <v>7085</v>
      </c>
      <c r="F2897">
        <v>7</v>
      </c>
      <c r="G2897">
        <v>9</v>
      </c>
      <c r="H2897" t="s">
        <v>12783</v>
      </c>
      <c r="J2897" t="s">
        <v>1346</v>
      </c>
      <c r="M2897" t="s">
        <v>12784</v>
      </c>
      <c r="N2897">
        <v>1.9874741039999999</v>
      </c>
      <c r="O2897">
        <v>3.7453511220000002</v>
      </c>
      <c r="P2897">
        <v>0.451009722</v>
      </c>
      <c r="Q2897">
        <v>-0.102386592</v>
      </c>
      <c r="S2897" s="13">
        <v>-1.521259656</v>
      </c>
      <c r="T2897">
        <v>-0.72236394400000004</v>
      </c>
      <c r="U2897">
        <v>-0.248788495</v>
      </c>
    </row>
    <row r="2898" spans="1:21" x14ac:dyDescent="0.2">
      <c r="A2898" t="s">
        <v>2348</v>
      </c>
      <c r="B2898">
        <v>458360</v>
      </c>
      <c r="C2898" t="s">
        <v>6938</v>
      </c>
      <c r="D2898" t="s">
        <v>2348</v>
      </c>
      <c r="E2898" t="s">
        <v>6911</v>
      </c>
      <c r="F2898">
        <v>11</v>
      </c>
      <c r="G2898">
        <v>12</v>
      </c>
      <c r="H2898" t="s">
        <v>12785</v>
      </c>
      <c r="J2898" t="s">
        <v>3589</v>
      </c>
      <c r="M2898" t="s">
        <v>12786</v>
      </c>
      <c r="N2898">
        <v>2.092758737</v>
      </c>
      <c r="O2898">
        <v>5.3323610669999999</v>
      </c>
      <c r="P2898">
        <v>0.70420098600000003</v>
      </c>
      <c r="Q2898">
        <v>0.41355372699999998</v>
      </c>
      <c r="S2898" s="13">
        <v>-1.5214702849999999</v>
      </c>
      <c r="T2898">
        <v>-0.72328434399999997</v>
      </c>
      <c r="U2898">
        <v>-0.39422601499999999</v>
      </c>
    </row>
    <row r="2899" spans="1:21" x14ac:dyDescent="0.2">
      <c r="A2899" t="s">
        <v>1010</v>
      </c>
      <c r="B2899">
        <v>487360</v>
      </c>
      <c r="C2899" t="s">
        <v>6906</v>
      </c>
      <c r="D2899" t="s">
        <v>1010</v>
      </c>
      <c r="E2899" t="s">
        <v>6970</v>
      </c>
      <c r="F2899">
        <v>19</v>
      </c>
      <c r="G2899">
        <v>14</v>
      </c>
      <c r="H2899" t="s">
        <v>12787</v>
      </c>
      <c r="J2899" t="s">
        <v>4201</v>
      </c>
      <c r="M2899" t="s">
        <v>12788</v>
      </c>
      <c r="N2899">
        <v>1.813871112</v>
      </c>
      <c r="O2899">
        <v>2.6633694910000001</v>
      </c>
      <c r="P2899">
        <v>-0.29586356800000002</v>
      </c>
      <c r="Q2899">
        <v>-0.59018158399999998</v>
      </c>
      <c r="S2899" s="13">
        <v>-1.5216596550000001</v>
      </c>
      <c r="T2899">
        <v>-0.724111846</v>
      </c>
      <c r="U2899">
        <v>-0.25672265</v>
      </c>
    </row>
    <row r="2900" spans="1:21" x14ac:dyDescent="0.2">
      <c r="A2900" t="s">
        <v>277</v>
      </c>
      <c r="B2900">
        <v>73000</v>
      </c>
      <c r="C2900" t="s">
        <v>6961</v>
      </c>
      <c r="D2900" t="s">
        <v>277</v>
      </c>
      <c r="E2900" t="s">
        <v>7085</v>
      </c>
      <c r="F2900">
        <v>22</v>
      </c>
      <c r="G2900">
        <v>9</v>
      </c>
      <c r="H2900" t="s">
        <v>12789</v>
      </c>
      <c r="J2900" t="s">
        <v>6335</v>
      </c>
      <c r="M2900" t="s">
        <v>12790</v>
      </c>
      <c r="N2900">
        <v>2.7247480949999998</v>
      </c>
      <c r="O2900">
        <v>7.0822175119999997</v>
      </c>
      <c r="P2900">
        <v>0.61298291999999999</v>
      </c>
      <c r="Q2900">
        <v>0.48262032500000002</v>
      </c>
      <c r="S2900" s="13">
        <v>-1.5220069030000001</v>
      </c>
      <c r="T2900">
        <v>-0.72562924100000004</v>
      </c>
      <c r="U2900">
        <v>-0.51608418199999995</v>
      </c>
    </row>
    <row r="2901" spans="1:21" x14ac:dyDescent="0.2">
      <c r="A2901" t="s">
        <v>214</v>
      </c>
      <c r="B2901">
        <v>486320</v>
      </c>
      <c r="C2901" t="s">
        <v>6906</v>
      </c>
      <c r="D2901" t="s">
        <v>215</v>
      </c>
      <c r="E2901" t="s">
        <v>6939</v>
      </c>
      <c r="F2901">
        <v>9</v>
      </c>
      <c r="G2901">
        <v>2</v>
      </c>
      <c r="H2901" t="s">
        <v>12791</v>
      </c>
      <c r="J2901" t="s">
        <v>1046</v>
      </c>
      <c r="M2901" t="s">
        <v>12792</v>
      </c>
      <c r="N2901">
        <v>1.813871112</v>
      </c>
      <c r="O2901">
        <v>2.6633694910000001</v>
      </c>
      <c r="P2901">
        <v>-0.29586356800000002</v>
      </c>
      <c r="Q2901">
        <v>-0.59018158399999998</v>
      </c>
      <c r="S2901" s="13">
        <v>-1.5231684320000001</v>
      </c>
      <c r="T2901">
        <v>-0.73070485699999999</v>
      </c>
      <c r="U2901">
        <v>-0.25760755899999999</v>
      </c>
    </row>
    <row r="2902" spans="1:21" x14ac:dyDescent="0.2">
      <c r="A2902" t="s">
        <v>592</v>
      </c>
      <c r="B2902">
        <v>71160</v>
      </c>
      <c r="C2902" t="s">
        <v>6961</v>
      </c>
      <c r="D2902" t="s">
        <v>593</v>
      </c>
      <c r="E2902" t="s">
        <v>6946</v>
      </c>
      <c r="F2902">
        <v>9</v>
      </c>
      <c r="G2902">
        <v>11</v>
      </c>
      <c r="H2902" t="s">
        <v>12793</v>
      </c>
      <c r="J2902" t="s">
        <v>6299</v>
      </c>
      <c r="M2902" t="s">
        <v>12794</v>
      </c>
      <c r="N2902">
        <v>2.7247480949999998</v>
      </c>
      <c r="O2902">
        <v>7.0822175119999997</v>
      </c>
      <c r="P2902">
        <v>0.61298291999999999</v>
      </c>
      <c r="Q2902">
        <v>0.48262032500000002</v>
      </c>
      <c r="S2902" s="13">
        <v>-1.523463475</v>
      </c>
      <c r="T2902">
        <v>-0.73199412799999997</v>
      </c>
      <c r="U2902">
        <v>-0.518935378</v>
      </c>
    </row>
    <row r="2903" spans="1:21" x14ac:dyDescent="0.2">
      <c r="A2903" t="s">
        <v>79</v>
      </c>
      <c r="B2903">
        <v>71040</v>
      </c>
      <c r="C2903" t="s">
        <v>6961</v>
      </c>
      <c r="D2903" t="s">
        <v>80</v>
      </c>
      <c r="E2903" t="s">
        <v>6946</v>
      </c>
      <c r="F2903">
        <v>1</v>
      </c>
      <c r="G2903">
        <v>11</v>
      </c>
      <c r="H2903" t="s">
        <v>12795</v>
      </c>
      <c r="J2903" t="s">
        <v>5985</v>
      </c>
      <c r="M2903" t="s">
        <v>12796</v>
      </c>
      <c r="N2903">
        <v>2.7247480949999998</v>
      </c>
      <c r="O2903">
        <v>7.0822175119999997</v>
      </c>
      <c r="P2903">
        <v>0.61298291999999999</v>
      </c>
      <c r="Q2903">
        <v>0.48262032500000002</v>
      </c>
      <c r="S2903" s="13">
        <v>-1.5235584689999999</v>
      </c>
      <c r="T2903">
        <v>-0.73240922900000005</v>
      </c>
      <c r="U2903">
        <v>-0.51912197800000004</v>
      </c>
    </row>
    <row r="2904" spans="1:21" x14ac:dyDescent="0.2">
      <c r="A2904" t="s">
        <v>1082</v>
      </c>
      <c r="B2904">
        <v>476160</v>
      </c>
      <c r="C2904" t="s">
        <v>6927</v>
      </c>
      <c r="D2904" t="s">
        <v>1082</v>
      </c>
      <c r="E2904" t="s">
        <v>7115</v>
      </c>
      <c r="F2904">
        <v>21</v>
      </c>
      <c r="G2904">
        <v>10</v>
      </c>
      <c r="H2904" t="s">
        <v>12797</v>
      </c>
      <c r="J2904" t="s">
        <v>12798</v>
      </c>
      <c r="M2904" t="s">
        <v>12799</v>
      </c>
      <c r="N2904">
        <v>1.982575982</v>
      </c>
      <c r="O2904">
        <v>3.4571926419999999</v>
      </c>
      <c r="P2904">
        <v>-0.114791479</v>
      </c>
      <c r="Q2904">
        <v>1.868949E-3</v>
      </c>
      <c r="S2904" s="13">
        <v>-1.5236578329999999</v>
      </c>
      <c r="T2904">
        <v>-0.73284342800000002</v>
      </c>
      <c r="U2904">
        <v>-0.33746220300000002</v>
      </c>
    </row>
    <row r="2905" spans="1:21" x14ac:dyDescent="0.2">
      <c r="A2905" t="s">
        <v>1155</v>
      </c>
      <c r="B2905">
        <v>454480</v>
      </c>
      <c r="C2905" t="s">
        <v>6910</v>
      </c>
      <c r="D2905" t="s">
        <v>1156</v>
      </c>
      <c r="E2905" t="s">
        <v>6970</v>
      </c>
      <c r="F2905">
        <v>8</v>
      </c>
      <c r="G2905">
        <v>14</v>
      </c>
      <c r="H2905" t="s">
        <v>12800</v>
      </c>
      <c r="J2905" t="s">
        <v>3103</v>
      </c>
      <c r="M2905" t="s">
        <v>12801</v>
      </c>
      <c r="N2905">
        <v>1.9874741039999999</v>
      </c>
      <c r="O2905">
        <v>3.7453511220000002</v>
      </c>
      <c r="P2905">
        <v>0.451009722</v>
      </c>
      <c r="Q2905">
        <v>-0.102386592</v>
      </c>
      <c r="S2905" s="13">
        <v>-1.523712693</v>
      </c>
      <c r="T2905">
        <v>-0.73308315599999996</v>
      </c>
      <c r="U2905">
        <v>-0.25069561000000001</v>
      </c>
    </row>
    <row r="2906" spans="1:21" x14ac:dyDescent="0.2">
      <c r="A2906" t="s">
        <v>2206</v>
      </c>
      <c r="B2906">
        <v>454000</v>
      </c>
      <c r="C2906" t="s">
        <v>6910</v>
      </c>
      <c r="D2906" t="s">
        <v>2207</v>
      </c>
      <c r="E2906" t="s">
        <v>6956</v>
      </c>
      <c r="F2906">
        <v>3</v>
      </c>
      <c r="G2906">
        <v>7</v>
      </c>
      <c r="H2906" t="s">
        <v>12802</v>
      </c>
      <c r="J2906" t="s">
        <v>6121</v>
      </c>
      <c r="M2906" t="s">
        <v>12803</v>
      </c>
      <c r="N2906">
        <v>1.9874741039999999</v>
      </c>
      <c r="O2906">
        <v>3.7453511220000002</v>
      </c>
      <c r="P2906">
        <v>0.451009722</v>
      </c>
      <c r="Q2906">
        <v>-0.102386592</v>
      </c>
      <c r="S2906" s="13">
        <v>-1.5242291219999999</v>
      </c>
      <c r="T2906">
        <v>-0.73533983199999997</v>
      </c>
      <c r="U2906">
        <v>-0.25109817699999998</v>
      </c>
    </row>
    <row r="2907" spans="1:21" x14ac:dyDescent="0.2">
      <c r="A2907" t="s">
        <v>355</v>
      </c>
      <c r="B2907">
        <v>454640</v>
      </c>
      <c r="C2907" t="s">
        <v>6938</v>
      </c>
      <c r="D2907" t="s">
        <v>356</v>
      </c>
      <c r="E2907" t="s">
        <v>6946</v>
      </c>
      <c r="F2907">
        <v>3</v>
      </c>
      <c r="G2907">
        <v>11</v>
      </c>
      <c r="H2907" t="s">
        <v>12804</v>
      </c>
      <c r="J2907" t="s">
        <v>4219</v>
      </c>
      <c r="M2907" t="s">
        <v>12805</v>
      </c>
      <c r="N2907">
        <v>2.092758737</v>
      </c>
      <c r="O2907">
        <v>5.3323610669999999</v>
      </c>
      <c r="P2907">
        <v>0.70420098600000003</v>
      </c>
      <c r="Q2907">
        <v>0.41355372699999998</v>
      </c>
      <c r="S2907" s="13">
        <v>-1.5246650639999999</v>
      </c>
      <c r="T2907">
        <v>-0.73724479499999995</v>
      </c>
      <c r="U2907">
        <v>-0.39858763800000002</v>
      </c>
    </row>
    <row r="2908" spans="1:21" x14ac:dyDescent="0.2">
      <c r="A2908" t="s">
        <v>3235</v>
      </c>
      <c r="B2908">
        <v>416920</v>
      </c>
      <c r="C2908" t="s">
        <v>6931</v>
      </c>
      <c r="D2908" t="s">
        <v>3236</v>
      </c>
      <c r="E2908" t="s">
        <v>6946</v>
      </c>
      <c r="F2908">
        <v>2</v>
      </c>
      <c r="G2908">
        <v>11</v>
      </c>
      <c r="H2908" t="s">
        <v>12806</v>
      </c>
      <c r="J2908" t="s">
        <v>4133</v>
      </c>
      <c r="M2908" t="s">
        <v>12807</v>
      </c>
      <c r="N2908">
        <v>1.9323965059999999</v>
      </c>
      <c r="O2908">
        <v>3.0528020530000002</v>
      </c>
      <c r="P2908">
        <v>2.6493138999999999E-2</v>
      </c>
      <c r="Q2908">
        <v>-0.38692188</v>
      </c>
      <c r="S2908" s="13">
        <v>-1.5246830039999999</v>
      </c>
      <c r="T2908">
        <v>-0.73732319000000002</v>
      </c>
      <c r="U2908">
        <v>-0.217928703</v>
      </c>
    </row>
    <row r="2909" spans="1:21" x14ac:dyDescent="0.2">
      <c r="A2909" t="s">
        <v>2453</v>
      </c>
      <c r="B2909">
        <v>485040</v>
      </c>
      <c r="C2909" t="s">
        <v>6906</v>
      </c>
      <c r="D2909" t="s">
        <v>2454</v>
      </c>
      <c r="E2909" t="s">
        <v>6911</v>
      </c>
      <c r="F2909">
        <v>3</v>
      </c>
      <c r="G2909">
        <v>12</v>
      </c>
      <c r="H2909" t="s">
        <v>12808</v>
      </c>
      <c r="J2909" t="s">
        <v>2456</v>
      </c>
      <c r="M2909" t="s">
        <v>12809</v>
      </c>
      <c r="N2909">
        <v>1.813871112</v>
      </c>
      <c r="O2909">
        <v>2.6633694910000001</v>
      </c>
      <c r="P2909">
        <v>-0.29586356800000002</v>
      </c>
      <c r="Q2909">
        <v>-0.59018158399999998</v>
      </c>
      <c r="S2909" s="13">
        <v>-1.525025388</v>
      </c>
      <c r="T2909">
        <v>-0.73881933099999997</v>
      </c>
      <c r="U2909">
        <v>-0.25869915900000001</v>
      </c>
    </row>
    <row r="2910" spans="1:21" x14ac:dyDescent="0.2">
      <c r="A2910" t="s">
        <v>1811</v>
      </c>
      <c r="B2910">
        <v>453200</v>
      </c>
      <c r="C2910" t="s">
        <v>6910</v>
      </c>
      <c r="D2910" t="s">
        <v>1811</v>
      </c>
      <c r="E2910" t="s">
        <v>7085</v>
      </c>
      <c r="F2910">
        <v>15</v>
      </c>
      <c r="G2910">
        <v>9</v>
      </c>
      <c r="H2910" t="s">
        <v>12810</v>
      </c>
      <c r="J2910" t="s">
        <v>6217</v>
      </c>
      <c r="M2910" t="s">
        <v>12811</v>
      </c>
      <c r="N2910">
        <v>1.9874741039999999</v>
      </c>
      <c r="O2910">
        <v>3.7453511220000002</v>
      </c>
      <c r="P2910">
        <v>0.451009722</v>
      </c>
      <c r="Q2910">
        <v>-0.102386592</v>
      </c>
      <c r="S2910" s="13">
        <v>-1.5250898369999999</v>
      </c>
      <c r="T2910">
        <v>-0.73910095899999995</v>
      </c>
      <c r="U2910">
        <v>-0.25176995200000002</v>
      </c>
    </row>
    <row r="2911" spans="1:21" x14ac:dyDescent="0.2">
      <c r="A2911" t="s">
        <v>1461</v>
      </c>
      <c r="B2911">
        <v>484800</v>
      </c>
      <c r="C2911" t="s">
        <v>6906</v>
      </c>
      <c r="D2911" t="s">
        <v>1461</v>
      </c>
      <c r="E2911" t="s">
        <v>6918</v>
      </c>
      <c r="F2911">
        <v>21</v>
      </c>
      <c r="G2911">
        <v>1</v>
      </c>
      <c r="H2911" t="s">
        <v>12812</v>
      </c>
      <c r="J2911" t="s">
        <v>4266</v>
      </c>
      <c r="M2911" t="s">
        <v>12813</v>
      </c>
      <c r="N2911">
        <v>1.813871112</v>
      </c>
      <c r="O2911">
        <v>2.6633694910000001</v>
      </c>
      <c r="P2911">
        <v>-0.29586356800000002</v>
      </c>
      <c r="Q2911">
        <v>-0.59018158399999998</v>
      </c>
      <c r="S2911" s="13">
        <v>-1.5253735669999999</v>
      </c>
      <c r="T2911">
        <v>-0.74034079500000005</v>
      </c>
      <c r="U2911">
        <v>-0.25890414</v>
      </c>
    </row>
    <row r="2912" spans="1:21" x14ac:dyDescent="0.2">
      <c r="A2912" t="s">
        <v>1598</v>
      </c>
      <c r="B2912">
        <v>484480</v>
      </c>
      <c r="C2912" t="s">
        <v>6906</v>
      </c>
      <c r="D2912" t="s">
        <v>1598</v>
      </c>
      <c r="E2912" t="s">
        <v>6970</v>
      </c>
      <c r="F2912">
        <v>17</v>
      </c>
      <c r="G2912">
        <v>14</v>
      </c>
      <c r="H2912" t="s">
        <v>12814</v>
      </c>
      <c r="J2912" t="s">
        <v>2920</v>
      </c>
      <c r="M2912" t="s">
        <v>12815</v>
      </c>
      <c r="N2912">
        <v>1.813871112</v>
      </c>
      <c r="O2912">
        <v>2.6633694910000001</v>
      </c>
      <c r="P2912">
        <v>-0.29586356800000002</v>
      </c>
      <c r="Q2912">
        <v>-0.59018158399999998</v>
      </c>
      <c r="S2912" s="13">
        <v>-1.525837806</v>
      </c>
      <c r="T2912">
        <v>-0.74236941400000001</v>
      </c>
      <c r="U2912">
        <v>-0.25917759800000001</v>
      </c>
    </row>
    <row r="2913" spans="1:21" x14ac:dyDescent="0.2">
      <c r="A2913" t="s">
        <v>1190</v>
      </c>
      <c r="B2913">
        <v>416000</v>
      </c>
      <c r="C2913" t="s">
        <v>6931</v>
      </c>
      <c r="D2913" t="s">
        <v>1190</v>
      </c>
      <c r="E2913" t="s">
        <v>6921</v>
      </c>
      <c r="F2913">
        <v>17</v>
      </c>
      <c r="G2913">
        <v>8</v>
      </c>
      <c r="H2913" t="s">
        <v>12816</v>
      </c>
      <c r="N2913">
        <v>1.9323965059999999</v>
      </c>
      <c r="O2913">
        <v>3.0528020530000002</v>
      </c>
      <c r="P2913">
        <v>2.6493138999999999E-2</v>
      </c>
      <c r="Q2913">
        <v>-0.38692188</v>
      </c>
      <c r="S2913" s="13">
        <v>-1.52589186</v>
      </c>
      <c r="T2913">
        <v>-0.742605615</v>
      </c>
      <c r="U2913">
        <v>-0.218644475</v>
      </c>
    </row>
    <row r="2914" spans="1:21" x14ac:dyDescent="0.2">
      <c r="A2914" t="s">
        <v>175</v>
      </c>
      <c r="B2914">
        <v>67800</v>
      </c>
      <c r="C2914" t="s">
        <v>6961</v>
      </c>
      <c r="D2914" t="s">
        <v>175</v>
      </c>
      <c r="E2914" t="s">
        <v>7006</v>
      </c>
      <c r="F2914">
        <v>15</v>
      </c>
      <c r="G2914">
        <v>3</v>
      </c>
      <c r="H2914" t="s">
        <v>12817</v>
      </c>
      <c r="J2914" t="s">
        <v>6495</v>
      </c>
      <c r="M2914" t="s">
        <v>12818</v>
      </c>
      <c r="N2914">
        <v>2.7247480949999998</v>
      </c>
      <c r="O2914">
        <v>7.0822175119999997</v>
      </c>
      <c r="P2914">
        <v>0.61298291999999999</v>
      </c>
      <c r="Q2914">
        <v>0.48262032500000002</v>
      </c>
      <c r="S2914" s="13">
        <v>-1.526123302</v>
      </c>
      <c r="T2914">
        <v>-0.74361696399999999</v>
      </c>
      <c r="U2914">
        <v>-0.52419070700000003</v>
      </c>
    </row>
    <row r="2915" spans="1:21" x14ac:dyDescent="0.2">
      <c r="A2915" t="s">
        <v>1698</v>
      </c>
      <c r="B2915">
        <v>66560</v>
      </c>
      <c r="C2915" t="s">
        <v>6961</v>
      </c>
      <c r="D2915" t="s">
        <v>1698</v>
      </c>
      <c r="E2915" t="s">
        <v>6921</v>
      </c>
      <c r="F2915">
        <v>11</v>
      </c>
      <c r="G2915">
        <v>8</v>
      </c>
      <c r="H2915" t="s">
        <v>12819</v>
      </c>
      <c r="J2915" t="s">
        <v>6333</v>
      </c>
      <c r="M2915" t="s">
        <v>12820</v>
      </c>
      <c r="N2915">
        <v>2.7247480949999998</v>
      </c>
      <c r="O2915">
        <v>7.0822175119999997</v>
      </c>
      <c r="P2915">
        <v>0.61298291999999999</v>
      </c>
      <c r="Q2915">
        <v>0.48262032500000002</v>
      </c>
      <c r="S2915" s="13">
        <v>-1.5271049050000001</v>
      </c>
      <c r="T2915">
        <v>-0.747906344</v>
      </c>
      <c r="U2915">
        <v>-0.52614635300000001</v>
      </c>
    </row>
    <row r="2916" spans="1:21" x14ac:dyDescent="0.2">
      <c r="A2916" t="s">
        <v>375</v>
      </c>
      <c r="B2916">
        <v>451560</v>
      </c>
      <c r="C2916" t="s">
        <v>6938</v>
      </c>
      <c r="D2916" t="s">
        <v>375</v>
      </c>
      <c r="E2916" t="s">
        <v>6977</v>
      </c>
      <c r="F2916">
        <v>12</v>
      </c>
      <c r="G2916">
        <v>5</v>
      </c>
      <c r="H2916" t="s">
        <v>12821</v>
      </c>
      <c r="J2916" t="s">
        <v>4164</v>
      </c>
      <c r="M2916" t="s">
        <v>12822</v>
      </c>
      <c r="N2916">
        <v>2.092758737</v>
      </c>
      <c r="O2916">
        <v>5.3323610669999999</v>
      </c>
      <c r="P2916">
        <v>0.70420098600000003</v>
      </c>
      <c r="Q2916">
        <v>0.41355372699999998</v>
      </c>
      <c r="S2916" s="13">
        <v>-1.5273102030000001</v>
      </c>
      <c r="T2916">
        <v>-0.74880344899999995</v>
      </c>
      <c r="U2916">
        <v>-0.402232321</v>
      </c>
    </row>
    <row r="2917" spans="1:21" x14ac:dyDescent="0.2">
      <c r="A2917" t="s">
        <v>1256</v>
      </c>
      <c r="B2917">
        <v>451120</v>
      </c>
      <c r="C2917" t="s">
        <v>6910</v>
      </c>
      <c r="D2917" t="s">
        <v>1257</v>
      </c>
      <c r="E2917" t="s">
        <v>6946</v>
      </c>
      <c r="F2917">
        <v>7</v>
      </c>
      <c r="G2917">
        <v>11</v>
      </c>
      <c r="H2917" t="s">
        <v>12823</v>
      </c>
      <c r="J2917" t="s">
        <v>4413</v>
      </c>
      <c r="M2917" t="s">
        <v>12824</v>
      </c>
      <c r="N2917">
        <v>1.9874741039999999</v>
      </c>
      <c r="O2917">
        <v>3.7453511220000002</v>
      </c>
      <c r="P2917">
        <v>0.451009722</v>
      </c>
      <c r="Q2917">
        <v>-0.102386592</v>
      </c>
      <c r="S2917" s="13">
        <v>-1.527327696</v>
      </c>
      <c r="T2917">
        <v>-0.74887988900000002</v>
      </c>
      <c r="U2917">
        <v>-0.25352144799999998</v>
      </c>
    </row>
    <row r="2918" spans="1:21" x14ac:dyDescent="0.2">
      <c r="A2918" t="s">
        <v>300</v>
      </c>
      <c r="B2918">
        <v>450960</v>
      </c>
      <c r="C2918" t="s">
        <v>6910</v>
      </c>
      <c r="D2918" t="s">
        <v>300</v>
      </c>
      <c r="E2918" t="s">
        <v>7006</v>
      </c>
      <c r="F2918">
        <v>19</v>
      </c>
      <c r="G2918">
        <v>3</v>
      </c>
      <c r="H2918" t="s">
        <v>12825</v>
      </c>
      <c r="J2918" t="s">
        <v>1435</v>
      </c>
      <c r="M2918" t="s">
        <v>12826</v>
      </c>
      <c r="N2918">
        <v>1.9874741039999999</v>
      </c>
      <c r="O2918">
        <v>3.7453511220000002</v>
      </c>
      <c r="P2918">
        <v>0.451009722</v>
      </c>
      <c r="Q2918">
        <v>-0.102386592</v>
      </c>
      <c r="S2918" s="13">
        <v>-1.5274998390000001</v>
      </c>
      <c r="T2918">
        <v>-0.74963211500000004</v>
      </c>
      <c r="U2918">
        <v>-0.25365647099999999</v>
      </c>
    </row>
    <row r="2919" spans="1:21" x14ac:dyDescent="0.2">
      <c r="A2919" t="s">
        <v>2791</v>
      </c>
      <c r="B2919">
        <v>65800</v>
      </c>
      <c r="C2919" t="s">
        <v>6961</v>
      </c>
      <c r="D2919" t="s">
        <v>2792</v>
      </c>
      <c r="E2919" t="s">
        <v>6921</v>
      </c>
      <c r="F2919">
        <v>6</v>
      </c>
      <c r="G2919">
        <v>8</v>
      </c>
      <c r="H2919" t="s">
        <v>12827</v>
      </c>
      <c r="J2919" t="s">
        <v>6485</v>
      </c>
      <c r="M2919" t="s">
        <v>12828</v>
      </c>
      <c r="N2919">
        <v>2.7247480949999998</v>
      </c>
      <c r="O2919">
        <v>7.0822175119999997</v>
      </c>
      <c r="P2919">
        <v>0.61298291999999999</v>
      </c>
      <c r="Q2919">
        <v>0.48262032500000002</v>
      </c>
      <c r="S2919" s="13">
        <v>-1.5277065320000001</v>
      </c>
      <c r="T2919">
        <v>-0.75053531900000003</v>
      </c>
      <c r="U2919">
        <v>-0.52734934200000005</v>
      </c>
    </row>
    <row r="2920" spans="1:21" x14ac:dyDescent="0.2">
      <c r="A2920" t="s">
        <v>749</v>
      </c>
      <c r="B2920">
        <v>573000</v>
      </c>
      <c r="C2920" t="s">
        <v>6914</v>
      </c>
      <c r="D2920" t="s">
        <v>749</v>
      </c>
      <c r="E2920" t="s">
        <v>6946</v>
      </c>
      <c r="F2920">
        <v>13</v>
      </c>
      <c r="G2920">
        <v>11</v>
      </c>
      <c r="H2920" t="s">
        <v>12829</v>
      </c>
      <c r="J2920" t="s">
        <v>5427</v>
      </c>
      <c r="M2920" t="s">
        <v>12830</v>
      </c>
      <c r="N2920">
        <v>1.8217074179999999</v>
      </c>
      <c r="O2920">
        <v>4.1700741289999996</v>
      </c>
      <c r="P2920">
        <v>0.189705977</v>
      </c>
      <c r="Q2920">
        <v>-1.7194070999999998E-2</v>
      </c>
      <c r="S2920" s="13">
        <v>-1.5277958190000001</v>
      </c>
      <c r="T2920">
        <v>-0.75092548199999998</v>
      </c>
      <c r="U2920">
        <v>-0.32069470700000002</v>
      </c>
    </row>
    <row r="2921" spans="1:21" x14ac:dyDescent="0.2">
      <c r="A2921" t="s">
        <v>458</v>
      </c>
      <c r="B2921">
        <v>414440</v>
      </c>
      <c r="C2921" t="s">
        <v>6931</v>
      </c>
      <c r="D2921" t="s">
        <v>459</v>
      </c>
      <c r="E2921" t="s">
        <v>6921</v>
      </c>
      <c r="F2921">
        <v>4</v>
      </c>
      <c r="G2921">
        <v>8</v>
      </c>
      <c r="H2921" t="s">
        <v>12831</v>
      </c>
      <c r="N2921">
        <v>1.9323965059999999</v>
      </c>
      <c r="O2921">
        <v>3.0528020530000002</v>
      </c>
      <c r="P2921">
        <v>2.6493138999999999E-2</v>
      </c>
      <c r="Q2921">
        <v>-0.38692188</v>
      </c>
      <c r="S2921" s="13">
        <v>-1.52794166</v>
      </c>
      <c r="T2921">
        <v>-0.75156277100000002</v>
      </c>
      <c r="U2921">
        <v>-0.21986087800000001</v>
      </c>
    </row>
    <row r="2922" spans="1:21" x14ac:dyDescent="0.2">
      <c r="A2922" t="s">
        <v>988</v>
      </c>
      <c r="B2922">
        <v>65440</v>
      </c>
      <c r="C2922" t="s">
        <v>6961</v>
      </c>
      <c r="D2922" t="s">
        <v>988</v>
      </c>
      <c r="E2922" t="s">
        <v>6974</v>
      </c>
      <c r="F2922">
        <v>16</v>
      </c>
      <c r="G2922">
        <v>15</v>
      </c>
      <c r="H2922" t="s">
        <v>12832</v>
      </c>
      <c r="J2922" t="s">
        <v>6377</v>
      </c>
      <c r="M2922" t="s">
        <v>12833</v>
      </c>
      <c r="N2922">
        <v>2.7247480949999998</v>
      </c>
      <c r="O2922">
        <v>7.0822175119999997</v>
      </c>
      <c r="P2922">
        <v>0.61298291999999999</v>
      </c>
      <c r="Q2922">
        <v>0.48262032500000002</v>
      </c>
      <c r="S2922" s="13">
        <v>-1.527991514</v>
      </c>
      <c r="T2922">
        <v>-0.75178062300000004</v>
      </c>
      <c r="U2922">
        <v>-0.52792034300000001</v>
      </c>
    </row>
    <row r="2923" spans="1:21" x14ac:dyDescent="0.2">
      <c r="A2923" t="s">
        <v>1409</v>
      </c>
      <c r="B2923">
        <v>536920</v>
      </c>
      <c r="C2923" t="s">
        <v>6953</v>
      </c>
      <c r="D2923" t="s">
        <v>1410</v>
      </c>
      <c r="E2923" t="s">
        <v>7115</v>
      </c>
      <c r="F2923">
        <v>6</v>
      </c>
      <c r="G2923">
        <v>10</v>
      </c>
      <c r="H2923" t="s">
        <v>12834</v>
      </c>
      <c r="J2923" t="s">
        <v>2245</v>
      </c>
      <c r="M2923" t="s">
        <v>12835</v>
      </c>
      <c r="N2923">
        <v>1.921480887</v>
      </c>
      <c r="O2923">
        <v>3.0856645180000002</v>
      </c>
      <c r="P2923">
        <v>0.44706724399999997</v>
      </c>
      <c r="Q2923">
        <v>-0.354940863</v>
      </c>
      <c r="S2923" s="13">
        <v>-1.5280884889999999</v>
      </c>
      <c r="T2923">
        <v>-0.75220438000000001</v>
      </c>
      <c r="U2923">
        <v>-0.26485641799999998</v>
      </c>
    </row>
    <row r="2924" spans="1:21" x14ac:dyDescent="0.2">
      <c r="A2924" t="s">
        <v>853</v>
      </c>
      <c r="B2924">
        <v>572560</v>
      </c>
      <c r="C2924" t="s">
        <v>6914</v>
      </c>
      <c r="D2924" t="s">
        <v>854</v>
      </c>
      <c r="E2924" t="s">
        <v>6946</v>
      </c>
      <c r="F2924">
        <v>5</v>
      </c>
      <c r="G2924">
        <v>11</v>
      </c>
      <c r="H2924" t="s">
        <v>12836</v>
      </c>
      <c r="J2924" t="s">
        <v>1746</v>
      </c>
      <c r="M2924" t="s">
        <v>12837</v>
      </c>
      <c r="N2924">
        <v>1.8217074179999999</v>
      </c>
      <c r="O2924">
        <v>4.1700741289999996</v>
      </c>
      <c r="P2924">
        <v>0.189705977</v>
      </c>
      <c r="Q2924">
        <v>-1.7194070999999998E-2</v>
      </c>
      <c r="S2924" s="13">
        <v>-1.5283250340000001</v>
      </c>
      <c r="T2924">
        <v>-0.75323803099999997</v>
      </c>
      <c r="U2924">
        <v>-0.32112828199999999</v>
      </c>
    </row>
    <row r="2925" spans="1:21" x14ac:dyDescent="0.2">
      <c r="A2925" t="s">
        <v>1431</v>
      </c>
      <c r="B2925">
        <v>471640</v>
      </c>
      <c r="C2925" t="s">
        <v>6927</v>
      </c>
      <c r="D2925" t="s">
        <v>1431</v>
      </c>
      <c r="E2925" t="s">
        <v>7115</v>
      </c>
      <c r="F2925">
        <v>11</v>
      </c>
      <c r="G2925">
        <v>10</v>
      </c>
      <c r="H2925" t="s">
        <v>12838</v>
      </c>
      <c r="J2925" t="s">
        <v>12839</v>
      </c>
      <c r="M2925" t="s">
        <v>12840</v>
      </c>
      <c r="N2925">
        <v>1.982575982</v>
      </c>
      <c r="O2925">
        <v>3.4571926419999999</v>
      </c>
      <c r="P2925">
        <v>-0.114791479</v>
      </c>
      <c r="Q2925">
        <v>1.868949E-3</v>
      </c>
      <c r="S2925" s="13">
        <v>-1.528347895</v>
      </c>
      <c r="T2925">
        <v>-0.75333792600000005</v>
      </c>
      <c r="U2925">
        <v>-0.34211404299999998</v>
      </c>
    </row>
    <row r="2926" spans="1:21" x14ac:dyDescent="0.2">
      <c r="A2926" t="s">
        <v>2188</v>
      </c>
      <c r="B2926">
        <v>396120</v>
      </c>
      <c r="C2926" t="s">
        <v>6942</v>
      </c>
      <c r="D2926" t="s">
        <v>2188</v>
      </c>
      <c r="E2926" t="s">
        <v>6907</v>
      </c>
      <c r="F2926">
        <v>11</v>
      </c>
      <c r="G2926">
        <v>4</v>
      </c>
      <c r="H2926" t="s">
        <v>12841</v>
      </c>
      <c r="J2926" t="s">
        <v>4619</v>
      </c>
      <c r="M2926" t="s">
        <v>12842</v>
      </c>
      <c r="N2926">
        <v>2.0902262079999998</v>
      </c>
      <c r="O2926">
        <v>4.2704203920000001</v>
      </c>
      <c r="P2926">
        <v>0.23425843900000001</v>
      </c>
      <c r="Q2926">
        <v>1.6181978999999999E-2</v>
      </c>
      <c r="S2926" s="13">
        <v>-1.528453369</v>
      </c>
      <c r="T2926">
        <v>-0.75379882600000003</v>
      </c>
      <c r="U2926">
        <v>-0.39389948600000002</v>
      </c>
    </row>
    <row r="2927" spans="1:21" x14ac:dyDescent="0.2">
      <c r="A2927" t="s">
        <v>1126</v>
      </c>
      <c r="B2927">
        <v>413840</v>
      </c>
      <c r="C2927" t="s">
        <v>6931</v>
      </c>
      <c r="D2927" t="s">
        <v>1126</v>
      </c>
      <c r="E2927" t="s">
        <v>6970</v>
      </c>
      <c r="F2927">
        <v>10</v>
      </c>
      <c r="G2927">
        <v>14</v>
      </c>
      <c r="H2927" t="s">
        <v>12843</v>
      </c>
      <c r="N2927">
        <v>1.9323965059999999</v>
      </c>
      <c r="O2927">
        <v>3.0528020530000002</v>
      </c>
      <c r="P2927">
        <v>2.6493138999999999E-2</v>
      </c>
      <c r="Q2927">
        <v>-0.38692188</v>
      </c>
      <c r="S2927" s="13">
        <v>-1.528730044</v>
      </c>
      <c r="T2927">
        <v>-0.75500783100000002</v>
      </c>
      <c r="U2927">
        <v>-0.220329634</v>
      </c>
    </row>
    <row r="2928" spans="1:21" x14ac:dyDescent="0.2">
      <c r="A2928" t="s">
        <v>637</v>
      </c>
      <c r="B2928">
        <v>449640</v>
      </c>
      <c r="C2928" t="s">
        <v>6938</v>
      </c>
      <c r="D2928" t="s">
        <v>637</v>
      </c>
      <c r="E2928" t="s">
        <v>6977</v>
      </c>
      <c r="F2928">
        <v>19</v>
      </c>
      <c r="G2928">
        <v>5</v>
      </c>
      <c r="H2928" t="s">
        <v>12844</v>
      </c>
      <c r="J2928" t="s">
        <v>5623</v>
      </c>
      <c r="M2928" t="s">
        <v>12845</v>
      </c>
      <c r="N2928">
        <v>2.092758737</v>
      </c>
      <c r="O2928">
        <v>5.3323610669999999</v>
      </c>
      <c r="P2928">
        <v>0.70420098600000003</v>
      </c>
      <c r="Q2928">
        <v>0.41355372699999998</v>
      </c>
      <c r="S2928" s="13">
        <v>-1.528959121</v>
      </c>
      <c r="T2928">
        <v>-0.75600884300000004</v>
      </c>
      <c r="U2928">
        <v>-0.40451990500000001</v>
      </c>
    </row>
    <row r="2929" spans="1:21" x14ac:dyDescent="0.2">
      <c r="A2929" t="s">
        <v>2885</v>
      </c>
      <c r="B2929">
        <v>482320</v>
      </c>
      <c r="C2929" t="s">
        <v>6906</v>
      </c>
      <c r="D2929" t="s">
        <v>2885</v>
      </c>
      <c r="E2929" t="s">
        <v>7085</v>
      </c>
      <c r="F2929">
        <v>11</v>
      </c>
      <c r="G2929">
        <v>9</v>
      </c>
      <c r="H2929" t="s">
        <v>12846</v>
      </c>
      <c r="J2929" t="s">
        <v>12847</v>
      </c>
      <c r="M2929" t="s">
        <v>12848</v>
      </c>
      <c r="N2929">
        <v>1.813871112</v>
      </c>
      <c r="O2929">
        <v>2.6633694910000001</v>
      </c>
      <c r="P2929">
        <v>-0.29586356800000002</v>
      </c>
      <c r="Q2929">
        <v>-0.59018158399999998</v>
      </c>
      <c r="S2929" s="13">
        <v>-1.52897142</v>
      </c>
      <c r="T2929">
        <v>-0.75606258999999998</v>
      </c>
      <c r="U2929">
        <v>-0.26102795899999998</v>
      </c>
    </row>
    <row r="2930" spans="1:21" x14ac:dyDescent="0.2">
      <c r="A2930" t="s">
        <v>438</v>
      </c>
      <c r="B2930">
        <v>482280</v>
      </c>
      <c r="C2930" t="s">
        <v>6906</v>
      </c>
      <c r="D2930" t="s">
        <v>438</v>
      </c>
      <c r="E2930" t="s">
        <v>6956</v>
      </c>
      <c r="F2930">
        <v>11</v>
      </c>
      <c r="G2930">
        <v>7</v>
      </c>
      <c r="H2930" t="s">
        <v>12849</v>
      </c>
      <c r="J2930" t="s">
        <v>12850</v>
      </c>
      <c r="M2930" t="s">
        <v>12851</v>
      </c>
      <c r="N2930">
        <v>1.813871112</v>
      </c>
      <c r="O2930">
        <v>2.6633694910000001</v>
      </c>
      <c r="P2930">
        <v>-0.29586356800000002</v>
      </c>
      <c r="Q2930">
        <v>-0.59018158399999998</v>
      </c>
      <c r="S2930" s="13">
        <v>-1.5290294499999999</v>
      </c>
      <c r="T2930">
        <v>-0.75631616700000004</v>
      </c>
      <c r="U2930">
        <v>-0.26106230000000002</v>
      </c>
    </row>
    <row r="2931" spans="1:21" x14ac:dyDescent="0.2">
      <c r="A2931" t="s">
        <v>1062</v>
      </c>
      <c r="B2931">
        <v>535960</v>
      </c>
      <c r="C2931" t="s">
        <v>6953</v>
      </c>
      <c r="D2931" t="s">
        <v>1062</v>
      </c>
      <c r="E2931" t="s">
        <v>6924</v>
      </c>
      <c r="F2931">
        <v>17</v>
      </c>
      <c r="G2931">
        <v>6</v>
      </c>
      <c r="H2931" t="s">
        <v>12852</v>
      </c>
      <c r="J2931" t="s">
        <v>1455</v>
      </c>
      <c r="M2931" t="s">
        <v>12853</v>
      </c>
      <c r="N2931">
        <v>1.921480887</v>
      </c>
      <c r="O2931">
        <v>3.0856645180000002</v>
      </c>
      <c r="P2931">
        <v>0.44706724399999997</v>
      </c>
      <c r="Q2931">
        <v>-0.354940863</v>
      </c>
      <c r="S2931" s="13">
        <v>-1.529084608</v>
      </c>
      <c r="T2931">
        <v>-0.75655719399999999</v>
      </c>
      <c r="U2931">
        <v>-0.265688649</v>
      </c>
    </row>
    <row r="2932" spans="1:21" x14ac:dyDescent="0.2">
      <c r="A2932" t="s">
        <v>500</v>
      </c>
      <c r="B2932">
        <v>470560</v>
      </c>
      <c r="C2932" t="s">
        <v>6927</v>
      </c>
      <c r="D2932" t="s">
        <v>501</v>
      </c>
      <c r="E2932" t="s">
        <v>7115</v>
      </c>
      <c r="F2932">
        <v>9</v>
      </c>
      <c r="G2932">
        <v>10</v>
      </c>
      <c r="H2932" t="s">
        <v>12854</v>
      </c>
      <c r="J2932" t="s">
        <v>12855</v>
      </c>
      <c r="M2932" t="s">
        <v>12856</v>
      </c>
      <c r="N2932">
        <v>1.982575982</v>
      </c>
      <c r="O2932">
        <v>3.4571926419999999</v>
      </c>
      <c r="P2932">
        <v>-0.114791479</v>
      </c>
      <c r="Q2932">
        <v>1.868949E-3</v>
      </c>
      <c r="S2932" s="13">
        <v>-1.5294685290000001</v>
      </c>
      <c r="T2932">
        <v>-0.75823484100000005</v>
      </c>
      <c r="U2932">
        <v>-0.34323295799999998</v>
      </c>
    </row>
    <row r="2933" spans="1:21" x14ac:dyDescent="0.2">
      <c r="A2933" t="s">
        <v>681</v>
      </c>
      <c r="B2933">
        <v>481960</v>
      </c>
      <c r="C2933" t="s">
        <v>6906</v>
      </c>
      <c r="D2933" t="s">
        <v>682</v>
      </c>
      <c r="E2933" t="s">
        <v>6907</v>
      </c>
      <c r="F2933">
        <v>5</v>
      </c>
      <c r="G2933">
        <v>4</v>
      </c>
      <c r="H2933" t="s">
        <v>12857</v>
      </c>
      <c r="J2933" t="s">
        <v>4321</v>
      </c>
      <c r="M2933" t="s">
        <v>12858</v>
      </c>
      <c r="N2933">
        <v>1.813871112</v>
      </c>
      <c r="O2933">
        <v>2.6633694910000001</v>
      </c>
      <c r="P2933">
        <v>-0.29586356800000002</v>
      </c>
      <c r="Q2933">
        <v>-0.59018158399999998</v>
      </c>
      <c r="S2933" s="13">
        <v>-1.5294936889999999</v>
      </c>
      <c r="T2933">
        <v>-0.75834478599999999</v>
      </c>
      <c r="U2933">
        <v>-0.26133712100000001</v>
      </c>
    </row>
    <row r="2934" spans="1:21" x14ac:dyDescent="0.2">
      <c r="A2934" t="s">
        <v>311</v>
      </c>
      <c r="B2934">
        <v>535560</v>
      </c>
      <c r="C2934" t="s">
        <v>6953</v>
      </c>
      <c r="D2934" t="s">
        <v>311</v>
      </c>
      <c r="E2934" t="s">
        <v>7006</v>
      </c>
      <c r="F2934">
        <v>18</v>
      </c>
      <c r="G2934">
        <v>3</v>
      </c>
      <c r="H2934" t="s">
        <v>12859</v>
      </c>
      <c r="J2934" t="s">
        <v>2152</v>
      </c>
      <c r="M2934" t="s">
        <v>12860</v>
      </c>
      <c r="N2934">
        <v>1.921480887</v>
      </c>
      <c r="O2934">
        <v>3.0856645180000002</v>
      </c>
      <c r="P2934">
        <v>0.44706724399999997</v>
      </c>
      <c r="Q2934">
        <v>-0.354940863</v>
      </c>
      <c r="S2934" s="13">
        <v>-1.529499658</v>
      </c>
      <c r="T2934">
        <v>-0.75837086600000003</v>
      </c>
      <c r="U2934">
        <v>-0.266035884</v>
      </c>
    </row>
    <row r="2935" spans="1:21" x14ac:dyDescent="0.2">
      <c r="A2935" t="s">
        <v>788</v>
      </c>
      <c r="B2935">
        <v>571520</v>
      </c>
      <c r="C2935" t="s">
        <v>6914</v>
      </c>
      <c r="D2935" t="s">
        <v>788</v>
      </c>
      <c r="E2935" t="s">
        <v>6921</v>
      </c>
      <c r="F2935">
        <v>13</v>
      </c>
      <c r="G2935">
        <v>8</v>
      </c>
      <c r="H2935" t="s">
        <v>12861</v>
      </c>
      <c r="J2935" t="s">
        <v>3809</v>
      </c>
      <c r="M2935" t="s">
        <v>12862</v>
      </c>
      <c r="N2935">
        <v>1.8217074179999999</v>
      </c>
      <c r="O2935">
        <v>4.1700741289999996</v>
      </c>
      <c r="P2935">
        <v>0.189705977</v>
      </c>
      <c r="Q2935">
        <v>-1.7194070999999998E-2</v>
      </c>
      <c r="S2935" s="13">
        <v>-1.529575906</v>
      </c>
      <c r="T2935">
        <v>-0.75870405600000002</v>
      </c>
      <c r="U2935">
        <v>-0.32215482000000001</v>
      </c>
    </row>
    <row r="2936" spans="1:21" x14ac:dyDescent="0.2">
      <c r="A2936" t="s">
        <v>63</v>
      </c>
      <c r="B2936">
        <v>394960</v>
      </c>
      <c r="C2936" t="s">
        <v>6942</v>
      </c>
      <c r="D2936" t="s">
        <v>63</v>
      </c>
      <c r="E2936" t="s">
        <v>6918</v>
      </c>
      <c r="F2936">
        <v>23</v>
      </c>
      <c r="G2936">
        <v>1</v>
      </c>
      <c r="H2936" t="s">
        <v>12863</v>
      </c>
      <c r="J2936" t="s">
        <v>4962</v>
      </c>
      <c r="M2936" t="s">
        <v>12864</v>
      </c>
      <c r="N2936">
        <v>2.0902262079999998</v>
      </c>
      <c r="O2936">
        <v>4.2704203920000001</v>
      </c>
      <c r="P2936">
        <v>0.23425843900000001</v>
      </c>
      <c r="Q2936">
        <v>1.6181978999999999E-2</v>
      </c>
      <c r="S2936" s="13">
        <v>-1.529591897</v>
      </c>
      <c r="T2936">
        <v>-0.75877393100000001</v>
      </c>
      <c r="U2936">
        <v>-0.39525384800000002</v>
      </c>
    </row>
    <row r="2937" spans="1:21" x14ac:dyDescent="0.2">
      <c r="A2937" t="s">
        <v>1275</v>
      </c>
      <c r="B2937">
        <v>481840</v>
      </c>
      <c r="C2937" t="s">
        <v>6906</v>
      </c>
      <c r="D2937" t="s">
        <v>1276</v>
      </c>
      <c r="E2937" t="s">
        <v>7085</v>
      </c>
      <c r="F2937">
        <v>5</v>
      </c>
      <c r="G2937">
        <v>9</v>
      </c>
      <c r="H2937" t="s">
        <v>12865</v>
      </c>
      <c r="J2937" t="s">
        <v>4254</v>
      </c>
      <c r="M2937" t="s">
        <v>12866</v>
      </c>
      <c r="N2937">
        <v>1.813871112</v>
      </c>
      <c r="O2937">
        <v>2.6633694910000001</v>
      </c>
      <c r="P2937">
        <v>-0.29586356800000002</v>
      </c>
      <c r="Q2937">
        <v>-0.59018158399999998</v>
      </c>
      <c r="S2937" s="13">
        <v>-1.5296677789999999</v>
      </c>
      <c r="T2937">
        <v>-0.75910551800000003</v>
      </c>
      <c r="U2937">
        <v>-0.26144022300000003</v>
      </c>
    </row>
    <row r="2938" spans="1:21" x14ac:dyDescent="0.2">
      <c r="A2938" t="s">
        <v>644</v>
      </c>
      <c r="B2938">
        <v>448840</v>
      </c>
      <c r="C2938" t="s">
        <v>6910</v>
      </c>
      <c r="D2938" t="s">
        <v>644</v>
      </c>
      <c r="E2938" t="s">
        <v>6946</v>
      </c>
      <c r="F2938">
        <v>11</v>
      </c>
      <c r="G2938">
        <v>11</v>
      </c>
      <c r="H2938" t="s">
        <v>12867</v>
      </c>
      <c r="J2938" t="s">
        <v>4968</v>
      </c>
      <c r="M2938" t="s">
        <v>12868</v>
      </c>
      <c r="N2938">
        <v>1.9874741039999999</v>
      </c>
      <c r="O2938">
        <v>3.7453511220000002</v>
      </c>
      <c r="P2938">
        <v>0.451009722</v>
      </c>
      <c r="Q2938">
        <v>-0.102386592</v>
      </c>
      <c r="S2938" s="13">
        <v>-1.5297807329999999</v>
      </c>
      <c r="T2938">
        <v>-0.75959910100000005</v>
      </c>
      <c r="U2938">
        <v>-0.25544950599999999</v>
      </c>
    </row>
    <row r="2939" spans="1:21" x14ac:dyDescent="0.2">
      <c r="A2939" t="s">
        <v>1231</v>
      </c>
      <c r="B2939">
        <v>448560</v>
      </c>
      <c r="C2939" t="s">
        <v>6938</v>
      </c>
      <c r="D2939" t="s">
        <v>1231</v>
      </c>
      <c r="E2939" t="s">
        <v>7085</v>
      </c>
      <c r="F2939">
        <v>21</v>
      </c>
      <c r="G2939">
        <v>9</v>
      </c>
      <c r="H2939" t="s">
        <v>12869</v>
      </c>
      <c r="J2939" t="s">
        <v>5585</v>
      </c>
      <c r="M2939" t="s">
        <v>12870</v>
      </c>
      <c r="N2939">
        <v>2.092758737</v>
      </c>
      <c r="O2939">
        <v>5.3323610669999999</v>
      </c>
      <c r="P2939">
        <v>0.70420098600000003</v>
      </c>
      <c r="Q2939">
        <v>0.41355372699999998</v>
      </c>
      <c r="S2939" s="13">
        <v>-1.5298866369999999</v>
      </c>
      <c r="T2939">
        <v>-0.76006187700000005</v>
      </c>
      <c r="U2939">
        <v>-0.40581198600000001</v>
      </c>
    </row>
    <row r="2940" spans="1:21" x14ac:dyDescent="0.2">
      <c r="A2940" t="s">
        <v>2902</v>
      </c>
      <c r="B2940">
        <v>62920</v>
      </c>
      <c r="C2940" t="s">
        <v>6961</v>
      </c>
      <c r="D2940" t="s">
        <v>2903</v>
      </c>
      <c r="E2940" t="s">
        <v>6977</v>
      </c>
      <c r="F2940">
        <v>6</v>
      </c>
      <c r="G2940">
        <v>5</v>
      </c>
      <c r="H2940" t="s">
        <v>12871</v>
      </c>
      <c r="J2940" t="s">
        <v>6577</v>
      </c>
      <c r="M2940" t="s">
        <v>12872</v>
      </c>
      <c r="N2940">
        <v>2.7247480949999998</v>
      </c>
      <c r="O2940">
        <v>7.0822175119999997</v>
      </c>
      <c r="P2940">
        <v>0.61298291999999999</v>
      </c>
      <c r="Q2940">
        <v>0.48262032500000002</v>
      </c>
      <c r="S2940" s="13">
        <v>-1.5299863840000001</v>
      </c>
      <c r="T2940">
        <v>-0.76049774999999997</v>
      </c>
      <c r="U2940">
        <v>-0.53193851700000006</v>
      </c>
    </row>
    <row r="2941" spans="1:21" x14ac:dyDescent="0.2">
      <c r="A2941" t="s">
        <v>529</v>
      </c>
      <c r="B2941">
        <v>481480</v>
      </c>
      <c r="C2941" t="s">
        <v>6906</v>
      </c>
      <c r="D2941" t="s">
        <v>529</v>
      </c>
      <c r="E2941" t="s">
        <v>6956</v>
      </c>
      <c r="F2941">
        <v>22</v>
      </c>
      <c r="G2941">
        <v>7</v>
      </c>
      <c r="H2941" t="s">
        <v>12873</v>
      </c>
      <c r="J2941" t="s">
        <v>531</v>
      </c>
      <c r="M2941" t="s">
        <v>12874</v>
      </c>
      <c r="N2941">
        <v>1.813871112</v>
      </c>
      <c r="O2941">
        <v>2.6633694910000001</v>
      </c>
      <c r="P2941">
        <v>-0.29586356800000002</v>
      </c>
      <c r="Q2941">
        <v>-0.59018158399999998</v>
      </c>
      <c r="S2941" s="13">
        <v>-1.5301900479999999</v>
      </c>
      <c r="T2941">
        <v>-0.76138771400000005</v>
      </c>
      <c r="U2941">
        <v>-0.26174967799999999</v>
      </c>
    </row>
    <row r="2942" spans="1:21" x14ac:dyDescent="0.2">
      <c r="A2942" t="s">
        <v>1119</v>
      </c>
      <c r="B2942">
        <v>570840</v>
      </c>
      <c r="C2942" t="s">
        <v>6914</v>
      </c>
      <c r="D2942" t="s">
        <v>1120</v>
      </c>
      <c r="E2942" t="s">
        <v>6915</v>
      </c>
      <c r="F2942">
        <v>9</v>
      </c>
      <c r="G2942">
        <v>13</v>
      </c>
      <c r="H2942" t="s">
        <v>12875</v>
      </c>
      <c r="J2942" t="s">
        <v>1453</v>
      </c>
      <c r="M2942" t="s">
        <v>12876</v>
      </c>
      <c r="N2942">
        <v>1.8217074179999999</v>
      </c>
      <c r="O2942">
        <v>4.1700741289999996</v>
      </c>
      <c r="P2942">
        <v>0.189705977</v>
      </c>
      <c r="Q2942">
        <v>-1.7194070999999998E-2</v>
      </c>
      <c r="S2942" s="13">
        <v>-1.5303937839999999</v>
      </c>
      <c r="T2942">
        <v>-0.76227799500000004</v>
      </c>
      <c r="U2942">
        <v>-0.32282733200000002</v>
      </c>
    </row>
    <row r="2943" spans="1:21" x14ac:dyDescent="0.2">
      <c r="A2943" t="s">
        <v>1788</v>
      </c>
      <c r="B2943">
        <v>412040</v>
      </c>
      <c r="C2943" t="s">
        <v>6931</v>
      </c>
      <c r="D2943" t="s">
        <v>1788</v>
      </c>
      <c r="E2943" t="s">
        <v>6956</v>
      </c>
      <c r="F2943">
        <v>10</v>
      </c>
      <c r="G2943">
        <v>7</v>
      </c>
      <c r="H2943" t="s">
        <v>12877</v>
      </c>
      <c r="N2943">
        <v>1.9323965059999999</v>
      </c>
      <c r="O2943">
        <v>3.0528020530000002</v>
      </c>
      <c r="P2943">
        <v>2.6493138999999999E-2</v>
      </c>
      <c r="Q2943">
        <v>-0.38692188</v>
      </c>
      <c r="S2943" s="13">
        <v>-1.531095197</v>
      </c>
      <c r="T2943">
        <v>-0.76534301100000002</v>
      </c>
      <c r="U2943">
        <v>-0.22173894499999999</v>
      </c>
    </row>
    <row r="2944" spans="1:21" x14ac:dyDescent="0.2">
      <c r="A2944" t="s">
        <v>2348</v>
      </c>
      <c r="B2944">
        <v>61200</v>
      </c>
      <c r="C2944" t="s">
        <v>6961</v>
      </c>
      <c r="D2944" t="s">
        <v>2348</v>
      </c>
      <c r="E2944" t="s">
        <v>6911</v>
      </c>
      <c r="F2944">
        <v>11</v>
      </c>
      <c r="G2944">
        <v>12</v>
      </c>
      <c r="H2944" t="s">
        <v>12878</v>
      </c>
      <c r="J2944" t="s">
        <v>6269</v>
      </c>
      <c r="M2944" t="s">
        <v>12879</v>
      </c>
      <c r="N2944">
        <v>2.7247480949999998</v>
      </c>
      <c r="O2944">
        <v>7.0822175119999997</v>
      </c>
      <c r="P2944">
        <v>0.61298291999999999</v>
      </c>
      <c r="Q2944">
        <v>0.48262032500000002</v>
      </c>
      <c r="S2944" s="13">
        <v>-1.5313479619999999</v>
      </c>
      <c r="T2944">
        <v>-0.76644753600000004</v>
      </c>
      <c r="U2944">
        <v>-0.53470258400000004</v>
      </c>
    </row>
    <row r="2945" spans="1:21" x14ac:dyDescent="0.2">
      <c r="A2945" t="s">
        <v>2028</v>
      </c>
      <c r="B2945">
        <v>533680</v>
      </c>
      <c r="C2945" t="s">
        <v>6953</v>
      </c>
      <c r="D2945" t="s">
        <v>2028</v>
      </c>
      <c r="E2945" t="s">
        <v>6924</v>
      </c>
      <c r="F2945">
        <v>10</v>
      </c>
      <c r="G2945">
        <v>6</v>
      </c>
      <c r="H2945" t="s">
        <v>12880</v>
      </c>
      <c r="J2945" t="s">
        <v>2030</v>
      </c>
      <c r="M2945" t="s">
        <v>12881</v>
      </c>
      <c r="N2945">
        <v>1.921480887</v>
      </c>
      <c r="O2945">
        <v>3.0856645180000002</v>
      </c>
      <c r="P2945">
        <v>0.44706724399999997</v>
      </c>
      <c r="Q2945">
        <v>-0.354940863</v>
      </c>
      <c r="S2945" s="13">
        <v>-1.5314503909999999</v>
      </c>
      <c r="T2945">
        <v>-0.76689512599999998</v>
      </c>
      <c r="U2945">
        <v>-0.26767161299999997</v>
      </c>
    </row>
    <row r="2946" spans="1:21" x14ac:dyDescent="0.2">
      <c r="A2946" t="s">
        <v>190</v>
      </c>
      <c r="B2946">
        <v>447160</v>
      </c>
      <c r="C2946" t="s">
        <v>6910</v>
      </c>
      <c r="D2946" t="s">
        <v>190</v>
      </c>
      <c r="E2946" t="s">
        <v>6946</v>
      </c>
      <c r="F2946">
        <v>10</v>
      </c>
      <c r="G2946">
        <v>11</v>
      </c>
      <c r="H2946" t="s">
        <v>12882</v>
      </c>
      <c r="J2946" t="s">
        <v>4678</v>
      </c>
      <c r="M2946" t="s">
        <v>12883</v>
      </c>
      <c r="N2946">
        <v>1.9874741039999999</v>
      </c>
      <c r="O2946">
        <v>3.7453511220000002</v>
      </c>
      <c r="P2946">
        <v>0.451009722</v>
      </c>
      <c r="Q2946">
        <v>-0.102386592</v>
      </c>
      <c r="S2946" s="13">
        <v>-1.531588234</v>
      </c>
      <c r="T2946">
        <v>-0.76749746799999996</v>
      </c>
      <c r="U2946">
        <v>-0.25687567900000002</v>
      </c>
    </row>
    <row r="2947" spans="1:21" x14ac:dyDescent="0.2">
      <c r="A2947" t="s">
        <v>2385</v>
      </c>
      <c r="B2947">
        <v>533240</v>
      </c>
      <c r="C2947" t="s">
        <v>6953</v>
      </c>
      <c r="D2947" t="s">
        <v>2385</v>
      </c>
      <c r="E2947" t="s">
        <v>6911</v>
      </c>
      <c r="F2947">
        <v>19</v>
      </c>
      <c r="G2947">
        <v>12</v>
      </c>
      <c r="H2947" t="s">
        <v>12884</v>
      </c>
      <c r="J2947" t="s">
        <v>4525</v>
      </c>
      <c r="M2947" t="s">
        <v>12885</v>
      </c>
      <c r="N2947">
        <v>1.921480887</v>
      </c>
      <c r="O2947">
        <v>3.0856645180000002</v>
      </c>
      <c r="P2947">
        <v>0.44706724399999997</v>
      </c>
      <c r="Q2947">
        <v>-0.354940863</v>
      </c>
      <c r="S2947" s="13">
        <v>-1.5319069460000001</v>
      </c>
      <c r="T2947">
        <v>-0.76889016600000004</v>
      </c>
      <c r="U2947">
        <v>-0.26805533500000001</v>
      </c>
    </row>
    <row r="2948" spans="1:21" x14ac:dyDescent="0.2">
      <c r="A2948" t="s">
        <v>1101</v>
      </c>
      <c r="B2948">
        <v>411320</v>
      </c>
      <c r="C2948" t="s">
        <v>6931</v>
      </c>
      <c r="D2948" t="s">
        <v>1101</v>
      </c>
      <c r="E2948" t="s">
        <v>6911</v>
      </c>
      <c r="F2948">
        <v>14</v>
      </c>
      <c r="G2948">
        <v>12</v>
      </c>
      <c r="H2948" t="s">
        <v>12886</v>
      </c>
      <c r="N2948">
        <v>1.9323965059999999</v>
      </c>
      <c r="O2948">
        <v>3.0528020530000002</v>
      </c>
      <c r="P2948">
        <v>2.6493138999999999E-2</v>
      </c>
      <c r="Q2948">
        <v>-0.38692188</v>
      </c>
      <c r="S2948" s="13">
        <v>-1.5320412590000001</v>
      </c>
      <c r="T2948">
        <v>-0.76947708299999995</v>
      </c>
      <c r="U2948">
        <v>-0.222303952</v>
      </c>
    </row>
    <row r="2949" spans="1:21" x14ac:dyDescent="0.2">
      <c r="A2949" t="s">
        <v>203</v>
      </c>
      <c r="B2949">
        <v>392400</v>
      </c>
      <c r="C2949" t="s">
        <v>6942</v>
      </c>
      <c r="D2949" t="s">
        <v>204</v>
      </c>
      <c r="E2949" t="s">
        <v>6915</v>
      </c>
      <c r="F2949">
        <v>1</v>
      </c>
      <c r="G2949">
        <v>13</v>
      </c>
      <c r="H2949" t="s">
        <v>12887</v>
      </c>
      <c r="J2949" t="s">
        <v>3752</v>
      </c>
      <c r="M2949" t="s">
        <v>12888</v>
      </c>
      <c r="N2949">
        <v>2.0902262079999998</v>
      </c>
      <c r="O2949">
        <v>4.2704203920000001</v>
      </c>
      <c r="P2949">
        <v>0.23425843900000001</v>
      </c>
      <c r="Q2949">
        <v>1.6181978999999999E-2</v>
      </c>
      <c r="S2949" s="13">
        <v>-1.5321045090000001</v>
      </c>
      <c r="T2949">
        <v>-0.76975347100000002</v>
      </c>
      <c r="U2949">
        <v>-0.39825781500000002</v>
      </c>
    </row>
    <row r="2950" spans="1:21" x14ac:dyDescent="0.2">
      <c r="A2950" t="s">
        <v>1198</v>
      </c>
      <c r="B2950">
        <v>303200</v>
      </c>
      <c r="C2950" t="s">
        <v>6945</v>
      </c>
      <c r="D2950" t="s">
        <v>1199</v>
      </c>
      <c r="E2950" t="s">
        <v>6924</v>
      </c>
      <c r="F2950">
        <v>2</v>
      </c>
      <c r="G2950">
        <v>6</v>
      </c>
      <c r="H2950" t="s">
        <v>12889</v>
      </c>
      <c r="J2950" t="s">
        <v>6029</v>
      </c>
      <c r="M2950" t="s">
        <v>12890</v>
      </c>
      <c r="N2950">
        <v>2.2220813349999999</v>
      </c>
      <c r="O2950">
        <v>6.5440947090000003</v>
      </c>
      <c r="P2950">
        <v>0.58228215500000002</v>
      </c>
      <c r="Q2950">
        <v>0.35188233000000002</v>
      </c>
      <c r="S2950" s="13">
        <v>-1.5322869699999999</v>
      </c>
      <c r="T2950">
        <v>-0.77055078499999996</v>
      </c>
      <c r="U2950">
        <v>-0.420507562</v>
      </c>
    </row>
    <row r="2951" spans="1:21" x14ac:dyDescent="0.2">
      <c r="A2951" t="s">
        <v>2885</v>
      </c>
      <c r="B2951">
        <v>569240</v>
      </c>
      <c r="C2951" t="s">
        <v>6914</v>
      </c>
      <c r="D2951" t="s">
        <v>2885</v>
      </c>
      <c r="E2951" t="s">
        <v>7085</v>
      </c>
      <c r="F2951">
        <v>11</v>
      </c>
      <c r="G2951">
        <v>9</v>
      </c>
      <c r="H2951" t="s">
        <v>12891</v>
      </c>
      <c r="J2951" t="s">
        <v>3462</v>
      </c>
      <c r="M2951" t="s">
        <v>12892</v>
      </c>
      <c r="N2951">
        <v>1.8217074179999999</v>
      </c>
      <c r="O2951">
        <v>4.1700741289999996</v>
      </c>
      <c r="P2951">
        <v>0.189705977</v>
      </c>
      <c r="Q2951">
        <v>-1.7194070999999998E-2</v>
      </c>
      <c r="S2951" s="13">
        <v>-1.532318203</v>
      </c>
      <c r="T2951">
        <v>-0.77068726399999998</v>
      </c>
      <c r="U2951">
        <v>-0.32441383400000001</v>
      </c>
    </row>
    <row r="2952" spans="1:21" x14ac:dyDescent="0.2">
      <c r="A2952" t="s">
        <v>607</v>
      </c>
      <c r="B2952">
        <v>411080</v>
      </c>
      <c r="C2952" t="s">
        <v>6931</v>
      </c>
      <c r="D2952" t="s">
        <v>607</v>
      </c>
      <c r="E2952" t="s">
        <v>6915</v>
      </c>
      <c r="F2952">
        <v>18</v>
      </c>
      <c r="G2952">
        <v>13</v>
      </c>
      <c r="H2952" t="s">
        <v>12893</v>
      </c>
      <c r="N2952">
        <v>1.9323965059999999</v>
      </c>
      <c r="O2952">
        <v>3.0528020530000002</v>
      </c>
      <c r="P2952">
        <v>2.6493138999999999E-2</v>
      </c>
      <c r="Q2952">
        <v>-0.38692188</v>
      </c>
      <c r="S2952" s="13">
        <v>-1.5323566129999999</v>
      </c>
      <c r="T2952">
        <v>-0.77085510599999996</v>
      </c>
      <c r="U2952">
        <v>-0.22249245100000001</v>
      </c>
    </row>
    <row r="2953" spans="1:21" x14ac:dyDescent="0.2">
      <c r="A2953" t="s">
        <v>2335</v>
      </c>
      <c r="B2953">
        <v>532640</v>
      </c>
      <c r="C2953" t="s">
        <v>6953</v>
      </c>
      <c r="D2953" t="s">
        <v>2335</v>
      </c>
      <c r="E2953" t="s">
        <v>6915</v>
      </c>
      <c r="F2953">
        <v>13</v>
      </c>
      <c r="G2953">
        <v>13</v>
      </c>
      <c r="H2953" t="s">
        <v>12894</v>
      </c>
      <c r="J2953" t="s">
        <v>4556</v>
      </c>
      <c r="M2953" t="s">
        <v>12895</v>
      </c>
      <c r="N2953">
        <v>1.921480887</v>
      </c>
      <c r="O2953">
        <v>3.0856645180000002</v>
      </c>
      <c r="P2953">
        <v>0.44706724399999997</v>
      </c>
      <c r="Q2953">
        <v>-0.354940863</v>
      </c>
      <c r="S2953" s="13">
        <v>-1.53252952</v>
      </c>
      <c r="T2953">
        <v>-0.77161067400000005</v>
      </c>
      <c r="U2953">
        <v>-0.26857913900000002</v>
      </c>
    </row>
    <row r="2954" spans="1:21" x14ac:dyDescent="0.2">
      <c r="A2954" t="s">
        <v>929</v>
      </c>
      <c r="B2954">
        <v>410840</v>
      </c>
      <c r="C2954" t="s">
        <v>6931</v>
      </c>
      <c r="D2954" t="s">
        <v>929</v>
      </c>
      <c r="E2954" t="s">
        <v>6956</v>
      </c>
      <c r="F2954">
        <v>19</v>
      </c>
      <c r="G2954">
        <v>7</v>
      </c>
      <c r="H2954" t="s">
        <v>12896</v>
      </c>
      <c r="N2954">
        <v>1.9323965059999999</v>
      </c>
      <c r="O2954">
        <v>3.0528020530000002</v>
      </c>
      <c r="P2954">
        <v>2.6493138999999999E-2</v>
      </c>
      <c r="Q2954">
        <v>-0.38692188</v>
      </c>
      <c r="S2954" s="13">
        <v>-1.5326719660000001</v>
      </c>
      <c r="T2954">
        <v>-0.77223313000000005</v>
      </c>
      <c r="U2954">
        <v>-0.222681032</v>
      </c>
    </row>
    <row r="2955" spans="1:21" x14ac:dyDescent="0.2">
      <c r="A2955" t="s">
        <v>1736</v>
      </c>
      <c r="B2955">
        <v>467400</v>
      </c>
      <c r="C2955" t="s">
        <v>6927</v>
      </c>
      <c r="D2955" t="s">
        <v>1736</v>
      </c>
      <c r="E2955" t="s">
        <v>6924</v>
      </c>
      <c r="F2955">
        <v>16</v>
      </c>
      <c r="G2955">
        <v>6</v>
      </c>
      <c r="H2955" t="s">
        <v>12897</v>
      </c>
      <c r="J2955" t="s">
        <v>12898</v>
      </c>
      <c r="M2955" t="s">
        <v>12899</v>
      </c>
      <c r="N2955">
        <v>1.982575982</v>
      </c>
      <c r="O2955">
        <v>3.4571926419999999</v>
      </c>
      <c r="P2955">
        <v>-0.114791479</v>
      </c>
      <c r="Q2955">
        <v>1.868949E-3</v>
      </c>
      <c r="S2955" s="13">
        <v>-1.5327474219999999</v>
      </c>
      <c r="T2955">
        <v>-0.77256285199999997</v>
      </c>
      <c r="U2955">
        <v>-0.346523478</v>
      </c>
    </row>
    <row r="2956" spans="1:21" x14ac:dyDescent="0.2">
      <c r="A2956" t="s">
        <v>1335</v>
      </c>
      <c r="B2956">
        <v>445120</v>
      </c>
      <c r="C2956" t="s">
        <v>6938</v>
      </c>
      <c r="D2956" t="s">
        <v>1335</v>
      </c>
      <c r="E2956" t="s">
        <v>6915</v>
      </c>
      <c r="F2956">
        <v>12</v>
      </c>
      <c r="G2956">
        <v>13</v>
      </c>
      <c r="H2956" t="s">
        <v>12900</v>
      </c>
      <c r="J2956" t="s">
        <v>2596</v>
      </c>
      <c r="M2956" t="s">
        <v>12901</v>
      </c>
      <c r="N2956">
        <v>2.092758737</v>
      </c>
      <c r="O2956">
        <v>5.3323610669999999</v>
      </c>
      <c r="P2956">
        <v>0.70420098600000003</v>
      </c>
      <c r="Q2956">
        <v>0.41355372699999998</v>
      </c>
      <c r="S2956" s="13">
        <v>-1.532840948</v>
      </c>
      <c r="T2956">
        <v>-0.77297154199999996</v>
      </c>
      <c r="U2956">
        <v>-0.40995331499999998</v>
      </c>
    </row>
    <row r="2957" spans="1:21" x14ac:dyDescent="0.2">
      <c r="A2957" t="s">
        <v>2118</v>
      </c>
      <c r="B2957">
        <v>532200</v>
      </c>
      <c r="C2957" t="s">
        <v>6953</v>
      </c>
      <c r="D2957" t="s">
        <v>2119</v>
      </c>
      <c r="E2957" t="s">
        <v>6974</v>
      </c>
      <c r="F2957">
        <v>4</v>
      </c>
      <c r="G2957">
        <v>15</v>
      </c>
      <c r="H2957" t="s">
        <v>12902</v>
      </c>
      <c r="J2957" t="s">
        <v>5387</v>
      </c>
      <c r="M2957" t="s">
        <v>12903</v>
      </c>
      <c r="N2957">
        <v>1.921480887</v>
      </c>
      <c r="O2957">
        <v>3.0856645180000002</v>
      </c>
      <c r="P2957">
        <v>0.44706724399999997</v>
      </c>
      <c r="Q2957">
        <v>-0.354940863</v>
      </c>
      <c r="S2957" s="13">
        <v>-1.5329860749999999</v>
      </c>
      <c r="T2957">
        <v>-0.773605714</v>
      </c>
      <c r="U2957">
        <v>-0.26896366399999999</v>
      </c>
    </row>
    <row r="2958" spans="1:21" x14ac:dyDescent="0.2">
      <c r="A2958" t="s">
        <v>839</v>
      </c>
      <c r="B2958">
        <v>531840</v>
      </c>
      <c r="C2958" t="s">
        <v>6953</v>
      </c>
      <c r="D2958" t="s">
        <v>840</v>
      </c>
      <c r="E2958" t="s">
        <v>6928</v>
      </c>
      <c r="F2958">
        <v>5</v>
      </c>
      <c r="G2958">
        <v>16</v>
      </c>
      <c r="H2958" t="s">
        <v>12904</v>
      </c>
      <c r="J2958" t="s">
        <v>1308</v>
      </c>
      <c r="M2958" t="s">
        <v>12905</v>
      </c>
      <c r="N2958">
        <v>1.921480887</v>
      </c>
      <c r="O2958">
        <v>3.0856645180000002</v>
      </c>
      <c r="P2958">
        <v>0.44706724399999997</v>
      </c>
      <c r="Q2958">
        <v>-0.354940863</v>
      </c>
      <c r="S2958" s="13">
        <v>-1.5333596199999999</v>
      </c>
      <c r="T2958">
        <v>-0.775238019</v>
      </c>
      <c r="U2958">
        <v>-0.26927852800000002</v>
      </c>
    </row>
    <row r="2959" spans="1:21" x14ac:dyDescent="0.2">
      <c r="A2959" t="s">
        <v>1426</v>
      </c>
      <c r="B2959">
        <v>444400</v>
      </c>
      <c r="C2959" t="s">
        <v>6938</v>
      </c>
      <c r="D2959" t="s">
        <v>1426</v>
      </c>
      <c r="E2959" t="s">
        <v>6907</v>
      </c>
      <c r="F2959">
        <v>15</v>
      </c>
      <c r="G2959">
        <v>4</v>
      </c>
      <c r="H2959" t="s">
        <v>12906</v>
      </c>
      <c r="J2959" t="s">
        <v>4539</v>
      </c>
      <c r="M2959" t="s">
        <v>12907</v>
      </c>
      <c r="N2959">
        <v>2.092758737</v>
      </c>
      <c r="O2959">
        <v>5.3323610669999999</v>
      </c>
      <c r="P2959">
        <v>0.70420098600000003</v>
      </c>
      <c r="Q2959">
        <v>0.41355372699999998</v>
      </c>
      <c r="S2959" s="13">
        <v>-1.5334592920000001</v>
      </c>
      <c r="T2959">
        <v>-0.77567356499999995</v>
      </c>
      <c r="U2959">
        <v>-0.41082512500000001</v>
      </c>
    </row>
    <row r="2960" spans="1:21" x14ac:dyDescent="0.2">
      <c r="A2960" t="s">
        <v>1778</v>
      </c>
      <c r="B2960">
        <v>466480</v>
      </c>
      <c r="C2960" t="s">
        <v>6927</v>
      </c>
      <c r="D2960" t="s">
        <v>1778</v>
      </c>
      <c r="E2960" t="s">
        <v>6974</v>
      </c>
      <c r="F2960">
        <v>21</v>
      </c>
      <c r="G2960">
        <v>15</v>
      </c>
      <c r="H2960" t="s">
        <v>12908</v>
      </c>
      <c r="J2960" t="s">
        <v>12909</v>
      </c>
      <c r="M2960" t="s">
        <v>12910</v>
      </c>
      <c r="N2960">
        <v>1.982575982</v>
      </c>
      <c r="O2960">
        <v>3.4571926419999999</v>
      </c>
      <c r="P2960">
        <v>-0.114791479</v>
      </c>
      <c r="Q2960">
        <v>1.868949E-3</v>
      </c>
      <c r="S2960" s="13">
        <v>-1.533702036</v>
      </c>
      <c r="T2960">
        <v>-0.77673429800000005</v>
      </c>
      <c r="U2960">
        <v>-0.34748618199999998</v>
      </c>
    </row>
    <row r="2961" spans="1:21" x14ac:dyDescent="0.2">
      <c r="A2961" t="s">
        <v>1436</v>
      </c>
      <c r="B2961">
        <v>409280</v>
      </c>
      <c r="C2961" t="s">
        <v>6931</v>
      </c>
      <c r="D2961" t="s">
        <v>1437</v>
      </c>
      <c r="E2961" t="s">
        <v>6907</v>
      </c>
      <c r="F2961">
        <v>6</v>
      </c>
      <c r="G2961">
        <v>4</v>
      </c>
      <c r="H2961" t="s">
        <v>12911</v>
      </c>
      <c r="N2961">
        <v>1.9323965059999999</v>
      </c>
      <c r="O2961">
        <v>3.0528020530000002</v>
      </c>
      <c r="P2961">
        <v>2.6493138999999999E-2</v>
      </c>
      <c r="Q2961">
        <v>-0.38692188</v>
      </c>
      <c r="S2961" s="13">
        <v>-1.5347217660000001</v>
      </c>
      <c r="T2961">
        <v>-0.78119028599999996</v>
      </c>
      <c r="U2961">
        <v>-0.22390881000000001</v>
      </c>
    </row>
    <row r="2962" spans="1:21" x14ac:dyDescent="0.2">
      <c r="A2962" t="s">
        <v>494</v>
      </c>
      <c r="B2962">
        <v>56360</v>
      </c>
      <c r="C2962" t="s">
        <v>6961</v>
      </c>
      <c r="D2962" t="s">
        <v>495</v>
      </c>
      <c r="E2962" t="s">
        <v>6939</v>
      </c>
      <c r="F2962">
        <v>5</v>
      </c>
      <c r="G2962">
        <v>2</v>
      </c>
      <c r="H2962" t="s">
        <v>12912</v>
      </c>
      <c r="J2962" t="s">
        <v>6455</v>
      </c>
      <c r="M2962" t="s">
        <v>12913</v>
      </c>
      <c r="N2962">
        <v>2.7247480949999998</v>
      </c>
      <c r="O2962">
        <v>7.0822175119999997</v>
      </c>
      <c r="P2962">
        <v>0.61298291999999999</v>
      </c>
      <c r="Q2962">
        <v>0.48262032500000002</v>
      </c>
      <c r="S2962" s="13">
        <v>-1.53517938</v>
      </c>
      <c r="T2962">
        <v>-0.78318995499999999</v>
      </c>
      <c r="U2962">
        <v>-0.54257628800000002</v>
      </c>
    </row>
    <row r="2963" spans="1:21" x14ac:dyDescent="0.2">
      <c r="A2963" t="s">
        <v>79</v>
      </c>
      <c r="B2963">
        <v>477840</v>
      </c>
      <c r="C2963" t="s">
        <v>6906</v>
      </c>
      <c r="D2963" t="s">
        <v>80</v>
      </c>
      <c r="E2963" t="s">
        <v>6946</v>
      </c>
      <c r="F2963">
        <v>1</v>
      </c>
      <c r="G2963">
        <v>11</v>
      </c>
      <c r="H2963" t="s">
        <v>12914</v>
      </c>
      <c r="J2963" t="s">
        <v>4304</v>
      </c>
      <c r="M2963" t="s">
        <v>12915</v>
      </c>
      <c r="N2963">
        <v>1.813871112</v>
      </c>
      <c r="O2963">
        <v>2.6633694910000001</v>
      </c>
      <c r="P2963">
        <v>-0.29586356800000002</v>
      </c>
      <c r="Q2963">
        <v>-0.59018158399999998</v>
      </c>
      <c r="S2963" s="13">
        <v>-1.5354707670000001</v>
      </c>
      <c r="T2963">
        <v>-0.78446325100000003</v>
      </c>
      <c r="U2963">
        <v>-0.26489106299999998</v>
      </c>
    </row>
    <row r="2964" spans="1:21" x14ac:dyDescent="0.2">
      <c r="A2964" t="s">
        <v>1431</v>
      </c>
      <c r="B2964">
        <v>443240</v>
      </c>
      <c r="C2964" t="s">
        <v>6910</v>
      </c>
      <c r="D2964" t="s">
        <v>1431</v>
      </c>
      <c r="E2964" t="s">
        <v>7115</v>
      </c>
      <c r="F2964">
        <v>11</v>
      </c>
      <c r="G2964">
        <v>10</v>
      </c>
      <c r="H2964" t="s">
        <v>12916</v>
      </c>
      <c r="J2964" t="s">
        <v>6059</v>
      </c>
      <c r="M2964" t="s">
        <v>12917</v>
      </c>
      <c r="N2964">
        <v>1.9874741039999999</v>
      </c>
      <c r="O2964">
        <v>3.7453511220000002</v>
      </c>
      <c r="P2964">
        <v>0.451009722</v>
      </c>
      <c r="Q2964">
        <v>-0.102386592</v>
      </c>
      <c r="S2964" s="13">
        <v>-1.535805737</v>
      </c>
      <c r="T2964">
        <v>-0.78592698999999999</v>
      </c>
      <c r="U2964">
        <v>-0.26022173999999998</v>
      </c>
    </row>
    <row r="2965" spans="1:21" x14ac:dyDescent="0.2">
      <c r="A2965" t="s">
        <v>632</v>
      </c>
      <c r="B2965">
        <v>528640</v>
      </c>
      <c r="C2965" t="s">
        <v>6953</v>
      </c>
      <c r="D2965" t="s">
        <v>632</v>
      </c>
      <c r="E2965" t="s">
        <v>6924</v>
      </c>
      <c r="F2965">
        <v>18</v>
      </c>
      <c r="G2965">
        <v>6</v>
      </c>
      <c r="H2965" t="s">
        <v>12918</v>
      </c>
      <c r="J2965" t="s">
        <v>5431</v>
      </c>
      <c r="M2965" t="s">
        <v>12919</v>
      </c>
      <c r="N2965">
        <v>1.921480887</v>
      </c>
      <c r="O2965">
        <v>3.0856645180000002</v>
      </c>
      <c r="P2965">
        <v>0.44706724399999997</v>
      </c>
      <c r="Q2965">
        <v>-0.354940863</v>
      </c>
      <c r="S2965" s="13">
        <v>-1.5366800169999999</v>
      </c>
      <c r="T2965">
        <v>-0.78974739699999996</v>
      </c>
      <c r="U2965">
        <v>-0.27208740399999998</v>
      </c>
    </row>
    <row r="2966" spans="1:21" x14ac:dyDescent="0.2">
      <c r="A2966" t="s">
        <v>2294</v>
      </c>
      <c r="B2966">
        <v>53640</v>
      </c>
      <c r="C2966" t="s">
        <v>6961</v>
      </c>
      <c r="D2966" t="s">
        <v>2294</v>
      </c>
      <c r="E2966" t="s">
        <v>7085</v>
      </c>
      <c r="F2966">
        <v>20</v>
      </c>
      <c r="G2966">
        <v>9</v>
      </c>
      <c r="H2966" t="s">
        <v>12920</v>
      </c>
      <c r="J2966" t="s">
        <v>6345</v>
      </c>
      <c r="M2966" t="s">
        <v>12921</v>
      </c>
      <c r="N2966">
        <v>2.7247480949999998</v>
      </c>
      <c r="O2966">
        <v>7.0822175119999997</v>
      </c>
      <c r="P2966">
        <v>0.61298291999999999</v>
      </c>
      <c r="Q2966">
        <v>0.48262032500000002</v>
      </c>
      <c r="S2966" s="13">
        <v>-1.537332573</v>
      </c>
      <c r="T2966">
        <v>-0.79259891800000004</v>
      </c>
      <c r="U2966">
        <v>-0.54706464799999999</v>
      </c>
    </row>
    <row r="2967" spans="1:21" x14ac:dyDescent="0.2">
      <c r="A2967" t="s">
        <v>644</v>
      </c>
      <c r="B2967">
        <v>565040</v>
      </c>
      <c r="C2967" t="s">
        <v>6914</v>
      </c>
      <c r="D2967" t="s">
        <v>644</v>
      </c>
      <c r="E2967" t="s">
        <v>6946</v>
      </c>
      <c r="F2967">
        <v>11</v>
      </c>
      <c r="G2967">
        <v>11</v>
      </c>
      <c r="H2967" t="s">
        <v>12922</v>
      </c>
      <c r="J2967" t="s">
        <v>5885</v>
      </c>
      <c r="M2967" t="s">
        <v>12923</v>
      </c>
      <c r="N2967">
        <v>1.8217074179999999</v>
      </c>
      <c r="O2967">
        <v>4.1700741289999996</v>
      </c>
      <c r="P2967">
        <v>0.189705977</v>
      </c>
      <c r="Q2967">
        <v>-1.7194070999999998E-2</v>
      </c>
      <c r="S2967" s="13">
        <v>-1.5373698010000001</v>
      </c>
      <c r="T2967">
        <v>-0.79276159400000001</v>
      </c>
      <c r="U2967">
        <v>-0.32860618800000002</v>
      </c>
    </row>
    <row r="2968" spans="1:21" x14ac:dyDescent="0.2">
      <c r="A2968" t="s">
        <v>832</v>
      </c>
      <c r="B2968">
        <v>476480</v>
      </c>
      <c r="C2968" t="s">
        <v>6906</v>
      </c>
      <c r="D2968" t="s">
        <v>832</v>
      </c>
      <c r="E2968" t="s">
        <v>6924</v>
      </c>
      <c r="F2968">
        <v>21</v>
      </c>
      <c r="G2968">
        <v>6</v>
      </c>
      <c r="H2968" t="s">
        <v>12924</v>
      </c>
      <c r="J2968" t="s">
        <v>4329</v>
      </c>
      <c r="M2968" t="s">
        <v>12925</v>
      </c>
      <c r="N2968">
        <v>1.813871112</v>
      </c>
      <c r="O2968">
        <v>2.6633694910000001</v>
      </c>
      <c r="P2968">
        <v>-0.29586356800000002</v>
      </c>
      <c r="Q2968">
        <v>-0.59018158399999998</v>
      </c>
      <c r="S2968" s="13">
        <v>-1.5374437839999999</v>
      </c>
      <c r="T2968">
        <v>-0.79308488099999996</v>
      </c>
      <c r="U2968">
        <v>-0.26607062199999998</v>
      </c>
    </row>
    <row r="2969" spans="1:21" x14ac:dyDescent="0.2">
      <c r="A2969" t="s">
        <v>846</v>
      </c>
      <c r="B2969">
        <v>527840</v>
      </c>
      <c r="C2969" t="s">
        <v>6953</v>
      </c>
      <c r="D2969" t="s">
        <v>847</v>
      </c>
      <c r="E2969" t="s">
        <v>6911</v>
      </c>
      <c r="F2969">
        <v>9</v>
      </c>
      <c r="G2969">
        <v>12</v>
      </c>
      <c r="H2969" t="s">
        <v>12926</v>
      </c>
      <c r="J2969" t="s">
        <v>4317</v>
      </c>
      <c r="M2969" t="s">
        <v>12927</v>
      </c>
      <c r="N2969">
        <v>1.921480887</v>
      </c>
      <c r="O2969">
        <v>3.0856645180000002</v>
      </c>
      <c r="P2969">
        <v>0.44706724399999997</v>
      </c>
      <c r="Q2969">
        <v>-0.354940863</v>
      </c>
      <c r="S2969" s="13">
        <v>-1.5375101170000001</v>
      </c>
      <c r="T2969">
        <v>-0.79337474200000002</v>
      </c>
      <c r="U2969">
        <v>-0.27279247000000001</v>
      </c>
    </row>
    <row r="2970" spans="1:21" x14ac:dyDescent="0.2">
      <c r="A2970" t="s">
        <v>1123</v>
      </c>
      <c r="B2970">
        <v>406920</v>
      </c>
      <c r="C2970" t="s">
        <v>6931</v>
      </c>
      <c r="D2970" t="s">
        <v>1123</v>
      </c>
      <c r="E2970" t="s">
        <v>6946</v>
      </c>
      <c r="F2970">
        <v>16</v>
      </c>
      <c r="G2970">
        <v>11</v>
      </c>
      <c r="H2970" t="s">
        <v>12928</v>
      </c>
      <c r="N2970">
        <v>1.9323965059999999</v>
      </c>
      <c r="O2970">
        <v>3.0528020530000002</v>
      </c>
      <c r="P2970">
        <v>2.6493138999999999E-2</v>
      </c>
      <c r="Q2970">
        <v>-0.38692188</v>
      </c>
      <c r="S2970" s="13">
        <v>-1.5378227449999999</v>
      </c>
      <c r="T2970">
        <v>-0.79474085500000002</v>
      </c>
      <c r="U2970">
        <v>-0.225772839</v>
      </c>
    </row>
    <row r="2971" spans="1:21" x14ac:dyDescent="0.2">
      <c r="A2971" t="s">
        <v>560</v>
      </c>
      <c r="B2971">
        <v>52360</v>
      </c>
      <c r="C2971" t="s">
        <v>6961</v>
      </c>
      <c r="D2971" t="s">
        <v>560</v>
      </c>
      <c r="E2971" t="s">
        <v>6928</v>
      </c>
      <c r="F2971">
        <v>13</v>
      </c>
      <c r="G2971">
        <v>16</v>
      </c>
      <c r="H2971" t="s">
        <v>12929</v>
      </c>
      <c r="J2971" t="s">
        <v>6265</v>
      </c>
      <c r="M2971" t="s">
        <v>12930</v>
      </c>
      <c r="N2971">
        <v>2.7247480949999998</v>
      </c>
      <c r="O2971">
        <v>7.0822175119999997</v>
      </c>
      <c r="P2971">
        <v>0.61298291999999999</v>
      </c>
      <c r="Q2971">
        <v>0.48262032500000002</v>
      </c>
      <c r="S2971" s="13">
        <v>-1.5383458409999999</v>
      </c>
      <c r="T2971">
        <v>-0.79702666499999997</v>
      </c>
      <c r="U2971">
        <v>-0.54919297600000005</v>
      </c>
    </row>
    <row r="2972" spans="1:21" x14ac:dyDescent="0.2">
      <c r="A2972" t="s">
        <v>435</v>
      </c>
      <c r="B2972">
        <v>564200</v>
      </c>
      <c r="C2972" t="s">
        <v>6914</v>
      </c>
      <c r="D2972" t="s">
        <v>435</v>
      </c>
      <c r="E2972" t="s">
        <v>6915</v>
      </c>
      <c r="F2972">
        <v>14</v>
      </c>
      <c r="G2972">
        <v>13</v>
      </c>
      <c r="H2972" t="s">
        <v>12931</v>
      </c>
      <c r="J2972" t="s">
        <v>4560</v>
      </c>
      <c r="M2972" t="s">
        <v>12932</v>
      </c>
      <c r="N2972">
        <v>1.8217074179999999</v>
      </c>
      <c r="O2972">
        <v>4.1700741289999996</v>
      </c>
      <c r="P2972">
        <v>0.189705977</v>
      </c>
      <c r="Q2972">
        <v>-1.7194070999999998E-2</v>
      </c>
      <c r="S2972" s="13">
        <v>-1.5383801210000001</v>
      </c>
      <c r="T2972">
        <v>-0.79717645999999998</v>
      </c>
      <c r="U2972">
        <v>-0.32944953700000001</v>
      </c>
    </row>
    <row r="2973" spans="1:21" x14ac:dyDescent="0.2">
      <c r="A2973" t="s">
        <v>2315</v>
      </c>
      <c r="B2973">
        <v>564080</v>
      </c>
      <c r="C2973" t="s">
        <v>6914</v>
      </c>
      <c r="D2973" t="s">
        <v>2316</v>
      </c>
      <c r="E2973" t="s">
        <v>6911</v>
      </c>
      <c r="F2973">
        <v>4</v>
      </c>
      <c r="G2973">
        <v>12</v>
      </c>
      <c r="H2973" t="s">
        <v>12933</v>
      </c>
      <c r="J2973" t="s">
        <v>5231</v>
      </c>
      <c r="M2973" t="s">
        <v>12934</v>
      </c>
      <c r="N2973">
        <v>1.8217074179999999</v>
      </c>
      <c r="O2973">
        <v>4.1700741289999996</v>
      </c>
      <c r="P2973">
        <v>0.189705977</v>
      </c>
      <c r="Q2973">
        <v>-1.7194070999999998E-2</v>
      </c>
      <c r="S2973" s="13">
        <v>-1.5385244520000001</v>
      </c>
      <c r="T2973">
        <v>-0.79780715499999999</v>
      </c>
      <c r="U2973">
        <v>-0.32957014899999998</v>
      </c>
    </row>
    <row r="2974" spans="1:21" x14ac:dyDescent="0.2">
      <c r="A2974" t="s">
        <v>1391</v>
      </c>
      <c r="B2974">
        <v>564000</v>
      </c>
      <c r="C2974" t="s">
        <v>6914</v>
      </c>
      <c r="D2974" t="s">
        <v>1391</v>
      </c>
      <c r="E2974" t="s">
        <v>7085</v>
      </c>
      <c r="F2974">
        <v>12</v>
      </c>
      <c r="G2974">
        <v>9</v>
      </c>
      <c r="H2974" t="s">
        <v>12935</v>
      </c>
      <c r="J2974" t="s">
        <v>3040</v>
      </c>
      <c r="M2974" t="s">
        <v>12936</v>
      </c>
      <c r="N2974">
        <v>1.8217074179999999</v>
      </c>
      <c r="O2974">
        <v>4.1700741289999996</v>
      </c>
      <c r="P2974">
        <v>0.189705977</v>
      </c>
      <c r="Q2974">
        <v>-1.7194070999999998E-2</v>
      </c>
      <c r="S2974" s="13">
        <v>-1.538620673</v>
      </c>
      <c r="T2974">
        <v>-0.79822761900000005</v>
      </c>
      <c r="U2974">
        <v>-0.32965057599999997</v>
      </c>
    </row>
    <row r="2975" spans="1:21" x14ac:dyDescent="0.2">
      <c r="A2975" t="s">
        <v>13</v>
      </c>
      <c r="B2975">
        <v>437640</v>
      </c>
      <c r="C2975" t="s">
        <v>6938</v>
      </c>
      <c r="D2975" t="s">
        <v>13</v>
      </c>
      <c r="E2975" t="s">
        <v>6921</v>
      </c>
      <c r="F2975">
        <v>22</v>
      </c>
      <c r="G2975">
        <v>8</v>
      </c>
      <c r="H2975" t="s">
        <v>12937</v>
      </c>
      <c r="J2975" t="s">
        <v>5191</v>
      </c>
      <c r="M2975" t="s">
        <v>12938</v>
      </c>
      <c r="N2975">
        <v>2.092758737</v>
      </c>
      <c r="O2975">
        <v>5.3323610669999999</v>
      </c>
      <c r="P2975">
        <v>0.70420098600000003</v>
      </c>
      <c r="Q2975">
        <v>0.41355372699999998</v>
      </c>
      <c r="S2975" s="13">
        <v>-1.539264857</v>
      </c>
      <c r="T2975">
        <v>-0.80104255700000004</v>
      </c>
      <c r="U2975">
        <v>-0.41909695200000002</v>
      </c>
    </row>
    <row r="2976" spans="1:21" x14ac:dyDescent="0.2">
      <c r="A2976" t="s">
        <v>968</v>
      </c>
      <c r="B2976">
        <v>461080</v>
      </c>
      <c r="C2976" t="s">
        <v>6927</v>
      </c>
      <c r="D2976" t="s">
        <v>969</v>
      </c>
      <c r="E2976" t="s">
        <v>6970</v>
      </c>
      <c r="F2976">
        <v>7</v>
      </c>
      <c r="G2976">
        <v>14</v>
      </c>
      <c r="H2976" t="s">
        <v>12939</v>
      </c>
      <c r="J2976" t="s">
        <v>12940</v>
      </c>
      <c r="M2976" t="s">
        <v>12941</v>
      </c>
      <c r="N2976">
        <v>1.982575982</v>
      </c>
      <c r="O2976">
        <v>3.4571926419999999</v>
      </c>
      <c r="P2976">
        <v>-0.114791479</v>
      </c>
      <c r="Q2976">
        <v>1.868949E-3</v>
      </c>
      <c r="S2976" s="13">
        <v>-1.539305207</v>
      </c>
      <c r="T2976">
        <v>-0.801218875</v>
      </c>
      <c r="U2976">
        <v>-0.35318027000000002</v>
      </c>
    </row>
    <row r="2977" spans="1:21" x14ac:dyDescent="0.2">
      <c r="A2977" t="s">
        <v>1140</v>
      </c>
      <c r="B2977">
        <v>51040</v>
      </c>
      <c r="C2977" t="s">
        <v>6961</v>
      </c>
      <c r="D2977" t="s">
        <v>1141</v>
      </c>
      <c r="E2977" t="s">
        <v>7085</v>
      </c>
      <c r="F2977">
        <v>4</v>
      </c>
      <c r="G2977">
        <v>9</v>
      </c>
      <c r="H2977" t="s">
        <v>12942</v>
      </c>
      <c r="J2977" t="s">
        <v>6535</v>
      </c>
      <c r="M2977" t="s">
        <v>12943</v>
      </c>
      <c r="N2977">
        <v>2.7247480949999998</v>
      </c>
      <c r="O2977">
        <v>7.0822175119999997</v>
      </c>
      <c r="P2977">
        <v>0.61298291999999999</v>
      </c>
      <c r="Q2977">
        <v>0.48262032500000002</v>
      </c>
      <c r="S2977" s="13">
        <v>-1.539390773</v>
      </c>
      <c r="T2977">
        <v>-0.80159277900000003</v>
      </c>
      <c r="U2977">
        <v>-0.55139879400000003</v>
      </c>
    </row>
    <row r="2978" spans="1:21" x14ac:dyDescent="0.2">
      <c r="A2978" t="s">
        <v>1373</v>
      </c>
      <c r="B2978">
        <v>525600</v>
      </c>
      <c r="C2978" t="s">
        <v>6953</v>
      </c>
      <c r="D2978" t="s">
        <v>1373</v>
      </c>
      <c r="E2978" t="s">
        <v>6977</v>
      </c>
      <c r="F2978">
        <v>10</v>
      </c>
      <c r="G2978">
        <v>5</v>
      </c>
      <c r="H2978" t="s">
        <v>12944</v>
      </c>
      <c r="J2978" t="s">
        <v>1727</v>
      </c>
      <c r="M2978" t="s">
        <v>12945</v>
      </c>
      <c r="N2978">
        <v>1.921480887</v>
      </c>
      <c r="O2978">
        <v>3.0856645180000002</v>
      </c>
      <c r="P2978">
        <v>0.44706724399999997</v>
      </c>
      <c r="Q2978">
        <v>-0.354940863</v>
      </c>
      <c r="S2978" s="13">
        <v>-1.539834395</v>
      </c>
      <c r="T2978">
        <v>-0.80353130699999997</v>
      </c>
      <c r="U2978">
        <v>-0.274772768</v>
      </c>
    </row>
    <row r="2979" spans="1:21" x14ac:dyDescent="0.2">
      <c r="A2979" t="s">
        <v>2206</v>
      </c>
      <c r="B2979">
        <v>460560</v>
      </c>
      <c r="C2979" t="s">
        <v>6927</v>
      </c>
      <c r="D2979" t="s">
        <v>2207</v>
      </c>
      <c r="E2979" t="s">
        <v>6956</v>
      </c>
      <c r="F2979">
        <v>3</v>
      </c>
      <c r="G2979">
        <v>7</v>
      </c>
      <c r="H2979" t="s">
        <v>12946</v>
      </c>
      <c r="J2979" t="s">
        <v>12947</v>
      </c>
      <c r="M2979" t="s">
        <v>12948</v>
      </c>
      <c r="N2979">
        <v>1.982575982</v>
      </c>
      <c r="O2979">
        <v>3.4571926419999999</v>
      </c>
      <c r="P2979">
        <v>-0.114791479</v>
      </c>
      <c r="Q2979">
        <v>1.868949E-3</v>
      </c>
      <c r="S2979" s="13">
        <v>-1.5398447710000001</v>
      </c>
      <c r="T2979">
        <v>-0.80357664900000003</v>
      </c>
      <c r="U2979">
        <v>-0.35373255100000001</v>
      </c>
    </row>
    <row r="2980" spans="1:21" x14ac:dyDescent="0.2">
      <c r="A2980" t="s">
        <v>1290</v>
      </c>
      <c r="B2980">
        <v>404960</v>
      </c>
      <c r="C2980" t="s">
        <v>6931</v>
      </c>
      <c r="D2980" t="s">
        <v>1291</v>
      </c>
      <c r="E2980" t="s">
        <v>6924</v>
      </c>
      <c r="F2980">
        <v>7</v>
      </c>
      <c r="G2980">
        <v>6</v>
      </c>
      <c r="H2980" t="s">
        <v>12949</v>
      </c>
      <c r="N2980">
        <v>1.9323965059999999</v>
      </c>
      <c r="O2980">
        <v>3.0528020530000002</v>
      </c>
      <c r="P2980">
        <v>2.6493138999999999E-2</v>
      </c>
      <c r="Q2980">
        <v>-0.38692188</v>
      </c>
      <c r="S2980" s="13">
        <v>-1.5403981339999999</v>
      </c>
      <c r="T2980">
        <v>-0.805994718</v>
      </c>
      <c r="U2980">
        <v>-0.22732703600000001</v>
      </c>
    </row>
    <row r="2981" spans="1:21" x14ac:dyDescent="0.2">
      <c r="A2981" t="s">
        <v>458</v>
      </c>
      <c r="B2981">
        <v>473840</v>
      </c>
      <c r="C2981" t="s">
        <v>6906</v>
      </c>
      <c r="D2981" t="s">
        <v>459</v>
      </c>
      <c r="E2981" t="s">
        <v>6921</v>
      </c>
      <c r="F2981">
        <v>4</v>
      </c>
      <c r="G2981">
        <v>8</v>
      </c>
      <c r="H2981" t="s">
        <v>12950</v>
      </c>
      <c r="J2981" t="s">
        <v>461</v>
      </c>
      <c r="M2981" t="s">
        <v>12951</v>
      </c>
      <c r="N2981">
        <v>1.813871112</v>
      </c>
      <c r="O2981">
        <v>2.6633694910000001</v>
      </c>
      <c r="P2981">
        <v>-0.29586356800000002</v>
      </c>
      <c r="Q2981">
        <v>-0.59018158399999998</v>
      </c>
      <c r="S2981" s="13">
        <v>-1.5412737560000001</v>
      </c>
      <c r="T2981">
        <v>-0.80982098499999999</v>
      </c>
      <c r="U2981">
        <v>-0.26836954200000002</v>
      </c>
    </row>
    <row r="2982" spans="1:21" x14ac:dyDescent="0.2">
      <c r="A2982" t="s">
        <v>2257</v>
      </c>
      <c r="B2982">
        <v>382960</v>
      </c>
      <c r="C2982" t="s">
        <v>6942</v>
      </c>
      <c r="D2982" t="s">
        <v>2257</v>
      </c>
      <c r="E2982" t="s">
        <v>6911</v>
      </c>
      <c r="F2982">
        <v>16</v>
      </c>
      <c r="G2982">
        <v>12</v>
      </c>
      <c r="H2982" t="s">
        <v>12952</v>
      </c>
      <c r="J2982" t="s">
        <v>2467</v>
      </c>
      <c r="M2982" t="s">
        <v>12953</v>
      </c>
      <c r="N2982">
        <v>2.0902262079999998</v>
      </c>
      <c r="O2982">
        <v>4.2704203920000001</v>
      </c>
      <c r="P2982">
        <v>0.23425843900000001</v>
      </c>
      <c r="Q2982">
        <v>1.6181978999999999E-2</v>
      </c>
      <c r="S2982" s="13">
        <v>-1.5413697660000001</v>
      </c>
      <c r="T2982">
        <v>-0.81024052800000002</v>
      </c>
      <c r="U2982">
        <v>-0.40951806499999999</v>
      </c>
    </row>
    <row r="2983" spans="1:21" x14ac:dyDescent="0.2">
      <c r="A2983" t="s">
        <v>681</v>
      </c>
      <c r="B2983">
        <v>293400</v>
      </c>
      <c r="C2983" t="s">
        <v>6945</v>
      </c>
      <c r="D2983" t="s">
        <v>682</v>
      </c>
      <c r="E2983" t="s">
        <v>6907</v>
      </c>
      <c r="F2983">
        <v>5</v>
      </c>
      <c r="G2983">
        <v>4</v>
      </c>
      <c r="H2983" t="s">
        <v>12954</v>
      </c>
      <c r="J2983" t="s">
        <v>6231</v>
      </c>
      <c r="M2983" t="s">
        <v>12955</v>
      </c>
      <c r="N2983">
        <v>2.2220813349999999</v>
      </c>
      <c r="O2983">
        <v>6.5440947090000003</v>
      </c>
      <c r="P2983">
        <v>0.58228215500000002</v>
      </c>
      <c r="Q2983">
        <v>0.35188233000000002</v>
      </c>
      <c r="S2983" s="13">
        <v>-1.541530683</v>
      </c>
      <c r="T2983">
        <v>-0.81094369899999996</v>
      </c>
      <c r="U2983">
        <v>-0.43282665999999997</v>
      </c>
    </row>
    <row r="2984" spans="1:21" x14ac:dyDescent="0.2">
      <c r="A2984" t="s">
        <v>431</v>
      </c>
      <c r="B2984">
        <v>473640</v>
      </c>
      <c r="C2984" t="s">
        <v>6906</v>
      </c>
      <c r="D2984" t="s">
        <v>432</v>
      </c>
      <c r="E2984" t="s">
        <v>6939</v>
      </c>
      <c r="F2984">
        <v>3</v>
      </c>
      <c r="G2984">
        <v>2</v>
      </c>
      <c r="H2984" t="s">
        <v>12956</v>
      </c>
      <c r="J2984" t="s">
        <v>2048</v>
      </c>
      <c r="M2984" t="s">
        <v>12957</v>
      </c>
      <c r="N2984">
        <v>1.813871112</v>
      </c>
      <c r="O2984">
        <v>2.6633694910000001</v>
      </c>
      <c r="P2984">
        <v>-0.29586356800000002</v>
      </c>
      <c r="Q2984">
        <v>-0.59018158399999998</v>
      </c>
      <c r="S2984" s="13">
        <v>-1.5415639050000001</v>
      </c>
      <c r="T2984">
        <v>-0.81108887100000004</v>
      </c>
      <c r="U2984">
        <v>-0.26854419899999998</v>
      </c>
    </row>
    <row r="2985" spans="1:21" x14ac:dyDescent="0.2">
      <c r="A2985" t="s">
        <v>267</v>
      </c>
      <c r="B2985">
        <v>403960</v>
      </c>
      <c r="C2985" t="s">
        <v>6931</v>
      </c>
      <c r="D2985" t="s">
        <v>268</v>
      </c>
      <c r="E2985" t="s">
        <v>6911</v>
      </c>
      <c r="F2985">
        <v>2</v>
      </c>
      <c r="G2985">
        <v>12</v>
      </c>
      <c r="H2985" t="s">
        <v>12958</v>
      </c>
      <c r="J2985" t="s">
        <v>2698</v>
      </c>
      <c r="M2985" t="s">
        <v>12959</v>
      </c>
      <c r="N2985">
        <v>1.9323965059999999</v>
      </c>
      <c r="O2985">
        <v>3.0528020530000002</v>
      </c>
      <c r="P2985">
        <v>2.6493138999999999E-2</v>
      </c>
      <c r="Q2985">
        <v>-0.38692188</v>
      </c>
      <c r="S2985" s="13">
        <v>-1.541712108</v>
      </c>
      <c r="T2985">
        <v>-0.81173648399999998</v>
      </c>
      <c r="U2985">
        <v>-0.228122142</v>
      </c>
    </row>
    <row r="2986" spans="1:21" x14ac:dyDescent="0.2">
      <c r="A2986" t="s">
        <v>289</v>
      </c>
      <c r="B2986">
        <v>47200</v>
      </c>
      <c r="C2986" t="s">
        <v>6961</v>
      </c>
      <c r="D2986" t="s">
        <v>290</v>
      </c>
      <c r="E2986" t="s">
        <v>6977</v>
      </c>
      <c r="F2986">
        <v>5</v>
      </c>
      <c r="G2986">
        <v>5</v>
      </c>
      <c r="H2986" t="s">
        <v>12960</v>
      </c>
      <c r="J2986" t="s">
        <v>6583</v>
      </c>
      <c r="M2986" t="s">
        <v>12961</v>
      </c>
      <c r="N2986">
        <v>2.7247480949999998</v>
      </c>
      <c r="O2986">
        <v>7.0822175119999997</v>
      </c>
      <c r="P2986">
        <v>0.61298291999999999</v>
      </c>
      <c r="Q2986">
        <v>0.48262032500000002</v>
      </c>
      <c r="S2986" s="13">
        <v>-1.542430575</v>
      </c>
      <c r="T2986">
        <v>-0.81487602100000001</v>
      </c>
      <c r="U2986">
        <v>-0.55788016600000001</v>
      </c>
    </row>
    <row r="2987" spans="1:21" x14ac:dyDescent="0.2">
      <c r="A2987" t="s">
        <v>253</v>
      </c>
      <c r="B2987">
        <v>523040</v>
      </c>
      <c r="C2987" t="s">
        <v>6953</v>
      </c>
      <c r="D2987" t="s">
        <v>254</v>
      </c>
      <c r="E2987" t="s">
        <v>6939</v>
      </c>
      <c r="F2987">
        <v>4</v>
      </c>
      <c r="G2987">
        <v>2</v>
      </c>
      <c r="H2987" t="s">
        <v>12962</v>
      </c>
      <c r="J2987" t="s">
        <v>2993</v>
      </c>
      <c r="M2987" t="s">
        <v>12963</v>
      </c>
      <c r="N2987">
        <v>1.921480887</v>
      </c>
      <c r="O2987">
        <v>3.0856645180000002</v>
      </c>
      <c r="P2987">
        <v>0.44706724399999997</v>
      </c>
      <c r="Q2987">
        <v>-0.354940863</v>
      </c>
      <c r="S2987" s="13">
        <v>-1.5424907130000001</v>
      </c>
      <c r="T2987">
        <v>-0.81513880999999999</v>
      </c>
      <c r="U2987">
        <v>-0.277047078</v>
      </c>
    </row>
    <row r="2988" spans="1:21" x14ac:dyDescent="0.2">
      <c r="A2988" t="s">
        <v>765</v>
      </c>
      <c r="B2988">
        <v>522840</v>
      </c>
      <c r="C2988" t="s">
        <v>6953</v>
      </c>
      <c r="D2988" t="s">
        <v>766</v>
      </c>
      <c r="E2988" t="s">
        <v>7006</v>
      </c>
      <c r="F2988">
        <v>4</v>
      </c>
      <c r="G2988">
        <v>3</v>
      </c>
      <c r="H2988" t="s">
        <v>12964</v>
      </c>
      <c r="J2988" t="s">
        <v>5271</v>
      </c>
      <c r="M2988" t="s">
        <v>12965</v>
      </c>
      <c r="N2988">
        <v>1.921480887</v>
      </c>
      <c r="O2988">
        <v>3.0856645180000002</v>
      </c>
      <c r="P2988">
        <v>0.44706724399999997</v>
      </c>
      <c r="Q2988">
        <v>-0.354940863</v>
      </c>
      <c r="S2988" s="13">
        <v>-1.5426982380000001</v>
      </c>
      <c r="T2988">
        <v>-0.81604564599999996</v>
      </c>
      <c r="U2988">
        <v>-0.277225261</v>
      </c>
    </row>
    <row r="2989" spans="1:21" x14ac:dyDescent="0.2">
      <c r="A2989" t="s">
        <v>1391</v>
      </c>
      <c r="B2989">
        <v>457680</v>
      </c>
      <c r="C2989" t="s">
        <v>6927</v>
      </c>
      <c r="D2989" t="s">
        <v>1391</v>
      </c>
      <c r="E2989" t="s">
        <v>7085</v>
      </c>
      <c r="F2989">
        <v>12</v>
      </c>
      <c r="G2989">
        <v>9</v>
      </c>
      <c r="H2989" t="s">
        <v>12966</v>
      </c>
      <c r="J2989" t="s">
        <v>12967</v>
      </c>
      <c r="M2989" t="s">
        <v>12968</v>
      </c>
      <c r="N2989">
        <v>1.982575982</v>
      </c>
      <c r="O2989">
        <v>3.4571926419999999</v>
      </c>
      <c r="P2989">
        <v>-0.114791479</v>
      </c>
      <c r="Q2989">
        <v>1.868949E-3</v>
      </c>
      <c r="S2989" s="13">
        <v>-1.5428331289999999</v>
      </c>
      <c r="T2989">
        <v>-0.81663509000000001</v>
      </c>
      <c r="U2989">
        <v>-0.35680411899999998</v>
      </c>
    </row>
    <row r="2990" spans="1:21" x14ac:dyDescent="0.2">
      <c r="A2990" t="s">
        <v>1675</v>
      </c>
      <c r="B2990">
        <v>457440</v>
      </c>
      <c r="C2990" t="s">
        <v>6927</v>
      </c>
      <c r="D2990" t="s">
        <v>1675</v>
      </c>
      <c r="E2990" t="s">
        <v>6915</v>
      </c>
      <c r="F2990">
        <v>21</v>
      </c>
      <c r="G2990">
        <v>13</v>
      </c>
      <c r="H2990" t="s">
        <v>12969</v>
      </c>
      <c r="J2990" t="s">
        <v>12970</v>
      </c>
      <c r="M2990" t="s">
        <v>12971</v>
      </c>
      <c r="N2990">
        <v>1.982575982</v>
      </c>
      <c r="O2990">
        <v>3.4571926419999999</v>
      </c>
      <c r="P2990">
        <v>-0.114791479</v>
      </c>
      <c r="Q2990">
        <v>1.868949E-3</v>
      </c>
      <c r="S2990" s="13">
        <v>-1.5430821589999999</v>
      </c>
      <c r="T2990">
        <v>-0.81772329300000002</v>
      </c>
      <c r="U2990">
        <v>-0.35706106599999998</v>
      </c>
    </row>
    <row r="2991" spans="1:21" x14ac:dyDescent="0.2">
      <c r="A2991" t="s">
        <v>431</v>
      </c>
      <c r="B2991">
        <v>436440</v>
      </c>
      <c r="C2991" t="s">
        <v>6910</v>
      </c>
      <c r="D2991" t="s">
        <v>432</v>
      </c>
      <c r="E2991" t="s">
        <v>6939</v>
      </c>
      <c r="F2991">
        <v>3</v>
      </c>
      <c r="G2991">
        <v>2</v>
      </c>
      <c r="H2991" t="s">
        <v>12972</v>
      </c>
      <c r="J2991" t="s">
        <v>6493</v>
      </c>
      <c r="M2991" t="s">
        <v>12973</v>
      </c>
      <c r="N2991">
        <v>1.9874741039999999</v>
      </c>
      <c r="O2991">
        <v>3.7453511220000002</v>
      </c>
      <c r="P2991">
        <v>0.451009722</v>
      </c>
      <c r="Q2991">
        <v>-0.102386592</v>
      </c>
      <c r="S2991" s="13">
        <v>-1.543121813</v>
      </c>
      <c r="T2991">
        <v>-0.81789657000000004</v>
      </c>
      <c r="U2991">
        <v>-0.26608799300000002</v>
      </c>
    </row>
    <row r="2992" spans="1:21" x14ac:dyDescent="0.2">
      <c r="A2992" t="s">
        <v>944</v>
      </c>
      <c r="B2992">
        <v>433040</v>
      </c>
      <c r="C2992" t="s">
        <v>6938</v>
      </c>
      <c r="D2992" t="s">
        <v>944</v>
      </c>
      <c r="E2992" t="s">
        <v>6924</v>
      </c>
      <c r="F2992">
        <v>12</v>
      </c>
      <c r="G2992">
        <v>6</v>
      </c>
      <c r="H2992" t="s">
        <v>12974</v>
      </c>
      <c r="J2992" t="s">
        <v>5491</v>
      </c>
      <c r="M2992" t="s">
        <v>12975</v>
      </c>
      <c r="N2992">
        <v>2.092758737</v>
      </c>
      <c r="O2992">
        <v>5.3323610669999999</v>
      </c>
      <c r="P2992">
        <v>0.70420098600000003</v>
      </c>
      <c r="Q2992">
        <v>0.41355372699999998</v>
      </c>
      <c r="S2992" s="13">
        <v>-1.5432153900000001</v>
      </c>
      <c r="T2992">
        <v>-0.818305481</v>
      </c>
      <c r="U2992">
        <v>-0.42481716200000003</v>
      </c>
    </row>
    <row r="2993" spans="1:21" x14ac:dyDescent="0.2">
      <c r="A2993" t="s">
        <v>1415</v>
      </c>
      <c r="B2993">
        <v>402720</v>
      </c>
      <c r="C2993" t="s">
        <v>6931</v>
      </c>
      <c r="D2993" t="s">
        <v>1415</v>
      </c>
      <c r="E2993" t="s">
        <v>6946</v>
      </c>
      <c r="F2993">
        <v>12</v>
      </c>
      <c r="G2993">
        <v>11</v>
      </c>
      <c r="H2993" t="s">
        <v>12976</v>
      </c>
      <c r="N2993">
        <v>1.9323965059999999</v>
      </c>
      <c r="O2993">
        <v>3.0528020530000002</v>
      </c>
      <c r="P2993">
        <v>2.6493138999999999E-2</v>
      </c>
      <c r="Q2993">
        <v>-0.38692188</v>
      </c>
      <c r="S2993" s="13">
        <v>-1.543341436</v>
      </c>
      <c r="T2993">
        <v>-0.81885627500000002</v>
      </c>
      <c r="U2993">
        <v>-0.22911009900000001</v>
      </c>
    </row>
    <row r="2994" spans="1:21" x14ac:dyDescent="0.2">
      <c r="A2994" t="s">
        <v>1269</v>
      </c>
      <c r="B2994">
        <v>402680</v>
      </c>
      <c r="C2994" t="s">
        <v>6931</v>
      </c>
      <c r="D2994" t="s">
        <v>1269</v>
      </c>
      <c r="E2994" t="s">
        <v>6924</v>
      </c>
      <c r="F2994">
        <v>11</v>
      </c>
      <c r="G2994">
        <v>6</v>
      </c>
      <c r="H2994" t="s">
        <v>12977</v>
      </c>
      <c r="N2994">
        <v>1.9323965059999999</v>
      </c>
      <c r="O2994">
        <v>3.0528020530000002</v>
      </c>
      <c r="P2994">
        <v>2.6493138999999999E-2</v>
      </c>
      <c r="Q2994">
        <v>-0.38692188</v>
      </c>
      <c r="S2994" s="13">
        <v>-1.543393995</v>
      </c>
      <c r="T2994">
        <v>-0.81908594499999998</v>
      </c>
      <c r="U2994">
        <v>-0.22914200600000001</v>
      </c>
    </row>
    <row r="2995" spans="1:21" x14ac:dyDescent="0.2">
      <c r="A2995" t="s">
        <v>537</v>
      </c>
      <c r="B2995">
        <v>45400</v>
      </c>
      <c r="C2995" t="s">
        <v>6961</v>
      </c>
      <c r="D2995" t="s">
        <v>538</v>
      </c>
      <c r="E2995" t="s">
        <v>6928</v>
      </c>
      <c r="F2995">
        <v>8</v>
      </c>
      <c r="G2995">
        <v>16</v>
      </c>
      <c r="H2995" t="s">
        <v>12978</v>
      </c>
      <c r="J2995" t="s">
        <v>6445</v>
      </c>
      <c r="M2995" t="s">
        <v>12979</v>
      </c>
      <c r="N2995">
        <v>2.7247480949999998</v>
      </c>
      <c r="O2995">
        <v>7.0822175119999997</v>
      </c>
      <c r="P2995">
        <v>0.61298291999999999</v>
      </c>
      <c r="Q2995">
        <v>0.48262032500000002</v>
      </c>
      <c r="S2995" s="13">
        <v>-1.543855483</v>
      </c>
      <c r="T2995">
        <v>-0.82110254000000005</v>
      </c>
      <c r="U2995">
        <v>-0.56095192999999999</v>
      </c>
    </row>
    <row r="2996" spans="1:21" x14ac:dyDescent="0.2">
      <c r="A2996" t="s">
        <v>689</v>
      </c>
      <c r="B2996">
        <v>456480</v>
      </c>
      <c r="C2996" t="s">
        <v>6927</v>
      </c>
      <c r="D2996" t="s">
        <v>690</v>
      </c>
      <c r="E2996" t="s">
        <v>6911</v>
      </c>
      <c r="F2996">
        <v>5</v>
      </c>
      <c r="G2996">
        <v>12</v>
      </c>
      <c r="H2996" t="s">
        <v>12980</v>
      </c>
      <c r="J2996" t="s">
        <v>12981</v>
      </c>
      <c r="M2996" t="s">
        <v>12982</v>
      </c>
      <c r="N2996">
        <v>1.982575982</v>
      </c>
      <c r="O2996">
        <v>3.4571926419999999</v>
      </c>
      <c r="P2996">
        <v>-0.114791479</v>
      </c>
      <c r="Q2996">
        <v>1.868949E-3</v>
      </c>
      <c r="S2996" s="13">
        <v>-1.544078278</v>
      </c>
      <c r="T2996">
        <v>-0.822076107</v>
      </c>
      <c r="U2996">
        <v>-0.35809037799999999</v>
      </c>
    </row>
    <row r="2997" spans="1:21" x14ac:dyDescent="0.2">
      <c r="A2997" t="s">
        <v>2421</v>
      </c>
      <c r="B2997">
        <v>379720</v>
      </c>
      <c r="C2997" t="s">
        <v>6942</v>
      </c>
      <c r="D2997" t="s">
        <v>2422</v>
      </c>
      <c r="E2997" t="s">
        <v>7085</v>
      </c>
      <c r="F2997">
        <v>8</v>
      </c>
      <c r="G2997">
        <v>9</v>
      </c>
      <c r="H2997" t="s">
        <v>12983</v>
      </c>
      <c r="J2997" t="s">
        <v>2831</v>
      </c>
      <c r="M2997" t="s">
        <v>12984</v>
      </c>
      <c r="N2997">
        <v>2.0902262079999998</v>
      </c>
      <c r="O2997">
        <v>4.2704203920000001</v>
      </c>
      <c r="P2997">
        <v>0.23425843900000001</v>
      </c>
      <c r="Q2997">
        <v>1.6181978999999999E-2</v>
      </c>
      <c r="S2997" s="13">
        <v>-1.5445497909999999</v>
      </c>
      <c r="T2997">
        <v>-0.82413650900000002</v>
      </c>
      <c r="U2997">
        <v>-0.41345110499999999</v>
      </c>
    </row>
    <row r="2998" spans="1:21" x14ac:dyDescent="0.2">
      <c r="A2998" t="s">
        <v>2167</v>
      </c>
      <c r="B2998">
        <v>435080</v>
      </c>
      <c r="C2998" t="s">
        <v>6910</v>
      </c>
      <c r="D2998" t="s">
        <v>2168</v>
      </c>
      <c r="E2998" t="s">
        <v>6956</v>
      </c>
      <c r="F2998">
        <v>8</v>
      </c>
      <c r="G2998">
        <v>7</v>
      </c>
      <c r="H2998" t="s">
        <v>12985</v>
      </c>
      <c r="J2998" t="s">
        <v>3361</v>
      </c>
      <c r="M2998" t="s">
        <v>12986</v>
      </c>
      <c r="N2998">
        <v>1.9874741039999999</v>
      </c>
      <c r="O2998">
        <v>3.7453511220000002</v>
      </c>
      <c r="P2998">
        <v>0.451009722</v>
      </c>
      <c r="Q2998">
        <v>-0.102386592</v>
      </c>
      <c r="S2998" s="13">
        <v>-1.544585028</v>
      </c>
      <c r="T2998">
        <v>-0.82429048599999999</v>
      </c>
      <c r="U2998">
        <v>-0.26727081200000002</v>
      </c>
    </row>
    <row r="2999" spans="1:21" x14ac:dyDescent="0.2">
      <c r="A2999" t="s">
        <v>769</v>
      </c>
      <c r="B2999">
        <v>435040</v>
      </c>
      <c r="C2999" t="s">
        <v>6910</v>
      </c>
      <c r="D2999" t="s">
        <v>769</v>
      </c>
      <c r="E2999" t="s">
        <v>6911</v>
      </c>
      <c r="F2999">
        <v>12</v>
      </c>
      <c r="G2999">
        <v>12</v>
      </c>
      <c r="H2999" t="s">
        <v>12987</v>
      </c>
      <c r="J2999" t="s">
        <v>831</v>
      </c>
      <c r="M2999" t="s">
        <v>12988</v>
      </c>
      <c r="N2999">
        <v>1.9874741039999999</v>
      </c>
      <c r="O2999">
        <v>3.7453511220000002</v>
      </c>
      <c r="P2999">
        <v>0.451009722</v>
      </c>
      <c r="Q2999">
        <v>-0.102386592</v>
      </c>
      <c r="S2999" s="13">
        <v>-1.5446280640000001</v>
      </c>
      <c r="T2999">
        <v>-0.82447854200000004</v>
      </c>
      <c r="U2999">
        <v>-0.26730565000000001</v>
      </c>
    </row>
    <row r="3000" spans="1:21" x14ac:dyDescent="0.2">
      <c r="A3000" t="s">
        <v>792</v>
      </c>
      <c r="B3000">
        <v>520560</v>
      </c>
      <c r="C3000" t="s">
        <v>6953</v>
      </c>
      <c r="D3000" t="s">
        <v>793</v>
      </c>
      <c r="E3000" t="s">
        <v>6924</v>
      </c>
      <c r="F3000">
        <v>5</v>
      </c>
      <c r="G3000">
        <v>6</v>
      </c>
      <c r="H3000" t="s">
        <v>12989</v>
      </c>
      <c r="J3000" t="s">
        <v>795</v>
      </c>
      <c r="M3000" t="s">
        <v>12990</v>
      </c>
      <c r="N3000">
        <v>1.921480887</v>
      </c>
      <c r="O3000">
        <v>3.0856645180000002</v>
      </c>
      <c r="P3000">
        <v>0.44706724399999997</v>
      </c>
      <c r="Q3000">
        <v>-0.354940863</v>
      </c>
      <c r="S3000" s="13">
        <v>-1.545064021</v>
      </c>
      <c r="T3000">
        <v>-0.82638357799999995</v>
      </c>
      <c r="U3000">
        <v>-0.27926173199999998</v>
      </c>
    </row>
    <row r="3001" spans="1:21" x14ac:dyDescent="0.2">
      <c r="A3001" t="s">
        <v>214</v>
      </c>
      <c r="B3001">
        <v>401040</v>
      </c>
      <c r="C3001" t="s">
        <v>6931</v>
      </c>
      <c r="D3001" t="s">
        <v>215</v>
      </c>
      <c r="E3001" t="s">
        <v>6939</v>
      </c>
      <c r="F3001">
        <v>9</v>
      </c>
      <c r="G3001">
        <v>2</v>
      </c>
      <c r="H3001" t="s">
        <v>12991</v>
      </c>
      <c r="N3001">
        <v>1.9323965059999999</v>
      </c>
      <c r="O3001">
        <v>3.0528020530000002</v>
      </c>
      <c r="P3001">
        <v>2.6493138999999999E-2</v>
      </c>
      <c r="Q3001">
        <v>-0.38692188</v>
      </c>
      <c r="S3001" s="13">
        <v>-1.545548913</v>
      </c>
      <c r="T3001">
        <v>-0.82850244200000001</v>
      </c>
      <c r="U3001">
        <v>-0.23045221599999999</v>
      </c>
    </row>
    <row r="3002" spans="1:21" x14ac:dyDescent="0.2">
      <c r="A3002" t="s">
        <v>772</v>
      </c>
      <c r="B3002">
        <v>43080</v>
      </c>
      <c r="C3002" t="s">
        <v>6961</v>
      </c>
      <c r="D3002" t="s">
        <v>772</v>
      </c>
      <c r="E3002" t="s">
        <v>6928</v>
      </c>
      <c r="F3002">
        <v>18</v>
      </c>
      <c r="G3002">
        <v>16</v>
      </c>
      <c r="H3002" t="s">
        <v>12992</v>
      </c>
      <c r="J3002" t="s">
        <v>6311</v>
      </c>
      <c r="M3002" t="s">
        <v>12993</v>
      </c>
      <c r="N3002">
        <v>2.7247480949999998</v>
      </c>
      <c r="O3002">
        <v>7.0822175119999997</v>
      </c>
      <c r="P3002">
        <v>0.61298291999999999</v>
      </c>
      <c r="Q3002">
        <v>0.48262032500000002</v>
      </c>
      <c r="S3002" s="13">
        <v>-1.5456920300000001</v>
      </c>
      <c r="T3002">
        <v>-0.82912783199999995</v>
      </c>
      <c r="U3002">
        <v>-0.56494341400000003</v>
      </c>
    </row>
    <row r="3003" spans="1:21" x14ac:dyDescent="0.2">
      <c r="A3003" t="s">
        <v>1857</v>
      </c>
      <c r="B3003">
        <v>519840</v>
      </c>
      <c r="C3003" t="s">
        <v>6953</v>
      </c>
      <c r="D3003" t="s">
        <v>1858</v>
      </c>
      <c r="E3003" t="s">
        <v>6974</v>
      </c>
      <c r="F3003">
        <v>6</v>
      </c>
      <c r="G3003">
        <v>15</v>
      </c>
      <c r="H3003" t="s">
        <v>12994</v>
      </c>
      <c r="J3003" t="s">
        <v>4351</v>
      </c>
      <c r="M3003" t="s">
        <v>12995</v>
      </c>
      <c r="N3003">
        <v>1.921480887</v>
      </c>
      <c r="O3003">
        <v>3.0856645180000002</v>
      </c>
      <c r="P3003">
        <v>0.44706724399999997</v>
      </c>
      <c r="Q3003">
        <v>-0.354940863</v>
      </c>
      <c r="S3003" s="13">
        <v>-1.5458111109999999</v>
      </c>
      <c r="T3003">
        <v>-0.82964818799999995</v>
      </c>
      <c r="U3003">
        <v>-0.27990681699999997</v>
      </c>
    </row>
    <row r="3004" spans="1:21" x14ac:dyDescent="0.2">
      <c r="A3004" t="s">
        <v>500</v>
      </c>
      <c r="B3004">
        <v>519640</v>
      </c>
      <c r="C3004" t="s">
        <v>6953</v>
      </c>
      <c r="D3004" t="s">
        <v>501</v>
      </c>
      <c r="E3004" t="s">
        <v>7115</v>
      </c>
      <c r="F3004">
        <v>9</v>
      </c>
      <c r="G3004">
        <v>10</v>
      </c>
      <c r="H3004" t="s">
        <v>12996</v>
      </c>
      <c r="J3004" t="s">
        <v>5253</v>
      </c>
      <c r="M3004" t="s">
        <v>12997</v>
      </c>
      <c r="N3004">
        <v>1.921480887</v>
      </c>
      <c r="O3004">
        <v>3.0856645180000002</v>
      </c>
      <c r="P3004">
        <v>0.44706724399999997</v>
      </c>
      <c r="Q3004">
        <v>-0.354940863</v>
      </c>
      <c r="S3004" s="13">
        <v>-1.5460186359999999</v>
      </c>
      <c r="T3004">
        <v>-0.830555025</v>
      </c>
      <c r="U3004">
        <v>-0.28008617800000002</v>
      </c>
    </row>
    <row r="3005" spans="1:21" x14ac:dyDescent="0.2">
      <c r="A3005" t="s">
        <v>2028</v>
      </c>
      <c r="B3005">
        <v>400400</v>
      </c>
      <c r="C3005" t="s">
        <v>6931</v>
      </c>
      <c r="D3005" t="s">
        <v>2028</v>
      </c>
      <c r="E3005" t="s">
        <v>6924</v>
      </c>
      <c r="F3005">
        <v>10</v>
      </c>
      <c r="G3005">
        <v>6</v>
      </c>
      <c r="H3005" t="s">
        <v>12998</v>
      </c>
      <c r="N3005">
        <v>1.9323965059999999</v>
      </c>
      <c r="O3005">
        <v>3.0528020530000002</v>
      </c>
      <c r="P3005">
        <v>2.6493138999999999E-2</v>
      </c>
      <c r="Q3005">
        <v>-0.38692188</v>
      </c>
      <c r="S3005" s="13">
        <v>-1.546389856</v>
      </c>
      <c r="T3005">
        <v>-0.83217717300000005</v>
      </c>
      <c r="U3005">
        <v>-0.230964592</v>
      </c>
    </row>
    <row r="3006" spans="1:21" x14ac:dyDescent="0.2">
      <c r="A3006" t="s">
        <v>1112</v>
      </c>
      <c r="B3006">
        <v>519160</v>
      </c>
      <c r="C3006" t="s">
        <v>6953</v>
      </c>
      <c r="D3006" t="s">
        <v>1112</v>
      </c>
      <c r="E3006" t="s">
        <v>6924</v>
      </c>
      <c r="F3006">
        <v>23</v>
      </c>
      <c r="G3006">
        <v>6</v>
      </c>
      <c r="H3006" t="s">
        <v>12999</v>
      </c>
      <c r="J3006" t="s">
        <v>2291</v>
      </c>
      <c r="M3006" t="s">
        <v>13000</v>
      </c>
      <c r="N3006">
        <v>1.921480887</v>
      </c>
      <c r="O3006">
        <v>3.0856645180000002</v>
      </c>
      <c r="P3006">
        <v>0.44706724399999997</v>
      </c>
      <c r="Q3006">
        <v>-0.354940863</v>
      </c>
      <c r="S3006" s="13">
        <v>-1.546516695</v>
      </c>
      <c r="T3006">
        <v>-0.83273143100000002</v>
      </c>
      <c r="U3006">
        <v>-0.28051694500000002</v>
      </c>
    </row>
    <row r="3007" spans="1:21" x14ac:dyDescent="0.2">
      <c r="A3007" t="s">
        <v>753</v>
      </c>
      <c r="B3007">
        <v>557120</v>
      </c>
      <c r="C3007" t="s">
        <v>6914</v>
      </c>
      <c r="D3007" t="s">
        <v>753</v>
      </c>
      <c r="E3007" t="s">
        <v>6911</v>
      </c>
      <c r="F3007">
        <v>10</v>
      </c>
      <c r="G3007">
        <v>12</v>
      </c>
      <c r="H3007" t="s">
        <v>13001</v>
      </c>
      <c r="J3007" t="s">
        <v>3072</v>
      </c>
      <c r="M3007" t="s">
        <v>13002</v>
      </c>
      <c r="N3007">
        <v>1.8217074179999999</v>
      </c>
      <c r="O3007">
        <v>4.1700741289999996</v>
      </c>
      <c r="P3007">
        <v>0.189705977</v>
      </c>
      <c r="Q3007">
        <v>-1.7194070999999998E-2</v>
      </c>
      <c r="S3007" s="13">
        <v>-1.546895672</v>
      </c>
      <c r="T3007">
        <v>-0.83438747499999999</v>
      </c>
      <c r="U3007">
        <v>-0.336623599</v>
      </c>
    </row>
    <row r="3008" spans="1:21" x14ac:dyDescent="0.2">
      <c r="A3008" t="s">
        <v>1436</v>
      </c>
      <c r="B3008">
        <v>557080</v>
      </c>
      <c r="C3008" t="s">
        <v>6914</v>
      </c>
      <c r="D3008" t="s">
        <v>1437</v>
      </c>
      <c r="E3008" t="s">
        <v>6907</v>
      </c>
      <c r="F3008">
        <v>6</v>
      </c>
      <c r="G3008">
        <v>4</v>
      </c>
      <c r="H3008" t="s">
        <v>13003</v>
      </c>
      <c r="J3008" t="s">
        <v>3145</v>
      </c>
      <c r="M3008" t="s">
        <v>13004</v>
      </c>
      <c r="N3008">
        <v>1.8217074179999999</v>
      </c>
      <c r="O3008">
        <v>4.1700741289999996</v>
      </c>
      <c r="P3008">
        <v>0.189705977</v>
      </c>
      <c r="Q3008">
        <v>-1.7194070999999998E-2</v>
      </c>
      <c r="S3008" s="13">
        <v>-1.5469437829999999</v>
      </c>
      <c r="T3008">
        <v>-0.83459770600000005</v>
      </c>
      <c r="U3008">
        <v>-0.33666446900000002</v>
      </c>
    </row>
    <row r="3009" spans="1:21" x14ac:dyDescent="0.2">
      <c r="A3009" t="s">
        <v>2270</v>
      </c>
      <c r="B3009">
        <v>469720</v>
      </c>
      <c r="C3009" t="s">
        <v>6906</v>
      </c>
      <c r="D3009" t="s">
        <v>2271</v>
      </c>
      <c r="E3009" t="s">
        <v>6921</v>
      </c>
      <c r="F3009">
        <v>8</v>
      </c>
      <c r="G3009">
        <v>8</v>
      </c>
      <c r="H3009" t="s">
        <v>13005</v>
      </c>
      <c r="J3009" t="s">
        <v>2273</v>
      </c>
      <c r="M3009" t="s">
        <v>13006</v>
      </c>
      <c r="N3009">
        <v>1.813871112</v>
      </c>
      <c r="O3009">
        <v>2.6633694910000001</v>
      </c>
      <c r="P3009">
        <v>-0.29586356800000002</v>
      </c>
      <c r="Q3009">
        <v>-0.59018158399999998</v>
      </c>
      <c r="S3009" s="13">
        <v>-1.547250834</v>
      </c>
      <c r="T3009">
        <v>-0.83593945000000003</v>
      </c>
      <c r="U3009">
        <v>-0.27198174200000003</v>
      </c>
    </row>
    <row r="3010" spans="1:21" x14ac:dyDescent="0.2">
      <c r="A3010" t="s">
        <v>645</v>
      </c>
      <c r="B3010">
        <v>432160</v>
      </c>
      <c r="C3010" t="s">
        <v>6910</v>
      </c>
      <c r="D3010" t="s">
        <v>645</v>
      </c>
      <c r="E3010" t="s">
        <v>6974</v>
      </c>
      <c r="F3010">
        <v>12</v>
      </c>
      <c r="G3010">
        <v>15</v>
      </c>
      <c r="H3010" t="s">
        <v>13007</v>
      </c>
      <c r="J3010" t="s">
        <v>647</v>
      </c>
      <c r="M3010" t="s">
        <v>13008</v>
      </c>
      <c r="N3010">
        <v>1.9874741039999999</v>
      </c>
      <c r="O3010">
        <v>3.7453511220000002</v>
      </c>
      <c r="P3010">
        <v>0.451009722</v>
      </c>
      <c r="Q3010">
        <v>-0.102386592</v>
      </c>
      <c r="S3010" s="13">
        <v>-1.547726637</v>
      </c>
      <c r="T3010">
        <v>-0.83801859999999995</v>
      </c>
      <c r="U3010">
        <v>-0.269821331</v>
      </c>
    </row>
    <row r="3011" spans="1:21" x14ac:dyDescent="0.2">
      <c r="A3011" t="s">
        <v>1256</v>
      </c>
      <c r="B3011">
        <v>517360</v>
      </c>
      <c r="C3011" t="s">
        <v>6953</v>
      </c>
      <c r="D3011" t="s">
        <v>1257</v>
      </c>
      <c r="E3011" t="s">
        <v>6946</v>
      </c>
      <c r="F3011">
        <v>7</v>
      </c>
      <c r="G3011">
        <v>11</v>
      </c>
      <c r="H3011" t="s">
        <v>13009</v>
      </c>
      <c r="J3011" t="s">
        <v>1259</v>
      </c>
      <c r="M3011" t="s">
        <v>13010</v>
      </c>
      <c r="N3011">
        <v>1.921480887</v>
      </c>
      <c r="O3011">
        <v>3.0856645180000002</v>
      </c>
      <c r="P3011">
        <v>0.44706724399999997</v>
      </c>
      <c r="Q3011">
        <v>-0.354940863</v>
      </c>
      <c r="S3011" s="13">
        <v>-1.548384419</v>
      </c>
      <c r="T3011">
        <v>-0.840892957</v>
      </c>
      <c r="U3011">
        <v>-0.28213613999999998</v>
      </c>
    </row>
    <row r="3012" spans="1:21" x14ac:dyDescent="0.2">
      <c r="A3012" t="s">
        <v>1118</v>
      </c>
      <c r="B3012">
        <v>555840</v>
      </c>
      <c r="C3012" t="s">
        <v>6914</v>
      </c>
      <c r="D3012" t="s">
        <v>1118</v>
      </c>
      <c r="E3012" t="s">
        <v>6924</v>
      </c>
      <c r="F3012">
        <v>13</v>
      </c>
      <c r="G3012">
        <v>6</v>
      </c>
      <c r="H3012" t="s">
        <v>13011</v>
      </c>
      <c r="J3012" t="s">
        <v>4439</v>
      </c>
      <c r="M3012" t="s">
        <v>13012</v>
      </c>
      <c r="N3012">
        <v>1.8217074179999999</v>
      </c>
      <c r="O3012">
        <v>4.1700741289999996</v>
      </c>
      <c r="P3012">
        <v>0.189705977</v>
      </c>
      <c r="Q3012">
        <v>-1.7194070999999998E-2</v>
      </c>
      <c r="S3012" s="13">
        <v>-1.548435207</v>
      </c>
      <c r="T3012">
        <v>-0.84111488999999995</v>
      </c>
      <c r="U3012">
        <v>-0.33793334899999999</v>
      </c>
    </row>
    <row r="3013" spans="1:21" x14ac:dyDescent="0.2">
      <c r="A3013" t="s">
        <v>1123</v>
      </c>
      <c r="B3013">
        <v>431280</v>
      </c>
      <c r="C3013" t="s">
        <v>6910</v>
      </c>
      <c r="D3013" t="s">
        <v>1123</v>
      </c>
      <c r="E3013" t="s">
        <v>6946</v>
      </c>
      <c r="F3013">
        <v>16</v>
      </c>
      <c r="G3013">
        <v>11</v>
      </c>
      <c r="H3013" t="s">
        <v>13013</v>
      </c>
      <c r="J3013" t="s">
        <v>5925</v>
      </c>
      <c r="M3013" t="s">
        <v>13014</v>
      </c>
      <c r="N3013">
        <v>1.9874741039999999</v>
      </c>
      <c r="O3013">
        <v>3.7453511220000002</v>
      </c>
      <c r="P3013">
        <v>0.451009722</v>
      </c>
      <c r="Q3013">
        <v>-0.102386592</v>
      </c>
      <c r="S3013" s="13">
        <v>-1.5486734230000001</v>
      </c>
      <c r="T3013">
        <v>-0.84215583900000002</v>
      </c>
      <c r="U3013">
        <v>-0.27059292699999998</v>
      </c>
    </row>
    <row r="3014" spans="1:21" x14ac:dyDescent="0.2">
      <c r="A3014" t="s">
        <v>2054</v>
      </c>
      <c r="B3014">
        <v>285720</v>
      </c>
      <c r="C3014" t="s">
        <v>6945</v>
      </c>
      <c r="D3014" t="s">
        <v>2054</v>
      </c>
      <c r="E3014" t="s">
        <v>6911</v>
      </c>
      <c r="F3014">
        <v>15</v>
      </c>
      <c r="G3014">
        <v>12</v>
      </c>
      <c r="H3014" t="s">
        <v>13015</v>
      </c>
      <c r="J3014" t="s">
        <v>5841</v>
      </c>
      <c r="M3014" t="s">
        <v>13016</v>
      </c>
      <c r="N3014">
        <v>2.2220813349999999</v>
      </c>
      <c r="O3014">
        <v>6.5440947090000003</v>
      </c>
      <c r="P3014">
        <v>0.58228215500000002</v>
      </c>
      <c r="Q3014">
        <v>0.35188233000000002</v>
      </c>
      <c r="S3014" s="13">
        <v>-1.5487747359999999</v>
      </c>
      <c r="T3014">
        <v>-0.84259855400000006</v>
      </c>
      <c r="U3014">
        <v>-0.442731123</v>
      </c>
    </row>
    <row r="3015" spans="1:21" x14ac:dyDescent="0.2">
      <c r="A3015" t="s">
        <v>2035</v>
      </c>
      <c r="B3015">
        <v>468200</v>
      </c>
      <c r="C3015" t="s">
        <v>6906</v>
      </c>
      <c r="D3015" t="s">
        <v>2035</v>
      </c>
      <c r="E3015" t="s">
        <v>7115</v>
      </c>
      <c r="F3015">
        <v>14</v>
      </c>
      <c r="G3015">
        <v>10</v>
      </c>
      <c r="H3015" t="s">
        <v>13017</v>
      </c>
      <c r="J3015" t="s">
        <v>13018</v>
      </c>
      <c r="M3015" t="s">
        <v>13019</v>
      </c>
      <c r="N3015">
        <v>1.813871112</v>
      </c>
      <c r="O3015">
        <v>2.6633694910000001</v>
      </c>
      <c r="P3015">
        <v>-0.29586356800000002</v>
      </c>
      <c r="Q3015">
        <v>-0.59018158399999998</v>
      </c>
      <c r="S3015" s="13">
        <v>-1.5494559699999999</v>
      </c>
      <c r="T3015">
        <v>-0.84557538899999996</v>
      </c>
      <c r="U3015">
        <v>-0.273322022</v>
      </c>
    </row>
    <row r="3016" spans="1:21" x14ac:dyDescent="0.2">
      <c r="A3016" t="s">
        <v>1368</v>
      </c>
      <c r="B3016">
        <v>516240</v>
      </c>
      <c r="C3016" t="s">
        <v>6953</v>
      </c>
      <c r="D3016" t="s">
        <v>1368</v>
      </c>
      <c r="E3016" t="s">
        <v>6956</v>
      </c>
      <c r="F3016">
        <v>16</v>
      </c>
      <c r="G3016">
        <v>7</v>
      </c>
      <c r="H3016" t="s">
        <v>13020</v>
      </c>
      <c r="J3016" t="s">
        <v>4386</v>
      </c>
      <c r="M3016" t="s">
        <v>13021</v>
      </c>
      <c r="N3016">
        <v>1.921480887</v>
      </c>
      <c r="O3016">
        <v>3.0856645180000002</v>
      </c>
      <c r="P3016">
        <v>0.44706724399999997</v>
      </c>
      <c r="Q3016">
        <v>-0.354940863</v>
      </c>
      <c r="S3016" s="13">
        <v>-1.5495465580000001</v>
      </c>
      <c r="T3016">
        <v>-0.84597123900000004</v>
      </c>
      <c r="U3016">
        <v>-0.28314669399999998</v>
      </c>
    </row>
    <row r="3017" spans="1:21" x14ac:dyDescent="0.2">
      <c r="A3017" t="s">
        <v>1491</v>
      </c>
      <c r="B3017">
        <v>374400</v>
      </c>
      <c r="C3017" t="s">
        <v>6942</v>
      </c>
      <c r="D3017" t="s">
        <v>1491</v>
      </c>
      <c r="E3017" t="s">
        <v>6928</v>
      </c>
      <c r="F3017">
        <v>15</v>
      </c>
      <c r="G3017">
        <v>16</v>
      </c>
      <c r="H3017" t="s">
        <v>13022</v>
      </c>
      <c r="J3017" t="s">
        <v>4788</v>
      </c>
      <c r="M3017" t="s">
        <v>13023</v>
      </c>
      <c r="N3017">
        <v>2.0902262079999998</v>
      </c>
      <c r="O3017">
        <v>4.2704203920000001</v>
      </c>
      <c r="P3017">
        <v>0.23425843900000001</v>
      </c>
      <c r="Q3017">
        <v>1.6181978999999999E-2</v>
      </c>
      <c r="S3017" s="13">
        <v>-1.5497713129999999</v>
      </c>
      <c r="T3017">
        <v>-0.84695336700000001</v>
      </c>
      <c r="U3017">
        <v>-0.41998732999999999</v>
      </c>
    </row>
    <row r="3018" spans="1:21" x14ac:dyDescent="0.2">
      <c r="A3018" t="s">
        <v>1336</v>
      </c>
      <c r="B3018">
        <v>554640</v>
      </c>
      <c r="C3018" t="s">
        <v>6914</v>
      </c>
      <c r="D3018" t="s">
        <v>1336</v>
      </c>
      <c r="E3018" t="s">
        <v>6915</v>
      </c>
      <c r="F3018">
        <v>15</v>
      </c>
      <c r="G3018">
        <v>13</v>
      </c>
      <c r="H3018" t="s">
        <v>13024</v>
      </c>
      <c r="J3018" t="s">
        <v>2874</v>
      </c>
      <c r="M3018" t="s">
        <v>13025</v>
      </c>
      <c r="N3018">
        <v>1.8217074179999999</v>
      </c>
      <c r="O3018">
        <v>4.1700741289999996</v>
      </c>
      <c r="P3018">
        <v>0.189705977</v>
      </c>
      <c r="Q3018">
        <v>-1.7194070999999998E-2</v>
      </c>
      <c r="S3018" s="13">
        <v>-1.5498785209999999</v>
      </c>
      <c r="T3018">
        <v>-0.84742184099999995</v>
      </c>
      <c r="U3018">
        <v>-0.33916483800000002</v>
      </c>
    </row>
    <row r="3019" spans="1:21" x14ac:dyDescent="0.2">
      <c r="A3019" t="s">
        <v>1076</v>
      </c>
      <c r="B3019">
        <v>515640</v>
      </c>
      <c r="C3019" t="s">
        <v>6953</v>
      </c>
      <c r="D3019" t="s">
        <v>1077</v>
      </c>
      <c r="E3019" t="s">
        <v>6977</v>
      </c>
      <c r="F3019">
        <v>7</v>
      </c>
      <c r="G3019">
        <v>5</v>
      </c>
      <c r="H3019" t="s">
        <v>13026</v>
      </c>
      <c r="J3019" t="s">
        <v>2162</v>
      </c>
      <c r="M3019" t="s">
        <v>13027</v>
      </c>
      <c r="N3019">
        <v>1.921480887</v>
      </c>
      <c r="O3019">
        <v>3.0856645180000002</v>
      </c>
      <c r="P3019">
        <v>0.44706724399999997</v>
      </c>
      <c r="Q3019">
        <v>-0.354940863</v>
      </c>
      <c r="S3019" s="13">
        <v>-1.550169133</v>
      </c>
      <c r="T3019">
        <v>-0.84869174800000002</v>
      </c>
      <c r="U3019">
        <v>-0.28368903099999998</v>
      </c>
    </row>
    <row r="3020" spans="1:21" x14ac:dyDescent="0.2">
      <c r="A3020" t="s">
        <v>2911</v>
      </c>
      <c r="B3020">
        <v>554200</v>
      </c>
      <c r="C3020" t="s">
        <v>6914</v>
      </c>
      <c r="D3020" t="s">
        <v>2912</v>
      </c>
      <c r="E3020" t="s">
        <v>6946</v>
      </c>
      <c r="F3020">
        <v>6</v>
      </c>
      <c r="G3020">
        <v>11</v>
      </c>
      <c r="H3020" t="s">
        <v>13028</v>
      </c>
      <c r="J3020" t="s">
        <v>5943</v>
      </c>
      <c r="M3020" t="s">
        <v>13029</v>
      </c>
      <c r="N3020">
        <v>1.8217074179999999</v>
      </c>
      <c r="O3020">
        <v>4.1700741289999996</v>
      </c>
      <c r="P3020">
        <v>0.189705977</v>
      </c>
      <c r="Q3020">
        <v>-1.7194070999999998E-2</v>
      </c>
      <c r="S3020" s="13">
        <v>-1.5504077359999999</v>
      </c>
      <c r="T3020">
        <v>-0.84973438999999995</v>
      </c>
      <c r="U3020">
        <v>-0.33961725999999998</v>
      </c>
    </row>
    <row r="3021" spans="1:21" x14ac:dyDescent="0.2">
      <c r="A3021" t="s">
        <v>1095</v>
      </c>
      <c r="B3021">
        <v>466840</v>
      </c>
      <c r="C3021" t="s">
        <v>6906</v>
      </c>
      <c r="D3021" t="s">
        <v>1096</v>
      </c>
      <c r="E3021" t="s">
        <v>6977</v>
      </c>
      <c r="F3021">
        <v>4</v>
      </c>
      <c r="G3021">
        <v>5</v>
      </c>
      <c r="H3021" t="s">
        <v>13030</v>
      </c>
      <c r="J3021" t="s">
        <v>4382</v>
      </c>
      <c r="M3021" t="s">
        <v>13031</v>
      </c>
      <c r="N3021">
        <v>1.813871112</v>
      </c>
      <c r="O3021">
        <v>2.6633694910000001</v>
      </c>
      <c r="P3021">
        <v>-0.29586356800000002</v>
      </c>
      <c r="Q3021">
        <v>-0.59018158399999998</v>
      </c>
      <c r="S3021" s="13">
        <v>-1.5514289859999999</v>
      </c>
      <c r="T3021">
        <v>-0.85419701800000003</v>
      </c>
      <c r="U3021">
        <v>-0.27452473700000002</v>
      </c>
    </row>
    <row r="3022" spans="1:21" x14ac:dyDescent="0.2">
      <c r="A3022" t="s">
        <v>788</v>
      </c>
      <c r="B3022">
        <v>396320</v>
      </c>
      <c r="C3022" t="s">
        <v>6931</v>
      </c>
      <c r="D3022" t="s">
        <v>788</v>
      </c>
      <c r="E3022" t="s">
        <v>6921</v>
      </c>
      <c r="F3022">
        <v>13</v>
      </c>
      <c r="G3022">
        <v>8</v>
      </c>
      <c r="H3022" t="s">
        <v>13032</v>
      </c>
      <c r="N3022">
        <v>1.9323965059999999</v>
      </c>
      <c r="O3022">
        <v>3.0528020530000002</v>
      </c>
      <c r="P3022">
        <v>2.6493138999999999E-2</v>
      </c>
      <c r="Q3022">
        <v>-0.38692188</v>
      </c>
      <c r="S3022" s="13">
        <v>-1.5517508710000001</v>
      </c>
      <c r="T3022">
        <v>-0.85560358000000003</v>
      </c>
      <c r="U3022">
        <v>-0.234245275</v>
      </c>
    </row>
    <row r="3023" spans="1:21" x14ac:dyDescent="0.2">
      <c r="A3023" t="s">
        <v>912</v>
      </c>
      <c r="B3023">
        <v>466560</v>
      </c>
      <c r="C3023" t="s">
        <v>6906</v>
      </c>
      <c r="D3023" t="s">
        <v>912</v>
      </c>
      <c r="E3023" t="s">
        <v>6921</v>
      </c>
      <c r="F3023">
        <v>23</v>
      </c>
      <c r="G3023">
        <v>8</v>
      </c>
      <c r="H3023" t="s">
        <v>13033</v>
      </c>
      <c r="J3023" t="s">
        <v>4310</v>
      </c>
      <c r="M3023" t="s">
        <v>13034</v>
      </c>
      <c r="N3023">
        <v>1.813871112</v>
      </c>
      <c r="O3023">
        <v>2.6633694910000001</v>
      </c>
      <c r="P3023">
        <v>-0.29586356800000002</v>
      </c>
      <c r="Q3023">
        <v>-0.59018158399999998</v>
      </c>
      <c r="S3023" s="13">
        <v>-1.551835195</v>
      </c>
      <c r="T3023">
        <v>-0.85597206000000003</v>
      </c>
      <c r="U3023">
        <v>-0.274772768</v>
      </c>
    </row>
    <row r="3024" spans="1:21" x14ac:dyDescent="0.2">
      <c r="A3024" t="s">
        <v>932</v>
      </c>
      <c r="B3024">
        <v>448840</v>
      </c>
      <c r="C3024" t="s">
        <v>6927</v>
      </c>
      <c r="D3024" t="s">
        <v>932</v>
      </c>
      <c r="E3024" t="s">
        <v>7006</v>
      </c>
      <c r="F3024">
        <v>12</v>
      </c>
      <c r="G3024">
        <v>3</v>
      </c>
      <c r="H3024" t="s">
        <v>13035</v>
      </c>
      <c r="J3024" t="s">
        <v>13036</v>
      </c>
      <c r="M3024" t="s">
        <v>13037</v>
      </c>
      <c r="N3024">
        <v>1.982575982</v>
      </c>
      <c r="O3024">
        <v>3.4571926419999999</v>
      </c>
      <c r="P3024">
        <v>-0.114791479</v>
      </c>
      <c r="Q3024">
        <v>1.868949E-3</v>
      </c>
      <c r="S3024" s="13">
        <v>-1.5520057279999999</v>
      </c>
      <c r="T3024">
        <v>-0.85671724800000004</v>
      </c>
      <c r="U3024">
        <v>-0.36637013000000002</v>
      </c>
    </row>
    <row r="3025" spans="1:21" x14ac:dyDescent="0.2">
      <c r="A3025" t="s">
        <v>1413</v>
      </c>
      <c r="B3025">
        <v>448760</v>
      </c>
      <c r="C3025" t="s">
        <v>6927</v>
      </c>
      <c r="D3025" t="s">
        <v>1413</v>
      </c>
      <c r="E3025" t="s">
        <v>6977</v>
      </c>
      <c r="F3025">
        <v>18</v>
      </c>
      <c r="G3025">
        <v>5</v>
      </c>
      <c r="H3025" t="s">
        <v>13038</v>
      </c>
      <c r="J3025" t="s">
        <v>13039</v>
      </c>
      <c r="M3025" t="s">
        <v>13040</v>
      </c>
      <c r="N3025">
        <v>1.982575982</v>
      </c>
      <c r="O3025">
        <v>3.4571926419999999</v>
      </c>
      <c r="P3025">
        <v>-0.114791479</v>
      </c>
      <c r="Q3025">
        <v>1.868949E-3</v>
      </c>
      <c r="S3025" s="13">
        <v>-1.5520887379999999</v>
      </c>
      <c r="T3025">
        <v>-0.85707998200000002</v>
      </c>
      <c r="U3025">
        <v>-0.36645766899999999</v>
      </c>
    </row>
    <row r="3026" spans="1:21" x14ac:dyDescent="0.2">
      <c r="A3026" t="s">
        <v>1058</v>
      </c>
      <c r="B3026">
        <v>396000</v>
      </c>
      <c r="C3026" t="s">
        <v>6931</v>
      </c>
      <c r="D3026" t="s">
        <v>1059</v>
      </c>
      <c r="E3026" t="s">
        <v>6911</v>
      </c>
      <c r="F3026">
        <v>6</v>
      </c>
      <c r="G3026">
        <v>12</v>
      </c>
      <c r="H3026" t="s">
        <v>13041</v>
      </c>
      <c r="N3026">
        <v>1.9323965059999999</v>
      </c>
      <c r="O3026">
        <v>3.0528020530000002</v>
      </c>
      <c r="P3026">
        <v>2.6493138999999999E-2</v>
      </c>
      <c r="Q3026">
        <v>-0.38692188</v>
      </c>
      <c r="S3026" s="13">
        <v>-1.5521713420000001</v>
      </c>
      <c r="T3026">
        <v>-0.85744094599999998</v>
      </c>
      <c r="U3026">
        <v>-0.23450363499999999</v>
      </c>
    </row>
    <row r="3027" spans="1:21" x14ac:dyDescent="0.2">
      <c r="A3027" t="s">
        <v>718</v>
      </c>
      <c r="B3027">
        <v>513200</v>
      </c>
      <c r="C3027" t="s">
        <v>6953</v>
      </c>
      <c r="D3027" t="s">
        <v>718</v>
      </c>
      <c r="E3027" t="s">
        <v>6924</v>
      </c>
      <c r="F3027">
        <v>14</v>
      </c>
      <c r="G3027">
        <v>6</v>
      </c>
      <c r="H3027" t="s">
        <v>13042</v>
      </c>
      <c r="J3027" t="s">
        <v>3817</v>
      </c>
      <c r="M3027" t="s">
        <v>13043</v>
      </c>
      <c r="N3027">
        <v>1.921480887</v>
      </c>
      <c r="O3027">
        <v>3.0856645180000002</v>
      </c>
      <c r="P3027">
        <v>0.44706724399999997</v>
      </c>
      <c r="Q3027">
        <v>-0.354940863</v>
      </c>
      <c r="S3027" s="13">
        <v>-1.5527009359999999</v>
      </c>
      <c r="T3027">
        <v>-0.85975514900000005</v>
      </c>
      <c r="U3027">
        <v>-0.28590153899999998</v>
      </c>
    </row>
    <row r="3028" spans="1:21" x14ac:dyDescent="0.2">
      <c r="A3028" t="s">
        <v>303</v>
      </c>
      <c r="B3028">
        <v>513040</v>
      </c>
      <c r="C3028" t="s">
        <v>6953</v>
      </c>
      <c r="D3028" t="s">
        <v>304</v>
      </c>
      <c r="E3028" t="s">
        <v>7006</v>
      </c>
      <c r="F3028">
        <v>3</v>
      </c>
      <c r="G3028">
        <v>3</v>
      </c>
      <c r="H3028" t="s">
        <v>13044</v>
      </c>
      <c r="J3028" t="s">
        <v>1481</v>
      </c>
      <c r="M3028" t="s">
        <v>13045</v>
      </c>
      <c r="N3028">
        <v>1.921480887</v>
      </c>
      <c r="O3028">
        <v>3.0856645180000002</v>
      </c>
      <c r="P3028">
        <v>0.44706724399999997</v>
      </c>
      <c r="Q3028">
        <v>-0.354940863</v>
      </c>
      <c r="S3028" s="13">
        <v>-1.5528669559999999</v>
      </c>
      <c r="T3028">
        <v>-0.86048061799999997</v>
      </c>
      <c r="U3028">
        <v>-0.28604701599999999</v>
      </c>
    </row>
    <row r="3029" spans="1:21" x14ac:dyDescent="0.2">
      <c r="A3029" t="s">
        <v>1971</v>
      </c>
      <c r="B3029">
        <v>427160</v>
      </c>
      <c r="C3029" t="s">
        <v>6910</v>
      </c>
      <c r="D3029" t="s">
        <v>1971</v>
      </c>
      <c r="E3029" t="s">
        <v>7115</v>
      </c>
      <c r="F3029">
        <v>10</v>
      </c>
      <c r="G3029">
        <v>10</v>
      </c>
      <c r="H3029" t="s">
        <v>13046</v>
      </c>
      <c r="J3029" t="s">
        <v>6211</v>
      </c>
      <c r="M3029" t="s">
        <v>13047</v>
      </c>
      <c r="N3029">
        <v>1.9874741039999999</v>
      </c>
      <c r="O3029">
        <v>3.7453511220000002</v>
      </c>
      <c r="P3029">
        <v>0.451009722</v>
      </c>
      <c r="Q3029">
        <v>-0.102386592</v>
      </c>
      <c r="S3029" s="13">
        <v>-1.5531061049999999</v>
      </c>
      <c r="T3029">
        <v>-0.86152564300000001</v>
      </c>
      <c r="U3029">
        <v>-0.27422374599999999</v>
      </c>
    </row>
    <row r="3030" spans="1:21" x14ac:dyDescent="0.2">
      <c r="A3030" t="s">
        <v>730</v>
      </c>
      <c r="B3030">
        <v>395040</v>
      </c>
      <c r="C3030" t="s">
        <v>6931</v>
      </c>
      <c r="D3030" t="s">
        <v>731</v>
      </c>
      <c r="E3030" t="s">
        <v>6946</v>
      </c>
      <c r="F3030">
        <v>4</v>
      </c>
      <c r="G3030">
        <v>11</v>
      </c>
      <c r="H3030" t="s">
        <v>13048</v>
      </c>
      <c r="N3030">
        <v>1.9323965059999999</v>
      </c>
      <c r="O3030">
        <v>3.0528020530000002</v>
      </c>
      <c r="P3030">
        <v>2.6493138999999999E-2</v>
      </c>
      <c r="Q3030">
        <v>-0.38692188</v>
      </c>
      <c r="S3030" s="13">
        <v>-1.5534327569999999</v>
      </c>
      <c r="T3030">
        <v>-0.86295304100000003</v>
      </c>
      <c r="U3030">
        <v>-0.23527963700000001</v>
      </c>
    </row>
    <row r="3031" spans="1:21" x14ac:dyDescent="0.2">
      <c r="A3031" t="s">
        <v>1426</v>
      </c>
      <c r="B3031">
        <v>426360</v>
      </c>
      <c r="C3031" t="s">
        <v>6910</v>
      </c>
      <c r="D3031" t="s">
        <v>1426</v>
      </c>
      <c r="E3031" t="s">
        <v>6907</v>
      </c>
      <c r="F3031">
        <v>15</v>
      </c>
      <c r="G3031">
        <v>4</v>
      </c>
      <c r="H3031" t="s">
        <v>13049</v>
      </c>
      <c r="J3031" t="s">
        <v>5823</v>
      </c>
      <c r="M3031" t="s">
        <v>13050</v>
      </c>
      <c r="N3031">
        <v>1.9874741039999999</v>
      </c>
      <c r="O3031">
        <v>3.7453511220000002</v>
      </c>
      <c r="P3031">
        <v>0.451009722</v>
      </c>
      <c r="Q3031">
        <v>-0.102386592</v>
      </c>
      <c r="S3031" s="13">
        <v>-1.553966819</v>
      </c>
      <c r="T3031">
        <v>-0.86528677099999995</v>
      </c>
      <c r="U3031">
        <v>-0.27493229200000002</v>
      </c>
    </row>
    <row r="3032" spans="1:21" x14ac:dyDescent="0.2">
      <c r="A3032" t="s">
        <v>2453</v>
      </c>
      <c r="B3032">
        <v>394560</v>
      </c>
      <c r="C3032" t="s">
        <v>6931</v>
      </c>
      <c r="D3032" t="s">
        <v>2454</v>
      </c>
      <c r="E3032" t="s">
        <v>6911</v>
      </c>
      <c r="F3032">
        <v>3</v>
      </c>
      <c r="G3032">
        <v>12</v>
      </c>
      <c r="H3032" t="s">
        <v>13051</v>
      </c>
      <c r="J3032" t="s">
        <v>3560</v>
      </c>
      <c r="M3032" t="s">
        <v>13052</v>
      </c>
      <c r="N3032">
        <v>1.9323965059999999</v>
      </c>
      <c r="O3032">
        <v>3.0528020530000002</v>
      </c>
      <c r="P3032">
        <v>2.6493138999999999E-2</v>
      </c>
      <c r="Q3032">
        <v>-0.38692188</v>
      </c>
      <c r="S3032" s="13">
        <v>-1.554063465</v>
      </c>
      <c r="T3032">
        <v>-0.86570908899999999</v>
      </c>
      <c r="U3032">
        <v>-0.23566815899999999</v>
      </c>
    </row>
    <row r="3033" spans="1:21" x14ac:dyDescent="0.2">
      <c r="A3033" t="s">
        <v>2911</v>
      </c>
      <c r="B3033">
        <v>393960</v>
      </c>
      <c r="C3033" t="s">
        <v>6931</v>
      </c>
      <c r="D3033" t="s">
        <v>2912</v>
      </c>
      <c r="E3033" t="s">
        <v>6946</v>
      </c>
      <c r="F3033">
        <v>6</v>
      </c>
      <c r="G3033">
        <v>11</v>
      </c>
      <c r="H3033" t="s">
        <v>13053</v>
      </c>
      <c r="N3033">
        <v>1.9323965059999999</v>
      </c>
      <c r="O3033">
        <v>3.0528020530000002</v>
      </c>
      <c r="P3033">
        <v>2.6493138999999999E-2</v>
      </c>
      <c r="Q3033">
        <v>-0.38692188</v>
      </c>
      <c r="S3033" s="13">
        <v>-1.5548518490000001</v>
      </c>
      <c r="T3033">
        <v>-0.86915414899999999</v>
      </c>
      <c r="U3033">
        <v>-0.23615430100000001</v>
      </c>
    </row>
    <row r="3034" spans="1:21" x14ac:dyDescent="0.2">
      <c r="A3034" t="s">
        <v>522</v>
      </c>
      <c r="B3034">
        <v>549840</v>
      </c>
      <c r="C3034" t="s">
        <v>6914</v>
      </c>
      <c r="D3034" t="s">
        <v>522</v>
      </c>
      <c r="E3034" t="s">
        <v>6977</v>
      </c>
      <c r="F3034">
        <v>15</v>
      </c>
      <c r="G3034">
        <v>5</v>
      </c>
      <c r="H3034" t="s">
        <v>13054</v>
      </c>
      <c r="J3034" t="s">
        <v>1187</v>
      </c>
      <c r="M3034" t="s">
        <v>13055</v>
      </c>
      <c r="N3034">
        <v>1.8217074179999999</v>
      </c>
      <c r="O3034">
        <v>4.1700741289999996</v>
      </c>
      <c r="P3034">
        <v>0.189705977</v>
      </c>
      <c r="Q3034">
        <v>-1.7194070999999998E-2</v>
      </c>
      <c r="S3034" s="13">
        <v>-1.5556517759999999</v>
      </c>
      <c r="T3034">
        <v>-0.872649648</v>
      </c>
      <c r="U3034">
        <v>-0.34412601300000001</v>
      </c>
    </row>
    <row r="3035" spans="1:21" x14ac:dyDescent="0.2">
      <c r="A3035" t="s">
        <v>1160</v>
      </c>
      <c r="B3035">
        <v>510160</v>
      </c>
      <c r="C3035" t="s">
        <v>6953</v>
      </c>
      <c r="D3035" t="s">
        <v>1160</v>
      </c>
      <c r="E3035" t="s">
        <v>6907</v>
      </c>
      <c r="F3035">
        <v>22</v>
      </c>
      <c r="G3035">
        <v>4</v>
      </c>
      <c r="H3035" t="s">
        <v>13056</v>
      </c>
      <c r="J3035" t="s">
        <v>2148</v>
      </c>
      <c r="M3035" t="s">
        <v>13057</v>
      </c>
      <c r="N3035">
        <v>1.921480887</v>
      </c>
      <c r="O3035">
        <v>3.0856645180000002</v>
      </c>
      <c r="P3035">
        <v>0.44706724399999997</v>
      </c>
      <c r="Q3035">
        <v>-0.354940863</v>
      </c>
      <c r="S3035" s="13">
        <v>-1.555855314</v>
      </c>
      <c r="T3035">
        <v>-0.87353905899999995</v>
      </c>
      <c r="U3035">
        <v>-0.28867397099999997</v>
      </c>
    </row>
    <row r="3036" spans="1:21" x14ac:dyDescent="0.2">
      <c r="A3036" t="s">
        <v>1783</v>
      </c>
      <c r="B3036">
        <v>463440</v>
      </c>
      <c r="C3036" t="s">
        <v>6906</v>
      </c>
      <c r="D3036" t="s">
        <v>1783</v>
      </c>
      <c r="E3036" t="s">
        <v>6915</v>
      </c>
      <c r="F3036">
        <v>11</v>
      </c>
      <c r="G3036">
        <v>13</v>
      </c>
      <c r="H3036" t="s">
        <v>13058</v>
      </c>
      <c r="J3036" t="s">
        <v>13059</v>
      </c>
      <c r="M3036" t="s">
        <v>13060</v>
      </c>
      <c r="N3036">
        <v>1.813871112</v>
      </c>
      <c r="O3036">
        <v>2.6633694910000001</v>
      </c>
      <c r="P3036">
        <v>-0.29586356800000002</v>
      </c>
      <c r="Q3036">
        <v>-0.59018158399999998</v>
      </c>
      <c r="S3036" s="13">
        <v>-1.5563615260000001</v>
      </c>
      <c r="T3036">
        <v>-0.87575109200000001</v>
      </c>
      <c r="U3036">
        <v>-0.27754617500000001</v>
      </c>
    </row>
    <row r="3037" spans="1:21" x14ac:dyDescent="0.2">
      <c r="A3037" t="s">
        <v>47</v>
      </c>
      <c r="B3037">
        <v>462840</v>
      </c>
      <c r="C3037" t="s">
        <v>6906</v>
      </c>
      <c r="D3037" t="s">
        <v>48</v>
      </c>
      <c r="E3037" t="s">
        <v>6918</v>
      </c>
      <c r="F3037">
        <v>8</v>
      </c>
      <c r="G3037">
        <v>1</v>
      </c>
      <c r="H3037" t="s">
        <v>13061</v>
      </c>
      <c r="J3037" t="s">
        <v>3063</v>
      </c>
      <c r="M3037" t="s">
        <v>13062</v>
      </c>
      <c r="N3037">
        <v>1.813871112</v>
      </c>
      <c r="O3037">
        <v>2.6633694910000001</v>
      </c>
      <c r="P3037">
        <v>-0.29586356800000002</v>
      </c>
      <c r="Q3037">
        <v>-0.59018158399999998</v>
      </c>
      <c r="S3037" s="13">
        <v>-1.557231974</v>
      </c>
      <c r="T3037">
        <v>-0.879554752</v>
      </c>
      <c r="U3037">
        <v>-0.27808155899999998</v>
      </c>
    </row>
    <row r="3038" spans="1:21" x14ac:dyDescent="0.2">
      <c r="A3038" t="s">
        <v>207</v>
      </c>
      <c r="B3038">
        <v>508520</v>
      </c>
      <c r="C3038" t="s">
        <v>6953</v>
      </c>
      <c r="D3038" t="s">
        <v>207</v>
      </c>
      <c r="E3038" t="s">
        <v>6939</v>
      </c>
      <c r="F3038">
        <v>21</v>
      </c>
      <c r="G3038">
        <v>2</v>
      </c>
      <c r="H3038" t="s">
        <v>13063</v>
      </c>
      <c r="J3038" t="s">
        <v>5525</v>
      </c>
      <c r="M3038" t="s">
        <v>13064</v>
      </c>
      <c r="N3038">
        <v>1.921480887</v>
      </c>
      <c r="O3038">
        <v>3.0856645180000002</v>
      </c>
      <c r="P3038">
        <v>0.44706724399999997</v>
      </c>
      <c r="Q3038">
        <v>-0.354940863</v>
      </c>
      <c r="S3038" s="13">
        <v>-1.5575570169999999</v>
      </c>
      <c r="T3038">
        <v>-0.88097511500000003</v>
      </c>
      <c r="U3038">
        <v>-0.29017700699999999</v>
      </c>
    </row>
    <row r="3039" spans="1:21" x14ac:dyDescent="0.2">
      <c r="A3039" t="s">
        <v>172</v>
      </c>
      <c r="B3039">
        <v>462560</v>
      </c>
      <c r="C3039" t="s">
        <v>6906</v>
      </c>
      <c r="D3039" t="s">
        <v>172</v>
      </c>
      <c r="E3039" t="s">
        <v>7006</v>
      </c>
      <c r="F3039">
        <v>11</v>
      </c>
      <c r="G3039">
        <v>3</v>
      </c>
      <c r="H3039" t="s">
        <v>13065</v>
      </c>
      <c r="J3039" t="s">
        <v>13066</v>
      </c>
      <c r="M3039" t="s">
        <v>13067</v>
      </c>
      <c r="N3039">
        <v>1.813871112</v>
      </c>
      <c r="O3039">
        <v>2.6633694910000001</v>
      </c>
      <c r="P3039">
        <v>-0.29586356800000002</v>
      </c>
      <c r="Q3039">
        <v>-0.59018158399999998</v>
      </c>
      <c r="S3039" s="13">
        <v>-1.557638184</v>
      </c>
      <c r="T3039">
        <v>-0.88132979300000003</v>
      </c>
      <c r="U3039">
        <v>-0.27833163100000002</v>
      </c>
    </row>
    <row r="3040" spans="1:21" x14ac:dyDescent="0.2">
      <c r="A3040" t="s">
        <v>947</v>
      </c>
      <c r="B3040">
        <v>391680</v>
      </c>
      <c r="C3040" t="s">
        <v>6931</v>
      </c>
      <c r="D3040" t="s">
        <v>948</v>
      </c>
      <c r="E3040" t="s">
        <v>6921</v>
      </c>
      <c r="F3040">
        <v>7</v>
      </c>
      <c r="G3040">
        <v>8</v>
      </c>
      <c r="H3040" t="s">
        <v>13068</v>
      </c>
      <c r="N3040">
        <v>1.9323965059999999</v>
      </c>
      <c r="O3040">
        <v>3.0528020530000002</v>
      </c>
      <c r="P3040">
        <v>2.6493138999999999E-2</v>
      </c>
      <c r="Q3040">
        <v>-0.38692188</v>
      </c>
      <c r="S3040" s="13">
        <v>-1.5578477100000001</v>
      </c>
      <c r="T3040">
        <v>-0.88224537700000005</v>
      </c>
      <c r="U3040">
        <v>-0.238006617</v>
      </c>
    </row>
    <row r="3041" spans="1:21" x14ac:dyDescent="0.2">
      <c r="A3041" t="s">
        <v>1736</v>
      </c>
      <c r="B3041">
        <v>391640</v>
      </c>
      <c r="C3041" t="s">
        <v>6931</v>
      </c>
      <c r="D3041" t="s">
        <v>1736</v>
      </c>
      <c r="E3041" t="s">
        <v>6924</v>
      </c>
      <c r="F3041">
        <v>16</v>
      </c>
      <c r="G3041">
        <v>6</v>
      </c>
      <c r="H3041" t="s">
        <v>13069</v>
      </c>
      <c r="N3041">
        <v>1.9323965059999999</v>
      </c>
      <c r="O3041">
        <v>3.0528020530000002</v>
      </c>
      <c r="P3041">
        <v>2.6493138999999999E-2</v>
      </c>
      <c r="Q3041">
        <v>-0.38692188</v>
      </c>
      <c r="S3041" s="13">
        <v>-1.5579002689999999</v>
      </c>
      <c r="T3041">
        <v>-0.88247504799999998</v>
      </c>
      <c r="U3041">
        <v>-0.23803918499999999</v>
      </c>
    </row>
    <row r="3042" spans="1:21" x14ac:dyDescent="0.2">
      <c r="A3042" t="s">
        <v>714</v>
      </c>
      <c r="B3042">
        <v>443000</v>
      </c>
      <c r="C3042" t="s">
        <v>6927</v>
      </c>
      <c r="D3042" t="s">
        <v>715</v>
      </c>
      <c r="E3042" t="s">
        <v>6956</v>
      </c>
      <c r="F3042">
        <v>5</v>
      </c>
      <c r="G3042">
        <v>7</v>
      </c>
      <c r="H3042" t="s">
        <v>13070</v>
      </c>
      <c r="J3042" t="s">
        <v>13071</v>
      </c>
      <c r="M3042" t="s">
        <v>13072</v>
      </c>
      <c r="N3042">
        <v>1.982575982</v>
      </c>
      <c r="O3042">
        <v>3.4571926419999999</v>
      </c>
      <c r="P3042">
        <v>-0.114791479</v>
      </c>
      <c r="Q3042">
        <v>1.868949E-3</v>
      </c>
      <c r="S3042" s="13">
        <v>-1.558065453</v>
      </c>
      <c r="T3042">
        <v>-0.88319686399999997</v>
      </c>
      <c r="U3042">
        <v>-0.37280734199999999</v>
      </c>
    </row>
    <row r="3043" spans="1:21" x14ac:dyDescent="0.2">
      <c r="A3043" t="s">
        <v>325</v>
      </c>
      <c r="B3043">
        <v>391280</v>
      </c>
      <c r="C3043" t="s">
        <v>6931</v>
      </c>
      <c r="D3043" t="s">
        <v>326</v>
      </c>
      <c r="E3043" t="s">
        <v>6921</v>
      </c>
      <c r="F3043">
        <v>2</v>
      </c>
      <c r="G3043">
        <v>8</v>
      </c>
      <c r="H3043" t="s">
        <v>13073</v>
      </c>
      <c r="J3043" t="s">
        <v>6665</v>
      </c>
      <c r="M3043" t="s">
        <v>13074</v>
      </c>
      <c r="N3043">
        <v>1.9323965059999999</v>
      </c>
      <c r="O3043">
        <v>3.0528020530000002</v>
      </c>
      <c r="P3043">
        <v>2.6493138999999999E-2</v>
      </c>
      <c r="Q3043">
        <v>-0.38692188</v>
      </c>
      <c r="S3043" s="13">
        <v>-1.5583733</v>
      </c>
      <c r="T3043">
        <v>-0.88454208300000003</v>
      </c>
      <c r="U3043">
        <v>-0.238332401</v>
      </c>
    </row>
    <row r="3044" spans="1:21" x14ac:dyDescent="0.2">
      <c r="A3044" t="s">
        <v>2457</v>
      </c>
      <c r="B3044">
        <v>547320</v>
      </c>
      <c r="C3044" t="s">
        <v>6914</v>
      </c>
      <c r="D3044" t="s">
        <v>2458</v>
      </c>
      <c r="E3044" t="s">
        <v>7115</v>
      </c>
      <c r="F3044">
        <v>5</v>
      </c>
      <c r="G3044">
        <v>10</v>
      </c>
      <c r="H3044" t="s">
        <v>13075</v>
      </c>
      <c r="J3044" t="s">
        <v>3769</v>
      </c>
      <c r="M3044" t="s">
        <v>13076</v>
      </c>
      <c r="N3044">
        <v>1.8217074179999999</v>
      </c>
      <c r="O3044">
        <v>4.1700741289999996</v>
      </c>
      <c r="P3044">
        <v>0.189705977</v>
      </c>
      <c r="Q3044">
        <v>-1.7194070999999998E-2</v>
      </c>
      <c r="S3044" s="13">
        <v>-1.558682736</v>
      </c>
      <c r="T3044">
        <v>-0.885894246</v>
      </c>
      <c r="U3044">
        <v>-0.34675349599999999</v>
      </c>
    </row>
    <row r="3045" spans="1:21" x14ac:dyDescent="0.2">
      <c r="A3045" t="s">
        <v>507</v>
      </c>
      <c r="B3045">
        <v>461480</v>
      </c>
      <c r="C3045" t="s">
        <v>6906</v>
      </c>
      <c r="D3045" t="s">
        <v>508</v>
      </c>
      <c r="E3045" t="s">
        <v>6918</v>
      </c>
      <c r="F3045">
        <v>5</v>
      </c>
      <c r="G3045">
        <v>1</v>
      </c>
      <c r="H3045" t="s">
        <v>13077</v>
      </c>
      <c r="J3045" t="s">
        <v>4319</v>
      </c>
      <c r="M3045" t="s">
        <v>13078</v>
      </c>
      <c r="N3045">
        <v>1.813871112</v>
      </c>
      <c r="O3045">
        <v>2.6633694910000001</v>
      </c>
      <c r="P3045">
        <v>-0.29586356800000002</v>
      </c>
      <c r="Q3045">
        <v>-0.59018158399999998</v>
      </c>
      <c r="S3045" s="13">
        <v>-1.5592049910000001</v>
      </c>
      <c r="T3045">
        <v>-0.88817638099999996</v>
      </c>
      <c r="U3045">
        <v>-0.27929754499999998</v>
      </c>
    </row>
    <row r="3046" spans="1:21" x14ac:dyDescent="0.2">
      <c r="A3046" t="s">
        <v>1275</v>
      </c>
      <c r="B3046">
        <v>441000</v>
      </c>
      <c r="C3046" t="s">
        <v>6927</v>
      </c>
      <c r="D3046" t="s">
        <v>1276</v>
      </c>
      <c r="E3046" t="s">
        <v>7085</v>
      </c>
      <c r="F3046">
        <v>5</v>
      </c>
      <c r="G3046">
        <v>9</v>
      </c>
      <c r="H3046" t="s">
        <v>13079</v>
      </c>
      <c r="J3046" t="s">
        <v>13080</v>
      </c>
      <c r="M3046" t="s">
        <v>13081</v>
      </c>
      <c r="N3046">
        <v>1.982575982</v>
      </c>
      <c r="O3046">
        <v>3.4571926419999999</v>
      </c>
      <c r="P3046">
        <v>-0.114791479</v>
      </c>
      <c r="Q3046">
        <v>1.868949E-3</v>
      </c>
      <c r="S3046" s="13">
        <v>-1.560140702</v>
      </c>
      <c r="T3046">
        <v>-0.89226522500000005</v>
      </c>
      <c r="U3046">
        <v>-0.37503398500000001</v>
      </c>
    </row>
    <row r="3047" spans="1:21" x14ac:dyDescent="0.2">
      <c r="A3047" t="s">
        <v>143</v>
      </c>
      <c r="B3047">
        <v>389320</v>
      </c>
      <c r="C3047" t="s">
        <v>6931</v>
      </c>
      <c r="D3047" t="s">
        <v>144</v>
      </c>
      <c r="E3047" t="s">
        <v>7115</v>
      </c>
      <c r="F3047">
        <v>8</v>
      </c>
      <c r="G3047">
        <v>10</v>
      </c>
      <c r="H3047" t="s">
        <v>13082</v>
      </c>
      <c r="N3047">
        <v>1.9323965059999999</v>
      </c>
      <c r="O3047">
        <v>3.0528020530000002</v>
      </c>
      <c r="P3047">
        <v>2.6493138999999999E-2</v>
      </c>
      <c r="Q3047">
        <v>-0.38692188</v>
      </c>
      <c r="S3047" s="13">
        <v>-1.5609486889999999</v>
      </c>
      <c r="T3047">
        <v>-0.89579594600000001</v>
      </c>
      <c r="U3047">
        <v>-0.239932285</v>
      </c>
    </row>
    <row r="3048" spans="1:21" x14ac:dyDescent="0.2">
      <c r="A3048" t="s">
        <v>1521</v>
      </c>
      <c r="B3048">
        <v>505040</v>
      </c>
      <c r="C3048" t="s">
        <v>6953</v>
      </c>
      <c r="D3048" t="s">
        <v>1521</v>
      </c>
      <c r="E3048" t="s">
        <v>6921</v>
      </c>
      <c r="F3048">
        <v>10</v>
      </c>
      <c r="G3048">
        <v>8</v>
      </c>
      <c r="H3048" t="s">
        <v>13083</v>
      </c>
      <c r="J3048" t="s">
        <v>3223</v>
      </c>
      <c r="M3048" t="s">
        <v>13084</v>
      </c>
      <c r="N3048">
        <v>1.921480887</v>
      </c>
      <c r="O3048">
        <v>3.0856645180000002</v>
      </c>
      <c r="P3048">
        <v>0.44706724399999997</v>
      </c>
      <c r="Q3048">
        <v>-0.354940863</v>
      </c>
      <c r="S3048" s="13">
        <v>-1.56116795</v>
      </c>
      <c r="T3048">
        <v>-0.89675406400000002</v>
      </c>
      <c r="U3048">
        <v>-0.29338371099999999</v>
      </c>
    </row>
    <row r="3049" spans="1:21" x14ac:dyDescent="0.2">
      <c r="A3049" t="s">
        <v>947</v>
      </c>
      <c r="B3049">
        <v>504960</v>
      </c>
      <c r="C3049" t="s">
        <v>6953</v>
      </c>
      <c r="D3049" t="s">
        <v>948</v>
      </c>
      <c r="E3049" t="s">
        <v>6921</v>
      </c>
      <c r="F3049">
        <v>7</v>
      </c>
      <c r="G3049">
        <v>8</v>
      </c>
      <c r="H3049" t="s">
        <v>13085</v>
      </c>
      <c r="J3049" t="s">
        <v>4471</v>
      </c>
      <c r="M3049" t="s">
        <v>13086</v>
      </c>
      <c r="N3049">
        <v>1.921480887</v>
      </c>
      <c r="O3049">
        <v>3.0856645180000002</v>
      </c>
      <c r="P3049">
        <v>0.44706724399999997</v>
      </c>
      <c r="Q3049">
        <v>-0.354940863</v>
      </c>
      <c r="S3049" s="13">
        <v>-1.56125096</v>
      </c>
      <c r="T3049">
        <v>-0.89711679899999996</v>
      </c>
      <c r="U3049">
        <v>-0.29345770799999998</v>
      </c>
    </row>
    <row r="3050" spans="1:21" x14ac:dyDescent="0.2">
      <c r="A3050" t="s">
        <v>1484</v>
      </c>
      <c r="B3050">
        <v>459960</v>
      </c>
      <c r="C3050" t="s">
        <v>6906</v>
      </c>
      <c r="D3050" t="s">
        <v>1484</v>
      </c>
      <c r="E3050" t="s">
        <v>6977</v>
      </c>
      <c r="F3050">
        <v>16</v>
      </c>
      <c r="G3050">
        <v>5</v>
      </c>
      <c r="H3050" t="s">
        <v>13087</v>
      </c>
      <c r="J3050" t="s">
        <v>1486</v>
      </c>
      <c r="M3050" t="s">
        <v>13088</v>
      </c>
      <c r="N3050">
        <v>1.813871112</v>
      </c>
      <c r="O3050">
        <v>2.6633694910000001</v>
      </c>
      <c r="P3050">
        <v>-0.29586356800000002</v>
      </c>
      <c r="Q3050">
        <v>-0.59018158399999998</v>
      </c>
      <c r="S3050" s="13">
        <v>-1.561410126</v>
      </c>
      <c r="T3050">
        <v>-0.89781232</v>
      </c>
      <c r="U3050">
        <v>-0.28066062899999999</v>
      </c>
    </row>
    <row r="3051" spans="1:21" x14ac:dyDescent="0.2">
      <c r="A3051" t="s">
        <v>3235</v>
      </c>
      <c r="B3051">
        <v>272280</v>
      </c>
      <c r="C3051" t="s">
        <v>6945</v>
      </c>
      <c r="D3051" t="s">
        <v>3236</v>
      </c>
      <c r="E3051" t="s">
        <v>6946</v>
      </c>
      <c r="F3051">
        <v>2</v>
      </c>
      <c r="G3051">
        <v>11</v>
      </c>
      <c r="H3051" t="s">
        <v>13089</v>
      </c>
      <c r="J3051" t="s">
        <v>6099</v>
      </c>
      <c r="M3051" t="s">
        <v>13090</v>
      </c>
      <c r="N3051">
        <v>2.2220813349999999</v>
      </c>
      <c r="O3051">
        <v>6.5440947090000003</v>
      </c>
      <c r="P3051">
        <v>0.58228215500000002</v>
      </c>
      <c r="Q3051">
        <v>0.35188233000000002</v>
      </c>
      <c r="S3051" s="13">
        <v>-1.5614518289999999</v>
      </c>
      <c r="T3051">
        <v>-0.89799455100000003</v>
      </c>
      <c r="U3051">
        <v>-0.46062678499999998</v>
      </c>
    </row>
    <row r="3052" spans="1:21" x14ac:dyDescent="0.2">
      <c r="A3052" t="s">
        <v>2764</v>
      </c>
      <c r="B3052">
        <v>388880</v>
      </c>
      <c r="C3052" t="s">
        <v>6931</v>
      </c>
      <c r="D3052" t="s">
        <v>2764</v>
      </c>
      <c r="E3052" t="s">
        <v>6921</v>
      </c>
      <c r="F3052">
        <v>12</v>
      </c>
      <c r="G3052">
        <v>8</v>
      </c>
      <c r="H3052" t="s">
        <v>13091</v>
      </c>
      <c r="N3052">
        <v>1.9323965059999999</v>
      </c>
      <c r="O3052">
        <v>3.0528020530000002</v>
      </c>
      <c r="P3052">
        <v>2.6493138999999999E-2</v>
      </c>
      <c r="Q3052">
        <v>-0.38692188</v>
      </c>
      <c r="S3052" s="13">
        <v>-1.561526838</v>
      </c>
      <c r="T3052">
        <v>-0.89832232300000003</v>
      </c>
      <c r="U3052">
        <v>-0.24029225400000001</v>
      </c>
    </row>
    <row r="3053" spans="1:21" x14ac:dyDescent="0.2">
      <c r="A3053" t="s">
        <v>1062</v>
      </c>
      <c r="B3053">
        <v>544680</v>
      </c>
      <c r="C3053" t="s">
        <v>6914</v>
      </c>
      <c r="D3053" t="s">
        <v>1062</v>
      </c>
      <c r="E3053" t="s">
        <v>6924</v>
      </c>
      <c r="F3053">
        <v>17</v>
      </c>
      <c r="G3053">
        <v>6</v>
      </c>
      <c r="H3053" t="s">
        <v>13092</v>
      </c>
      <c r="J3053" t="s">
        <v>4431</v>
      </c>
      <c r="M3053" t="s">
        <v>13093</v>
      </c>
      <c r="N3053">
        <v>1.8217074179999999</v>
      </c>
      <c r="O3053">
        <v>4.1700741289999996</v>
      </c>
      <c r="P3053">
        <v>0.189705977</v>
      </c>
      <c r="Q3053">
        <v>-1.7194070999999998E-2</v>
      </c>
      <c r="S3053" s="13">
        <v>-1.5618580259999999</v>
      </c>
      <c r="T3053">
        <v>-0.89976953900000001</v>
      </c>
      <c r="U3053">
        <v>-0.34952325400000001</v>
      </c>
    </row>
    <row r="3054" spans="1:21" x14ac:dyDescent="0.2">
      <c r="A3054" t="s">
        <v>718</v>
      </c>
      <c r="B3054">
        <v>459280</v>
      </c>
      <c r="C3054" t="s">
        <v>6906</v>
      </c>
      <c r="D3054" t="s">
        <v>718</v>
      </c>
      <c r="E3054" t="s">
        <v>6924</v>
      </c>
      <c r="F3054">
        <v>14</v>
      </c>
      <c r="G3054">
        <v>6</v>
      </c>
      <c r="H3054" t="s">
        <v>13094</v>
      </c>
      <c r="J3054" t="s">
        <v>13095</v>
      </c>
      <c r="M3054" t="s">
        <v>13096</v>
      </c>
      <c r="N3054">
        <v>1.813871112</v>
      </c>
      <c r="O3054">
        <v>2.6633694910000001</v>
      </c>
      <c r="P3054">
        <v>-0.29586356800000002</v>
      </c>
      <c r="Q3054">
        <v>-0.59018158399999998</v>
      </c>
      <c r="S3054" s="13">
        <v>-1.562396634</v>
      </c>
      <c r="T3054">
        <v>-0.90212313399999999</v>
      </c>
      <c r="U3054">
        <v>-0.28127181800000001</v>
      </c>
    </row>
    <row r="3055" spans="1:21" x14ac:dyDescent="0.2">
      <c r="A3055" t="s">
        <v>1383</v>
      </c>
      <c r="B3055">
        <v>544200</v>
      </c>
      <c r="C3055" t="s">
        <v>6914</v>
      </c>
      <c r="D3055" t="s">
        <v>1384</v>
      </c>
      <c r="E3055" t="s">
        <v>6956</v>
      </c>
      <c r="F3055">
        <v>6</v>
      </c>
      <c r="G3055">
        <v>7</v>
      </c>
      <c r="H3055" t="s">
        <v>13097</v>
      </c>
      <c r="J3055" t="s">
        <v>2492</v>
      </c>
      <c r="M3055" t="s">
        <v>13098</v>
      </c>
      <c r="N3055">
        <v>1.8217074179999999</v>
      </c>
      <c r="O3055">
        <v>4.1700741289999996</v>
      </c>
      <c r="P3055">
        <v>0.189705977</v>
      </c>
      <c r="Q3055">
        <v>-1.7194070999999998E-2</v>
      </c>
      <c r="S3055" s="13">
        <v>-1.5624353520000001</v>
      </c>
      <c r="T3055">
        <v>-0.90229232000000004</v>
      </c>
      <c r="U3055">
        <v>-0.35002875</v>
      </c>
    </row>
    <row r="3056" spans="1:21" x14ac:dyDescent="0.2">
      <c r="A3056" t="s">
        <v>681</v>
      </c>
      <c r="B3056">
        <v>543960</v>
      </c>
      <c r="C3056" t="s">
        <v>6914</v>
      </c>
      <c r="D3056" t="s">
        <v>682</v>
      </c>
      <c r="E3056" t="s">
        <v>6907</v>
      </c>
      <c r="F3056">
        <v>5</v>
      </c>
      <c r="G3056">
        <v>4</v>
      </c>
      <c r="H3056" t="s">
        <v>13099</v>
      </c>
      <c r="J3056" t="s">
        <v>5199</v>
      </c>
      <c r="M3056" t="s">
        <v>13100</v>
      </c>
      <c r="N3056">
        <v>1.8217074179999999</v>
      </c>
      <c r="O3056">
        <v>4.1700741289999996</v>
      </c>
      <c r="P3056">
        <v>0.189705977</v>
      </c>
      <c r="Q3056">
        <v>-1.7194070999999998E-2</v>
      </c>
      <c r="S3056" s="13">
        <v>-1.5627240140000001</v>
      </c>
      <c r="T3056">
        <v>-0.90355370999999995</v>
      </c>
      <c r="U3056">
        <v>-0.35028171800000002</v>
      </c>
    </row>
    <row r="3057" spans="1:21" x14ac:dyDescent="0.2">
      <c r="A3057" t="s">
        <v>2206</v>
      </c>
      <c r="B3057">
        <v>543800</v>
      </c>
      <c r="C3057" t="s">
        <v>6914</v>
      </c>
      <c r="D3057" t="s">
        <v>2207</v>
      </c>
      <c r="E3057" t="s">
        <v>6956</v>
      </c>
      <c r="F3057">
        <v>3</v>
      </c>
      <c r="G3057">
        <v>7</v>
      </c>
      <c r="H3057" t="s">
        <v>13101</v>
      </c>
      <c r="J3057" t="s">
        <v>6797</v>
      </c>
      <c r="M3057" t="s">
        <v>13102</v>
      </c>
      <c r="N3057">
        <v>1.8217074179999999</v>
      </c>
      <c r="O3057">
        <v>4.1700741289999996</v>
      </c>
      <c r="P3057">
        <v>0.189705977</v>
      </c>
      <c r="Q3057">
        <v>-1.7194070999999998E-2</v>
      </c>
      <c r="S3057" s="13">
        <v>-1.562916456</v>
      </c>
      <c r="T3057">
        <v>-0.904394637</v>
      </c>
      <c r="U3057">
        <v>-0.35045044600000003</v>
      </c>
    </row>
    <row r="3058" spans="1:21" x14ac:dyDescent="0.2">
      <c r="A3058" t="s">
        <v>924</v>
      </c>
      <c r="B3058">
        <v>543600</v>
      </c>
      <c r="C3058" t="s">
        <v>6914</v>
      </c>
      <c r="D3058" t="s">
        <v>924</v>
      </c>
      <c r="E3058" t="s">
        <v>7115</v>
      </c>
      <c r="F3058">
        <v>17</v>
      </c>
      <c r="G3058">
        <v>10</v>
      </c>
      <c r="H3058" t="s">
        <v>13103</v>
      </c>
      <c r="J3058" t="s">
        <v>1398</v>
      </c>
      <c r="M3058" t="s">
        <v>13104</v>
      </c>
      <c r="N3058">
        <v>1.8217074179999999</v>
      </c>
      <c r="O3058">
        <v>4.1700741289999996</v>
      </c>
      <c r="P3058">
        <v>0.189705977</v>
      </c>
      <c r="Q3058">
        <v>-1.7194070999999998E-2</v>
      </c>
      <c r="S3058" s="13">
        <v>-1.5631570079999999</v>
      </c>
      <c r="T3058">
        <v>-0.90544579599999997</v>
      </c>
      <c r="U3058">
        <v>-0.35066144799999999</v>
      </c>
    </row>
    <row r="3059" spans="1:21" x14ac:dyDescent="0.2">
      <c r="A3059" t="s">
        <v>792</v>
      </c>
      <c r="B3059">
        <v>543400</v>
      </c>
      <c r="C3059" t="s">
        <v>6914</v>
      </c>
      <c r="D3059" t="s">
        <v>793</v>
      </c>
      <c r="E3059" t="s">
        <v>6924</v>
      </c>
      <c r="F3059">
        <v>5</v>
      </c>
      <c r="G3059">
        <v>6</v>
      </c>
      <c r="H3059" t="s">
        <v>13105</v>
      </c>
      <c r="J3059" t="s">
        <v>5655</v>
      </c>
      <c r="M3059" t="s">
        <v>13106</v>
      </c>
      <c r="N3059">
        <v>1.8217074179999999</v>
      </c>
      <c r="O3059">
        <v>4.1700741289999996</v>
      </c>
      <c r="P3059">
        <v>0.189705977</v>
      </c>
      <c r="Q3059">
        <v>-1.7194070999999998E-2</v>
      </c>
      <c r="S3059" s="13">
        <v>-1.5633975609999999</v>
      </c>
      <c r="T3059">
        <v>-0.90649695399999997</v>
      </c>
      <c r="U3059">
        <v>-0.350872552</v>
      </c>
    </row>
    <row r="3060" spans="1:21" x14ac:dyDescent="0.2">
      <c r="A3060" t="s">
        <v>1413</v>
      </c>
      <c r="B3060">
        <v>387080</v>
      </c>
      <c r="C3060" t="s">
        <v>6931</v>
      </c>
      <c r="D3060" t="s">
        <v>1413</v>
      </c>
      <c r="E3060" t="s">
        <v>6977</v>
      </c>
      <c r="F3060">
        <v>18</v>
      </c>
      <c r="G3060">
        <v>5</v>
      </c>
      <c r="H3060" t="s">
        <v>13107</v>
      </c>
      <c r="N3060">
        <v>1.9323965059999999</v>
      </c>
      <c r="O3060">
        <v>3.0528020530000002</v>
      </c>
      <c r="P3060">
        <v>2.6493138999999999E-2</v>
      </c>
      <c r="Q3060">
        <v>-0.38692188</v>
      </c>
      <c r="S3060" s="13">
        <v>-1.563891991</v>
      </c>
      <c r="T3060">
        <v>-0.90865750300000003</v>
      </c>
      <c r="U3060">
        <v>-0.24176797</v>
      </c>
    </row>
    <row r="3061" spans="1:21" x14ac:dyDescent="0.2">
      <c r="A3061" t="s">
        <v>1295</v>
      </c>
      <c r="B3061">
        <v>417040</v>
      </c>
      <c r="C3061" t="s">
        <v>6910</v>
      </c>
      <c r="D3061" t="s">
        <v>1296</v>
      </c>
      <c r="E3061" t="s">
        <v>6921</v>
      </c>
      <c r="F3061">
        <v>5</v>
      </c>
      <c r="G3061">
        <v>8</v>
      </c>
      <c r="H3061" t="s">
        <v>13108</v>
      </c>
      <c r="J3061" t="s">
        <v>6105</v>
      </c>
      <c r="M3061" t="s">
        <v>13109</v>
      </c>
      <c r="N3061">
        <v>1.9874741039999999</v>
      </c>
      <c r="O3061">
        <v>3.7453511220000002</v>
      </c>
      <c r="P3061">
        <v>0.451009722</v>
      </c>
      <c r="Q3061">
        <v>-0.102386592</v>
      </c>
      <c r="S3061" s="13">
        <v>-1.5639941470000001</v>
      </c>
      <c r="T3061">
        <v>-0.90910389999999996</v>
      </c>
      <c r="U3061">
        <v>-0.28327317899999999</v>
      </c>
    </row>
    <row r="3062" spans="1:21" x14ac:dyDescent="0.2">
      <c r="A3062" t="s">
        <v>1989</v>
      </c>
      <c r="B3062">
        <v>458000</v>
      </c>
      <c r="C3062" t="s">
        <v>6906</v>
      </c>
      <c r="D3062" t="s">
        <v>1990</v>
      </c>
      <c r="E3062" t="s">
        <v>6921</v>
      </c>
      <c r="F3062">
        <v>9</v>
      </c>
      <c r="G3062">
        <v>8</v>
      </c>
      <c r="H3062" t="s">
        <v>13110</v>
      </c>
      <c r="J3062" t="s">
        <v>3265</v>
      </c>
      <c r="M3062" t="s">
        <v>13111</v>
      </c>
      <c r="N3062">
        <v>1.813871112</v>
      </c>
      <c r="O3062">
        <v>2.6633694910000001</v>
      </c>
      <c r="P3062">
        <v>-0.29586356800000002</v>
      </c>
      <c r="Q3062">
        <v>-0.59018158399999998</v>
      </c>
      <c r="S3062" s="13">
        <v>-1.5642535909999999</v>
      </c>
      <c r="T3062">
        <v>-0.91023760899999995</v>
      </c>
      <c r="U3062">
        <v>-0.28242463000000001</v>
      </c>
    </row>
    <row r="3063" spans="1:21" x14ac:dyDescent="0.2">
      <c r="A3063" t="s">
        <v>202</v>
      </c>
      <c r="B3063">
        <v>501760</v>
      </c>
      <c r="C3063" t="s">
        <v>6953</v>
      </c>
      <c r="D3063" t="s">
        <v>202</v>
      </c>
      <c r="E3063" t="s">
        <v>6907</v>
      </c>
      <c r="F3063">
        <v>14</v>
      </c>
      <c r="G3063">
        <v>4</v>
      </c>
      <c r="H3063" t="s">
        <v>13112</v>
      </c>
      <c r="J3063" t="s">
        <v>631</v>
      </c>
      <c r="M3063" t="s">
        <v>13113</v>
      </c>
      <c r="N3063">
        <v>1.921480887</v>
      </c>
      <c r="O3063">
        <v>3.0856645180000002</v>
      </c>
      <c r="P3063">
        <v>0.44706724399999997</v>
      </c>
      <c r="Q3063">
        <v>-0.354940863</v>
      </c>
      <c r="S3063" s="13">
        <v>-1.5645713569999999</v>
      </c>
      <c r="T3063">
        <v>-0.91162617700000004</v>
      </c>
      <c r="U3063">
        <v>-0.29642795199999999</v>
      </c>
    </row>
    <row r="3064" spans="1:21" x14ac:dyDescent="0.2">
      <c r="A3064" t="s">
        <v>1989</v>
      </c>
      <c r="B3064">
        <v>386320</v>
      </c>
      <c r="C3064" t="s">
        <v>6931</v>
      </c>
      <c r="D3064" t="s">
        <v>1990</v>
      </c>
      <c r="E3064" t="s">
        <v>6921</v>
      </c>
      <c r="F3064">
        <v>9</v>
      </c>
      <c r="G3064">
        <v>8</v>
      </c>
      <c r="H3064" t="s">
        <v>13114</v>
      </c>
      <c r="N3064">
        <v>1.9323965059999999</v>
      </c>
      <c r="O3064">
        <v>3.0528020530000002</v>
      </c>
      <c r="P3064">
        <v>2.6493138999999999E-2</v>
      </c>
      <c r="Q3064">
        <v>-0.38692188</v>
      </c>
      <c r="S3064" s="13">
        <v>-1.5648906119999999</v>
      </c>
      <c r="T3064">
        <v>-0.91302124500000004</v>
      </c>
      <c r="U3064">
        <v>-0.24239255800000001</v>
      </c>
    </row>
    <row r="3065" spans="1:21" x14ac:dyDescent="0.2">
      <c r="A3065" t="s">
        <v>380</v>
      </c>
      <c r="B3065">
        <v>415960</v>
      </c>
      <c r="C3065" t="s">
        <v>6910</v>
      </c>
      <c r="D3065" t="s">
        <v>380</v>
      </c>
      <c r="E3065" t="s">
        <v>6928</v>
      </c>
      <c r="F3065">
        <v>16</v>
      </c>
      <c r="G3065">
        <v>16</v>
      </c>
      <c r="H3065" t="s">
        <v>13115</v>
      </c>
      <c r="J3065" t="s">
        <v>5953</v>
      </c>
      <c r="M3065" t="s">
        <v>13116</v>
      </c>
      <c r="N3065">
        <v>1.9874741039999999</v>
      </c>
      <c r="O3065">
        <v>3.7453511220000002</v>
      </c>
      <c r="P3065">
        <v>0.451009722</v>
      </c>
      <c r="Q3065">
        <v>-0.102386592</v>
      </c>
      <c r="S3065" s="13">
        <v>-1.5651561119999999</v>
      </c>
      <c r="T3065">
        <v>-0.91418142199999997</v>
      </c>
      <c r="U3065">
        <v>-0.284250159</v>
      </c>
    </row>
    <row r="3066" spans="1:21" x14ac:dyDescent="0.2">
      <c r="A3066" t="s">
        <v>1101</v>
      </c>
      <c r="B3066">
        <v>415400</v>
      </c>
      <c r="C3066" t="s">
        <v>6910</v>
      </c>
      <c r="D3066" t="s">
        <v>1101</v>
      </c>
      <c r="E3066" t="s">
        <v>6911</v>
      </c>
      <c r="F3066">
        <v>14</v>
      </c>
      <c r="G3066">
        <v>12</v>
      </c>
      <c r="H3066" t="s">
        <v>13117</v>
      </c>
      <c r="J3066" t="s">
        <v>5923</v>
      </c>
      <c r="M3066" t="s">
        <v>13118</v>
      </c>
      <c r="N3066">
        <v>1.9874741039999999</v>
      </c>
      <c r="O3066">
        <v>3.7453511220000002</v>
      </c>
      <c r="P3066">
        <v>0.451009722</v>
      </c>
      <c r="Q3066">
        <v>-0.102386592</v>
      </c>
      <c r="S3066" s="13">
        <v>-1.5657586130000001</v>
      </c>
      <c r="T3066">
        <v>-0.91681421100000005</v>
      </c>
      <c r="U3066">
        <v>-0.28475760700000002</v>
      </c>
    </row>
    <row r="3067" spans="1:21" x14ac:dyDescent="0.2">
      <c r="A3067" t="s">
        <v>1001</v>
      </c>
      <c r="B3067">
        <v>500600</v>
      </c>
      <c r="C3067" t="s">
        <v>6953</v>
      </c>
      <c r="D3067" t="s">
        <v>1001</v>
      </c>
      <c r="E3067" t="s">
        <v>7006</v>
      </c>
      <c r="F3067">
        <v>14</v>
      </c>
      <c r="G3067">
        <v>3</v>
      </c>
      <c r="H3067" t="s">
        <v>13119</v>
      </c>
      <c r="J3067" t="s">
        <v>4225</v>
      </c>
      <c r="M3067" t="s">
        <v>13120</v>
      </c>
      <c r="N3067">
        <v>1.921480887</v>
      </c>
      <c r="O3067">
        <v>3.0856645180000002</v>
      </c>
      <c r="P3067">
        <v>0.44706724399999997</v>
      </c>
      <c r="Q3067">
        <v>-0.354940863</v>
      </c>
      <c r="S3067" s="13">
        <v>-1.5657750020000001</v>
      </c>
      <c r="T3067">
        <v>-0.91688582699999999</v>
      </c>
      <c r="U3067">
        <v>-0.29750970199999999</v>
      </c>
    </row>
    <row r="3068" spans="1:21" x14ac:dyDescent="0.2">
      <c r="A3068" t="s">
        <v>907</v>
      </c>
      <c r="B3068">
        <v>385480</v>
      </c>
      <c r="C3068" t="s">
        <v>6931</v>
      </c>
      <c r="D3068" t="s">
        <v>907</v>
      </c>
      <c r="E3068" t="s">
        <v>6946</v>
      </c>
      <c r="F3068">
        <v>19</v>
      </c>
      <c r="G3068">
        <v>11</v>
      </c>
      <c r="H3068" t="s">
        <v>13121</v>
      </c>
      <c r="N3068">
        <v>1.9323965059999999</v>
      </c>
      <c r="O3068">
        <v>3.0528020530000002</v>
      </c>
      <c r="P3068">
        <v>2.6493138999999999E-2</v>
      </c>
      <c r="Q3068">
        <v>-0.38692188</v>
      </c>
      <c r="S3068" s="13">
        <v>-1.56599435</v>
      </c>
      <c r="T3068">
        <v>-0.91784432900000001</v>
      </c>
      <c r="U3068">
        <v>-0.24308394</v>
      </c>
    </row>
    <row r="3069" spans="1:21" x14ac:dyDescent="0.2">
      <c r="A3069" t="s">
        <v>610</v>
      </c>
      <c r="B3069">
        <v>500160</v>
      </c>
      <c r="C3069" t="s">
        <v>6953</v>
      </c>
      <c r="D3069" t="s">
        <v>611</v>
      </c>
      <c r="E3069" t="s">
        <v>6974</v>
      </c>
      <c r="F3069">
        <v>9</v>
      </c>
      <c r="G3069">
        <v>15</v>
      </c>
      <c r="H3069" t="s">
        <v>13122</v>
      </c>
      <c r="J3069" t="s">
        <v>708</v>
      </c>
      <c r="M3069" t="s">
        <v>13123</v>
      </c>
      <c r="N3069">
        <v>1.921480887</v>
      </c>
      <c r="O3069">
        <v>3.0856645180000002</v>
      </c>
      <c r="P3069">
        <v>0.44706724399999997</v>
      </c>
      <c r="Q3069">
        <v>-0.354940863</v>
      </c>
      <c r="S3069" s="13">
        <v>-1.566231556</v>
      </c>
      <c r="T3069">
        <v>-0.91888086700000005</v>
      </c>
      <c r="U3069">
        <v>-0.297920727</v>
      </c>
    </row>
    <row r="3070" spans="1:21" x14ac:dyDescent="0.2">
      <c r="A3070" t="s">
        <v>1335</v>
      </c>
      <c r="B3070">
        <v>414920</v>
      </c>
      <c r="C3070" t="s">
        <v>6910</v>
      </c>
      <c r="D3070" t="s">
        <v>1335</v>
      </c>
      <c r="E3070" t="s">
        <v>6915</v>
      </c>
      <c r="F3070">
        <v>12</v>
      </c>
      <c r="G3070">
        <v>13</v>
      </c>
      <c r="H3070" t="s">
        <v>13124</v>
      </c>
      <c r="J3070" t="s">
        <v>5589</v>
      </c>
      <c r="M3070" t="s">
        <v>13125</v>
      </c>
      <c r="N3070">
        <v>1.9874741039999999</v>
      </c>
      <c r="O3070">
        <v>3.7453511220000002</v>
      </c>
      <c r="P3070">
        <v>0.451009722</v>
      </c>
      <c r="Q3070">
        <v>-0.102386592</v>
      </c>
      <c r="S3070" s="13">
        <v>-1.5662750409999999</v>
      </c>
      <c r="T3070">
        <v>-0.91907088699999995</v>
      </c>
      <c r="U3070">
        <v>-0.28519303600000001</v>
      </c>
    </row>
    <row r="3071" spans="1:21" x14ac:dyDescent="0.2">
      <c r="A3071" t="s">
        <v>178</v>
      </c>
      <c r="B3071">
        <v>499880</v>
      </c>
      <c r="C3071" t="s">
        <v>6953</v>
      </c>
      <c r="D3071" t="s">
        <v>178</v>
      </c>
      <c r="E3071" t="s">
        <v>6970</v>
      </c>
      <c r="F3071">
        <v>14</v>
      </c>
      <c r="G3071">
        <v>14</v>
      </c>
      <c r="H3071" t="s">
        <v>13126</v>
      </c>
      <c r="J3071" t="s">
        <v>5341</v>
      </c>
      <c r="M3071" t="s">
        <v>13127</v>
      </c>
      <c r="N3071">
        <v>1.921480887</v>
      </c>
      <c r="O3071">
        <v>3.0856645180000002</v>
      </c>
      <c r="P3071">
        <v>0.44706724399999997</v>
      </c>
      <c r="Q3071">
        <v>-0.354940863</v>
      </c>
      <c r="S3071" s="13">
        <v>-1.5665220909999999</v>
      </c>
      <c r="T3071">
        <v>-0.92015043699999999</v>
      </c>
      <c r="U3071">
        <v>-0.29818249099999999</v>
      </c>
    </row>
    <row r="3072" spans="1:21" x14ac:dyDescent="0.2">
      <c r="A3072" t="s">
        <v>2657</v>
      </c>
      <c r="B3072">
        <v>540800</v>
      </c>
      <c r="C3072" t="s">
        <v>6914</v>
      </c>
      <c r="D3072" t="s">
        <v>2658</v>
      </c>
      <c r="E3072" t="s">
        <v>6977</v>
      </c>
      <c r="F3072">
        <v>8</v>
      </c>
      <c r="G3072">
        <v>5</v>
      </c>
      <c r="H3072" t="s">
        <v>13128</v>
      </c>
      <c r="J3072" t="s">
        <v>5141</v>
      </c>
      <c r="M3072" t="s">
        <v>13129</v>
      </c>
      <c r="N3072">
        <v>1.8217074179999999</v>
      </c>
      <c r="O3072">
        <v>4.1700741289999996</v>
      </c>
      <c r="P3072">
        <v>0.189705977</v>
      </c>
      <c r="Q3072">
        <v>-1.7194070999999998E-2</v>
      </c>
      <c r="S3072" s="13">
        <v>-1.5665247410000001</v>
      </c>
      <c r="T3072">
        <v>-0.92016201600000003</v>
      </c>
      <c r="U3072">
        <v>-0.35362628800000001</v>
      </c>
    </row>
    <row r="3073" spans="1:21" x14ac:dyDescent="0.2">
      <c r="A3073" t="s">
        <v>1544</v>
      </c>
      <c r="B3073">
        <v>456160</v>
      </c>
      <c r="C3073" t="s">
        <v>6906</v>
      </c>
      <c r="D3073" t="s">
        <v>1545</v>
      </c>
      <c r="E3073" t="s">
        <v>6924</v>
      </c>
      <c r="F3073">
        <v>6</v>
      </c>
      <c r="G3073">
        <v>6</v>
      </c>
      <c r="H3073" t="s">
        <v>13130</v>
      </c>
      <c r="J3073" t="s">
        <v>1997</v>
      </c>
      <c r="M3073" t="s">
        <v>13131</v>
      </c>
      <c r="N3073">
        <v>1.813871112</v>
      </c>
      <c r="O3073">
        <v>2.6633694910000001</v>
      </c>
      <c r="P3073">
        <v>-0.29586356800000002</v>
      </c>
      <c r="Q3073">
        <v>-0.59018158399999998</v>
      </c>
      <c r="S3073" s="13">
        <v>-1.5669229650000001</v>
      </c>
      <c r="T3073">
        <v>-0.92190216599999997</v>
      </c>
      <c r="U3073">
        <v>-0.284087176</v>
      </c>
    </row>
    <row r="3074" spans="1:21" x14ac:dyDescent="0.2">
      <c r="A3074" t="s">
        <v>2764</v>
      </c>
      <c r="B3074">
        <v>540240</v>
      </c>
      <c r="C3074" t="s">
        <v>6914</v>
      </c>
      <c r="D3074" t="s">
        <v>2764</v>
      </c>
      <c r="E3074" t="s">
        <v>6921</v>
      </c>
      <c r="F3074">
        <v>12</v>
      </c>
      <c r="G3074">
        <v>8</v>
      </c>
      <c r="H3074" t="s">
        <v>13132</v>
      </c>
      <c r="J3074" t="s">
        <v>3718</v>
      </c>
      <c r="M3074" t="s">
        <v>13133</v>
      </c>
      <c r="N3074">
        <v>1.8217074179999999</v>
      </c>
      <c r="O3074">
        <v>4.1700741289999996</v>
      </c>
      <c r="P3074">
        <v>0.189705977</v>
      </c>
      <c r="Q3074">
        <v>-1.7194070999999998E-2</v>
      </c>
      <c r="S3074" s="13">
        <v>-1.5671982870000001</v>
      </c>
      <c r="T3074">
        <v>-0.92310526000000004</v>
      </c>
      <c r="U3074">
        <v>-0.354221693</v>
      </c>
    </row>
    <row r="3075" spans="1:21" x14ac:dyDescent="0.2">
      <c r="A3075" t="s">
        <v>408</v>
      </c>
      <c r="B3075">
        <v>455840</v>
      </c>
      <c r="C3075" t="s">
        <v>6906</v>
      </c>
      <c r="D3075" t="s">
        <v>408</v>
      </c>
      <c r="E3075" t="s">
        <v>6918</v>
      </c>
      <c r="F3075">
        <v>10</v>
      </c>
      <c r="G3075">
        <v>1</v>
      </c>
      <c r="H3075" t="s">
        <v>13134</v>
      </c>
      <c r="J3075" t="s">
        <v>13135</v>
      </c>
      <c r="M3075" t="s">
        <v>13136</v>
      </c>
      <c r="N3075">
        <v>1.813871112</v>
      </c>
      <c r="O3075">
        <v>2.6633694910000001</v>
      </c>
      <c r="P3075">
        <v>-0.29586356800000002</v>
      </c>
      <c r="Q3075">
        <v>-0.59018158399999998</v>
      </c>
      <c r="S3075" s="13">
        <v>-1.5673872040000001</v>
      </c>
      <c r="T3075">
        <v>-0.92393078500000003</v>
      </c>
      <c r="U3075">
        <v>-0.28437696499999998</v>
      </c>
    </row>
    <row r="3076" spans="1:21" x14ac:dyDescent="0.2">
      <c r="A3076" t="s">
        <v>320</v>
      </c>
      <c r="B3076">
        <v>413880</v>
      </c>
      <c r="C3076" t="s">
        <v>6910</v>
      </c>
      <c r="D3076" t="s">
        <v>320</v>
      </c>
      <c r="E3076" t="s">
        <v>6907</v>
      </c>
      <c r="F3076">
        <v>13</v>
      </c>
      <c r="G3076">
        <v>4</v>
      </c>
      <c r="H3076" t="s">
        <v>13137</v>
      </c>
      <c r="J3076" t="s">
        <v>3468</v>
      </c>
      <c r="M3076" t="s">
        <v>13138</v>
      </c>
      <c r="N3076">
        <v>1.9874741039999999</v>
      </c>
      <c r="O3076">
        <v>3.7453511220000002</v>
      </c>
      <c r="P3076">
        <v>0.451009722</v>
      </c>
      <c r="Q3076">
        <v>-0.102386592</v>
      </c>
      <c r="S3076" s="13">
        <v>-1.567393971</v>
      </c>
      <c r="T3076">
        <v>-0.92396035200000004</v>
      </c>
      <c r="U3076">
        <v>-0.28613796400000002</v>
      </c>
    </row>
    <row r="3077" spans="1:21" x14ac:dyDescent="0.2">
      <c r="A3077" t="s">
        <v>1251</v>
      </c>
      <c r="B3077">
        <v>498560</v>
      </c>
      <c r="C3077" t="s">
        <v>6953</v>
      </c>
      <c r="D3077" t="s">
        <v>1251</v>
      </c>
      <c r="E3077" t="s">
        <v>6907</v>
      </c>
      <c r="F3077">
        <v>17</v>
      </c>
      <c r="G3077">
        <v>4</v>
      </c>
      <c r="H3077" t="s">
        <v>13139</v>
      </c>
      <c r="J3077" t="s">
        <v>1465</v>
      </c>
      <c r="M3077" t="s">
        <v>13140</v>
      </c>
      <c r="N3077">
        <v>1.921480887</v>
      </c>
      <c r="O3077">
        <v>3.0856645180000002</v>
      </c>
      <c r="P3077">
        <v>0.44706724399999997</v>
      </c>
      <c r="Q3077">
        <v>-0.354940863</v>
      </c>
      <c r="S3077" s="13">
        <v>-1.567891755</v>
      </c>
      <c r="T3077">
        <v>-0.92613555599999997</v>
      </c>
      <c r="U3077">
        <v>-0.29941865099999998</v>
      </c>
    </row>
    <row r="3078" spans="1:21" x14ac:dyDescent="0.2">
      <c r="A3078" t="s">
        <v>1511</v>
      </c>
      <c r="B3078">
        <v>355880</v>
      </c>
      <c r="C3078" t="s">
        <v>6942</v>
      </c>
      <c r="D3078" t="s">
        <v>1512</v>
      </c>
      <c r="E3078" t="s">
        <v>6970</v>
      </c>
      <c r="F3078">
        <v>4</v>
      </c>
      <c r="G3078">
        <v>14</v>
      </c>
      <c r="H3078" t="s">
        <v>13141</v>
      </c>
      <c r="J3078" t="s">
        <v>2879</v>
      </c>
      <c r="M3078" t="s">
        <v>13142</v>
      </c>
      <c r="N3078">
        <v>2.0902262079999998</v>
      </c>
      <c r="O3078">
        <v>4.2704203920000001</v>
      </c>
      <c r="P3078">
        <v>0.23425843900000001</v>
      </c>
      <c r="Q3078">
        <v>1.6181978999999999E-2</v>
      </c>
      <c r="S3078" s="13">
        <v>-1.5679484910000001</v>
      </c>
      <c r="T3078">
        <v>-0.92638348100000001</v>
      </c>
      <c r="U3078">
        <v>-0.44354064300000001</v>
      </c>
    </row>
    <row r="3079" spans="1:21" x14ac:dyDescent="0.2">
      <c r="A3079" t="s">
        <v>148</v>
      </c>
      <c r="B3079">
        <v>537960</v>
      </c>
      <c r="C3079" t="s">
        <v>6914</v>
      </c>
      <c r="D3079" t="s">
        <v>148</v>
      </c>
      <c r="E3079" t="s">
        <v>6915</v>
      </c>
      <c r="F3079">
        <v>17</v>
      </c>
      <c r="G3079">
        <v>13</v>
      </c>
      <c r="H3079" t="s">
        <v>13143</v>
      </c>
      <c r="J3079" t="s">
        <v>4171</v>
      </c>
      <c r="M3079" t="s">
        <v>13144</v>
      </c>
      <c r="N3079">
        <v>1.8217074179999999</v>
      </c>
      <c r="O3079">
        <v>4.1700741289999996</v>
      </c>
      <c r="P3079">
        <v>0.189705977</v>
      </c>
      <c r="Q3079">
        <v>-1.7194070999999998E-2</v>
      </c>
      <c r="S3079" s="13">
        <v>-1.569940584</v>
      </c>
      <c r="T3079">
        <v>-0.93508846800000001</v>
      </c>
      <c r="U3079">
        <v>-0.35665430300000001</v>
      </c>
    </row>
    <row r="3080" spans="1:21" x14ac:dyDescent="0.2">
      <c r="A3080" t="s">
        <v>2319</v>
      </c>
      <c r="B3080">
        <v>401840</v>
      </c>
      <c r="C3080" t="s">
        <v>6938</v>
      </c>
      <c r="D3080" t="s">
        <v>2320</v>
      </c>
      <c r="E3080" t="s">
        <v>6915</v>
      </c>
      <c r="F3080">
        <v>8</v>
      </c>
      <c r="G3080">
        <v>13</v>
      </c>
      <c r="H3080" t="s">
        <v>13145</v>
      </c>
      <c r="J3080" t="s">
        <v>5667</v>
      </c>
      <c r="M3080" t="s">
        <v>13146</v>
      </c>
      <c r="N3080">
        <v>2.092758737</v>
      </c>
      <c r="O3080">
        <v>5.3323610669999999</v>
      </c>
      <c r="P3080">
        <v>0.70420098600000003</v>
      </c>
      <c r="Q3080">
        <v>0.41355372699999998</v>
      </c>
      <c r="S3080" s="13">
        <v>-1.5700103059999999</v>
      </c>
      <c r="T3080">
        <v>-0.93539313800000001</v>
      </c>
      <c r="U3080">
        <v>-0.46574069499999998</v>
      </c>
    </row>
    <row r="3081" spans="1:21" x14ac:dyDescent="0.2">
      <c r="A3081" t="s">
        <v>1155</v>
      </c>
      <c r="B3081">
        <v>537360</v>
      </c>
      <c r="C3081" t="s">
        <v>6914</v>
      </c>
      <c r="D3081" t="s">
        <v>1156</v>
      </c>
      <c r="E3081" t="s">
        <v>6970</v>
      </c>
      <c r="F3081">
        <v>8</v>
      </c>
      <c r="G3081">
        <v>14</v>
      </c>
      <c r="H3081" t="s">
        <v>13147</v>
      </c>
      <c r="J3081" t="s">
        <v>5903</v>
      </c>
      <c r="M3081" t="s">
        <v>13148</v>
      </c>
      <c r="N3081">
        <v>1.8217074179999999</v>
      </c>
      <c r="O3081">
        <v>4.1700741289999996</v>
      </c>
      <c r="P3081">
        <v>0.189705977</v>
      </c>
      <c r="Q3081">
        <v>-1.7194070999999998E-2</v>
      </c>
      <c r="S3081" s="13">
        <v>-1.570662241</v>
      </c>
      <c r="T3081">
        <v>-0.93824194400000005</v>
      </c>
      <c r="U3081">
        <v>-0.35729673499999998</v>
      </c>
    </row>
    <row r="3082" spans="1:21" x14ac:dyDescent="0.2">
      <c r="A3082" t="s">
        <v>143</v>
      </c>
      <c r="B3082">
        <v>430760</v>
      </c>
      <c r="C3082" t="s">
        <v>6927</v>
      </c>
      <c r="D3082" t="s">
        <v>144</v>
      </c>
      <c r="E3082" t="s">
        <v>7115</v>
      </c>
      <c r="F3082">
        <v>8</v>
      </c>
      <c r="G3082">
        <v>10</v>
      </c>
      <c r="H3082" t="s">
        <v>13149</v>
      </c>
      <c r="J3082" t="s">
        <v>13150</v>
      </c>
      <c r="M3082" t="s">
        <v>13151</v>
      </c>
      <c r="N3082">
        <v>1.982575982</v>
      </c>
      <c r="O3082">
        <v>3.4571926419999999</v>
      </c>
      <c r="P3082">
        <v>-0.114791479</v>
      </c>
      <c r="Q3082">
        <v>1.868949E-3</v>
      </c>
      <c r="S3082" s="13">
        <v>-1.570765974</v>
      </c>
      <c r="T3082">
        <v>-0.93869523700000002</v>
      </c>
      <c r="U3082">
        <v>-0.386616762</v>
      </c>
    </row>
    <row r="3083" spans="1:21" x14ac:dyDescent="0.2">
      <c r="A3083" t="s">
        <v>644</v>
      </c>
      <c r="B3083">
        <v>381680</v>
      </c>
      <c r="C3083" t="s">
        <v>6931</v>
      </c>
      <c r="D3083" t="s">
        <v>644</v>
      </c>
      <c r="E3083" t="s">
        <v>6946</v>
      </c>
      <c r="F3083">
        <v>11</v>
      </c>
      <c r="G3083">
        <v>11</v>
      </c>
      <c r="H3083" t="s">
        <v>13152</v>
      </c>
      <c r="N3083">
        <v>1.9323965059999999</v>
      </c>
      <c r="O3083">
        <v>3.0528020530000002</v>
      </c>
      <c r="P3083">
        <v>2.6493138999999999E-2</v>
      </c>
      <c r="Q3083">
        <v>-0.38692188</v>
      </c>
      <c r="S3083" s="13">
        <v>-1.570987452</v>
      </c>
      <c r="T3083">
        <v>-0.93966304199999995</v>
      </c>
      <c r="U3083">
        <v>-0.24622544399999999</v>
      </c>
    </row>
    <row r="3084" spans="1:21" x14ac:dyDescent="0.2">
      <c r="A3084" t="s">
        <v>2791</v>
      </c>
      <c r="B3084">
        <v>495200</v>
      </c>
      <c r="C3084" t="s">
        <v>6953</v>
      </c>
      <c r="D3084" t="s">
        <v>2792</v>
      </c>
      <c r="E3084" t="s">
        <v>6921</v>
      </c>
      <c r="F3084">
        <v>6</v>
      </c>
      <c r="G3084">
        <v>8</v>
      </c>
      <c r="H3084" t="s">
        <v>13153</v>
      </c>
      <c r="J3084" t="s">
        <v>5359</v>
      </c>
      <c r="M3084" t="s">
        <v>13154</v>
      </c>
      <c r="N3084">
        <v>1.921480887</v>
      </c>
      <c r="O3084">
        <v>3.0856645180000002</v>
      </c>
      <c r="P3084">
        <v>0.44706724399999997</v>
      </c>
      <c r="Q3084">
        <v>-0.354940863</v>
      </c>
      <c r="S3084" s="13">
        <v>-1.571378173</v>
      </c>
      <c r="T3084">
        <v>-0.94137040299999997</v>
      </c>
      <c r="U3084">
        <v>-0.30258120900000002</v>
      </c>
    </row>
    <row r="3085" spans="1:21" x14ac:dyDescent="0.2">
      <c r="A3085" t="s">
        <v>303</v>
      </c>
      <c r="B3085">
        <v>452880</v>
      </c>
      <c r="C3085" t="s">
        <v>6906</v>
      </c>
      <c r="D3085" t="s">
        <v>304</v>
      </c>
      <c r="E3085" t="s">
        <v>7006</v>
      </c>
      <c r="F3085">
        <v>3</v>
      </c>
      <c r="G3085">
        <v>3</v>
      </c>
      <c r="H3085" t="s">
        <v>13155</v>
      </c>
      <c r="J3085" t="s">
        <v>4313</v>
      </c>
      <c r="M3085" t="s">
        <v>13156</v>
      </c>
      <c r="N3085">
        <v>1.813871112</v>
      </c>
      <c r="O3085">
        <v>2.6633694910000001</v>
      </c>
      <c r="P3085">
        <v>-0.29586356800000002</v>
      </c>
      <c r="Q3085">
        <v>-0.59018158399999998</v>
      </c>
      <c r="S3085" s="13">
        <v>-1.5716814160000001</v>
      </c>
      <c r="T3085">
        <v>-0.94269550800000002</v>
      </c>
      <c r="U3085">
        <v>-0.28706672300000002</v>
      </c>
    </row>
    <row r="3086" spans="1:21" x14ac:dyDescent="0.2">
      <c r="A3086" t="s">
        <v>57</v>
      </c>
      <c r="B3086">
        <v>494760</v>
      </c>
      <c r="C3086" t="s">
        <v>6953</v>
      </c>
      <c r="D3086" t="s">
        <v>59</v>
      </c>
      <c r="E3086" t="s">
        <v>6928</v>
      </c>
      <c r="F3086">
        <v>4</v>
      </c>
      <c r="G3086">
        <v>16</v>
      </c>
      <c r="H3086" t="s">
        <v>13157</v>
      </c>
      <c r="J3086" t="s">
        <v>2973</v>
      </c>
      <c r="M3086" t="s">
        <v>13158</v>
      </c>
      <c r="N3086">
        <v>1.921480887</v>
      </c>
      <c r="O3086">
        <v>3.0856645180000002</v>
      </c>
      <c r="P3086">
        <v>0.44706724399999997</v>
      </c>
      <c r="Q3086">
        <v>-0.354940863</v>
      </c>
      <c r="S3086" s="13">
        <v>-1.5718347269999999</v>
      </c>
      <c r="T3086">
        <v>-0.94336544300000003</v>
      </c>
      <c r="U3086">
        <v>-0.30299706399999998</v>
      </c>
    </row>
    <row r="3087" spans="1:21" x14ac:dyDescent="0.2">
      <c r="A3087" t="s">
        <v>1882</v>
      </c>
      <c r="B3087">
        <v>399520</v>
      </c>
      <c r="C3087" t="s">
        <v>6938</v>
      </c>
      <c r="D3087" t="s">
        <v>1882</v>
      </c>
      <c r="E3087" t="s">
        <v>7006</v>
      </c>
      <c r="F3087">
        <v>20</v>
      </c>
      <c r="G3087">
        <v>3</v>
      </c>
      <c r="H3087" t="s">
        <v>13159</v>
      </c>
      <c r="J3087" t="s">
        <v>5361</v>
      </c>
      <c r="M3087" t="s">
        <v>13160</v>
      </c>
      <c r="N3087">
        <v>2.092758737</v>
      </c>
      <c r="O3087">
        <v>5.3323610669999999</v>
      </c>
      <c r="P3087">
        <v>0.70420098600000003</v>
      </c>
      <c r="Q3087">
        <v>0.41355372699999998</v>
      </c>
      <c r="S3087" s="13">
        <v>-1.5720027480000001</v>
      </c>
      <c r="T3087">
        <v>-0.94409965600000001</v>
      </c>
      <c r="U3087">
        <v>-0.46894349099999999</v>
      </c>
    </row>
    <row r="3088" spans="1:21" x14ac:dyDescent="0.2">
      <c r="A3088" t="s">
        <v>1365</v>
      </c>
      <c r="B3088">
        <v>493840</v>
      </c>
      <c r="C3088" t="s">
        <v>6953</v>
      </c>
      <c r="D3088" t="s">
        <v>1365</v>
      </c>
      <c r="E3088" t="s">
        <v>6970</v>
      </c>
      <c r="F3088">
        <v>21</v>
      </c>
      <c r="G3088">
        <v>14</v>
      </c>
      <c r="H3088" t="s">
        <v>13161</v>
      </c>
      <c r="J3088" t="s">
        <v>5257</v>
      </c>
      <c r="M3088" t="s">
        <v>13162</v>
      </c>
      <c r="N3088">
        <v>1.921480887</v>
      </c>
      <c r="O3088">
        <v>3.0856645180000002</v>
      </c>
      <c r="P3088">
        <v>0.44706724399999997</v>
      </c>
      <c r="Q3088">
        <v>-0.354940863</v>
      </c>
      <c r="S3088" s="13">
        <v>-1.5727893420000001</v>
      </c>
      <c r="T3088">
        <v>-0.94753688899999999</v>
      </c>
      <c r="U3088">
        <v>-0.30386786799999999</v>
      </c>
    </row>
    <row r="3089" spans="1:21" x14ac:dyDescent="0.2">
      <c r="A3089" t="s">
        <v>1409</v>
      </c>
      <c r="B3089">
        <v>380160</v>
      </c>
      <c r="C3089" t="s">
        <v>6931</v>
      </c>
      <c r="D3089" t="s">
        <v>1410</v>
      </c>
      <c r="E3089" t="s">
        <v>7115</v>
      </c>
      <c r="F3089">
        <v>6</v>
      </c>
      <c r="G3089">
        <v>10</v>
      </c>
      <c r="H3089" t="s">
        <v>13163</v>
      </c>
      <c r="N3089">
        <v>1.9323965059999999</v>
      </c>
      <c r="O3089">
        <v>3.0528020530000002</v>
      </c>
      <c r="P3089">
        <v>2.6493138999999999E-2</v>
      </c>
      <c r="Q3089">
        <v>-0.38692188</v>
      </c>
      <c r="S3089" s="13">
        <v>-1.5729846919999999</v>
      </c>
      <c r="T3089">
        <v>-0.94839052700000004</v>
      </c>
      <c r="U3089">
        <v>-0.24748843600000001</v>
      </c>
    </row>
    <row r="3090" spans="1:21" x14ac:dyDescent="0.2">
      <c r="A3090" t="s">
        <v>1163</v>
      </c>
      <c r="B3090">
        <v>259880</v>
      </c>
      <c r="C3090" t="s">
        <v>6945</v>
      </c>
      <c r="D3090" t="s">
        <v>1164</v>
      </c>
      <c r="E3090" t="s">
        <v>6918</v>
      </c>
      <c r="F3090">
        <v>6</v>
      </c>
      <c r="G3090">
        <v>1</v>
      </c>
      <c r="H3090" t="s">
        <v>13164</v>
      </c>
      <c r="J3090" t="s">
        <v>6513</v>
      </c>
      <c r="M3090" t="s">
        <v>13165</v>
      </c>
      <c r="N3090">
        <v>2.2220813349999999</v>
      </c>
      <c r="O3090">
        <v>6.5440947090000003</v>
      </c>
      <c r="P3090">
        <v>0.58228215500000002</v>
      </c>
      <c r="Q3090">
        <v>0.35188233000000002</v>
      </c>
      <c r="S3090" s="13">
        <v>-1.5731479559999999</v>
      </c>
      <c r="T3090">
        <v>-0.94910395299999994</v>
      </c>
      <c r="U3090">
        <v>-0.47781837900000002</v>
      </c>
    </row>
    <row r="3091" spans="1:21" x14ac:dyDescent="0.2">
      <c r="A3091" t="s">
        <v>1825</v>
      </c>
      <c r="B3091">
        <v>493360</v>
      </c>
      <c r="C3091" t="s">
        <v>6953</v>
      </c>
      <c r="D3091" t="s">
        <v>1826</v>
      </c>
      <c r="E3091" t="s">
        <v>6956</v>
      </c>
      <c r="F3091">
        <v>9</v>
      </c>
      <c r="G3091">
        <v>7</v>
      </c>
      <c r="H3091" t="s">
        <v>13166</v>
      </c>
      <c r="J3091" t="s">
        <v>5399</v>
      </c>
      <c r="M3091" t="s">
        <v>13167</v>
      </c>
      <c r="N3091">
        <v>1.921480887</v>
      </c>
      <c r="O3091">
        <v>3.0856645180000002</v>
      </c>
      <c r="P3091">
        <v>0.44706724399999997</v>
      </c>
      <c r="Q3091">
        <v>-0.354940863</v>
      </c>
      <c r="S3091" s="13">
        <v>-1.573287401</v>
      </c>
      <c r="T3091">
        <v>-0.94971329599999998</v>
      </c>
      <c r="U3091">
        <v>-0.30432289499999998</v>
      </c>
    </row>
    <row r="3092" spans="1:21" x14ac:dyDescent="0.2">
      <c r="A3092" t="s">
        <v>1373</v>
      </c>
      <c r="B3092">
        <v>535000</v>
      </c>
      <c r="C3092" t="s">
        <v>6914</v>
      </c>
      <c r="D3092" t="s">
        <v>1373</v>
      </c>
      <c r="E3092" t="s">
        <v>6977</v>
      </c>
      <c r="F3092">
        <v>10</v>
      </c>
      <c r="G3092">
        <v>5</v>
      </c>
      <c r="H3092" t="s">
        <v>13168</v>
      </c>
      <c r="J3092" t="s">
        <v>3371</v>
      </c>
      <c r="M3092" t="s">
        <v>13169</v>
      </c>
      <c r="N3092">
        <v>1.8217074179999999</v>
      </c>
      <c r="O3092">
        <v>4.1700741289999996</v>
      </c>
      <c r="P3092">
        <v>0.189705977</v>
      </c>
      <c r="Q3092">
        <v>-1.7194070999999998E-2</v>
      </c>
      <c r="S3092" s="13">
        <v>-1.573500758</v>
      </c>
      <c r="T3092">
        <v>-0.95064561599999997</v>
      </c>
      <c r="U3092">
        <v>-0.35983289400000001</v>
      </c>
    </row>
    <row r="3093" spans="1:21" x14ac:dyDescent="0.2">
      <c r="A3093" t="s">
        <v>2252</v>
      </c>
      <c r="B3093">
        <v>533600</v>
      </c>
      <c r="C3093" t="s">
        <v>6914</v>
      </c>
      <c r="D3093" t="s">
        <v>2253</v>
      </c>
      <c r="E3093" t="s">
        <v>6924</v>
      </c>
      <c r="F3093">
        <v>4</v>
      </c>
      <c r="G3093">
        <v>6</v>
      </c>
      <c r="H3093" t="s">
        <v>13170</v>
      </c>
      <c r="J3093" t="s">
        <v>2255</v>
      </c>
      <c r="M3093" t="s">
        <v>13171</v>
      </c>
      <c r="N3093">
        <v>1.8217074179999999</v>
      </c>
      <c r="O3093">
        <v>4.1700741289999996</v>
      </c>
      <c r="P3093">
        <v>0.189705977</v>
      </c>
      <c r="Q3093">
        <v>-1.7194070999999998E-2</v>
      </c>
      <c r="S3093" s="13">
        <v>-1.575184624</v>
      </c>
      <c r="T3093">
        <v>-0.95800372600000006</v>
      </c>
      <c r="U3093">
        <v>-0.361344424</v>
      </c>
    </row>
    <row r="3094" spans="1:21" x14ac:dyDescent="0.2">
      <c r="A3094" t="s">
        <v>603</v>
      </c>
      <c r="B3094">
        <v>406320</v>
      </c>
      <c r="C3094" t="s">
        <v>6910</v>
      </c>
      <c r="D3094" t="s">
        <v>604</v>
      </c>
      <c r="E3094" t="s">
        <v>6911</v>
      </c>
      <c r="F3094">
        <v>8</v>
      </c>
      <c r="G3094">
        <v>12</v>
      </c>
      <c r="H3094" t="s">
        <v>13172</v>
      </c>
      <c r="J3094" t="s">
        <v>6095</v>
      </c>
      <c r="M3094" t="s">
        <v>13173</v>
      </c>
      <c r="N3094">
        <v>1.9874741039999999</v>
      </c>
      <c r="O3094">
        <v>3.7453511220000002</v>
      </c>
      <c r="P3094">
        <v>0.451009722</v>
      </c>
      <c r="Q3094">
        <v>-0.102386592</v>
      </c>
      <c r="S3094" s="13">
        <v>-1.575527726</v>
      </c>
      <c r="T3094">
        <v>-0.95950300200000005</v>
      </c>
      <c r="U3094">
        <v>-0.29306936700000003</v>
      </c>
    </row>
    <row r="3095" spans="1:21" x14ac:dyDescent="0.2">
      <c r="A3095" t="s">
        <v>1620</v>
      </c>
      <c r="B3095">
        <v>395160</v>
      </c>
      <c r="C3095" t="s">
        <v>6938</v>
      </c>
      <c r="D3095" t="s">
        <v>1620</v>
      </c>
      <c r="E3095" t="s">
        <v>6911</v>
      </c>
      <c r="F3095">
        <v>18</v>
      </c>
      <c r="G3095">
        <v>12</v>
      </c>
      <c r="H3095" t="s">
        <v>13174</v>
      </c>
      <c r="J3095" t="s">
        <v>4658</v>
      </c>
      <c r="M3095" t="s">
        <v>13175</v>
      </c>
      <c r="N3095">
        <v>2.092758737</v>
      </c>
      <c r="O3095">
        <v>5.3323610669999999</v>
      </c>
      <c r="P3095">
        <v>0.70420098600000003</v>
      </c>
      <c r="Q3095">
        <v>0.41355372699999998</v>
      </c>
      <c r="S3095" s="13">
        <v>-1.575747166</v>
      </c>
      <c r="T3095">
        <v>-0.96046190600000003</v>
      </c>
      <c r="U3095">
        <v>-0.47502720199999998</v>
      </c>
    </row>
    <row r="3096" spans="1:21" x14ac:dyDescent="0.2">
      <c r="A3096" t="s">
        <v>2335</v>
      </c>
      <c r="B3096">
        <v>394520</v>
      </c>
      <c r="C3096" t="s">
        <v>6938</v>
      </c>
      <c r="D3096" t="s">
        <v>2335</v>
      </c>
      <c r="E3096" t="s">
        <v>6915</v>
      </c>
      <c r="F3096">
        <v>13</v>
      </c>
      <c r="G3096">
        <v>13</v>
      </c>
      <c r="H3096" t="s">
        <v>13176</v>
      </c>
      <c r="J3096" t="s">
        <v>5717</v>
      </c>
      <c r="M3096" t="s">
        <v>13177</v>
      </c>
      <c r="N3096">
        <v>2.092758737</v>
      </c>
      <c r="O3096">
        <v>5.3323610669999999</v>
      </c>
      <c r="P3096">
        <v>0.70420098600000003</v>
      </c>
      <c r="Q3096">
        <v>0.41355372699999998</v>
      </c>
      <c r="S3096" s="13">
        <v>-1.5762968049999999</v>
      </c>
      <c r="T3096">
        <v>-0.96286370399999999</v>
      </c>
      <c r="U3096">
        <v>-0.47592743999999998</v>
      </c>
    </row>
    <row r="3097" spans="1:21" x14ac:dyDescent="0.2">
      <c r="A3097" t="s">
        <v>491</v>
      </c>
      <c r="B3097">
        <v>449680</v>
      </c>
      <c r="C3097" t="s">
        <v>6906</v>
      </c>
      <c r="D3097" t="s">
        <v>491</v>
      </c>
      <c r="E3097" t="s">
        <v>6924</v>
      </c>
      <c r="F3097">
        <v>15</v>
      </c>
      <c r="G3097">
        <v>6</v>
      </c>
      <c r="H3097" t="s">
        <v>13178</v>
      </c>
      <c r="J3097" t="s">
        <v>3556</v>
      </c>
      <c r="M3097" t="s">
        <v>13179</v>
      </c>
      <c r="N3097">
        <v>1.813871112</v>
      </c>
      <c r="O3097">
        <v>2.6633694910000001</v>
      </c>
      <c r="P3097">
        <v>-0.29586356800000002</v>
      </c>
      <c r="Q3097">
        <v>-0.59018158399999998</v>
      </c>
      <c r="S3097" s="13">
        <v>-1.5763238070000001</v>
      </c>
      <c r="T3097">
        <v>-0.962981694</v>
      </c>
      <c r="U3097">
        <v>-0.28999343100000002</v>
      </c>
    </row>
    <row r="3098" spans="1:21" x14ac:dyDescent="0.2">
      <c r="A3098" t="s">
        <v>1825</v>
      </c>
      <c r="B3098">
        <v>449560</v>
      </c>
      <c r="C3098" t="s">
        <v>6906</v>
      </c>
      <c r="D3098" t="s">
        <v>1826</v>
      </c>
      <c r="E3098" t="s">
        <v>6956</v>
      </c>
      <c r="F3098">
        <v>9</v>
      </c>
      <c r="G3098">
        <v>7</v>
      </c>
      <c r="H3098" t="s">
        <v>13180</v>
      </c>
      <c r="J3098" t="s">
        <v>4205</v>
      </c>
      <c r="M3098" t="s">
        <v>13181</v>
      </c>
      <c r="N3098">
        <v>1.813871112</v>
      </c>
      <c r="O3098">
        <v>2.6633694910000001</v>
      </c>
      <c r="P3098">
        <v>-0.29586356800000002</v>
      </c>
      <c r="Q3098">
        <v>-0.59018158399999998</v>
      </c>
      <c r="S3098" s="13">
        <v>-1.576497896</v>
      </c>
      <c r="T3098">
        <v>-0.96374242600000004</v>
      </c>
      <c r="U3098">
        <v>-0.29010356700000001</v>
      </c>
    </row>
    <row r="3099" spans="1:21" x14ac:dyDescent="0.2">
      <c r="A3099" t="s">
        <v>1290</v>
      </c>
      <c r="B3099">
        <v>393840</v>
      </c>
      <c r="C3099" t="s">
        <v>6938</v>
      </c>
      <c r="D3099" t="s">
        <v>1291</v>
      </c>
      <c r="E3099" t="s">
        <v>6924</v>
      </c>
      <c r="F3099">
        <v>7</v>
      </c>
      <c r="G3099">
        <v>6</v>
      </c>
      <c r="H3099" t="s">
        <v>13182</v>
      </c>
      <c r="J3099" t="s">
        <v>5697</v>
      </c>
      <c r="M3099" t="s">
        <v>13183</v>
      </c>
      <c r="N3099">
        <v>2.092758737</v>
      </c>
      <c r="O3099">
        <v>5.3323610669999999</v>
      </c>
      <c r="P3099">
        <v>0.70420098600000003</v>
      </c>
      <c r="Q3099">
        <v>0.41355372699999998</v>
      </c>
      <c r="S3099" s="13">
        <v>-1.5768807970000001</v>
      </c>
      <c r="T3099">
        <v>-0.96541561399999998</v>
      </c>
      <c r="U3099">
        <v>-0.47688599199999998</v>
      </c>
    </row>
    <row r="3100" spans="1:21" x14ac:dyDescent="0.2">
      <c r="A3100" t="s">
        <v>289</v>
      </c>
      <c r="B3100">
        <v>346680</v>
      </c>
      <c r="C3100" t="s">
        <v>6942</v>
      </c>
      <c r="D3100" t="s">
        <v>290</v>
      </c>
      <c r="E3100" t="s">
        <v>6977</v>
      </c>
      <c r="F3100">
        <v>5</v>
      </c>
      <c r="G3100">
        <v>5</v>
      </c>
      <c r="H3100" t="s">
        <v>13184</v>
      </c>
      <c r="J3100" t="s">
        <v>3625</v>
      </c>
      <c r="M3100" t="s">
        <v>13185</v>
      </c>
      <c r="N3100">
        <v>2.0902262079999998</v>
      </c>
      <c r="O3100">
        <v>4.2704203920000001</v>
      </c>
      <c r="P3100">
        <v>0.23425843900000001</v>
      </c>
      <c r="Q3100">
        <v>1.6181978999999999E-2</v>
      </c>
      <c r="S3100" s="13">
        <v>-1.576978191</v>
      </c>
      <c r="T3100">
        <v>-0.96584120500000004</v>
      </c>
      <c r="U3100">
        <v>-0.45573365500000002</v>
      </c>
    </row>
    <row r="3101" spans="1:21" x14ac:dyDescent="0.2">
      <c r="A3101" t="s">
        <v>1491</v>
      </c>
      <c r="B3101">
        <v>489440</v>
      </c>
      <c r="C3101" t="s">
        <v>6953</v>
      </c>
      <c r="D3101" t="s">
        <v>1491</v>
      </c>
      <c r="E3101" t="s">
        <v>6928</v>
      </c>
      <c r="F3101">
        <v>15</v>
      </c>
      <c r="G3101">
        <v>16</v>
      </c>
      <c r="H3101" t="s">
        <v>13186</v>
      </c>
      <c r="J3101" t="s">
        <v>1865</v>
      </c>
      <c r="M3101" t="s">
        <v>13187</v>
      </c>
      <c r="N3101">
        <v>1.921480887</v>
      </c>
      <c r="O3101">
        <v>3.0856645180000002</v>
      </c>
      <c r="P3101">
        <v>0.44706724399999997</v>
      </c>
      <c r="Q3101">
        <v>-0.354940863</v>
      </c>
      <c r="S3101" s="13">
        <v>-1.5773548879999999</v>
      </c>
      <c r="T3101">
        <v>-0.96748728500000003</v>
      </c>
      <c r="U3101">
        <v>-0.30805690000000002</v>
      </c>
    </row>
    <row r="3102" spans="1:21" x14ac:dyDescent="0.2">
      <c r="A3102" t="s">
        <v>2335</v>
      </c>
      <c r="B3102">
        <v>531640</v>
      </c>
      <c r="C3102" t="s">
        <v>6914</v>
      </c>
      <c r="D3102" t="s">
        <v>2335</v>
      </c>
      <c r="E3102" t="s">
        <v>6915</v>
      </c>
      <c r="F3102">
        <v>13</v>
      </c>
      <c r="G3102">
        <v>13</v>
      </c>
      <c r="H3102" t="s">
        <v>13188</v>
      </c>
      <c r="J3102" t="s">
        <v>6693</v>
      </c>
      <c r="M3102" t="s">
        <v>13189</v>
      </c>
      <c r="N3102">
        <v>1.8217074179999999</v>
      </c>
      <c r="O3102">
        <v>4.1700741289999996</v>
      </c>
      <c r="P3102">
        <v>0.189705977</v>
      </c>
      <c r="Q3102">
        <v>-1.7194070999999998E-2</v>
      </c>
      <c r="S3102" s="13">
        <v>-1.577542037</v>
      </c>
      <c r="T3102">
        <v>-0.96830508000000004</v>
      </c>
      <c r="U3102">
        <v>-0.363469443</v>
      </c>
    </row>
    <row r="3103" spans="1:21" x14ac:dyDescent="0.2">
      <c r="A3103" t="s">
        <v>2457</v>
      </c>
      <c r="B3103">
        <v>376400</v>
      </c>
      <c r="C3103" t="s">
        <v>6931</v>
      </c>
      <c r="D3103" t="s">
        <v>2458</v>
      </c>
      <c r="E3103" t="s">
        <v>7115</v>
      </c>
      <c r="F3103">
        <v>5</v>
      </c>
      <c r="G3103">
        <v>10</v>
      </c>
      <c r="H3103" t="s">
        <v>13190</v>
      </c>
      <c r="N3103">
        <v>1.9323965059999999</v>
      </c>
      <c r="O3103">
        <v>3.0528020530000002</v>
      </c>
      <c r="P3103">
        <v>2.6493138999999999E-2</v>
      </c>
      <c r="Q3103">
        <v>-0.38692188</v>
      </c>
      <c r="S3103" s="13">
        <v>-1.5779252349999999</v>
      </c>
      <c r="T3103">
        <v>-0.96997956900000004</v>
      </c>
      <c r="U3103">
        <v>-0.25062855099999998</v>
      </c>
    </row>
    <row r="3104" spans="1:21" x14ac:dyDescent="0.2">
      <c r="A3104" t="s">
        <v>1456</v>
      </c>
      <c r="B3104">
        <v>423720</v>
      </c>
      <c r="C3104" t="s">
        <v>6927</v>
      </c>
      <c r="D3104" t="s">
        <v>1457</v>
      </c>
      <c r="E3104" t="s">
        <v>7006</v>
      </c>
      <c r="F3104">
        <v>7</v>
      </c>
      <c r="G3104">
        <v>3</v>
      </c>
      <c r="H3104" t="s">
        <v>13191</v>
      </c>
      <c r="J3104" t="s">
        <v>13192</v>
      </c>
      <c r="M3104" t="s">
        <v>13193</v>
      </c>
      <c r="N3104">
        <v>1.982575982</v>
      </c>
      <c r="O3104">
        <v>3.4571926419999999</v>
      </c>
      <c r="P3104">
        <v>-0.114791479</v>
      </c>
      <c r="Q3104">
        <v>1.868949E-3</v>
      </c>
      <c r="S3104" s="13">
        <v>-1.5780708489999999</v>
      </c>
      <c r="T3104">
        <v>-0.97061587000000005</v>
      </c>
      <c r="U3104">
        <v>-0.39476298799999998</v>
      </c>
    </row>
    <row r="3105" spans="1:21" x14ac:dyDescent="0.2">
      <c r="A3105" t="s">
        <v>2902</v>
      </c>
      <c r="B3105">
        <v>530360</v>
      </c>
      <c r="C3105" t="s">
        <v>6914</v>
      </c>
      <c r="D3105" t="s">
        <v>2903</v>
      </c>
      <c r="E3105" t="s">
        <v>6977</v>
      </c>
      <c r="F3105">
        <v>6</v>
      </c>
      <c r="G3105">
        <v>5</v>
      </c>
      <c r="H3105" t="s">
        <v>13194</v>
      </c>
      <c r="J3105" t="s">
        <v>4744</v>
      </c>
      <c r="M3105" t="s">
        <v>13195</v>
      </c>
      <c r="N3105">
        <v>1.8217074179999999</v>
      </c>
      <c r="O3105">
        <v>4.1700741289999996</v>
      </c>
      <c r="P3105">
        <v>0.189705977</v>
      </c>
      <c r="Q3105">
        <v>-1.7194070999999998E-2</v>
      </c>
      <c r="S3105" s="13">
        <v>-1.5790815709999999</v>
      </c>
      <c r="T3105">
        <v>-0.975032495</v>
      </c>
      <c r="U3105">
        <v>-0.36486284400000002</v>
      </c>
    </row>
    <row r="3106" spans="1:21" x14ac:dyDescent="0.2">
      <c r="A3106" t="s">
        <v>889</v>
      </c>
      <c r="B3106">
        <v>447640</v>
      </c>
      <c r="C3106" t="s">
        <v>6906</v>
      </c>
      <c r="D3106" t="s">
        <v>889</v>
      </c>
      <c r="E3106" t="s">
        <v>6921</v>
      </c>
      <c r="F3106">
        <v>16</v>
      </c>
      <c r="G3106">
        <v>8</v>
      </c>
      <c r="H3106" t="s">
        <v>13196</v>
      </c>
      <c r="J3106" t="s">
        <v>4292</v>
      </c>
      <c r="M3106" t="s">
        <v>13197</v>
      </c>
      <c r="N3106">
        <v>1.813871112</v>
      </c>
      <c r="O3106">
        <v>2.6633694910000001</v>
      </c>
      <c r="P3106">
        <v>-0.29586356800000002</v>
      </c>
      <c r="Q3106">
        <v>-0.59018158399999998</v>
      </c>
      <c r="S3106" s="13">
        <v>-1.5792833310000001</v>
      </c>
      <c r="T3106">
        <v>-0.97591413800000004</v>
      </c>
      <c r="U3106">
        <v>-0.291869555</v>
      </c>
    </row>
    <row r="3107" spans="1:21" x14ac:dyDescent="0.2">
      <c r="A3107" t="s">
        <v>753</v>
      </c>
      <c r="B3107">
        <v>375160</v>
      </c>
      <c r="C3107" t="s">
        <v>6931</v>
      </c>
      <c r="D3107" t="s">
        <v>753</v>
      </c>
      <c r="E3107" t="s">
        <v>6911</v>
      </c>
      <c r="F3107">
        <v>10</v>
      </c>
      <c r="G3107">
        <v>12</v>
      </c>
      <c r="H3107" t="s">
        <v>13198</v>
      </c>
      <c r="N3107">
        <v>1.9323965059999999</v>
      </c>
      <c r="O3107">
        <v>3.0528020530000002</v>
      </c>
      <c r="P3107">
        <v>2.6493138999999999E-2</v>
      </c>
      <c r="Q3107">
        <v>-0.38692188</v>
      </c>
      <c r="S3107" s="13">
        <v>-1.5795545630000001</v>
      </c>
      <c r="T3107">
        <v>-0.97709935999999997</v>
      </c>
      <c r="U3107">
        <v>-0.25166912000000002</v>
      </c>
    </row>
    <row r="3108" spans="1:21" x14ac:dyDescent="0.2">
      <c r="A3108" t="s">
        <v>883</v>
      </c>
      <c r="B3108">
        <v>389160</v>
      </c>
      <c r="C3108" t="s">
        <v>6938</v>
      </c>
      <c r="D3108" t="s">
        <v>883</v>
      </c>
      <c r="E3108" t="s">
        <v>6977</v>
      </c>
      <c r="F3108">
        <v>17</v>
      </c>
      <c r="G3108">
        <v>5</v>
      </c>
      <c r="H3108" t="s">
        <v>13199</v>
      </c>
      <c r="J3108" t="s">
        <v>3087</v>
      </c>
      <c r="M3108" t="s">
        <v>13200</v>
      </c>
      <c r="N3108">
        <v>2.092758737</v>
      </c>
      <c r="O3108">
        <v>5.3323610669999999</v>
      </c>
      <c r="P3108">
        <v>0.70420098600000003</v>
      </c>
      <c r="Q3108">
        <v>0.41355372699999998</v>
      </c>
      <c r="S3108" s="13">
        <v>-1.5809000339999999</v>
      </c>
      <c r="T3108">
        <v>-0.98297876299999998</v>
      </c>
      <c r="U3108">
        <v>-0.48354110500000003</v>
      </c>
    </row>
    <row r="3109" spans="1:21" x14ac:dyDescent="0.2">
      <c r="A3109" t="s">
        <v>2054</v>
      </c>
      <c r="B3109">
        <v>389160</v>
      </c>
      <c r="C3109" t="s">
        <v>6938</v>
      </c>
      <c r="D3109" t="s">
        <v>2054</v>
      </c>
      <c r="E3109" t="s">
        <v>6911</v>
      </c>
      <c r="F3109">
        <v>15</v>
      </c>
      <c r="G3109">
        <v>12</v>
      </c>
      <c r="H3109" t="s">
        <v>13201</v>
      </c>
      <c r="J3109" t="s">
        <v>2166</v>
      </c>
      <c r="M3109" t="s">
        <v>13202</v>
      </c>
      <c r="N3109">
        <v>2.092758737</v>
      </c>
      <c r="O3109">
        <v>5.3323610669999999</v>
      </c>
      <c r="P3109">
        <v>0.70420098600000003</v>
      </c>
      <c r="Q3109">
        <v>0.41355372699999998</v>
      </c>
      <c r="S3109" s="13">
        <v>-1.5809000339999999</v>
      </c>
      <c r="T3109">
        <v>-0.98297876299999998</v>
      </c>
      <c r="U3109">
        <v>-0.48354110500000003</v>
      </c>
    </row>
    <row r="3110" spans="1:21" x14ac:dyDescent="0.2">
      <c r="A3110" t="s">
        <v>2149</v>
      </c>
      <c r="B3110">
        <v>485840</v>
      </c>
      <c r="C3110" t="s">
        <v>6953</v>
      </c>
      <c r="D3110" t="s">
        <v>2149</v>
      </c>
      <c r="E3110" t="s">
        <v>7085</v>
      </c>
      <c r="F3110">
        <v>13</v>
      </c>
      <c r="G3110">
        <v>9</v>
      </c>
      <c r="H3110" t="s">
        <v>13203</v>
      </c>
      <c r="J3110" t="s">
        <v>2543</v>
      </c>
      <c r="M3110" t="s">
        <v>13204</v>
      </c>
      <c r="N3110">
        <v>1.921480887</v>
      </c>
      <c r="O3110">
        <v>3.0856645180000002</v>
      </c>
      <c r="P3110">
        <v>0.44706724399999997</v>
      </c>
      <c r="Q3110">
        <v>-0.354940863</v>
      </c>
      <c r="S3110" s="13">
        <v>-1.5810903359999999</v>
      </c>
      <c r="T3110">
        <v>-0.98381033600000001</v>
      </c>
      <c r="U3110">
        <v>-0.31151459999999997</v>
      </c>
    </row>
    <row r="3111" spans="1:21" x14ac:dyDescent="0.2">
      <c r="A3111" t="s">
        <v>2499</v>
      </c>
      <c r="B3111">
        <v>373880</v>
      </c>
      <c r="C3111" t="s">
        <v>6931</v>
      </c>
      <c r="D3111" t="s">
        <v>2500</v>
      </c>
      <c r="E3111" t="s">
        <v>6977</v>
      </c>
      <c r="F3111">
        <v>9</v>
      </c>
      <c r="G3111">
        <v>5</v>
      </c>
      <c r="H3111" t="s">
        <v>13205</v>
      </c>
      <c r="N3111">
        <v>1.9323965059999999</v>
      </c>
      <c r="O3111">
        <v>3.0528020530000002</v>
      </c>
      <c r="P3111">
        <v>2.6493138999999999E-2</v>
      </c>
      <c r="Q3111">
        <v>-0.38692188</v>
      </c>
      <c r="S3111" s="13">
        <v>-1.58123645</v>
      </c>
      <c r="T3111">
        <v>-0.98444882099999997</v>
      </c>
      <c r="U3111">
        <v>-0.25274587700000001</v>
      </c>
    </row>
    <row r="3112" spans="1:21" x14ac:dyDescent="0.2">
      <c r="A3112" t="s">
        <v>172</v>
      </c>
      <c r="B3112">
        <v>373840</v>
      </c>
      <c r="C3112" t="s">
        <v>6931</v>
      </c>
      <c r="D3112" t="s">
        <v>172</v>
      </c>
      <c r="E3112" t="s">
        <v>7006</v>
      </c>
      <c r="F3112">
        <v>11</v>
      </c>
      <c r="G3112">
        <v>3</v>
      </c>
      <c r="H3112" t="s">
        <v>13206</v>
      </c>
      <c r="N3112">
        <v>1.9323965059999999</v>
      </c>
      <c r="O3112">
        <v>3.0528020530000002</v>
      </c>
      <c r="P3112">
        <v>2.6493138999999999E-2</v>
      </c>
      <c r="Q3112">
        <v>-0.38692188</v>
      </c>
      <c r="S3112" s="13">
        <v>-1.581289009</v>
      </c>
      <c r="T3112">
        <v>-0.98467849100000004</v>
      </c>
      <c r="U3112">
        <v>-0.25277956800000001</v>
      </c>
    </row>
    <row r="3113" spans="1:21" x14ac:dyDescent="0.2">
      <c r="A3113" t="s">
        <v>714</v>
      </c>
      <c r="B3113">
        <v>485360</v>
      </c>
      <c r="C3113" t="s">
        <v>6953</v>
      </c>
      <c r="D3113" t="s">
        <v>715</v>
      </c>
      <c r="E3113" t="s">
        <v>6956</v>
      </c>
      <c r="F3113">
        <v>5</v>
      </c>
      <c r="G3113">
        <v>7</v>
      </c>
      <c r="H3113" t="s">
        <v>13207</v>
      </c>
      <c r="J3113" t="s">
        <v>1888</v>
      </c>
      <c r="M3113" t="s">
        <v>13208</v>
      </c>
      <c r="N3113">
        <v>1.921480887</v>
      </c>
      <c r="O3113">
        <v>3.0856645180000002</v>
      </c>
      <c r="P3113">
        <v>0.44706724399999997</v>
      </c>
      <c r="Q3113">
        <v>-0.354940863</v>
      </c>
      <c r="S3113" s="13">
        <v>-1.581588395</v>
      </c>
      <c r="T3113">
        <v>-0.98598674200000003</v>
      </c>
      <c r="U3113">
        <v>-0.31197771400000002</v>
      </c>
    </row>
    <row r="3114" spans="1:21" x14ac:dyDescent="0.2">
      <c r="A3114" t="s">
        <v>139</v>
      </c>
      <c r="B3114">
        <v>445880</v>
      </c>
      <c r="C3114" t="s">
        <v>6906</v>
      </c>
      <c r="D3114" t="s">
        <v>139</v>
      </c>
      <c r="E3114" t="s">
        <v>6939</v>
      </c>
      <c r="F3114">
        <v>17</v>
      </c>
      <c r="G3114">
        <v>2</v>
      </c>
      <c r="H3114" t="s">
        <v>13209</v>
      </c>
      <c r="J3114" t="s">
        <v>3785</v>
      </c>
      <c r="M3114" t="s">
        <v>13210</v>
      </c>
      <c r="N3114">
        <v>1.813871112</v>
      </c>
      <c r="O3114">
        <v>2.6633694910000001</v>
      </c>
      <c r="P3114">
        <v>-0.29586356800000002</v>
      </c>
      <c r="Q3114">
        <v>-0.59018158399999998</v>
      </c>
      <c r="S3114" s="13">
        <v>-1.581836646</v>
      </c>
      <c r="T3114">
        <v>-0.98707154100000005</v>
      </c>
      <c r="U3114">
        <v>-0.29349470999999999</v>
      </c>
    </row>
    <row r="3115" spans="1:21" x14ac:dyDescent="0.2">
      <c r="A3115" t="s">
        <v>759</v>
      </c>
      <c r="B3115">
        <v>445840</v>
      </c>
      <c r="C3115" t="s">
        <v>6906</v>
      </c>
      <c r="D3115" t="s">
        <v>760</v>
      </c>
      <c r="E3115" t="s">
        <v>6907</v>
      </c>
      <c r="F3115">
        <v>4</v>
      </c>
      <c r="G3115">
        <v>4</v>
      </c>
      <c r="H3115" t="s">
        <v>13211</v>
      </c>
      <c r="J3115" t="s">
        <v>762</v>
      </c>
      <c r="M3115" t="s">
        <v>13212</v>
      </c>
      <c r="N3115">
        <v>1.813871112</v>
      </c>
      <c r="O3115">
        <v>2.6633694910000001</v>
      </c>
      <c r="P3115">
        <v>-0.29586356800000002</v>
      </c>
      <c r="Q3115">
        <v>-0.59018158399999998</v>
      </c>
      <c r="S3115" s="13">
        <v>-1.5818946760000001</v>
      </c>
      <c r="T3115">
        <v>-0.987325118</v>
      </c>
      <c r="U3115">
        <v>-0.29353171700000003</v>
      </c>
    </row>
    <row r="3116" spans="1:21" x14ac:dyDescent="0.2">
      <c r="A3116" t="s">
        <v>2054</v>
      </c>
      <c r="B3116">
        <v>485000</v>
      </c>
      <c r="C3116" t="s">
        <v>6953</v>
      </c>
      <c r="D3116" t="s">
        <v>2054</v>
      </c>
      <c r="E3116" t="s">
        <v>6911</v>
      </c>
      <c r="F3116">
        <v>15</v>
      </c>
      <c r="G3116">
        <v>12</v>
      </c>
      <c r="H3116" t="s">
        <v>13213</v>
      </c>
      <c r="J3116" t="s">
        <v>2056</v>
      </c>
      <c r="M3116" t="s">
        <v>13214</v>
      </c>
      <c r="N3116">
        <v>1.921480887</v>
      </c>
      <c r="O3116">
        <v>3.0856645180000002</v>
      </c>
      <c r="P3116">
        <v>0.44706724399999997</v>
      </c>
      <c r="Q3116">
        <v>-0.354940863</v>
      </c>
      <c r="S3116" s="13">
        <v>-1.58196194</v>
      </c>
      <c r="T3116">
        <v>-0.987619048</v>
      </c>
      <c r="U3116">
        <v>-0.31232537399999999</v>
      </c>
    </row>
    <row r="3117" spans="1:21" x14ac:dyDescent="0.2">
      <c r="A3117" t="s">
        <v>329</v>
      </c>
      <c r="B3117">
        <v>484800</v>
      </c>
      <c r="C3117" t="s">
        <v>6953</v>
      </c>
      <c r="D3117" t="s">
        <v>329</v>
      </c>
      <c r="E3117" t="s">
        <v>6924</v>
      </c>
      <c r="F3117">
        <v>22</v>
      </c>
      <c r="G3117">
        <v>6</v>
      </c>
      <c r="H3117" t="s">
        <v>13215</v>
      </c>
      <c r="J3117" t="s">
        <v>879</v>
      </c>
      <c r="M3117" t="s">
        <v>13216</v>
      </c>
      <c r="N3117">
        <v>1.921480887</v>
      </c>
      <c r="O3117">
        <v>3.0856645180000002</v>
      </c>
      <c r="P3117">
        <v>0.44706724399999997</v>
      </c>
      <c r="Q3117">
        <v>-0.354940863</v>
      </c>
      <c r="S3117" s="13">
        <v>-1.582169465</v>
      </c>
      <c r="T3117">
        <v>-0.98852588399999997</v>
      </c>
      <c r="U3117">
        <v>-0.31251863800000002</v>
      </c>
    </row>
    <row r="3118" spans="1:21" x14ac:dyDescent="0.2">
      <c r="A3118" t="s">
        <v>27</v>
      </c>
      <c r="B3118">
        <v>373000</v>
      </c>
      <c r="C3118" t="s">
        <v>6931</v>
      </c>
      <c r="D3118" t="s">
        <v>29</v>
      </c>
      <c r="E3118" t="s">
        <v>6915</v>
      </c>
      <c r="F3118">
        <v>4</v>
      </c>
      <c r="G3118">
        <v>13</v>
      </c>
      <c r="H3118" t="s">
        <v>13217</v>
      </c>
      <c r="N3118">
        <v>1.9323965059999999</v>
      </c>
      <c r="O3118">
        <v>3.0528020530000002</v>
      </c>
      <c r="P3118">
        <v>2.6493138999999999E-2</v>
      </c>
      <c r="Q3118">
        <v>-0.38692188</v>
      </c>
      <c r="S3118" s="13">
        <v>-1.5823927470000001</v>
      </c>
      <c r="T3118">
        <v>-0.98950157500000002</v>
      </c>
      <c r="U3118">
        <v>-0.25348769900000001</v>
      </c>
    </row>
    <row r="3119" spans="1:21" x14ac:dyDescent="0.2">
      <c r="A3119" t="s">
        <v>400</v>
      </c>
      <c r="B3119">
        <v>372920</v>
      </c>
      <c r="C3119" t="s">
        <v>6931</v>
      </c>
      <c r="D3119" t="s">
        <v>400</v>
      </c>
      <c r="E3119" t="s">
        <v>6939</v>
      </c>
      <c r="F3119">
        <v>11</v>
      </c>
      <c r="G3119">
        <v>2</v>
      </c>
      <c r="H3119" t="s">
        <v>13218</v>
      </c>
      <c r="N3119">
        <v>1.9323965059999999</v>
      </c>
      <c r="O3119">
        <v>3.0528020530000002</v>
      </c>
      <c r="P3119">
        <v>2.6493138999999999E-2</v>
      </c>
      <c r="Q3119">
        <v>-0.38692188</v>
      </c>
      <c r="S3119" s="13">
        <v>-1.5824978649999999</v>
      </c>
      <c r="T3119">
        <v>-0.989960917</v>
      </c>
      <c r="U3119">
        <v>-0.25355519999999998</v>
      </c>
    </row>
    <row r="3120" spans="1:21" x14ac:dyDescent="0.2">
      <c r="A3120" t="s">
        <v>1126</v>
      </c>
      <c r="B3120">
        <v>484360</v>
      </c>
      <c r="C3120" t="s">
        <v>6953</v>
      </c>
      <c r="D3120" t="s">
        <v>1126</v>
      </c>
      <c r="E3120" t="s">
        <v>6970</v>
      </c>
      <c r="F3120">
        <v>10</v>
      </c>
      <c r="G3120">
        <v>14</v>
      </c>
      <c r="H3120" t="s">
        <v>13219</v>
      </c>
      <c r="J3120" t="s">
        <v>5461</v>
      </c>
      <c r="M3120" t="s">
        <v>13220</v>
      </c>
      <c r="N3120">
        <v>1.921480887</v>
      </c>
      <c r="O3120">
        <v>3.0856645180000002</v>
      </c>
      <c r="P3120">
        <v>0.44706724399999997</v>
      </c>
      <c r="Q3120">
        <v>-0.354940863</v>
      </c>
      <c r="S3120" s="13">
        <v>-1.5826260190000001</v>
      </c>
      <c r="T3120">
        <v>-0.99052092300000005</v>
      </c>
      <c r="U3120">
        <v>-0.31294412300000002</v>
      </c>
    </row>
    <row r="3121" spans="1:21" x14ac:dyDescent="0.2">
      <c r="A3121" t="s">
        <v>2035</v>
      </c>
      <c r="B3121">
        <v>249400</v>
      </c>
      <c r="C3121" t="s">
        <v>6945</v>
      </c>
      <c r="D3121" t="s">
        <v>2035</v>
      </c>
      <c r="E3121" t="s">
        <v>7115</v>
      </c>
      <c r="F3121">
        <v>14</v>
      </c>
      <c r="G3121">
        <v>10</v>
      </c>
      <c r="H3121" t="s">
        <v>13221</v>
      </c>
      <c r="J3121" t="s">
        <v>5817</v>
      </c>
      <c r="M3121" t="s">
        <v>13222</v>
      </c>
      <c r="N3121">
        <v>2.2220813349999999</v>
      </c>
      <c r="O3121">
        <v>6.5440947090000003</v>
      </c>
      <c r="P3121">
        <v>0.58228215500000002</v>
      </c>
      <c r="Q3121">
        <v>0.35188233000000002</v>
      </c>
      <c r="S3121" s="13">
        <v>-1.5830330699999999</v>
      </c>
      <c r="T3121">
        <v>-0.99229964000000004</v>
      </c>
      <c r="U3121">
        <v>-0.492898265</v>
      </c>
    </row>
    <row r="3122" spans="1:21" x14ac:dyDescent="0.2">
      <c r="A3122" t="s">
        <v>2252</v>
      </c>
      <c r="B3122">
        <v>483280</v>
      </c>
      <c r="C3122" t="s">
        <v>6953</v>
      </c>
      <c r="D3122" t="s">
        <v>2253</v>
      </c>
      <c r="E3122" t="s">
        <v>6924</v>
      </c>
      <c r="F3122">
        <v>4</v>
      </c>
      <c r="G3122">
        <v>6</v>
      </c>
      <c r="H3122" t="s">
        <v>13223</v>
      </c>
      <c r="J3122" t="s">
        <v>5337</v>
      </c>
      <c r="M3122" t="s">
        <v>13224</v>
      </c>
      <c r="N3122">
        <v>1.921480887</v>
      </c>
      <c r="O3122">
        <v>3.0856645180000002</v>
      </c>
      <c r="P3122">
        <v>0.44706724399999997</v>
      </c>
      <c r="Q3122">
        <v>-0.354940863</v>
      </c>
      <c r="S3122" s="13">
        <v>-1.583746654</v>
      </c>
      <c r="T3122">
        <v>-0.99541783900000003</v>
      </c>
      <c r="U3122">
        <v>-0.31399026600000002</v>
      </c>
    </row>
    <row r="3123" spans="1:21" x14ac:dyDescent="0.2">
      <c r="A3123" t="s">
        <v>1181</v>
      </c>
      <c r="B3123">
        <v>526280</v>
      </c>
      <c r="C3123" t="s">
        <v>6914</v>
      </c>
      <c r="D3123" t="s">
        <v>1181</v>
      </c>
      <c r="E3123" t="s">
        <v>6956</v>
      </c>
      <c r="F3123">
        <v>23</v>
      </c>
      <c r="G3123">
        <v>7</v>
      </c>
      <c r="H3123" t="s">
        <v>13225</v>
      </c>
      <c r="J3123" t="s">
        <v>2103</v>
      </c>
      <c r="M3123" t="s">
        <v>13226</v>
      </c>
      <c r="N3123">
        <v>1.8217074179999999</v>
      </c>
      <c r="O3123">
        <v>4.1700741289999996</v>
      </c>
      <c r="P3123">
        <v>0.189705977</v>
      </c>
      <c r="Q3123">
        <v>-1.7194070999999998E-2</v>
      </c>
      <c r="S3123" s="13">
        <v>-1.583988838</v>
      </c>
      <c r="T3123">
        <v>-0.99647613000000002</v>
      </c>
      <c r="U3123">
        <v>-0.36933438400000002</v>
      </c>
    </row>
    <row r="3124" spans="1:21" x14ac:dyDescent="0.2">
      <c r="A3124" t="s">
        <v>63</v>
      </c>
      <c r="B3124">
        <v>483000</v>
      </c>
      <c r="C3124" t="s">
        <v>6953</v>
      </c>
      <c r="D3124" t="s">
        <v>63</v>
      </c>
      <c r="E3124" t="s">
        <v>6918</v>
      </c>
      <c r="F3124">
        <v>23</v>
      </c>
      <c r="G3124">
        <v>1</v>
      </c>
      <c r="H3124" t="s">
        <v>13227</v>
      </c>
      <c r="J3124" t="s">
        <v>5541</v>
      </c>
      <c r="M3124" t="s">
        <v>13228</v>
      </c>
      <c r="N3124">
        <v>1.921480887</v>
      </c>
      <c r="O3124">
        <v>3.0856645180000002</v>
      </c>
      <c r="P3124">
        <v>0.44706724399999997</v>
      </c>
      <c r="Q3124">
        <v>-0.354940863</v>
      </c>
      <c r="S3124" s="13">
        <v>-1.5840371879999999</v>
      </c>
      <c r="T3124">
        <v>-0.99668740899999997</v>
      </c>
      <c r="U3124">
        <v>-0.31426189999999998</v>
      </c>
    </row>
    <row r="3125" spans="1:21" x14ac:dyDescent="0.2">
      <c r="A3125" t="s">
        <v>1963</v>
      </c>
      <c r="B3125">
        <v>443800</v>
      </c>
      <c r="C3125" t="s">
        <v>6906</v>
      </c>
      <c r="D3125" t="s">
        <v>1963</v>
      </c>
      <c r="E3125" t="s">
        <v>6939</v>
      </c>
      <c r="F3125">
        <v>12</v>
      </c>
      <c r="G3125">
        <v>2</v>
      </c>
      <c r="H3125" t="s">
        <v>13229</v>
      </c>
      <c r="J3125" t="s">
        <v>13230</v>
      </c>
      <c r="M3125" t="s">
        <v>13231</v>
      </c>
      <c r="N3125">
        <v>1.813871112</v>
      </c>
      <c r="O3125">
        <v>2.6633694910000001</v>
      </c>
      <c r="P3125">
        <v>-0.29586356800000002</v>
      </c>
      <c r="Q3125">
        <v>-0.59018158399999998</v>
      </c>
      <c r="S3125" s="13">
        <v>-1.5848542000000001</v>
      </c>
      <c r="T3125">
        <v>-1.000257562</v>
      </c>
      <c r="U3125">
        <v>-0.29542322199999999</v>
      </c>
    </row>
    <row r="3126" spans="1:21" x14ac:dyDescent="0.2">
      <c r="A3126" t="s">
        <v>1251</v>
      </c>
      <c r="B3126">
        <v>370880</v>
      </c>
      <c r="C3126" t="s">
        <v>6931</v>
      </c>
      <c r="D3126" t="s">
        <v>1251</v>
      </c>
      <c r="E3126" t="s">
        <v>6907</v>
      </c>
      <c r="F3126">
        <v>17</v>
      </c>
      <c r="G3126">
        <v>4</v>
      </c>
      <c r="H3126" t="s">
        <v>13232</v>
      </c>
      <c r="N3126">
        <v>1.9323965059999999</v>
      </c>
      <c r="O3126">
        <v>3.0528020530000002</v>
      </c>
      <c r="P3126">
        <v>2.6493138999999999E-2</v>
      </c>
      <c r="Q3126">
        <v>-0.38692188</v>
      </c>
      <c r="S3126" s="13">
        <v>-1.5851783719999999</v>
      </c>
      <c r="T3126">
        <v>-1.0016741199999999</v>
      </c>
      <c r="U3126">
        <v>-0.25528003599999999</v>
      </c>
    </row>
    <row r="3127" spans="1:21" x14ac:dyDescent="0.2">
      <c r="A3127" t="s">
        <v>375</v>
      </c>
      <c r="B3127">
        <v>443360</v>
      </c>
      <c r="C3127" t="s">
        <v>6906</v>
      </c>
      <c r="D3127" t="s">
        <v>375</v>
      </c>
      <c r="E3127" t="s">
        <v>6977</v>
      </c>
      <c r="F3127">
        <v>12</v>
      </c>
      <c r="G3127">
        <v>5</v>
      </c>
      <c r="H3127" t="s">
        <v>13233</v>
      </c>
      <c r="J3127" t="s">
        <v>13234</v>
      </c>
      <c r="M3127" t="s">
        <v>13235</v>
      </c>
      <c r="N3127">
        <v>1.813871112</v>
      </c>
      <c r="O3127">
        <v>2.6633694910000001</v>
      </c>
      <c r="P3127">
        <v>-0.29586356800000002</v>
      </c>
      <c r="Q3127">
        <v>-0.59018158399999998</v>
      </c>
      <c r="S3127" s="13">
        <v>-1.5854925289999999</v>
      </c>
      <c r="T3127">
        <v>-1.0030469129999999</v>
      </c>
      <c r="U3127">
        <v>-0.29583227600000001</v>
      </c>
    </row>
    <row r="3128" spans="1:21" x14ac:dyDescent="0.2">
      <c r="A3128" t="s">
        <v>2230</v>
      </c>
      <c r="B3128">
        <v>443160</v>
      </c>
      <c r="C3128" t="s">
        <v>6906</v>
      </c>
      <c r="D3128" t="s">
        <v>2231</v>
      </c>
      <c r="E3128" t="s">
        <v>7115</v>
      </c>
      <c r="F3128">
        <v>2</v>
      </c>
      <c r="G3128">
        <v>10</v>
      </c>
      <c r="H3128" t="s">
        <v>13236</v>
      </c>
      <c r="J3128" t="s">
        <v>4256</v>
      </c>
      <c r="M3128" t="s">
        <v>13237</v>
      </c>
      <c r="N3128">
        <v>1.813871112</v>
      </c>
      <c r="O3128">
        <v>2.6633694910000001</v>
      </c>
      <c r="P3128">
        <v>-0.29586356800000002</v>
      </c>
      <c r="Q3128">
        <v>-0.59018158399999998</v>
      </c>
      <c r="S3128" s="13">
        <v>-1.5857826779999999</v>
      </c>
      <c r="T3128">
        <v>-1.0043148</v>
      </c>
      <c r="U3128">
        <v>-0.29601833700000002</v>
      </c>
    </row>
    <row r="3129" spans="1:21" x14ac:dyDescent="0.2">
      <c r="A3129" t="s">
        <v>2791</v>
      </c>
      <c r="B3129">
        <v>442720</v>
      </c>
      <c r="C3129" t="s">
        <v>6906</v>
      </c>
      <c r="D3129" t="s">
        <v>2792</v>
      </c>
      <c r="E3129" t="s">
        <v>6921</v>
      </c>
      <c r="F3129">
        <v>6</v>
      </c>
      <c r="G3129">
        <v>8</v>
      </c>
      <c r="H3129" t="s">
        <v>13238</v>
      </c>
      <c r="J3129" t="s">
        <v>4187</v>
      </c>
      <c r="M3129" t="s">
        <v>13239</v>
      </c>
      <c r="N3129">
        <v>1.813871112</v>
      </c>
      <c r="O3129">
        <v>2.6633694910000001</v>
      </c>
      <c r="P3129">
        <v>-0.29586356800000002</v>
      </c>
      <c r="Q3129">
        <v>-0.59018158399999998</v>
      </c>
      <c r="S3129" s="13">
        <v>-1.586421007</v>
      </c>
      <c r="T3129">
        <v>-1.00710415</v>
      </c>
      <c r="U3129">
        <v>-0.29642795199999999</v>
      </c>
    </row>
    <row r="3130" spans="1:21" x14ac:dyDescent="0.2">
      <c r="A3130" t="s">
        <v>736</v>
      </c>
      <c r="B3130">
        <v>480600</v>
      </c>
      <c r="C3130" t="s">
        <v>6953</v>
      </c>
      <c r="D3130" t="s">
        <v>736</v>
      </c>
      <c r="E3130" t="s">
        <v>6939</v>
      </c>
      <c r="F3130">
        <v>15</v>
      </c>
      <c r="G3130">
        <v>2</v>
      </c>
      <c r="H3130" t="s">
        <v>13240</v>
      </c>
      <c r="J3130" t="s">
        <v>3085</v>
      </c>
      <c r="M3130" t="s">
        <v>13241</v>
      </c>
      <c r="N3130">
        <v>1.921480887</v>
      </c>
      <c r="O3130">
        <v>3.0856645180000002</v>
      </c>
      <c r="P3130">
        <v>0.44706724399999997</v>
      </c>
      <c r="Q3130">
        <v>-0.354940863</v>
      </c>
      <c r="S3130" s="13">
        <v>-1.5865274869999999</v>
      </c>
      <c r="T3130">
        <v>-1.007569443</v>
      </c>
      <c r="U3130">
        <v>-0.316597189</v>
      </c>
    </row>
    <row r="3131" spans="1:21" x14ac:dyDescent="0.2">
      <c r="A3131" t="s">
        <v>2294</v>
      </c>
      <c r="B3131">
        <v>442640</v>
      </c>
      <c r="C3131" t="s">
        <v>6906</v>
      </c>
      <c r="D3131" t="s">
        <v>2294</v>
      </c>
      <c r="E3131" t="s">
        <v>7085</v>
      </c>
      <c r="F3131">
        <v>20</v>
      </c>
      <c r="G3131">
        <v>9</v>
      </c>
      <c r="H3131" t="s">
        <v>13242</v>
      </c>
      <c r="J3131" t="s">
        <v>2308</v>
      </c>
      <c r="M3131" t="s">
        <v>13243</v>
      </c>
      <c r="N3131">
        <v>1.813871112</v>
      </c>
      <c r="O3131">
        <v>2.6633694910000001</v>
      </c>
      <c r="P3131">
        <v>-0.29586356800000002</v>
      </c>
      <c r="Q3131">
        <v>-0.59018158399999998</v>
      </c>
      <c r="S3131" s="13">
        <v>-1.5865370670000001</v>
      </c>
      <c r="T3131">
        <v>-1.007611305</v>
      </c>
      <c r="U3131">
        <v>-0.29650246899999999</v>
      </c>
    </row>
    <row r="3132" spans="1:21" x14ac:dyDescent="0.2">
      <c r="A3132" t="s">
        <v>1073</v>
      </c>
      <c r="B3132">
        <v>523760</v>
      </c>
      <c r="C3132" t="s">
        <v>6914</v>
      </c>
      <c r="D3132" t="s">
        <v>1073</v>
      </c>
      <c r="E3132" t="s">
        <v>7115</v>
      </c>
      <c r="F3132">
        <v>18</v>
      </c>
      <c r="G3132">
        <v>10</v>
      </c>
      <c r="H3132" t="s">
        <v>13244</v>
      </c>
      <c r="J3132" t="s">
        <v>6707</v>
      </c>
      <c r="M3132" t="s">
        <v>13245</v>
      </c>
      <c r="N3132">
        <v>1.8217074179999999</v>
      </c>
      <c r="O3132">
        <v>4.1700741289999996</v>
      </c>
      <c r="P3132">
        <v>0.189705977</v>
      </c>
      <c r="Q3132">
        <v>-1.7194070999999998E-2</v>
      </c>
      <c r="S3132" s="13">
        <v>-1.587019797</v>
      </c>
      <c r="T3132">
        <v>-1.0097207290000001</v>
      </c>
      <c r="U3132">
        <v>-0.37211939500000002</v>
      </c>
    </row>
    <row r="3133" spans="1:21" x14ac:dyDescent="0.2">
      <c r="A3133" t="s">
        <v>846</v>
      </c>
      <c r="B3133">
        <v>441800</v>
      </c>
      <c r="C3133" t="s">
        <v>6906</v>
      </c>
      <c r="D3133" t="s">
        <v>847</v>
      </c>
      <c r="E3133" t="s">
        <v>6911</v>
      </c>
      <c r="F3133">
        <v>9</v>
      </c>
      <c r="G3133">
        <v>12</v>
      </c>
      <c r="H3133" t="s">
        <v>13246</v>
      </c>
      <c r="J3133" t="s">
        <v>1287</v>
      </c>
      <c r="M3133" t="s">
        <v>13247</v>
      </c>
      <c r="N3133">
        <v>1.813871112</v>
      </c>
      <c r="O3133">
        <v>2.6633694910000001</v>
      </c>
      <c r="P3133">
        <v>-0.29586356800000002</v>
      </c>
      <c r="Q3133">
        <v>-0.59018158399999998</v>
      </c>
      <c r="S3133" s="13">
        <v>-1.5877556939999999</v>
      </c>
      <c r="T3133">
        <v>-1.012936429</v>
      </c>
      <c r="U3133">
        <v>-0.29728567099999997</v>
      </c>
    </row>
    <row r="3134" spans="1:21" x14ac:dyDescent="0.2">
      <c r="A3134" t="s">
        <v>1208</v>
      </c>
      <c r="B3134">
        <v>368680</v>
      </c>
      <c r="C3134" t="s">
        <v>6931</v>
      </c>
      <c r="D3134" t="s">
        <v>1208</v>
      </c>
      <c r="E3134" t="s">
        <v>6921</v>
      </c>
      <c r="F3134">
        <v>15</v>
      </c>
      <c r="G3134">
        <v>8</v>
      </c>
      <c r="H3134" t="s">
        <v>13248</v>
      </c>
      <c r="N3134">
        <v>1.9323965059999999</v>
      </c>
      <c r="O3134">
        <v>3.0528020530000002</v>
      </c>
      <c r="P3134">
        <v>2.6493138999999999E-2</v>
      </c>
      <c r="Q3134">
        <v>-0.38692188</v>
      </c>
      <c r="S3134" s="13">
        <v>-1.5880691149999999</v>
      </c>
      <c r="T3134">
        <v>-1.0143060070000001</v>
      </c>
      <c r="U3134">
        <v>-0.257147862</v>
      </c>
    </row>
    <row r="3135" spans="1:21" x14ac:dyDescent="0.2">
      <c r="A3135" t="s">
        <v>1783</v>
      </c>
      <c r="B3135">
        <v>477880</v>
      </c>
      <c r="C3135" t="s">
        <v>6953</v>
      </c>
      <c r="D3135" t="s">
        <v>1783</v>
      </c>
      <c r="E3135" t="s">
        <v>6915</v>
      </c>
      <c r="F3135">
        <v>11</v>
      </c>
      <c r="G3135">
        <v>13</v>
      </c>
      <c r="H3135" t="s">
        <v>13249</v>
      </c>
      <c r="J3135" t="s">
        <v>1785</v>
      </c>
      <c r="M3135" t="s">
        <v>13250</v>
      </c>
      <c r="N3135">
        <v>1.921480887</v>
      </c>
      <c r="O3135">
        <v>3.0856645180000002</v>
      </c>
      <c r="P3135">
        <v>0.44706724399999997</v>
      </c>
      <c r="Q3135">
        <v>-0.354940863</v>
      </c>
      <c r="S3135" s="13">
        <v>-1.589349825</v>
      </c>
      <c r="T3135">
        <v>-1.019902415</v>
      </c>
      <c r="U3135">
        <v>-0.31925911899999998</v>
      </c>
    </row>
    <row r="3136" spans="1:21" x14ac:dyDescent="0.2">
      <c r="A3136" t="s">
        <v>935</v>
      </c>
      <c r="B3136">
        <v>477720</v>
      </c>
      <c r="C3136" t="s">
        <v>6953</v>
      </c>
      <c r="D3136" t="s">
        <v>935</v>
      </c>
      <c r="E3136" t="s">
        <v>6921</v>
      </c>
      <c r="F3136">
        <v>18</v>
      </c>
      <c r="G3136">
        <v>8</v>
      </c>
      <c r="H3136" t="s">
        <v>13251</v>
      </c>
      <c r="J3136" t="s">
        <v>937</v>
      </c>
      <c r="M3136" t="s">
        <v>13252</v>
      </c>
      <c r="N3136">
        <v>1.921480887</v>
      </c>
      <c r="O3136">
        <v>3.0856645180000002</v>
      </c>
      <c r="P3136">
        <v>0.44706724399999997</v>
      </c>
      <c r="Q3136">
        <v>-0.354940863</v>
      </c>
      <c r="S3136" s="13">
        <v>-1.589515845</v>
      </c>
      <c r="T3136">
        <v>-1.020627884</v>
      </c>
      <c r="U3136">
        <v>-0.31941621199999998</v>
      </c>
    </row>
    <row r="3137" spans="1:21" x14ac:dyDescent="0.2">
      <c r="A3137" t="s">
        <v>985</v>
      </c>
      <c r="B3137">
        <v>521640</v>
      </c>
      <c r="C3137" t="s">
        <v>6914</v>
      </c>
      <c r="D3137" t="s">
        <v>985</v>
      </c>
      <c r="E3137" t="s">
        <v>6907</v>
      </c>
      <c r="F3137">
        <v>12</v>
      </c>
      <c r="G3137">
        <v>4</v>
      </c>
      <c r="H3137" t="s">
        <v>13253</v>
      </c>
      <c r="J3137" t="s">
        <v>1132</v>
      </c>
      <c r="M3137" t="s">
        <v>13254</v>
      </c>
      <c r="N3137">
        <v>1.8217074179999999</v>
      </c>
      <c r="O3137">
        <v>4.1700741289999996</v>
      </c>
      <c r="P3137">
        <v>0.189705977</v>
      </c>
      <c r="Q3137">
        <v>-1.7194070999999998E-2</v>
      </c>
      <c r="S3137" s="13">
        <v>-1.589569652</v>
      </c>
      <c r="T3137">
        <v>-1.02086301</v>
      </c>
      <c r="U3137">
        <v>-0.37447625299999998</v>
      </c>
    </row>
    <row r="3138" spans="1:21" x14ac:dyDescent="0.2">
      <c r="A3138" t="s">
        <v>1811</v>
      </c>
      <c r="B3138">
        <v>412480</v>
      </c>
      <c r="C3138" t="s">
        <v>6927</v>
      </c>
      <c r="D3138" t="s">
        <v>1811</v>
      </c>
      <c r="E3138" t="s">
        <v>7085</v>
      </c>
      <c r="F3138">
        <v>15</v>
      </c>
      <c r="G3138">
        <v>9</v>
      </c>
      <c r="H3138" t="s">
        <v>13255</v>
      </c>
      <c r="J3138" t="s">
        <v>13256</v>
      </c>
      <c r="M3138" t="s">
        <v>13257</v>
      </c>
      <c r="N3138">
        <v>1.982575982</v>
      </c>
      <c r="O3138">
        <v>3.4571926419999999</v>
      </c>
      <c r="P3138">
        <v>-0.114791479</v>
      </c>
      <c r="Q3138">
        <v>1.868949E-3</v>
      </c>
      <c r="S3138" s="13">
        <v>-1.5897337460000001</v>
      </c>
      <c r="T3138">
        <v>-1.021580062</v>
      </c>
      <c r="U3138">
        <v>-0.40809446399999999</v>
      </c>
    </row>
    <row r="3139" spans="1:21" x14ac:dyDescent="0.2">
      <c r="A3139" t="s">
        <v>222</v>
      </c>
      <c r="B3139">
        <v>439880</v>
      </c>
      <c r="C3139" t="s">
        <v>6906</v>
      </c>
      <c r="D3139" t="s">
        <v>222</v>
      </c>
      <c r="E3139" t="s">
        <v>6924</v>
      </c>
      <c r="F3139">
        <v>20</v>
      </c>
      <c r="G3139">
        <v>6</v>
      </c>
      <c r="H3139" t="s">
        <v>13258</v>
      </c>
      <c r="J3139" t="s">
        <v>224</v>
      </c>
      <c r="M3139" t="s">
        <v>13259</v>
      </c>
      <c r="N3139">
        <v>1.813871112</v>
      </c>
      <c r="O3139">
        <v>2.6633694910000001</v>
      </c>
      <c r="P3139">
        <v>-0.29586356800000002</v>
      </c>
      <c r="Q3139">
        <v>-0.59018158399999998</v>
      </c>
      <c r="S3139" s="13">
        <v>-1.590541129</v>
      </c>
      <c r="T3139">
        <v>-1.025108141</v>
      </c>
      <c r="U3139">
        <v>-0.29908116699999998</v>
      </c>
    </row>
    <row r="3140" spans="1:21" x14ac:dyDescent="0.2">
      <c r="A3140" t="s">
        <v>203</v>
      </c>
      <c r="B3140">
        <v>411520</v>
      </c>
      <c r="C3140" t="s">
        <v>6927</v>
      </c>
      <c r="D3140" t="s">
        <v>204</v>
      </c>
      <c r="E3140" t="s">
        <v>6915</v>
      </c>
      <c r="F3140">
        <v>1</v>
      </c>
      <c r="G3140">
        <v>13</v>
      </c>
      <c r="H3140" t="s">
        <v>13260</v>
      </c>
      <c r="J3140" t="s">
        <v>13261</v>
      </c>
      <c r="M3140" t="s">
        <v>13262</v>
      </c>
      <c r="N3140">
        <v>1.982575982</v>
      </c>
      <c r="O3140">
        <v>3.4571926419999999</v>
      </c>
      <c r="P3140">
        <v>-0.114791479</v>
      </c>
      <c r="Q3140">
        <v>1.868949E-3</v>
      </c>
      <c r="S3140" s="13">
        <v>-1.5907298649999999</v>
      </c>
      <c r="T3140">
        <v>-1.0259328750000001</v>
      </c>
      <c r="U3140">
        <v>-0.40925229400000002</v>
      </c>
    </row>
    <row r="3141" spans="1:21" x14ac:dyDescent="0.2">
      <c r="A3141" t="s">
        <v>1794</v>
      </c>
      <c r="B3141">
        <v>377120</v>
      </c>
      <c r="C3141" t="s">
        <v>6938</v>
      </c>
      <c r="D3141" t="s">
        <v>1794</v>
      </c>
      <c r="E3141" t="s">
        <v>7115</v>
      </c>
      <c r="F3141">
        <v>13</v>
      </c>
      <c r="G3141">
        <v>10</v>
      </c>
      <c r="H3141" t="s">
        <v>13263</v>
      </c>
      <c r="J3141" t="s">
        <v>2306</v>
      </c>
      <c r="M3141" t="s">
        <v>13264</v>
      </c>
      <c r="N3141">
        <v>2.092758737</v>
      </c>
      <c r="O3141">
        <v>5.3323610669999999</v>
      </c>
      <c r="P3141">
        <v>0.70420098600000003</v>
      </c>
      <c r="Q3141">
        <v>0.41355372699999998</v>
      </c>
      <c r="S3141" s="13">
        <v>-1.591240124</v>
      </c>
      <c r="T3141">
        <v>-1.0281625889999999</v>
      </c>
      <c r="U3141">
        <v>-0.50114629499999996</v>
      </c>
    </row>
    <row r="3142" spans="1:21" x14ac:dyDescent="0.2">
      <c r="A3142" t="s">
        <v>656</v>
      </c>
      <c r="B3142">
        <v>391240</v>
      </c>
      <c r="C3142" t="s">
        <v>6910</v>
      </c>
      <c r="D3142" t="s">
        <v>656</v>
      </c>
      <c r="E3142" t="s">
        <v>6956</v>
      </c>
      <c r="F3142">
        <v>24</v>
      </c>
      <c r="G3142">
        <v>7</v>
      </c>
      <c r="H3142" t="s">
        <v>13265</v>
      </c>
      <c r="J3142" t="s">
        <v>5797</v>
      </c>
      <c r="M3142" t="s">
        <v>13266</v>
      </c>
      <c r="N3142">
        <v>1.9874741039999999</v>
      </c>
      <c r="O3142">
        <v>3.7453511220000002</v>
      </c>
      <c r="P3142">
        <v>0.451009722</v>
      </c>
      <c r="Q3142">
        <v>-0.102386592</v>
      </c>
      <c r="S3142" s="13">
        <v>-1.5917522</v>
      </c>
      <c r="T3142">
        <v>-1.030400247</v>
      </c>
      <c r="U3142">
        <v>-0.30723495099999998</v>
      </c>
    </row>
    <row r="3143" spans="1:21" x14ac:dyDescent="0.2">
      <c r="A3143" t="s">
        <v>1494</v>
      </c>
      <c r="B3143">
        <v>365840</v>
      </c>
      <c r="C3143" t="s">
        <v>6931</v>
      </c>
      <c r="D3143" t="s">
        <v>1494</v>
      </c>
      <c r="E3143" t="s">
        <v>7115</v>
      </c>
      <c r="F3143">
        <v>12</v>
      </c>
      <c r="G3143">
        <v>10</v>
      </c>
      <c r="H3143" t="s">
        <v>13267</v>
      </c>
      <c r="N3143">
        <v>1.9323965059999999</v>
      </c>
      <c r="O3143">
        <v>3.0528020530000002</v>
      </c>
      <c r="P3143">
        <v>2.6493138999999999E-2</v>
      </c>
      <c r="Q3143">
        <v>-0.38692188</v>
      </c>
      <c r="S3143" s="13">
        <v>-1.5918008020000001</v>
      </c>
      <c r="T3143">
        <v>-1.030612624</v>
      </c>
      <c r="U3143">
        <v>-0.259570996</v>
      </c>
    </row>
    <row r="3144" spans="1:21" x14ac:dyDescent="0.2">
      <c r="A3144" t="s">
        <v>2902</v>
      </c>
      <c r="B3144">
        <v>475360</v>
      </c>
      <c r="C3144" t="s">
        <v>6953</v>
      </c>
      <c r="D3144" t="s">
        <v>2903</v>
      </c>
      <c r="E3144" t="s">
        <v>6977</v>
      </c>
      <c r="F3144">
        <v>6</v>
      </c>
      <c r="G3144">
        <v>5</v>
      </c>
      <c r="H3144" t="s">
        <v>13268</v>
      </c>
      <c r="J3144" t="s">
        <v>5471</v>
      </c>
      <c r="M3144" t="s">
        <v>13269</v>
      </c>
      <c r="N3144">
        <v>1.921480887</v>
      </c>
      <c r="O3144">
        <v>3.0856645180000002</v>
      </c>
      <c r="P3144">
        <v>0.44706724399999997</v>
      </c>
      <c r="Q3144">
        <v>-0.354940863</v>
      </c>
      <c r="S3144" s="13">
        <v>-1.5919646380000001</v>
      </c>
      <c r="T3144">
        <v>-1.03132855</v>
      </c>
      <c r="U3144">
        <v>-0.32173996500000002</v>
      </c>
    </row>
    <row r="3145" spans="1:21" x14ac:dyDescent="0.2">
      <c r="A3145" t="s">
        <v>2341</v>
      </c>
      <c r="B3145">
        <v>519560</v>
      </c>
      <c r="C3145" t="s">
        <v>6914</v>
      </c>
      <c r="D3145" t="s">
        <v>2341</v>
      </c>
      <c r="E3145" t="s">
        <v>6921</v>
      </c>
      <c r="F3145">
        <v>14</v>
      </c>
      <c r="G3145">
        <v>8</v>
      </c>
      <c r="H3145" t="s">
        <v>13270</v>
      </c>
      <c r="J3145" t="s">
        <v>6741</v>
      </c>
      <c r="M3145" t="s">
        <v>13271</v>
      </c>
      <c r="N3145">
        <v>1.8217074179999999</v>
      </c>
      <c r="O3145">
        <v>4.1700741289999996</v>
      </c>
      <c r="P3145">
        <v>0.189705977</v>
      </c>
      <c r="Q3145">
        <v>-1.7194070999999998E-2</v>
      </c>
      <c r="S3145" s="13">
        <v>-1.5920713959999999</v>
      </c>
      <c r="T3145">
        <v>-1.031795059</v>
      </c>
      <c r="U3145">
        <v>-0.37680113999999998</v>
      </c>
    </row>
    <row r="3146" spans="1:21" x14ac:dyDescent="0.2">
      <c r="A3146" t="s">
        <v>1986</v>
      </c>
      <c r="B3146">
        <v>389800</v>
      </c>
      <c r="C3146" t="s">
        <v>6910</v>
      </c>
      <c r="D3146" t="s">
        <v>1986</v>
      </c>
      <c r="E3146" t="s">
        <v>6977</v>
      </c>
      <c r="F3146">
        <v>11</v>
      </c>
      <c r="G3146">
        <v>5</v>
      </c>
      <c r="H3146" t="s">
        <v>13272</v>
      </c>
      <c r="J3146" t="s">
        <v>5571</v>
      </c>
      <c r="M3146" t="s">
        <v>13273</v>
      </c>
      <c r="N3146">
        <v>1.9874741039999999</v>
      </c>
      <c r="O3146">
        <v>3.7453511220000002</v>
      </c>
      <c r="P3146">
        <v>0.451009722</v>
      </c>
      <c r="Q3146">
        <v>-0.102386592</v>
      </c>
      <c r="S3146" s="13">
        <v>-1.593301487</v>
      </c>
      <c r="T3146">
        <v>-1.0371702759999999</v>
      </c>
      <c r="U3146">
        <v>-0.30861211700000002</v>
      </c>
    </row>
    <row r="3147" spans="1:21" x14ac:dyDescent="0.2">
      <c r="A3147" t="s">
        <v>451</v>
      </c>
      <c r="B3147">
        <v>389560</v>
      </c>
      <c r="C3147" t="s">
        <v>6910</v>
      </c>
      <c r="D3147" t="s">
        <v>452</v>
      </c>
      <c r="E3147" t="s">
        <v>6907</v>
      </c>
      <c r="F3147">
        <v>9</v>
      </c>
      <c r="G3147">
        <v>4</v>
      </c>
      <c r="H3147" t="s">
        <v>13274</v>
      </c>
      <c r="J3147" t="s">
        <v>5829</v>
      </c>
      <c r="M3147" t="s">
        <v>13275</v>
      </c>
      <c r="N3147">
        <v>1.9874741039999999</v>
      </c>
      <c r="O3147">
        <v>3.7453511220000002</v>
      </c>
      <c r="P3147">
        <v>0.451009722</v>
      </c>
      <c r="Q3147">
        <v>-0.102386592</v>
      </c>
      <c r="S3147" s="13">
        <v>-1.593559701</v>
      </c>
      <c r="T3147">
        <v>-1.0382986139999999</v>
      </c>
      <c r="U3147">
        <v>-0.30884207000000002</v>
      </c>
    </row>
    <row r="3148" spans="1:21" x14ac:dyDescent="0.2">
      <c r="A3148" t="s">
        <v>935</v>
      </c>
      <c r="B3148">
        <v>517840</v>
      </c>
      <c r="C3148" t="s">
        <v>6914</v>
      </c>
      <c r="D3148" t="s">
        <v>935</v>
      </c>
      <c r="E3148" t="s">
        <v>6921</v>
      </c>
      <c r="F3148">
        <v>18</v>
      </c>
      <c r="G3148">
        <v>8</v>
      </c>
      <c r="H3148" t="s">
        <v>13276</v>
      </c>
      <c r="J3148" t="s">
        <v>6667</v>
      </c>
      <c r="M3148" t="s">
        <v>13277</v>
      </c>
      <c r="N3148">
        <v>1.8217074179999999</v>
      </c>
      <c r="O3148">
        <v>4.1700741289999996</v>
      </c>
      <c r="P3148">
        <v>0.189705977</v>
      </c>
      <c r="Q3148">
        <v>-1.7194070999999998E-2</v>
      </c>
      <c r="S3148" s="13">
        <v>-1.594140146</v>
      </c>
      <c r="T3148">
        <v>-1.0408350230000001</v>
      </c>
      <c r="U3148">
        <v>-0.378733088</v>
      </c>
    </row>
    <row r="3149" spans="1:21" x14ac:dyDescent="0.2">
      <c r="A3149" t="s">
        <v>1174</v>
      </c>
      <c r="B3149">
        <v>373480</v>
      </c>
      <c r="C3149" t="s">
        <v>6938</v>
      </c>
      <c r="D3149" t="s">
        <v>1174</v>
      </c>
      <c r="E3149" t="s">
        <v>7085</v>
      </c>
      <c r="F3149">
        <v>16</v>
      </c>
      <c r="G3149">
        <v>9</v>
      </c>
      <c r="H3149" t="s">
        <v>13278</v>
      </c>
      <c r="J3149" t="s">
        <v>2643</v>
      </c>
      <c r="M3149" t="s">
        <v>13279</v>
      </c>
      <c r="N3149">
        <v>2.092758737</v>
      </c>
      <c r="O3149">
        <v>5.3323610669999999</v>
      </c>
      <c r="P3149">
        <v>0.70420098600000003</v>
      </c>
      <c r="Q3149">
        <v>0.41355372699999998</v>
      </c>
      <c r="S3149" s="13">
        <v>-1.594366197</v>
      </c>
      <c r="T3149">
        <v>-1.041822816</v>
      </c>
      <c r="U3149">
        <v>-0.50661240100000005</v>
      </c>
    </row>
    <row r="3150" spans="1:21" x14ac:dyDescent="0.2">
      <c r="A3150" t="s">
        <v>111</v>
      </c>
      <c r="B3150">
        <v>407800</v>
      </c>
      <c r="C3150" t="s">
        <v>6927</v>
      </c>
      <c r="D3150" t="s">
        <v>112</v>
      </c>
      <c r="E3150" t="s">
        <v>6970</v>
      </c>
      <c r="F3150">
        <v>2</v>
      </c>
      <c r="G3150">
        <v>14</v>
      </c>
      <c r="H3150" t="s">
        <v>13280</v>
      </c>
      <c r="J3150" t="s">
        <v>13281</v>
      </c>
      <c r="M3150" t="s">
        <v>13282</v>
      </c>
      <c r="N3150">
        <v>1.982575982</v>
      </c>
      <c r="O3150">
        <v>3.4571926419999999</v>
      </c>
      <c r="P3150">
        <v>-0.114791479</v>
      </c>
      <c r="Q3150">
        <v>1.868949E-3</v>
      </c>
      <c r="S3150" s="13">
        <v>-1.5945898270000001</v>
      </c>
      <c r="T3150">
        <v>-1.042800028</v>
      </c>
      <c r="U3150">
        <v>-0.41376826900000002</v>
      </c>
    </row>
    <row r="3151" spans="1:21" x14ac:dyDescent="0.2">
      <c r="A3151" t="s">
        <v>1788</v>
      </c>
      <c r="B3151">
        <v>517160</v>
      </c>
      <c r="C3151" t="s">
        <v>6914</v>
      </c>
      <c r="D3151" t="s">
        <v>1788</v>
      </c>
      <c r="E3151" t="s">
        <v>6956</v>
      </c>
      <c r="F3151">
        <v>10</v>
      </c>
      <c r="G3151">
        <v>7</v>
      </c>
      <c r="H3151" t="s">
        <v>13283</v>
      </c>
      <c r="J3151" t="s">
        <v>1790</v>
      </c>
      <c r="M3151" t="s">
        <v>13284</v>
      </c>
      <c r="N3151">
        <v>1.8217074179999999</v>
      </c>
      <c r="O3151">
        <v>4.1700741289999996</v>
      </c>
      <c r="P3151">
        <v>0.189705977</v>
      </c>
      <c r="Q3151">
        <v>-1.7194070999999998E-2</v>
      </c>
      <c r="S3151" s="13">
        <v>-1.5949580240000001</v>
      </c>
      <c r="T3151">
        <v>-1.0444089620000001</v>
      </c>
      <c r="U3151">
        <v>-0.37949925800000001</v>
      </c>
    </row>
    <row r="3152" spans="1:21" x14ac:dyDescent="0.2">
      <c r="A3152" t="s">
        <v>644</v>
      </c>
      <c r="B3152">
        <v>436760</v>
      </c>
      <c r="C3152" t="s">
        <v>6906</v>
      </c>
      <c r="D3152" t="s">
        <v>644</v>
      </c>
      <c r="E3152" t="s">
        <v>6946</v>
      </c>
      <c r="F3152">
        <v>11</v>
      </c>
      <c r="G3152">
        <v>11</v>
      </c>
      <c r="H3152" t="s">
        <v>13285</v>
      </c>
      <c r="J3152" t="s">
        <v>13286</v>
      </c>
      <c r="M3152" t="s">
        <v>13287</v>
      </c>
      <c r="N3152">
        <v>1.813871112</v>
      </c>
      <c r="O3152">
        <v>2.6633694910000001</v>
      </c>
      <c r="P3152">
        <v>-0.29586356800000002</v>
      </c>
      <c r="Q3152">
        <v>-0.59018158399999998</v>
      </c>
      <c r="S3152" s="13">
        <v>-1.5950674600000001</v>
      </c>
      <c r="T3152">
        <v>-1.044887173</v>
      </c>
      <c r="U3152">
        <v>-0.30201477500000001</v>
      </c>
    </row>
    <row r="3153" spans="1:21" x14ac:dyDescent="0.2">
      <c r="A3153" t="s">
        <v>507</v>
      </c>
      <c r="B3153">
        <v>472000</v>
      </c>
      <c r="C3153" t="s">
        <v>6953</v>
      </c>
      <c r="D3153" t="s">
        <v>508</v>
      </c>
      <c r="E3153" t="s">
        <v>6918</v>
      </c>
      <c r="F3153">
        <v>5</v>
      </c>
      <c r="G3153">
        <v>1</v>
      </c>
      <c r="H3153" t="s">
        <v>13288</v>
      </c>
      <c r="J3153" t="s">
        <v>5171</v>
      </c>
      <c r="M3153" t="s">
        <v>13289</v>
      </c>
      <c r="N3153">
        <v>1.921480887</v>
      </c>
      <c r="O3153">
        <v>3.0856645180000002</v>
      </c>
      <c r="P3153">
        <v>0.44706724399999997</v>
      </c>
      <c r="Q3153">
        <v>-0.354940863</v>
      </c>
      <c r="S3153" s="13">
        <v>-1.5954510550000001</v>
      </c>
      <c r="T3153">
        <v>-1.046563398</v>
      </c>
      <c r="U3153">
        <v>-0.32506995799999999</v>
      </c>
    </row>
    <row r="3154" spans="1:21" x14ac:dyDescent="0.2">
      <c r="A3154" t="s">
        <v>2421</v>
      </c>
      <c r="B3154">
        <v>471960</v>
      </c>
      <c r="C3154" t="s">
        <v>6953</v>
      </c>
      <c r="D3154" t="s">
        <v>2422</v>
      </c>
      <c r="E3154" t="s">
        <v>7085</v>
      </c>
      <c r="F3154">
        <v>8</v>
      </c>
      <c r="G3154">
        <v>9</v>
      </c>
      <c r="H3154" t="s">
        <v>13290</v>
      </c>
      <c r="J3154" t="s">
        <v>4986</v>
      </c>
      <c r="M3154" t="s">
        <v>13291</v>
      </c>
      <c r="N3154">
        <v>1.921480887</v>
      </c>
      <c r="O3154">
        <v>3.0856645180000002</v>
      </c>
      <c r="P3154">
        <v>0.44706724399999997</v>
      </c>
      <c r="Q3154">
        <v>-0.354940863</v>
      </c>
      <c r="S3154" s="13">
        <v>-1.5954925600000001</v>
      </c>
      <c r="T3154">
        <v>-1.0467447649999999</v>
      </c>
      <c r="U3154">
        <v>-0.325109755</v>
      </c>
    </row>
    <row r="3155" spans="1:21" x14ac:dyDescent="0.2">
      <c r="A3155" t="s">
        <v>1422</v>
      </c>
      <c r="B3155">
        <v>516160</v>
      </c>
      <c r="C3155" t="s">
        <v>6914</v>
      </c>
      <c r="D3155" t="s">
        <v>1423</v>
      </c>
      <c r="E3155" t="s">
        <v>6956</v>
      </c>
      <c r="F3155">
        <v>4</v>
      </c>
      <c r="G3155">
        <v>7</v>
      </c>
      <c r="H3155" t="s">
        <v>13292</v>
      </c>
      <c r="J3155" t="s">
        <v>1610</v>
      </c>
      <c r="M3155" t="s">
        <v>13293</v>
      </c>
      <c r="N3155">
        <v>1.8217074179999999</v>
      </c>
      <c r="O3155">
        <v>4.1700741289999996</v>
      </c>
      <c r="P3155">
        <v>0.189705977</v>
      </c>
      <c r="Q3155">
        <v>-1.7194070999999998E-2</v>
      </c>
      <c r="S3155" s="13">
        <v>-1.5961607849999999</v>
      </c>
      <c r="T3155">
        <v>-1.049664755</v>
      </c>
      <c r="U3155">
        <v>-0.38062844000000001</v>
      </c>
    </row>
    <row r="3156" spans="1:21" x14ac:dyDescent="0.2">
      <c r="A3156" t="s">
        <v>1137</v>
      </c>
      <c r="B3156">
        <v>406200</v>
      </c>
      <c r="C3156" t="s">
        <v>6927</v>
      </c>
      <c r="D3156" t="s">
        <v>1137</v>
      </c>
      <c r="E3156" t="s">
        <v>7085</v>
      </c>
      <c r="F3156">
        <v>18</v>
      </c>
      <c r="G3156">
        <v>9</v>
      </c>
      <c r="H3156" t="s">
        <v>13294</v>
      </c>
      <c r="J3156" t="s">
        <v>13295</v>
      </c>
      <c r="M3156" t="s">
        <v>13296</v>
      </c>
      <c r="N3156">
        <v>1.982575982</v>
      </c>
      <c r="O3156">
        <v>3.4571926419999999</v>
      </c>
      <c r="P3156">
        <v>-0.114791479</v>
      </c>
      <c r="Q3156">
        <v>1.868949E-3</v>
      </c>
      <c r="S3156" s="13">
        <v>-1.5962500260000001</v>
      </c>
      <c r="T3156">
        <v>-1.0500547170000001</v>
      </c>
      <c r="U3156">
        <v>-0.41572515999999998</v>
      </c>
    </row>
    <row r="3157" spans="1:21" x14ac:dyDescent="0.2">
      <c r="A3157" t="s">
        <v>2054</v>
      </c>
      <c r="B3157">
        <v>435720</v>
      </c>
      <c r="C3157" t="s">
        <v>6906</v>
      </c>
      <c r="D3157" t="s">
        <v>2054</v>
      </c>
      <c r="E3157" t="s">
        <v>6911</v>
      </c>
      <c r="F3157">
        <v>15</v>
      </c>
      <c r="G3157">
        <v>12</v>
      </c>
      <c r="H3157" t="s">
        <v>13297</v>
      </c>
      <c r="J3157" t="s">
        <v>4258</v>
      </c>
      <c r="M3157" t="s">
        <v>13298</v>
      </c>
      <c r="N3157">
        <v>1.813871112</v>
      </c>
      <c r="O3157">
        <v>2.6633694910000001</v>
      </c>
      <c r="P3157">
        <v>-0.29586356800000002</v>
      </c>
      <c r="Q3157">
        <v>-0.59018158399999998</v>
      </c>
      <c r="S3157" s="13">
        <v>-1.5965762370000001</v>
      </c>
      <c r="T3157">
        <v>-1.0514801840000001</v>
      </c>
      <c r="U3157">
        <v>-0.30299706399999998</v>
      </c>
    </row>
    <row r="3158" spans="1:21" x14ac:dyDescent="0.2">
      <c r="A3158" t="s">
        <v>1062</v>
      </c>
      <c r="B3158">
        <v>434640</v>
      </c>
      <c r="C3158" t="s">
        <v>6906</v>
      </c>
      <c r="D3158" t="s">
        <v>1062</v>
      </c>
      <c r="E3158" t="s">
        <v>6924</v>
      </c>
      <c r="F3158">
        <v>17</v>
      </c>
      <c r="G3158">
        <v>6</v>
      </c>
      <c r="H3158" t="s">
        <v>13299</v>
      </c>
      <c r="J3158" t="s">
        <v>1421</v>
      </c>
      <c r="M3158" t="s">
        <v>13300</v>
      </c>
      <c r="N3158">
        <v>1.813871112</v>
      </c>
      <c r="O3158">
        <v>2.6633694910000001</v>
      </c>
      <c r="P3158">
        <v>-0.29586356800000002</v>
      </c>
      <c r="Q3158">
        <v>-0.59018158399999998</v>
      </c>
      <c r="S3158" s="13">
        <v>-1.598143044</v>
      </c>
      <c r="T3158">
        <v>-1.058326772</v>
      </c>
      <c r="U3158">
        <v>-0.30401949099999998</v>
      </c>
    </row>
    <row r="3159" spans="1:21" x14ac:dyDescent="0.2">
      <c r="A3159" t="s">
        <v>2239</v>
      </c>
      <c r="B3159">
        <v>384960</v>
      </c>
      <c r="C3159" t="s">
        <v>6910</v>
      </c>
      <c r="D3159" t="s">
        <v>2240</v>
      </c>
      <c r="E3159" t="s">
        <v>6924</v>
      </c>
      <c r="F3159">
        <v>9</v>
      </c>
      <c r="G3159">
        <v>6</v>
      </c>
      <c r="H3159" t="s">
        <v>13301</v>
      </c>
      <c r="J3159" t="s">
        <v>6407</v>
      </c>
      <c r="M3159" t="s">
        <v>13302</v>
      </c>
      <c r="N3159">
        <v>1.9874741039999999</v>
      </c>
      <c r="O3159">
        <v>3.7453511220000002</v>
      </c>
      <c r="P3159">
        <v>0.451009722</v>
      </c>
      <c r="Q3159">
        <v>-0.102386592</v>
      </c>
      <c r="S3159" s="13">
        <v>-1.5985088119999999</v>
      </c>
      <c r="T3159">
        <v>-1.059925094</v>
      </c>
      <c r="U3159">
        <v>-0.31327319300000001</v>
      </c>
    </row>
    <row r="3160" spans="1:21" x14ac:dyDescent="0.2">
      <c r="A3160" t="s">
        <v>500</v>
      </c>
      <c r="B3160">
        <v>360440</v>
      </c>
      <c r="C3160" t="s">
        <v>6931</v>
      </c>
      <c r="D3160" t="s">
        <v>501</v>
      </c>
      <c r="E3160" t="s">
        <v>7115</v>
      </c>
      <c r="F3160">
        <v>9</v>
      </c>
      <c r="G3160">
        <v>10</v>
      </c>
      <c r="H3160" t="s">
        <v>13303</v>
      </c>
      <c r="N3160">
        <v>1.9323965059999999</v>
      </c>
      <c r="O3160">
        <v>3.0528020530000002</v>
      </c>
      <c r="P3160">
        <v>2.6493138999999999E-2</v>
      </c>
      <c r="Q3160">
        <v>-0.38692188</v>
      </c>
      <c r="S3160" s="13">
        <v>-1.598896262</v>
      </c>
      <c r="T3160">
        <v>-1.0616181629999999</v>
      </c>
      <c r="U3160">
        <v>-0.26421599299999998</v>
      </c>
    </row>
    <row r="3161" spans="1:21" x14ac:dyDescent="0.2">
      <c r="A3161" t="s">
        <v>792</v>
      </c>
      <c r="B3161">
        <v>367280</v>
      </c>
      <c r="C3161" t="s">
        <v>6938</v>
      </c>
      <c r="D3161" t="s">
        <v>793</v>
      </c>
      <c r="E3161" t="s">
        <v>6924</v>
      </c>
      <c r="F3161">
        <v>5</v>
      </c>
      <c r="G3161">
        <v>6</v>
      </c>
      <c r="H3161" t="s">
        <v>13304</v>
      </c>
      <c r="J3161" t="s">
        <v>4372</v>
      </c>
      <c r="M3161" t="s">
        <v>13305</v>
      </c>
      <c r="N3161">
        <v>2.092758737</v>
      </c>
      <c r="O3161">
        <v>5.3323610669999999</v>
      </c>
      <c r="P3161">
        <v>0.70420098600000003</v>
      </c>
      <c r="Q3161">
        <v>0.41355372699999998</v>
      </c>
      <c r="S3161" s="13">
        <v>-1.599690828</v>
      </c>
      <c r="T3161">
        <v>-1.065090235</v>
      </c>
      <c r="U3161">
        <v>-0.51608418199999995</v>
      </c>
    </row>
    <row r="3162" spans="1:21" x14ac:dyDescent="0.2">
      <c r="A3162" t="s">
        <v>1788</v>
      </c>
      <c r="B3162">
        <v>433560</v>
      </c>
      <c r="C3162" t="s">
        <v>6906</v>
      </c>
      <c r="D3162" t="s">
        <v>1788</v>
      </c>
      <c r="E3162" t="s">
        <v>6956</v>
      </c>
      <c r="F3162">
        <v>10</v>
      </c>
      <c r="G3162">
        <v>7</v>
      </c>
      <c r="H3162" t="s">
        <v>13306</v>
      </c>
      <c r="J3162" t="s">
        <v>13307</v>
      </c>
      <c r="M3162" t="s">
        <v>13308</v>
      </c>
      <c r="N3162">
        <v>1.813871112</v>
      </c>
      <c r="O3162">
        <v>2.6633694910000001</v>
      </c>
      <c r="P3162">
        <v>-0.29586356800000002</v>
      </c>
      <c r="Q3162">
        <v>-0.59018158399999998</v>
      </c>
      <c r="S3162" s="13">
        <v>-1.5997098510000001</v>
      </c>
      <c r="T3162">
        <v>-1.06517336</v>
      </c>
      <c r="U3162">
        <v>-0.30504432999999997</v>
      </c>
    </row>
    <row r="3163" spans="1:21" x14ac:dyDescent="0.2">
      <c r="A3163" t="s">
        <v>1431</v>
      </c>
      <c r="B3163">
        <v>467840</v>
      </c>
      <c r="C3163" t="s">
        <v>6953</v>
      </c>
      <c r="D3163" t="s">
        <v>1431</v>
      </c>
      <c r="E3163" t="s">
        <v>7115</v>
      </c>
      <c r="F3163">
        <v>11</v>
      </c>
      <c r="G3163">
        <v>10</v>
      </c>
      <c r="H3163" t="s">
        <v>13309</v>
      </c>
      <c r="J3163" t="s">
        <v>13310</v>
      </c>
      <c r="M3163" t="s">
        <v>13311</v>
      </c>
      <c r="N3163">
        <v>1.921480887</v>
      </c>
      <c r="O3163">
        <v>3.0856645180000002</v>
      </c>
      <c r="P3163">
        <v>0.44706724399999997</v>
      </c>
      <c r="Q3163">
        <v>-0.354940863</v>
      </c>
      <c r="S3163" s="13">
        <v>-1.599767572</v>
      </c>
      <c r="T3163">
        <v>-1.06542559</v>
      </c>
      <c r="U3163">
        <v>-0.32922850100000001</v>
      </c>
    </row>
    <row r="3164" spans="1:21" x14ac:dyDescent="0.2">
      <c r="A3164" t="s">
        <v>2319</v>
      </c>
      <c r="B3164">
        <v>512120</v>
      </c>
      <c r="C3164" t="s">
        <v>6914</v>
      </c>
      <c r="D3164" t="s">
        <v>2320</v>
      </c>
      <c r="E3164" t="s">
        <v>6915</v>
      </c>
      <c r="F3164">
        <v>8</v>
      </c>
      <c r="G3164">
        <v>13</v>
      </c>
      <c r="H3164" t="s">
        <v>13312</v>
      </c>
      <c r="J3164" t="s">
        <v>6779</v>
      </c>
      <c r="M3164" t="s">
        <v>13313</v>
      </c>
      <c r="N3164">
        <v>1.8217074179999999</v>
      </c>
      <c r="O3164">
        <v>4.1700741289999996</v>
      </c>
      <c r="P3164">
        <v>0.189705977</v>
      </c>
      <c r="Q3164">
        <v>-1.7194070999999998E-2</v>
      </c>
      <c r="S3164" s="13">
        <v>-1.601019942</v>
      </c>
      <c r="T3164">
        <v>-1.070898159</v>
      </c>
      <c r="U3164">
        <v>-0.38522046300000001</v>
      </c>
    </row>
    <row r="3165" spans="1:21" x14ac:dyDescent="0.2">
      <c r="A3165" t="s">
        <v>663</v>
      </c>
      <c r="B3165">
        <v>229880</v>
      </c>
      <c r="C3165" t="s">
        <v>6945</v>
      </c>
      <c r="D3165" t="s">
        <v>663</v>
      </c>
      <c r="E3165" t="s">
        <v>6918</v>
      </c>
      <c r="F3165">
        <v>15</v>
      </c>
      <c r="G3165">
        <v>1</v>
      </c>
      <c r="H3165" t="s">
        <v>13314</v>
      </c>
      <c r="J3165" t="s">
        <v>6439</v>
      </c>
      <c r="M3165" t="s">
        <v>13315</v>
      </c>
      <c r="N3165">
        <v>2.2220813349999999</v>
      </c>
      <c r="O3165">
        <v>6.5440947090000003</v>
      </c>
      <c r="P3165">
        <v>0.58228215500000002</v>
      </c>
      <c r="Q3165">
        <v>0.35188233000000002</v>
      </c>
      <c r="S3165" s="13">
        <v>-1.601445038</v>
      </c>
      <c r="T3165">
        <v>-1.072755731</v>
      </c>
      <c r="U3165">
        <v>-0.52246320099999999</v>
      </c>
    </row>
    <row r="3166" spans="1:21" x14ac:dyDescent="0.2">
      <c r="A3166" t="s">
        <v>1065</v>
      </c>
      <c r="B3166">
        <v>358200</v>
      </c>
      <c r="C3166" t="s">
        <v>6931</v>
      </c>
      <c r="D3166" t="s">
        <v>1066</v>
      </c>
      <c r="E3166" t="s">
        <v>6956</v>
      </c>
      <c r="F3166">
        <v>7</v>
      </c>
      <c r="G3166">
        <v>7</v>
      </c>
      <c r="H3166" t="s">
        <v>13316</v>
      </c>
      <c r="N3166">
        <v>1.9323965059999999</v>
      </c>
      <c r="O3166">
        <v>3.0528020530000002</v>
      </c>
      <c r="P3166">
        <v>2.6493138999999999E-2</v>
      </c>
      <c r="Q3166">
        <v>-0.38692188</v>
      </c>
      <c r="S3166" s="13">
        <v>-1.601839564</v>
      </c>
      <c r="T3166">
        <v>-1.07447972</v>
      </c>
      <c r="U3166">
        <v>-0.26615748099999997</v>
      </c>
    </row>
    <row r="3167" spans="1:21" x14ac:dyDescent="0.2">
      <c r="A3167" t="s">
        <v>1198</v>
      </c>
      <c r="B3167">
        <v>381400</v>
      </c>
      <c r="C3167" t="s">
        <v>6910</v>
      </c>
      <c r="D3167" t="s">
        <v>1199</v>
      </c>
      <c r="E3167" t="s">
        <v>6924</v>
      </c>
      <c r="F3167">
        <v>2</v>
      </c>
      <c r="G3167">
        <v>6</v>
      </c>
      <c r="H3167" t="s">
        <v>13317</v>
      </c>
      <c r="J3167" t="s">
        <v>6289</v>
      </c>
      <c r="M3167" t="s">
        <v>13318</v>
      </c>
      <c r="N3167">
        <v>1.9874741039999999</v>
      </c>
      <c r="O3167">
        <v>3.7453511220000002</v>
      </c>
      <c r="P3167">
        <v>0.451009722</v>
      </c>
      <c r="Q3167">
        <v>-0.102386592</v>
      </c>
      <c r="S3167" s="13">
        <v>-1.602338993</v>
      </c>
      <c r="T3167">
        <v>-1.0766621089999999</v>
      </c>
      <c r="U3167">
        <v>-0.31673380200000001</v>
      </c>
    </row>
    <row r="3168" spans="1:21" x14ac:dyDescent="0.2">
      <c r="A3168" t="s">
        <v>1422</v>
      </c>
      <c r="B3168">
        <v>465160</v>
      </c>
      <c r="C3168" t="s">
        <v>6953</v>
      </c>
      <c r="D3168" t="s">
        <v>1423</v>
      </c>
      <c r="E3168" t="s">
        <v>6956</v>
      </c>
      <c r="F3168">
        <v>4</v>
      </c>
      <c r="G3168">
        <v>7</v>
      </c>
      <c r="H3168" t="s">
        <v>13319</v>
      </c>
      <c r="J3168" t="s">
        <v>3272</v>
      </c>
      <c r="M3168" t="s">
        <v>13320</v>
      </c>
      <c r="N3168">
        <v>1.921480887</v>
      </c>
      <c r="O3168">
        <v>3.0856645180000002</v>
      </c>
      <c r="P3168">
        <v>0.44706724399999997</v>
      </c>
      <c r="Q3168">
        <v>-0.354940863</v>
      </c>
      <c r="S3168" s="13">
        <v>-1.6025484050000001</v>
      </c>
      <c r="T3168">
        <v>-1.0775771949999999</v>
      </c>
      <c r="U3168">
        <v>-0.33192880699999999</v>
      </c>
    </row>
    <row r="3169" spans="1:21" x14ac:dyDescent="0.2">
      <c r="A3169" t="s">
        <v>1409</v>
      </c>
      <c r="B3169">
        <v>381200</v>
      </c>
      <c r="C3169" t="s">
        <v>6910</v>
      </c>
      <c r="D3169" t="s">
        <v>1410</v>
      </c>
      <c r="E3169" t="s">
        <v>7115</v>
      </c>
      <c r="F3169">
        <v>6</v>
      </c>
      <c r="G3169">
        <v>10</v>
      </c>
      <c r="H3169" t="s">
        <v>13321</v>
      </c>
      <c r="J3169" t="s">
        <v>6111</v>
      </c>
      <c r="M3169" t="s">
        <v>13322</v>
      </c>
      <c r="N3169">
        <v>1.9874741039999999</v>
      </c>
      <c r="O3169">
        <v>3.7453511220000002</v>
      </c>
      <c r="P3169">
        <v>0.451009722</v>
      </c>
      <c r="Q3169">
        <v>-0.102386592</v>
      </c>
      <c r="S3169" s="13">
        <v>-1.602554171</v>
      </c>
      <c r="T3169">
        <v>-1.0776023910000001</v>
      </c>
      <c r="U3169">
        <v>-0.31692903900000002</v>
      </c>
    </row>
    <row r="3170" spans="1:21" x14ac:dyDescent="0.2">
      <c r="A3170" t="s">
        <v>2488</v>
      </c>
      <c r="B3170">
        <v>431360</v>
      </c>
      <c r="C3170" t="s">
        <v>6906</v>
      </c>
      <c r="D3170" t="s">
        <v>2488</v>
      </c>
      <c r="E3170" t="s">
        <v>6907</v>
      </c>
      <c r="F3170">
        <v>10</v>
      </c>
      <c r="G3170">
        <v>4</v>
      </c>
      <c r="H3170" t="s">
        <v>13323</v>
      </c>
      <c r="J3170" t="s">
        <v>13324</v>
      </c>
      <c r="M3170" t="s">
        <v>13325</v>
      </c>
      <c r="N3170">
        <v>1.813871112</v>
      </c>
      <c r="O3170">
        <v>2.6633694910000001</v>
      </c>
      <c r="P3170">
        <v>-0.29586356800000002</v>
      </c>
      <c r="Q3170">
        <v>-0.59018158399999998</v>
      </c>
      <c r="S3170" s="13">
        <v>-1.6029014939999999</v>
      </c>
      <c r="T3170">
        <v>-1.0791201130000001</v>
      </c>
      <c r="U3170">
        <v>-0.30713947699999999</v>
      </c>
    </row>
    <row r="3171" spans="1:21" x14ac:dyDescent="0.2">
      <c r="A3171" t="s">
        <v>1409</v>
      </c>
      <c r="B3171">
        <v>509640</v>
      </c>
      <c r="C3171" t="s">
        <v>6914</v>
      </c>
      <c r="D3171" t="s">
        <v>1410</v>
      </c>
      <c r="E3171" t="s">
        <v>7115</v>
      </c>
      <c r="F3171">
        <v>6</v>
      </c>
      <c r="G3171">
        <v>10</v>
      </c>
      <c r="H3171" t="s">
        <v>13326</v>
      </c>
      <c r="J3171" t="s">
        <v>6011</v>
      </c>
      <c r="M3171" t="s">
        <v>13327</v>
      </c>
      <c r="N3171">
        <v>1.8217074179999999</v>
      </c>
      <c r="O3171">
        <v>4.1700741289999996</v>
      </c>
      <c r="P3171">
        <v>0.189705977</v>
      </c>
      <c r="Q3171">
        <v>-1.7194070999999998E-2</v>
      </c>
      <c r="S3171" s="13">
        <v>-1.60400279</v>
      </c>
      <c r="T3171">
        <v>-1.0839325259999999</v>
      </c>
      <c r="U3171">
        <v>-0.38806357000000002</v>
      </c>
    </row>
    <row r="3172" spans="1:21" x14ac:dyDescent="0.2">
      <c r="A3172" t="s">
        <v>2911</v>
      </c>
      <c r="B3172">
        <v>463720</v>
      </c>
      <c r="C3172" t="s">
        <v>6953</v>
      </c>
      <c r="D3172" t="s">
        <v>2912</v>
      </c>
      <c r="E3172" t="s">
        <v>6946</v>
      </c>
      <c r="F3172">
        <v>6</v>
      </c>
      <c r="G3172">
        <v>11</v>
      </c>
      <c r="H3172" t="s">
        <v>13328</v>
      </c>
      <c r="J3172" t="s">
        <v>5365</v>
      </c>
      <c r="M3172" t="s">
        <v>13329</v>
      </c>
      <c r="N3172">
        <v>1.921480887</v>
      </c>
      <c r="O3172">
        <v>3.0856645180000002</v>
      </c>
      <c r="P3172">
        <v>0.44706724399999997</v>
      </c>
      <c r="Q3172">
        <v>-0.354940863</v>
      </c>
      <c r="S3172" s="13">
        <v>-1.6040425840000001</v>
      </c>
      <c r="T3172">
        <v>-1.0841064149999999</v>
      </c>
      <c r="U3172">
        <v>-0.33338668199999999</v>
      </c>
    </row>
    <row r="3173" spans="1:21" x14ac:dyDescent="0.2">
      <c r="A3173" t="s">
        <v>415</v>
      </c>
      <c r="B3173">
        <v>397160</v>
      </c>
      <c r="C3173" t="s">
        <v>6927</v>
      </c>
      <c r="D3173" t="s">
        <v>415</v>
      </c>
      <c r="E3173" t="s">
        <v>6924</v>
      </c>
      <c r="F3173">
        <v>19</v>
      </c>
      <c r="G3173">
        <v>6</v>
      </c>
      <c r="H3173" t="s">
        <v>13330</v>
      </c>
      <c r="J3173" t="s">
        <v>13331</v>
      </c>
      <c r="M3173" t="s">
        <v>13332</v>
      </c>
      <c r="N3173">
        <v>1.982575982</v>
      </c>
      <c r="O3173">
        <v>3.4571926419999999</v>
      </c>
      <c r="P3173">
        <v>-0.114791479</v>
      </c>
      <c r="Q3173">
        <v>1.868949E-3</v>
      </c>
      <c r="S3173" s="13">
        <v>-1.605630149</v>
      </c>
      <c r="T3173">
        <v>-1.0910437120000001</v>
      </c>
      <c r="U3173">
        <v>-0.426950367</v>
      </c>
    </row>
    <row r="3174" spans="1:21" x14ac:dyDescent="0.2">
      <c r="A3174" t="s">
        <v>2028</v>
      </c>
      <c r="B3174">
        <v>508240</v>
      </c>
      <c r="C3174" t="s">
        <v>6914</v>
      </c>
      <c r="D3174" t="s">
        <v>2028</v>
      </c>
      <c r="E3174" t="s">
        <v>6924</v>
      </c>
      <c r="F3174">
        <v>10</v>
      </c>
      <c r="G3174">
        <v>6</v>
      </c>
      <c r="H3174" t="s">
        <v>13333</v>
      </c>
      <c r="J3174" t="s">
        <v>5004</v>
      </c>
      <c r="M3174" t="s">
        <v>13334</v>
      </c>
      <c r="N3174">
        <v>1.8217074179999999</v>
      </c>
      <c r="O3174">
        <v>4.1700741289999996</v>
      </c>
      <c r="P3174">
        <v>0.189705977</v>
      </c>
      <c r="Q3174">
        <v>-1.7194070999999998E-2</v>
      </c>
      <c r="S3174" s="13">
        <v>-1.6056866569999999</v>
      </c>
      <c r="T3174">
        <v>-1.0912906360000001</v>
      </c>
      <c r="U3174">
        <v>-0.38967680700000001</v>
      </c>
    </row>
    <row r="3175" spans="1:21" x14ac:dyDescent="0.2">
      <c r="A3175" t="s">
        <v>1778</v>
      </c>
      <c r="B3175">
        <v>461600</v>
      </c>
      <c r="C3175" t="s">
        <v>6953</v>
      </c>
      <c r="D3175" t="s">
        <v>1778</v>
      </c>
      <c r="E3175" t="s">
        <v>6974</v>
      </c>
      <c r="F3175">
        <v>21</v>
      </c>
      <c r="G3175">
        <v>15</v>
      </c>
      <c r="H3175" t="s">
        <v>13335</v>
      </c>
      <c r="J3175" t="s">
        <v>2442</v>
      </c>
      <c r="M3175" t="s">
        <v>13336</v>
      </c>
      <c r="N3175">
        <v>1.921480887</v>
      </c>
      <c r="O3175">
        <v>3.0856645180000002</v>
      </c>
      <c r="P3175">
        <v>0.44706724399999997</v>
      </c>
      <c r="Q3175">
        <v>-0.354940863</v>
      </c>
      <c r="S3175" s="13">
        <v>-1.6062423480000001</v>
      </c>
      <c r="T3175">
        <v>-1.093718878</v>
      </c>
      <c r="U3175">
        <v>-0.33554194399999998</v>
      </c>
    </row>
    <row r="3176" spans="1:21" x14ac:dyDescent="0.2">
      <c r="A3176" t="s">
        <v>968</v>
      </c>
      <c r="B3176">
        <v>223520</v>
      </c>
      <c r="C3176" t="s">
        <v>6945</v>
      </c>
      <c r="D3176" t="s">
        <v>969</v>
      </c>
      <c r="E3176" t="s">
        <v>6970</v>
      </c>
      <c r="F3176">
        <v>7</v>
      </c>
      <c r="G3176">
        <v>14</v>
      </c>
      <c r="H3176" t="s">
        <v>13337</v>
      </c>
      <c r="J3176" t="s">
        <v>5955</v>
      </c>
      <c r="M3176" t="s">
        <v>13338</v>
      </c>
      <c r="N3176">
        <v>2.2220813349999999</v>
      </c>
      <c r="O3176">
        <v>6.5440947090000003</v>
      </c>
      <c r="P3176">
        <v>0.58228215500000002</v>
      </c>
      <c r="Q3176">
        <v>0.35188233000000002</v>
      </c>
      <c r="S3176" s="13">
        <v>-1.6074440189999999</v>
      </c>
      <c r="T3176">
        <v>-1.0989699079999999</v>
      </c>
      <c r="U3176">
        <v>-0.532547671</v>
      </c>
    </row>
    <row r="3177" spans="1:21" x14ac:dyDescent="0.2">
      <c r="A3177" t="s">
        <v>2315</v>
      </c>
      <c r="B3177">
        <v>460240</v>
      </c>
      <c r="C3177" t="s">
        <v>6953</v>
      </c>
      <c r="D3177" t="s">
        <v>2316</v>
      </c>
      <c r="E3177" t="s">
        <v>6911</v>
      </c>
      <c r="F3177">
        <v>4</v>
      </c>
      <c r="G3177">
        <v>12</v>
      </c>
      <c r="H3177" t="s">
        <v>13339</v>
      </c>
      <c r="J3177" t="s">
        <v>3957</v>
      </c>
      <c r="M3177" t="s">
        <v>13340</v>
      </c>
      <c r="N3177">
        <v>1.921480887</v>
      </c>
      <c r="O3177">
        <v>3.0856645180000002</v>
      </c>
      <c r="P3177">
        <v>0.44706724399999997</v>
      </c>
      <c r="Q3177">
        <v>-0.354940863</v>
      </c>
      <c r="S3177" s="13">
        <v>-1.6076535169999999</v>
      </c>
      <c r="T3177">
        <v>-1.0998853639999999</v>
      </c>
      <c r="U3177">
        <v>-0.33693021699999998</v>
      </c>
    </row>
    <row r="3178" spans="1:21" x14ac:dyDescent="0.2">
      <c r="A3178" t="s">
        <v>1544</v>
      </c>
      <c r="B3178">
        <v>459880</v>
      </c>
      <c r="C3178" t="s">
        <v>6953</v>
      </c>
      <c r="D3178" t="s">
        <v>1545</v>
      </c>
      <c r="E3178" t="s">
        <v>6924</v>
      </c>
      <c r="F3178">
        <v>6</v>
      </c>
      <c r="G3178">
        <v>6</v>
      </c>
      <c r="H3178" t="s">
        <v>13341</v>
      </c>
      <c r="J3178" t="s">
        <v>3180</v>
      </c>
      <c r="M3178" t="s">
        <v>13342</v>
      </c>
      <c r="N3178">
        <v>1.921480887</v>
      </c>
      <c r="O3178">
        <v>3.0856645180000002</v>
      </c>
      <c r="P3178">
        <v>0.44706724399999997</v>
      </c>
      <c r="Q3178">
        <v>-0.354940863</v>
      </c>
      <c r="S3178" s="13">
        <v>-1.608027061</v>
      </c>
      <c r="T3178">
        <v>-1.1015176689999999</v>
      </c>
      <c r="U3178">
        <v>-0.33729844599999997</v>
      </c>
    </row>
    <row r="3179" spans="1:21" x14ac:dyDescent="0.2">
      <c r="A3179" t="s">
        <v>435</v>
      </c>
      <c r="B3179">
        <v>394640</v>
      </c>
      <c r="C3179" t="s">
        <v>6927</v>
      </c>
      <c r="D3179" t="s">
        <v>435</v>
      </c>
      <c r="E3179" t="s">
        <v>6915</v>
      </c>
      <c r="F3179">
        <v>14</v>
      </c>
      <c r="G3179">
        <v>13</v>
      </c>
      <c r="H3179" t="s">
        <v>13343</v>
      </c>
      <c r="J3179" t="s">
        <v>13344</v>
      </c>
      <c r="M3179" t="s">
        <v>13345</v>
      </c>
      <c r="N3179">
        <v>1.982575982</v>
      </c>
      <c r="O3179">
        <v>3.4571926419999999</v>
      </c>
      <c r="P3179">
        <v>-0.114791479</v>
      </c>
      <c r="Q3179">
        <v>1.868949E-3</v>
      </c>
      <c r="S3179" s="13">
        <v>-1.6082449619999999</v>
      </c>
      <c r="T3179">
        <v>-1.1024698470000001</v>
      </c>
      <c r="U3179">
        <v>-0.43013193300000002</v>
      </c>
    </row>
    <row r="3180" spans="1:21" x14ac:dyDescent="0.2">
      <c r="A3180" t="s">
        <v>1989</v>
      </c>
      <c r="B3180">
        <v>459520</v>
      </c>
      <c r="C3180" t="s">
        <v>6953</v>
      </c>
      <c r="D3180" t="s">
        <v>1990</v>
      </c>
      <c r="E3180" t="s">
        <v>6921</v>
      </c>
      <c r="F3180">
        <v>9</v>
      </c>
      <c r="G3180">
        <v>8</v>
      </c>
      <c r="H3180" t="s">
        <v>13346</v>
      </c>
      <c r="J3180" t="s">
        <v>5133</v>
      </c>
      <c r="M3180" t="s">
        <v>13347</v>
      </c>
      <c r="N3180">
        <v>1.921480887</v>
      </c>
      <c r="O3180">
        <v>3.0856645180000002</v>
      </c>
      <c r="P3180">
        <v>0.44706724399999997</v>
      </c>
      <c r="Q3180">
        <v>-0.354940863</v>
      </c>
      <c r="S3180" s="13">
        <v>-1.608400606</v>
      </c>
      <c r="T3180">
        <v>-1.1031499739999999</v>
      </c>
      <c r="U3180">
        <v>-0.337666986</v>
      </c>
    </row>
    <row r="3181" spans="1:21" x14ac:dyDescent="0.2">
      <c r="A3181" t="s">
        <v>1069</v>
      </c>
      <c r="B3181">
        <v>222080</v>
      </c>
      <c r="C3181" t="s">
        <v>6945</v>
      </c>
      <c r="D3181" t="s">
        <v>1070</v>
      </c>
      <c r="E3181" t="s">
        <v>7085</v>
      </c>
      <c r="F3181">
        <v>6</v>
      </c>
      <c r="G3181">
        <v>9</v>
      </c>
      <c r="H3181" t="s">
        <v>13348</v>
      </c>
      <c r="J3181" t="s">
        <v>6131</v>
      </c>
      <c r="M3181" t="s">
        <v>13349</v>
      </c>
      <c r="N3181">
        <v>2.2220813349999999</v>
      </c>
      <c r="O3181">
        <v>6.5440947090000003</v>
      </c>
      <c r="P3181">
        <v>0.58228215500000002</v>
      </c>
      <c r="Q3181">
        <v>0.35188233000000002</v>
      </c>
      <c r="S3181" s="13">
        <v>-1.6088022790000001</v>
      </c>
      <c r="T3181">
        <v>-1.104905193</v>
      </c>
      <c r="U3181">
        <v>-0.53486382799999999</v>
      </c>
    </row>
    <row r="3182" spans="1:21" x14ac:dyDescent="0.2">
      <c r="A3182" t="s">
        <v>637</v>
      </c>
      <c r="B3182">
        <v>427200</v>
      </c>
      <c r="C3182" t="s">
        <v>6906</v>
      </c>
      <c r="D3182" t="s">
        <v>637</v>
      </c>
      <c r="E3182" t="s">
        <v>6977</v>
      </c>
      <c r="F3182">
        <v>19</v>
      </c>
      <c r="G3182">
        <v>5</v>
      </c>
      <c r="H3182" t="s">
        <v>13350</v>
      </c>
      <c r="J3182" t="s">
        <v>639</v>
      </c>
      <c r="M3182" t="s">
        <v>13351</v>
      </c>
      <c r="N3182">
        <v>1.813871112</v>
      </c>
      <c r="O3182">
        <v>2.6633694910000001</v>
      </c>
      <c r="P3182">
        <v>-0.29586356800000002</v>
      </c>
      <c r="Q3182">
        <v>-0.59018158399999998</v>
      </c>
      <c r="S3182" s="13">
        <v>-1.608936602</v>
      </c>
      <c r="T3182">
        <v>-1.1054921559999999</v>
      </c>
      <c r="U3182">
        <v>-0.31112904899999999</v>
      </c>
    </row>
    <row r="3183" spans="1:21" x14ac:dyDescent="0.2">
      <c r="A3183" t="s">
        <v>1698</v>
      </c>
      <c r="B3183">
        <v>458800</v>
      </c>
      <c r="C3183" t="s">
        <v>6953</v>
      </c>
      <c r="D3183" t="s">
        <v>1698</v>
      </c>
      <c r="E3183" t="s">
        <v>6921</v>
      </c>
      <c r="F3183">
        <v>11</v>
      </c>
      <c r="G3183">
        <v>8</v>
      </c>
      <c r="H3183" t="s">
        <v>13352</v>
      </c>
      <c r="J3183" t="s">
        <v>4708</v>
      </c>
      <c r="M3183" t="s">
        <v>13353</v>
      </c>
      <c r="N3183">
        <v>1.921480887</v>
      </c>
      <c r="O3183">
        <v>3.0856645180000002</v>
      </c>
      <c r="P3183">
        <v>0.44706724399999997</v>
      </c>
      <c r="Q3183">
        <v>-0.354940863</v>
      </c>
      <c r="S3183" s="13">
        <v>-1.6091476950000001</v>
      </c>
      <c r="T3183">
        <v>-1.106414585</v>
      </c>
      <c r="U3183">
        <v>-0.33840500699999998</v>
      </c>
    </row>
    <row r="3184" spans="1:21" x14ac:dyDescent="0.2">
      <c r="A3184" t="s">
        <v>689</v>
      </c>
      <c r="B3184">
        <v>505280</v>
      </c>
      <c r="C3184" t="s">
        <v>6914</v>
      </c>
      <c r="D3184" t="s">
        <v>690</v>
      </c>
      <c r="E3184" t="s">
        <v>6911</v>
      </c>
      <c r="F3184">
        <v>5</v>
      </c>
      <c r="G3184">
        <v>12</v>
      </c>
      <c r="H3184" t="s">
        <v>13354</v>
      </c>
      <c r="J3184" t="s">
        <v>6739</v>
      </c>
      <c r="M3184" t="s">
        <v>13355</v>
      </c>
      <c r="N3184">
        <v>1.8217074179999999</v>
      </c>
      <c r="O3184">
        <v>4.1700741289999996</v>
      </c>
      <c r="P3184">
        <v>0.189705977</v>
      </c>
      <c r="Q3184">
        <v>-1.7194070999999998E-2</v>
      </c>
      <c r="S3184" s="13">
        <v>-1.6092468310000001</v>
      </c>
      <c r="T3184">
        <v>-1.1068477830000001</v>
      </c>
      <c r="U3184">
        <v>-0.39310750900000002</v>
      </c>
    </row>
    <row r="3185" spans="1:21" x14ac:dyDescent="0.2">
      <c r="A3185" t="s">
        <v>907</v>
      </c>
      <c r="B3185">
        <v>458440</v>
      </c>
      <c r="C3185" t="s">
        <v>6953</v>
      </c>
      <c r="D3185" t="s">
        <v>907</v>
      </c>
      <c r="E3185" t="s">
        <v>6946</v>
      </c>
      <c r="F3185">
        <v>19</v>
      </c>
      <c r="G3185">
        <v>11</v>
      </c>
      <c r="H3185" t="s">
        <v>13356</v>
      </c>
      <c r="J3185" t="s">
        <v>2391</v>
      </c>
      <c r="M3185" t="s">
        <v>13357</v>
      </c>
      <c r="N3185">
        <v>1.921480887</v>
      </c>
      <c r="O3185">
        <v>3.0856645180000002</v>
      </c>
      <c r="P3185">
        <v>0.44706724399999997</v>
      </c>
      <c r="Q3185">
        <v>-0.354940863</v>
      </c>
      <c r="S3185" s="13">
        <v>-1.6095212400000001</v>
      </c>
      <c r="T3185">
        <v>-1.10804689</v>
      </c>
      <c r="U3185">
        <v>-0.33877448900000001</v>
      </c>
    </row>
    <row r="3186" spans="1:21" x14ac:dyDescent="0.2">
      <c r="A3186" t="s">
        <v>74</v>
      </c>
      <c r="B3186">
        <v>374680</v>
      </c>
      <c r="C3186" t="s">
        <v>6910</v>
      </c>
      <c r="D3186" t="s">
        <v>75</v>
      </c>
      <c r="E3186" t="s">
        <v>6970</v>
      </c>
      <c r="F3186">
        <v>3</v>
      </c>
      <c r="G3186">
        <v>14</v>
      </c>
      <c r="H3186" t="s">
        <v>13358</v>
      </c>
      <c r="J3186" t="s">
        <v>6319</v>
      </c>
      <c r="M3186" t="s">
        <v>13359</v>
      </c>
      <c r="N3186">
        <v>1.9874741039999999</v>
      </c>
      <c r="O3186">
        <v>3.7453511220000002</v>
      </c>
      <c r="P3186">
        <v>0.451009722</v>
      </c>
      <c r="Q3186">
        <v>-0.102386592</v>
      </c>
      <c r="S3186" s="13">
        <v>-1.609568997</v>
      </c>
      <c r="T3186">
        <v>-1.1082555759999999</v>
      </c>
      <c r="U3186">
        <v>-0.32334231000000002</v>
      </c>
    </row>
    <row r="3187" spans="1:21" x14ac:dyDescent="0.2">
      <c r="A3187" t="s">
        <v>2239</v>
      </c>
      <c r="B3187">
        <v>504640</v>
      </c>
      <c r="C3187" t="s">
        <v>6914</v>
      </c>
      <c r="D3187" t="s">
        <v>2240</v>
      </c>
      <c r="E3187" t="s">
        <v>6924</v>
      </c>
      <c r="F3187">
        <v>9</v>
      </c>
      <c r="G3187">
        <v>6</v>
      </c>
      <c r="H3187" t="s">
        <v>13360</v>
      </c>
      <c r="J3187" t="s">
        <v>5561</v>
      </c>
      <c r="M3187" t="s">
        <v>13361</v>
      </c>
      <c r="N3187">
        <v>1.8217074179999999</v>
      </c>
      <c r="O3187">
        <v>4.1700741289999996</v>
      </c>
      <c r="P3187">
        <v>0.189705977</v>
      </c>
      <c r="Q3187">
        <v>-1.7194070999999998E-2</v>
      </c>
      <c r="S3187" s="13">
        <v>-1.6100165980000001</v>
      </c>
      <c r="T3187">
        <v>-1.1102114910000001</v>
      </c>
      <c r="U3187">
        <v>-0.393852859</v>
      </c>
    </row>
    <row r="3188" spans="1:21" x14ac:dyDescent="0.2">
      <c r="A3188" t="s">
        <v>592</v>
      </c>
      <c r="B3188">
        <v>374080</v>
      </c>
      <c r="C3188" t="s">
        <v>6910</v>
      </c>
      <c r="D3188" t="s">
        <v>593</v>
      </c>
      <c r="E3188" t="s">
        <v>6946</v>
      </c>
      <c r="F3188">
        <v>9</v>
      </c>
      <c r="G3188">
        <v>11</v>
      </c>
      <c r="H3188" t="s">
        <v>13362</v>
      </c>
      <c r="J3188" t="s">
        <v>6399</v>
      </c>
      <c r="M3188" t="s">
        <v>13363</v>
      </c>
      <c r="N3188">
        <v>1.9874741039999999</v>
      </c>
      <c r="O3188">
        <v>3.7453511220000002</v>
      </c>
      <c r="P3188">
        <v>0.451009722</v>
      </c>
      <c r="Q3188">
        <v>-0.102386592</v>
      </c>
      <c r="S3188" s="13">
        <v>-1.6102145329999999</v>
      </c>
      <c r="T3188">
        <v>-1.111076422</v>
      </c>
      <c r="U3188">
        <v>-0.32393727500000002</v>
      </c>
    </row>
    <row r="3189" spans="1:21" x14ac:dyDescent="0.2">
      <c r="A3189" t="s">
        <v>1073</v>
      </c>
      <c r="B3189">
        <v>391520</v>
      </c>
      <c r="C3189" t="s">
        <v>6927</v>
      </c>
      <c r="D3189" t="s">
        <v>1073</v>
      </c>
      <c r="E3189" t="s">
        <v>7115</v>
      </c>
      <c r="F3189">
        <v>18</v>
      </c>
      <c r="G3189">
        <v>10</v>
      </c>
      <c r="H3189" t="s">
        <v>13364</v>
      </c>
      <c r="J3189" t="s">
        <v>13365</v>
      </c>
      <c r="M3189" t="s">
        <v>13366</v>
      </c>
      <c r="N3189">
        <v>1.982575982</v>
      </c>
      <c r="O3189">
        <v>3.4571926419999999</v>
      </c>
      <c r="P3189">
        <v>-0.114791479</v>
      </c>
      <c r="Q3189">
        <v>1.868949E-3</v>
      </c>
      <c r="S3189" s="13">
        <v>-1.61148235</v>
      </c>
      <c r="T3189">
        <v>-1.116616491</v>
      </c>
      <c r="U3189">
        <v>-0.43410358399999999</v>
      </c>
    </row>
    <row r="3190" spans="1:21" x14ac:dyDescent="0.2">
      <c r="A3190" t="s">
        <v>1413</v>
      </c>
      <c r="B3190">
        <v>502880</v>
      </c>
      <c r="C3190" t="s">
        <v>6914</v>
      </c>
      <c r="D3190" t="s">
        <v>1413</v>
      </c>
      <c r="E3190" t="s">
        <v>6977</v>
      </c>
      <c r="F3190">
        <v>18</v>
      </c>
      <c r="G3190">
        <v>5</v>
      </c>
      <c r="H3190" t="s">
        <v>13367</v>
      </c>
      <c r="J3190" t="s">
        <v>5617</v>
      </c>
      <c r="M3190" t="s">
        <v>13368</v>
      </c>
      <c r="N3190">
        <v>1.8217074179999999</v>
      </c>
      <c r="O3190">
        <v>4.1700741289999996</v>
      </c>
      <c r="P3190">
        <v>0.189705977</v>
      </c>
      <c r="Q3190">
        <v>-1.7194070999999998E-2</v>
      </c>
      <c r="S3190" s="13">
        <v>-1.612133458</v>
      </c>
      <c r="T3190">
        <v>-1.119461686</v>
      </c>
      <c r="U3190">
        <v>-0.39590919299999999</v>
      </c>
    </row>
    <row r="3191" spans="1:21" x14ac:dyDescent="0.2">
      <c r="A3191" t="s">
        <v>889</v>
      </c>
      <c r="B3191">
        <v>502240</v>
      </c>
      <c r="C3191" t="s">
        <v>6914</v>
      </c>
      <c r="D3191" t="s">
        <v>889</v>
      </c>
      <c r="E3191" t="s">
        <v>6921</v>
      </c>
      <c r="F3191">
        <v>16</v>
      </c>
      <c r="G3191">
        <v>8</v>
      </c>
      <c r="H3191" t="s">
        <v>13369</v>
      </c>
      <c r="J3191" t="s">
        <v>6747</v>
      </c>
      <c r="M3191" t="s">
        <v>13370</v>
      </c>
      <c r="N3191">
        <v>1.8217074179999999</v>
      </c>
      <c r="O3191">
        <v>4.1700741289999996</v>
      </c>
      <c r="P3191">
        <v>0.189705977</v>
      </c>
      <c r="Q3191">
        <v>-1.7194070999999998E-2</v>
      </c>
      <c r="S3191" s="13">
        <v>-1.612903226</v>
      </c>
      <c r="T3191">
        <v>-1.1228253939999999</v>
      </c>
      <c r="U3191">
        <v>-0.39665937099999998</v>
      </c>
    </row>
    <row r="3192" spans="1:21" x14ac:dyDescent="0.2">
      <c r="A3192" t="s">
        <v>883</v>
      </c>
      <c r="B3192">
        <v>424160</v>
      </c>
      <c r="C3192" t="s">
        <v>6906</v>
      </c>
      <c r="D3192" t="s">
        <v>883</v>
      </c>
      <c r="E3192" t="s">
        <v>6977</v>
      </c>
      <c r="F3192">
        <v>17</v>
      </c>
      <c r="G3192">
        <v>5</v>
      </c>
      <c r="H3192" t="s">
        <v>13371</v>
      </c>
      <c r="J3192" t="s">
        <v>885</v>
      </c>
      <c r="M3192" t="s">
        <v>13372</v>
      </c>
      <c r="N3192">
        <v>1.813871112</v>
      </c>
      <c r="O3192">
        <v>2.6633694910000001</v>
      </c>
      <c r="P3192">
        <v>-0.29586356800000002</v>
      </c>
      <c r="Q3192">
        <v>-0.59018158399999998</v>
      </c>
      <c r="S3192" s="13">
        <v>-1.6133468740000001</v>
      </c>
      <c r="T3192">
        <v>-1.1247640329999999</v>
      </c>
      <c r="U3192">
        <v>-0.314067859</v>
      </c>
    </row>
    <row r="3193" spans="1:21" x14ac:dyDescent="0.2">
      <c r="A3193" t="s">
        <v>3164</v>
      </c>
      <c r="B3193">
        <v>501440</v>
      </c>
      <c r="C3193" t="s">
        <v>6914</v>
      </c>
      <c r="D3193" t="s">
        <v>3165</v>
      </c>
      <c r="E3193" t="s">
        <v>6918</v>
      </c>
      <c r="F3193">
        <v>9</v>
      </c>
      <c r="G3193">
        <v>1</v>
      </c>
      <c r="H3193" t="s">
        <v>13373</v>
      </c>
      <c r="J3193" t="s">
        <v>6839</v>
      </c>
      <c r="M3193" t="s">
        <v>13374</v>
      </c>
      <c r="N3193">
        <v>1.8217074179999999</v>
      </c>
      <c r="O3193">
        <v>4.1700741289999996</v>
      </c>
      <c r="P3193">
        <v>0.189705977</v>
      </c>
      <c r="Q3193">
        <v>-1.7194070999999998E-2</v>
      </c>
      <c r="S3193" s="13">
        <v>-1.6138654349999999</v>
      </c>
      <c r="T3193">
        <v>-1.1270300280000001</v>
      </c>
      <c r="U3193">
        <v>-0.39759892000000002</v>
      </c>
    </row>
    <row r="3194" spans="1:21" x14ac:dyDescent="0.2">
      <c r="A3194" t="s">
        <v>1123</v>
      </c>
      <c r="B3194">
        <v>216440</v>
      </c>
      <c r="C3194" t="s">
        <v>6945</v>
      </c>
      <c r="D3194" t="s">
        <v>1123</v>
      </c>
      <c r="E3194" t="s">
        <v>6946</v>
      </c>
      <c r="F3194">
        <v>16</v>
      </c>
      <c r="G3194">
        <v>11</v>
      </c>
      <c r="H3194" t="s">
        <v>13375</v>
      </c>
      <c r="J3194" t="s">
        <v>6135</v>
      </c>
      <c r="M3194" t="s">
        <v>13376</v>
      </c>
      <c r="N3194">
        <v>2.2220813349999999</v>
      </c>
      <c r="O3194">
        <v>6.5440947090000003</v>
      </c>
      <c r="P3194">
        <v>0.58228215500000002</v>
      </c>
      <c r="Q3194">
        <v>0.35188233000000002</v>
      </c>
      <c r="S3194" s="13">
        <v>-1.6141221299999999</v>
      </c>
      <c r="T3194">
        <v>-1.1281517270000001</v>
      </c>
      <c r="U3194">
        <v>-0.544056278</v>
      </c>
    </row>
    <row r="3195" spans="1:21" x14ac:dyDescent="0.2">
      <c r="A3195" t="s">
        <v>846</v>
      </c>
      <c r="B3195">
        <v>500600</v>
      </c>
      <c r="C3195" t="s">
        <v>6914</v>
      </c>
      <c r="D3195" t="s">
        <v>847</v>
      </c>
      <c r="E3195" t="s">
        <v>6911</v>
      </c>
      <c r="F3195">
        <v>9</v>
      </c>
      <c r="G3195">
        <v>12</v>
      </c>
      <c r="H3195" t="s">
        <v>13377</v>
      </c>
      <c r="J3195" t="s">
        <v>6761</v>
      </c>
      <c r="M3195" t="s">
        <v>13378</v>
      </c>
      <c r="N3195">
        <v>1.8217074179999999</v>
      </c>
      <c r="O3195">
        <v>4.1700741289999996</v>
      </c>
      <c r="P3195">
        <v>0.189705977</v>
      </c>
      <c r="Q3195">
        <v>-1.7194070999999998E-2</v>
      </c>
      <c r="S3195" s="13">
        <v>-1.6148757549999999</v>
      </c>
      <c r="T3195">
        <v>-1.1314448939999999</v>
      </c>
      <c r="U3195">
        <v>-0.39858763800000002</v>
      </c>
    </row>
    <row r="3196" spans="1:21" x14ac:dyDescent="0.2">
      <c r="A3196" t="s">
        <v>1368</v>
      </c>
      <c r="B3196">
        <v>499800</v>
      </c>
      <c r="C3196" t="s">
        <v>6914</v>
      </c>
      <c r="D3196" t="s">
        <v>1368</v>
      </c>
      <c r="E3196" t="s">
        <v>6956</v>
      </c>
      <c r="F3196">
        <v>16</v>
      </c>
      <c r="G3196">
        <v>7</v>
      </c>
      <c r="H3196" t="s">
        <v>13379</v>
      </c>
      <c r="J3196" t="s">
        <v>5219</v>
      </c>
      <c r="M3196" t="s">
        <v>13380</v>
      </c>
      <c r="N3196">
        <v>1.8217074179999999</v>
      </c>
      <c r="O3196">
        <v>4.1700741289999996</v>
      </c>
      <c r="P3196">
        <v>0.189705977</v>
      </c>
      <c r="Q3196">
        <v>-1.7194070999999998E-2</v>
      </c>
      <c r="S3196" s="13">
        <v>-1.615837964</v>
      </c>
      <c r="T3196">
        <v>-1.1356495289999999</v>
      </c>
      <c r="U3196">
        <v>-0.399531372</v>
      </c>
    </row>
    <row r="3197" spans="1:21" x14ac:dyDescent="0.2">
      <c r="A3197" t="s">
        <v>143</v>
      </c>
      <c r="B3197">
        <v>368200</v>
      </c>
      <c r="C3197" t="s">
        <v>6910</v>
      </c>
      <c r="D3197" t="s">
        <v>144</v>
      </c>
      <c r="E3197" t="s">
        <v>7115</v>
      </c>
      <c r="F3197">
        <v>8</v>
      </c>
      <c r="G3197">
        <v>10</v>
      </c>
      <c r="H3197" t="s">
        <v>13381</v>
      </c>
      <c r="J3197" t="s">
        <v>3865</v>
      </c>
      <c r="M3197" t="s">
        <v>13382</v>
      </c>
      <c r="N3197">
        <v>1.9874741039999999</v>
      </c>
      <c r="O3197">
        <v>3.7453511220000002</v>
      </c>
      <c r="P3197">
        <v>0.451009722</v>
      </c>
      <c r="Q3197">
        <v>-0.102386592</v>
      </c>
      <c r="S3197" s="13">
        <v>-1.6165407869999999</v>
      </c>
      <c r="T3197">
        <v>-1.1387207050000001</v>
      </c>
      <c r="U3197">
        <v>-0.32981147399999999</v>
      </c>
    </row>
    <row r="3198" spans="1:21" x14ac:dyDescent="0.2">
      <c r="A3198" t="s">
        <v>892</v>
      </c>
      <c r="B3198">
        <v>421800</v>
      </c>
      <c r="C3198" t="s">
        <v>6906</v>
      </c>
      <c r="D3198" t="s">
        <v>892</v>
      </c>
      <c r="E3198" t="s">
        <v>6977</v>
      </c>
      <c r="F3198">
        <v>21</v>
      </c>
      <c r="G3198">
        <v>5</v>
      </c>
      <c r="H3198" t="s">
        <v>13383</v>
      </c>
      <c r="J3198" t="s">
        <v>976</v>
      </c>
      <c r="M3198" t="s">
        <v>13384</v>
      </c>
      <c r="N3198">
        <v>1.813871112</v>
      </c>
      <c r="O3198">
        <v>2.6633694910000001</v>
      </c>
      <c r="P3198">
        <v>-0.29586356800000002</v>
      </c>
      <c r="Q3198">
        <v>-0.59018158399999998</v>
      </c>
      <c r="S3198" s="13">
        <v>-1.6167706369999999</v>
      </c>
      <c r="T3198">
        <v>-1.139725096</v>
      </c>
      <c r="U3198">
        <v>-0.31636309400000001</v>
      </c>
    </row>
    <row r="3199" spans="1:21" x14ac:dyDescent="0.2">
      <c r="A3199" t="s">
        <v>27</v>
      </c>
      <c r="B3199">
        <v>498120</v>
      </c>
      <c r="C3199" t="s">
        <v>6914</v>
      </c>
      <c r="D3199" t="s">
        <v>29</v>
      </c>
      <c r="E3199" t="s">
        <v>6915</v>
      </c>
      <c r="F3199">
        <v>4</v>
      </c>
      <c r="G3199">
        <v>13</v>
      </c>
      <c r="H3199" t="s">
        <v>13385</v>
      </c>
      <c r="J3199" t="s">
        <v>6301</v>
      </c>
      <c r="M3199" t="s">
        <v>13386</v>
      </c>
      <c r="N3199">
        <v>1.8217074179999999</v>
      </c>
      <c r="O3199">
        <v>4.1700741289999996</v>
      </c>
      <c r="P3199">
        <v>0.189705977</v>
      </c>
      <c r="Q3199">
        <v>-1.7194070999999998E-2</v>
      </c>
      <c r="S3199" s="13">
        <v>-1.617858603</v>
      </c>
      <c r="T3199">
        <v>-1.1444792610000001</v>
      </c>
      <c r="U3199">
        <v>-0.40151991500000001</v>
      </c>
    </row>
    <row r="3200" spans="1:21" x14ac:dyDescent="0.2">
      <c r="A3200" t="s">
        <v>985</v>
      </c>
      <c r="B3200">
        <v>420960</v>
      </c>
      <c r="C3200" t="s">
        <v>6906</v>
      </c>
      <c r="D3200" t="s">
        <v>985</v>
      </c>
      <c r="E3200" t="s">
        <v>6907</v>
      </c>
      <c r="F3200">
        <v>12</v>
      </c>
      <c r="G3200">
        <v>4</v>
      </c>
      <c r="H3200" t="s">
        <v>13387</v>
      </c>
      <c r="J3200" t="s">
        <v>13388</v>
      </c>
      <c r="M3200" t="s">
        <v>13389</v>
      </c>
      <c r="N3200">
        <v>1.813871112</v>
      </c>
      <c r="O3200">
        <v>2.6633694910000001</v>
      </c>
      <c r="P3200">
        <v>-0.29586356800000002</v>
      </c>
      <c r="Q3200">
        <v>-0.59018158399999998</v>
      </c>
      <c r="S3200" s="13">
        <v>-1.617989264</v>
      </c>
      <c r="T3200">
        <v>-1.1450502199999999</v>
      </c>
      <c r="U3200">
        <v>-0.317182978</v>
      </c>
    </row>
    <row r="3201" spans="1:21" x14ac:dyDescent="0.2">
      <c r="A3201" t="s">
        <v>1076</v>
      </c>
      <c r="B3201">
        <v>497760</v>
      </c>
      <c r="C3201" t="s">
        <v>6914</v>
      </c>
      <c r="D3201" t="s">
        <v>1077</v>
      </c>
      <c r="E3201" t="s">
        <v>6977</v>
      </c>
      <c r="F3201">
        <v>7</v>
      </c>
      <c r="G3201">
        <v>5</v>
      </c>
      <c r="H3201" t="s">
        <v>13390</v>
      </c>
      <c r="J3201" t="s">
        <v>6727</v>
      </c>
      <c r="M3201" t="s">
        <v>13391</v>
      </c>
      <c r="N3201">
        <v>1.8217074179999999</v>
      </c>
      <c r="O3201">
        <v>4.1700741289999996</v>
      </c>
      <c r="P3201">
        <v>0.189705977</v>
      </c>
      <c r="Q3201">
        <v>-1.7194070999999998E-2</v>
      </c>
      <c r="S3201" s="13">
        <v>-1.6182915980000001</v>
      </c>
      <c r="T3201">
        <v>-1.146371346</v>
      </c>
      <c r="U3201">
        <v>-0.401947218</v>
      </c>
    </row>
    <row r="3202" spans="1:21" x14ac:dyDescent="0.2">
      <c r="A3202" t="s">
        <v>295</v>
      </c>
      <c r="B3202">
        <v>304320</v>
      </c>
      <c r="C3202" t="s">
        <v>6942</v>
      </c>
      <c r="D3202" t="s">
        <v>295</v>
      </c>
      <c r="E3202" t="s">
        <v>6911</v>
      </c>
      <c r="F3202">
        <v>20</v>
      </c>
      <c r="G3202">
        <v>12</v>
      </c>
      <c r="H3202" t="s">
        <v>13392</v>
      </c>
      <c r="J3202" t="s">
        <v>4666</v>
      </c>
      <c r="M3202" t="s">
        <v>13393</v>
      </c>
      <c r="N3202">
        <v>2.0902262079999998</v>
      </c>
      <c r="O3202">
        <v>4.2704203920000001</v>
      </c>
      <c r="P3202">
        <v>0.23425843900000001</v>
      </c>
      <c r="Q3202">
        <v>1.6181978999999999E-2</v>
      </c>
      <c r="S3202" s="13">
        <v>-1.6185540700000001</v>
      </c>
      <c r="T3202">
        <v>-1.147518292</v>
      </c>
      <c r="U3202">
        <v>-0.51676428900000004</v>
      </c>
    </row>
    <row r="3203" spans="1:21" x14ac:dyDescent="0.2">
      <c r="A3203" t="s">
        <v>759</v>
      </c>
      <c r="B3203">
        <v>210680</v>
      </c>
      <c r="C3203" t="s">
        <v>6945</v>
      </c>
      <c r="D3203" t="s">
        <v>760</v>
      </c>
      <c r="E3203" t="s">
        <v>6907</v>
      </c>
      <c r="F3203">
        <v>4</v>
      </c>
      <c r="G3203">
        <v>4</v>
      </c>
      <c r="H3203" t="s">
        <v>13394</v>
      </c>
      <c r="J3203" t="s">
        <v>6197</v>
      </c>
      <c r="M3203" t="s">
        <v>13395</v>
      </c>
      <c r="N3203">
        <v>2.2220813349999999</v>
      </c>
      <c r="O3203">
        <v>6.5440947090000003</v>
      </c>
      <c r="P3203">
        <v>0.58228215500000002</v>
      </c>
      <c r="Q3203">
        <v>0.35188233000000002</v>
      </c>
      <c r="S3203" s="13">
        <v>-1.6195551699999999</v>
      </c>
      <c r="T3203">
        <v>-1.1518928690000001</v>
      </c>
      <c r="U3203">
        <v>-0.55364955199999999</v>
      </c>
    </row>
    <row r="3204" spans="1:21" x14ac:dyDescent="0.2">
      <c r="A3204" t="s">
        <v>1739</v>
      </c>
      <c r="B3204">
        <v>419680</v>
      </c>
      <c r="C3204" t="s">
        <v>6906</v>
      </c>
      <c r="D3204" t="s">
        <v>1739</v>
      </c>
      <c r="E3204" t="s">
        <v>7085</v>
      </c>
      <c r="F3204">
        <v>10</v>
      </c>
      <c r="G3204">
        <v>9</v>
      </c>
      <c r="H3204" t="s">
        <v>13396</v>
      </c>
      <c r="J3204" t="s">
        <v>13397</v>
      </c>
      <c r="M3204" t="s">
        <v>13398</v>
      </c>
      <c r="N3204">
        <v>1.813871112</v>
      </c>
      <c r="O3204">
        <v>2.6633694910000001</v>
      </c>
      <c r="P3204">
        <v>-0.29586356800000002</v>
      </c>
      <c r="Q3204">
        <v>-0.59018158399999998</v>
      </c>
      <c r="S3204" s="13">
        <v>-1.619846221</v>
      </c>
      <c r="T3204">
        <v>-1.1531646950000001</v>
      </c>
      <c r="U3204">
        <v>-0.31843531000000003</v>
      </c>
    </row>
    <row r="3205" spans="1:21" x14ac:dyDescent="0.2">
      <c r="A3205" t="s">
        <v>1065</v>
      </c>
      <c r="B3205">
        <v>495480</v>
      </c>
      <c r="C3205" t="s">
        <v>6914</v>
      </c>
      <c r="D3205" t="s">
        <v>1066</v>
      </c>
      <c r="E3205" t="s">
        <v>6956</v>
      </c>
      <c r="F3205">
        <v>7</v>
      </c>
      <c r="G3205">
        <v>7</v>
      </c>
      <c r="H3205" t="s">
        <v>13399</v>
      </c>
      <c r="J3205" t="s">
        <v>6773</v>
      </c>
      <c r="M3205" t="s">
        <v>13400</v>
      </c>
      <c r="N3205">
        <v>1.8217074179999999</v>
      </c>
      <c r="O3205">
        <v>4.1700741289999996</v>
      </c>
      <c r="P3205">
        <v>0.189705977</v>
      </c>
      <c r="Q3205">
        <v>-1.7194070999999998E-2</v>
      </c>
      <c r="S3205" s="13">
        <v>-1.621033894</v>
      </c>
      <c r="T3205">
        <v>-1.158354554</v>
      </c>
      <c r="U3205">
        <v>-0.40466328000000001</v>
      </c>
    </row>
    <row r="3206" spans="1:21" x14ac:dyDescent="0.2">
      <c r="A3206" t="s">
        <v>1174</v>
      </c>
      <c r="B3206">
        <v>418840</v>
      </c>
      <c r="C3206" t="s">
        <v>6906</v>
      </c>
      <c r="D3206" t="s">
        <v>1174</v>
      </c>
      <c r="E3206" t="s">
        <v>7085</v>
      </c>
      <c r="F3206">
        <v>16</v>
      </c>
      <c r="G3206">
        <v>9</v>
      </c>
      <c r="H3206" t="s">
        <v>13401</v>
      </c>
      <c r="J3206" t="s">
        <v>1176</v>
      </c>
      <c r="M3206" t="s">
        <v>13402</v>
      </c>
      <c r="N3206">
        <v>1.813871112</v>
      </c>
      <c r="O3206">
        <v>2.6633694910000001</v>
      </c>
      <c r="P3206">
        <v>-0.29586356800000002</v>
      </c>
      <c r="Q3206">
        <v>-0.59018158399999998</v>
      </c>
      <c r="S3206" s="13">
        <v>-1.6210648480000001</v>
      </c>
      <c r="T3206">
        <v>-1.1584898189999999</v>
      </c>
      <c r="U3206">
        <v>-0.31925911899999998</v>
      </c>
    </row>
    <row r="3207" spans="1:21" x14ac:dyDescent="0.2">
      <c r="A3207" t="s">
        <v>868</v>
      </c>
      <c r="B3207">
        <v>382280</v>
      </c>
      <c r="C3207" t="s">
        <v>6927</v>
      </c>
      <c r="D3207" t="s">
        <v>869</v>
      </c>
      <c r="E3207" t="s">
        <v>7115</v>
      </c>
      <c r="F3207">
        <v>4</v>
      </c>
      <c r="G3207">
        <v>10</v>
      </c>
      <c r="H3207" t="s">
        <v>13403</v>
      </c>
      <c r="J3207" t="s">
        <v>13404</v>
      </c>
      <c r="M3207" t="s">
        <v>13405</v>
      </c>
      <c r="N3207">
        <v>1.982575982</v>
      </c>
      <c r="O3207">
        <v>3.4571926419999999</v>
      </c>
      <c r="P3207">
        <v>-0.114791479</v>
      </c>
      <c r="Q3207">
        <v>1.868949E-3</v>
      </c>
      <c r="S3207" s="13">
        <v>-1.6210699980000001</v>
      </c>
      <c r="T3207">
        <v>-1.158512322</v>
      </c>
      <c r="U3207">
        <v>-0.44608345100000002</v>
      </c>
    </row>
    <row r="3208" spans="1:21" x14ac:dyDescent="0.2">
      <c r="A3208" t="s">
        <v>1321</v>
      </c>
      <c r="B3208">
        <v>445720</v>
      </c>
      <c r="C3208" t="s">
        <v>6953</v>
      </c>
      <c r="D3208" t="s">
        <v>1321</v>
      </c>
      <c r="E3208" t="s">
        <v>7115</v>
      </c>
      <c r="F3208">
        <v>15</v>
      </c>
      <c r="G3208">
        <v>10</v>
      </c>
      <c r="H3208" t="s">
        <v>13406</v>
      </c>
      <c r="J3208" t="s">
        <v>3133</v>
      </c>
      <c r="M3208" t="s">
        <v>13407</v>
      </c>
      <c r="N3208">
        <v>1.921480887</v>
      </c>
      <c r="O3208">
        <v>3.0856645180000002</v>
      </c>
      <c r="P3208">
        <v>0.44706724399999997</v>
      </c>
      <c r="Q3208">
        <v>-0.354940863</v>
      </c>
      <c r="S3208" s="13">
        <v>-1.622719821</v>
      </c>
      <c r="T3208">
        <v>-1.1657216690000001</v>
      </c>
      <c r="U3208">
        <v>-0.35203546400000002</v>
      </c>
    </row>
    <row r="3209" spans="1:21" x14ac:dyDescent="0.2">
      <c r="A3209" t="s">
        <v>1190</v>
      </c>
      <c r="B3209">
        <v>362440</v>
      </c>
      <c r="C3209" t="s">
        <v>6910</v>
      </c>
      <c r="D3209" t="s">
        <v>1190</v>
      </c>
      <c r="E3209" t="s">
        <v>6921</v>
      </c>
      <c r="F3209">
        <v>17</v>
      </c>
      <c r="G3209">
        <v>8</v>
      </c>
      <c r="H3209" t="s">
        <v>13408</v>
      </c>
      <c r="J3209" t="s">
        <v>4405</v>
      </c>
      <c r="M3209" t="s">
        <v>13409</v>
      </c>
      <c r="N3209">
        <v>1.9874741039999999</v>
      </c>
      <c r="O3209">
        <v>3.7453511220000002</v>
      </c>
      <c r="P3209">
        <v>0.451009722</v>
      </c>
      <c r="Q3209">
        <v>-0.102386592</v>
      </c>
      <c r="S3209" s="13">
        <v>-1.6227379340000001</v>
      </c>
      <c r="T3209">
        <v>-1.1658008200000001</v>
      </c>
      <c r="U3209">
        <v>-0.33564387200000001</v>
      </c>
    </row>
    <row r="3210" spans="1:21" x14ac:dyDescent="0.2">
      <c r="A3210" t="s">
        <v>2035</v>
      </c>
      <c r="B3210">
        <v>492440</v>
      </c>
      <c r="C3210" t="s">
        <v>6914</v>
      </c>
      <c r="D3210" t="s">
        <v>2035</v>
      </c>
      <c r="E3210" t="s">
        <v>7115</v>
      </c>
      <c r="F3210">
        <v>14</v>
      </c>
      <c r="G3210">
        <v>10</v>
      </c>
      <c r="H3210" t="s">
        <v>13410</v>
      </c>
      <c r="J3210" t="s">
        <v>5163</v>
      </c>
      <c r="M3210" t="s">
        <v>13411</v>
      </c>
      <c r="N3210">
        <v>1.8217074179999999</v>
      </c>
      <c r="O3210">
        <v>4.1700741289999996</v>
      </c>
      <c r="P3210">
        <v>0.189705977</v>
      </c>
      <c r="Q3210">
        <v>-1.7194070999999998E-2</v>
      </c>
      <c r="S3210" s="13">
        <v>-1.6246902889999999</v>
      </c>
      <c r="T3210">
        <v>-1.174332165</v>
      </c>
      <c r="U3210">
        <v>-0.40831132199999998</v>
      </c>
    </row>
    <row r="3211" spans="1:21" x14ac:dyDescent="0.2">
      <c r="A3211" t="s">
        <v>175</v>
      </c>
      <c r="B3211">
        <v>491680</v>
      </c>
      <c r="C3211" t="s">
        <v>6914</v>
      </c>
      <c r="D3211" t="s">
        <v>175</v>
      </c>
      <c r="E3211" t="s">
        <v>7006</v>
      </c>
      <c r="F3211">
        <v>15</v>
      </c>
      <c r="G3211">
        <v>3</v>
      </c>
      <c r="H3211" t="s">
        <v>13412</v>
      </c>
      <c r="J3211" t="s">
        <v>2741</v>
      </c>
      <c r="M3211" t="s">
        <v>13413</v>
      </c>
      <c r="N3211">
        <v>1.8217074179999999</v>
      </c>
      <c r="O3211">
        <v>4.1700741289999996</v>
      </c>
      <c r="P3211">
        <v>0.189705977</v>
      </c>
      <c r="Q3211">
        <v>-1.7194070999999998E-2</v>
      </c>
      <c r="S3211" s="13">
        <v>-1.625604388</v>
      </c>
      <c r="T3211">
        <v>-1.1783265679999999</v>
      </c>
      <c r="U3211">
        <v>-0.40922814099999999</v>
      </c>
    </row>
    <row r="3212" spans="1:21" x14ac:dyDescent="0.2">
      <c r="A3212" t="s">
        <v>1174</v>
      </c>
      <c r="B3212">
        <v>490400</v>
      </c>
      <c r="C3212" t="s">
        <v>6914</v>
      </c>
      <c r="D3212" t="s">
        <v>1174</v>
      </c>
      <c r="E3212" t="s">
        <v>7085</v>
      </c>
      <c r="F3212">
        <v>16</v>
      </c>
      <c r="G3212">
        <v>9</v>
      </c>
      <c r="H3212" t="s">
        <v>13414</v>
      </c>
      <c r="J3212" t="s">
        <v>6663</v>
      </c>
      <c r="M3212" t="s">
        <v>13415</v>
      </c>
      <c r="N3212">
        <v>1.8217074179999999</v>
      </c>
      <c r="O3212">
        <v>4.1700741289999996</v>
      </c>
      <c r="P3212">
        <v>0.189705977</v>
      </c>
      <c r="Q3212">
        <v>-1.7194070999999998E-2</v>
      </c>
      <c r="S3212" s="13">
        <v>-1.6271439219999999</v>
      </c>
      <c r="T3212">
        <v>-1.185053983</v>
      </c>
      <c r="U3212">
        <v>-0.410776645</v>
      </c>
    </row>
    <row r="3213" spans="1:21" x14ac:dyDescent="0.2">
      <c r="A3213" t="s">
        <v>2028</v>
      </c>
      <c r="B3213">
        <v>358200</v>
      </c>
      <c r="C3213" t="s">
        <v>6910</v>
      </c>
      <c r="D3213" t="s">
        <v>2028</v>
      </c>
      <c r="E3213" t="s">
        <v>6924</v>
      </c>
      <c r="F3213">
        <v>10</v>
      </c>
      <c r="G3213">
        <v>6</v>
      </c>
      <c r="H3213" t="s">
        <v>13416</v>
      </c>
      <c r="J3213" t="s">
        <v>6341</v>
      </c>
      <c r="M3213" t="s">
        <v>13417</v>
      </c>
      <c r="N3213">
        <v>1.9874741039999999</v>
      </c>
      <c r="O3213">
        <v>3.7453511220000002</v>
      </c>
      <c r="P3213">
        <v>0.451009722</v>
      </c>
      <c r="Q3213">
        <v>-0.102386592</v>
      </c>
      <c r="S3213" s="13">
        <v>-1.6272997220000001</v>
      </c>
      <c r="T3213">
        <v>-1.185734793</v>
      </c>
      <c r="U3213">
        <v>-0.33998777499999999</v>
      </c>
    </row>
    <row r="3214" spans="1:21" x14ac:dyDescent="0.2">
      <c r="A3214" t="s">
        <v>389</v>
      </c>
      <c r="B3214">
        <v>441240</v>
      </c>
      <c r="C3214" t="s">
        <v>6953</v>
      </c>
      <c r="D3214" t="s">
        <v>389</v>
      </c>
      <c r="E3214" t="s">
        <v>6974</v>
      </c>
      <c r="F3214">
        <v>11</v>
      </c>
      <c r="G3214">
        <v>15</v>
      </c>
      <c r="H3214" t="s">
        <v>13418</v>
      </c>
      <c r="J3214" t="s">
        <v>5345</v>
      </c>
      <c r="M3214" t="s">
        <v>13419</v>
      </c>
      <c r="N3214">
        <v>1.921480887</v>
      </c>
      <c r="O3214">
        <v>3.0856645180000002</v>
      </c>
      <c r="P3214">
        <v>0.44706724399999997</v>
      </c>
      <c r="Q3214">
        <v>-0.354940863</v>
      </c>
      <c r="S3214" s="13">
        <v>-1.627368377</v>
      </c>
      <c r="T3214">
        <v>-1.186034799</v>
      </c>
      <c r="U3214">
        <v>-0.35680411899999998</v>
      </c>
    </row>
    <row r="3215" spans="1:21" x14ac:dyDescent="0.2">
      <c r="A3215" t="s">
        <v>2657</v>
      </c>
      <c r="B3215">
        <v>414480</v>
      </c>
      <c r="C3215" t="s">
        <v>6906</v>
      </c>
      <c r="D3215" t="s">
        <v>2658</v>
      </c>
      <c r="E3215" t="s">
        <v>6977</v>
      </c>
      <c r="F3215">
        <v>8</v>
      </c>
      <c r="G3215">
        <v>5</v>
      </c>
      <c r="H3215" t="s">
        <v>13420</v>
      </c>
      <c r="J3215" t="s">
        <v>2965</v>
      </c>
      <c r="M3215" t="s">
        <v>13421</v>
      </c>
      <c r="N3215">
        <v>1.813871112</v>
      </c>
      <c r="O3215">
        <v>2.6633694910000001</v>
      </c>
      <c r="P3215">
        <v>-0.29586356800000002</v>
      </c>
      <c r="Q3215">
        <v>-0.59018158399999998</v>
      </c>
      <c r="S3215" s="13">
        <v>-1.627390106</v>
      </c>
      <c r="T3215">
        <v>-1.1861297479999999</v>
      </c>
      <c r="U3215">
        <v>-0.32356036900000001</v>
      </c>
    </row>
    <row r="3216" spans="1:21" x14ac:dyDescent="0.2">
      <c r="A3216" t="s">
        <v>2294</v>
      </c>
      <c r="B3216">
        <v>358040</v>
      </c>
      <c r="C3216" t="s">
        <v>6910</v>
      </c>
      <c r="D3216" t="s">
        <v>2294</v>
      </c>
      <c r="E3216" t="s">
        <v>7085</v>
      </c>
      <c r="F3216">
        <v>20</v>
      </c>
      <c r="G3216">
        <v>9</v>
      </c>
      <c r="H3216" t="s">
        <v>13422</v>
      </c>
      <c r="J3216" t="s">
        <v>6025</v>
      </c>
      <c r="M3216" t="s">
        <v>13423</v>
      </c>
      <c r="N3216">
        <v>1.9874741039999999</v>
      </c>
      <c r="O3216">
        <v>3.7453511220000002</v>
      </c>
      <c r="P3216">
        <v>0.451009722</v>
      </c>
      <c r="Q3216">
        <v>-0.102386592</v>
      </c>
      <c r="S3216" s="13">
        <v>-1.627471865</v>
      </c>
      <c r="T3216">
        <v>-1.186487018</v>
      </c>
      <c r="U3216">
        <v>-0.34015254900000003</v>
      </c>
    </row>
    <row r="3217" spans="1:21" x14ac:dyDescent="0.2">
      <c r="A3217" t="s">
        <v>998</v>
      </c>
      <c r="B3217">
        <v>357720</v>
      </c>
      <c r="C3217" t="s">
        <v>6910</v>
      </c>
      <c r="D3217" t="s">
        <v>998</v>
      </c>
      <c r="E3217" t="s">
        <v>6970</v>
      </c>
      <c r="F3217">
        <v>13</v>
      </c>
      <c r="G3217">
        <v>14</v>
      </c>
      <c r="H3217" t="s">
        <v>13424</v>
      </c>
      <c r="J3217" t="s">
        <v>6177</v>
      </c>
      <c r="M3217" t="s">
        <v>13425</v>
      </c>
      <c r="N3217">
        <v>1.9874741039999999</v>
      </c>
      <c r="O3217">
        <v>3.7453511220000002</v>
      </c>
      <c r="P3217">
        <v>0.451009722</v>
      </c>
      <c r="Q3217">
        <v>-0.102386592</v>
      </c>
      <c r="S3217" s="13">
        <v>-1.627816151</v>
      </c>
      <c r="T3217">
        <v>-1.187991469</v>
      </c>
      <c r="U3217">
        <v>-0.34048228600000002</v>
      </c>
    </row>
    <row r="3218" spans="1:21" x14ac:dyDescent="0.2">
      <c r="A3218" t="s">
        <v>33</v>
      </c>
      <c r="B3218">
        <v>375560</v>
      </c>
      <c r="C3218" t="s">
        <v>6927</v>
      </c>
      <c r="D3218" t="s">
        <v>33</v>
      </c>
      <c r="E3218" t="s">
        <v>6918</v>
      </c>
      <c r="F3218">
        <v>17</v>
      </c>
      <c r="G3218">
        <v>1</v>
      </c>
      <c r="H3218" t="s">
        <v>13426</v>
      </c>
      <c r="J3218" t="s">
        <v>13427</v>
      </c>
      <c r="M3218" t="s">
        <v>13428</v>
      </c>
      <c r="N3218">
        <v>1.982575982</v>
      </c>
      <c r="O3218">
        <v>3.4571926419999999</v>
      </c>
      <c r="P3218">
        <v>-0.114791479</v>
      </c>
      <c r="Q3218">
        <v>1.868949E-3</v>
      </c>
      <c r="S3218" s="13">
        <v>-1.6280428330000001</v>
      </c>
      <c r="T3218">
        <v>-1.1889820170000001</v>
      </c>
      <c r="U3218">
        <v>-0.45500844299999998</v>
      </c>
    </row>
    <row r="3219" spans="1:21" x14ac:dyDescent="0.2">
      <c r="A3219" t="s">
        <v>749</v>
      </c>
      <c r="B3219">
        <v>414000</v>
      </c>
      <c r="C3219" t="s">
        <v>6906</v>
      </c>
      <c r="D3219" t="s">
        <v>749</v>
      </c>
      <c r="E3219" t="s">
        <v>6946</v>
      </c>
      <c r="F3219">
        <v>13</v>
      </c>
      <c r="G3219">
        <v>11</v>
      </c>
      <c r="H3219" t="s">
        <v>13429</v>
      </c>
      <c r="J3219" t="s">
        <v>13430</v>
      </c>
      <c r="M3219" t="s">
        <v>13431</v>
      </c>
      <c r="N3219">
        <v>1.813871112</v>
      </c>
      <c r="O3219">
        <v>2.6633694910000001</v>
      </c>
      <c r="P3219">
        <v>-0.29586356800000002</v>
      </c>
      <c r="Q3219">
        <v>-0.59018158399999998</v>
      </c>
      <c r="S3219" s="13">
        <v>-1.628086465</v>
      </c>
      <c r="T3219">
        <v>-1.1891726760000001</v>
      </c>
      <c r="U3219">
        <v>-0.32403651500000002</v>
      </c>
    </row>
    <row r="3220" spans="1:21" x14ac:dyDescent="0.2">
      <c r="A3220" t="s">
        <v>214</v>
      </c>
      <c r="B3220">
        <v>375360</v>
      </c>
      <c r="C3220" t="s">
        <v>6927</v>
      </c>
      <c r="D3220" t="s">
        <v>215</v>
      </c>
      <c r="E3220" t="s">
        <v>6939</v>
      </c>
      <c r="F3220">
        <v>9</v>
      </c>
      <c r="G3220">
        <v>2</v>
      </c>
      <c r="H3220" t="s">
        <v>13432</v>
      </c>
      <c r="J3220" t="s">
        <v>13433</v>
      </c>
      <c r="M3220" t="s">
        <v>13434</v>
      </c>
      <c r="N3220">
        <v>1.982575982</v>
      </c>
      <c r="O3220">
        <v>3.4571926419999999</v>
      </c>
      <c r="P3220">
        <v>-0.114791479</v>
      </c>
      <c r="Q3220">
        <v>1.868949E-3</v>
      </c>
      <c r="S3220" s="13">
        <v>-1.6282503580000001</v>
      </c>
      <c r="T3220">
        <v>-1.189888853</v>
      </c>
      <c r="U3220">
        <v>-0.45527689799999999</v>
      </c>
    </row>
    <row r="3221" spans="1:21" x14ac:dyDescent="0.2">
      <c r="A3221" t="s">
        <v>1971</v>
      </c>
      <c r="B3221">
        <v>489120</v>
      </c>
      <c r="C3221" t="s">
        <v>6914</v>
      </c>
      <c r="D3221" t="s">
        <v>1971</v>
      </c>
      <c r="E3221" t="s">
        <v>7115</v>
      </c>
      <c r="F3221">
        <v>10</v>
      </c>
      <c r="G3221">
        <v>10</v>
      </c>
      <c r="H3221" t="s">
        <v>13435</v>
      </c>
      <c r="J3221" t="s">
        <v>2420</v>
      </c>
      <c r="M3221" t="s">
        <v>13436</v>
      </c>
      <c r="N3221">
        <v>1.8217074179999999</v>
      </c>
      <c r="O3221">
        <v>4.1700741289999996</v>
      </c>
      <c r="P3221">
        <v>0.189705977</v>
      </c>
      <c r="Q3221">
        <v>-1.7194070999999998E-2</v>
      </c>
      <c r="S3221" s="13">
        <v>-1.6286834569999999</v>
      </c>
      <c r="T3221">
        <v>-1.191781398</v>
      </c>
      <c r="U3221">
        <v>-0.41233069</v>
      </c>
    </row>
    <row r="3222" spans="1:21" x14ac:dyDescent="0.2">
      <c r="A3222" t="s">
        <v>2499</v>
      </c>
      <c r="B3222">
        <v>292680</v>
      </c>
      <c r="C3222" t="s">
        <v>6942</v>
      </c>
      <c r="D3222" t="s">
        <v>2500</v>
      </c>
      <c r="E3222" t="s">
        <v>6977</v>
      </c>
      <c r="F3222">
        <v>9</v>
      </c>
      <c r="G3222">
        <v>5</v>
      </c>
      <c r="H3222" t="s">
        <v>13437</v>
      </c>
      <c r="J3222" t="s">
        <v>5000</v>
      </c>
      <c r="M3222" t="s">
        <v>13438</v>
      </c>
      <c r="N3222">
        <v>2.0902262079999998</v>
      </c>
      <c r="O3222">
        <v>4.2704203920000001</v>
      </c>
      <c r="P3222">
        <v>0.23425843900000001</v>
      </c>
      <c r="Q3222">
        <v>1.6181978999999999E-2</v>
      </c>
      <c r="S3222" s="13">
        <v>-1.6299786039999999</v>
      </c>
      <c r="T3222">
        <v>-1.1974408910000001</v>
      </c>
      <c r="U3222">
        <v>-0.53515421799999996</v>
      </c>
    </row>
    <row r="3223" spans="1:21" x14ac:dyDescent="0.2">
      <c r="A3223" t="s">
        <v>1729</v>
      </c>
      <c r="B3223">
        <v>438680</v>
      </c>
      <c r="C3223" t="s">
        <v>6953</v>
      </c>
      <c r="D3223" t="s">
        <v>1729</v>
      </c>
      <c r="E3223" t="s">
        <v>6907</v>
      </c>
      <c r="F3223">
        <v>16</v>
      </c>
      <c r="G3223">
        <v>4</v>
      </c>
      <c r="H3223" t="s">
        <v>13439</v>
      </c>
      <c r="J3223" t="s">
        <v>1909</v>
      </c>
      <c r="M3223" t="s">
        <v>13440</v>
      </c>
      <c r="N3223">
        <v>1.921480887</v>
      </c>
      <c r="O3223">
        <v>3.0856645180000002</v>
      </c>
      <c r="P3223">
        <v>0.44706724399999997</v>
      </c>
      <c r="Q3223">
        <v>-0.354940863</v>
      </c>
      <c r="S3223" s="13">
        <v>-1.6300246949999999</v>
      </c>
      <c r="T3223">
        <v>-1.197642302</v>
      </c>
      <c r="U3223">
        <v>-0.359552759</v>
      </c>
    </row>
    <row r="3224" spans="1:21" x14ac:dyDescent="0.2">
      <c r="A3224" t="s">
        <v>1857</v>
      </c>
      <c r="B3224">
        <v>372160</v>
      </c>
      <c r="C3224" t="s">
        <v>6927</v>
      </c>
      <c r="D3224" t="s">
        <v>1858</v>
      </c>
      <c r="E3224" t="s">
        <v>6974</v>
      </c>
      <c r="F3224">
        <v>6</v>
      </c>
      <c r="G3224">
        <v>15</v>
      </c>
      <c r="H3224" t="s">
        <v>13441</v>
      </c>
      <c r="J3224" t="s">
        <v>13442</v>
      </c>
      <c r="M3224" t="s">
        <v>13443</v>
      </c>
      <c r="N3224">
        <v>1.982575982</v>
      </c>
      <c r="O3224">
        <v>3.4571926419999999</v>
      </c>
      <c r="P3224">
        <v>-0.114791479</v>
      </c>
      <c r="Q3224">
        <v>1.868949E-3</v>
      </c>
      <c r="S3224" s="13">
        <v>-1.6315707559999999</v>
      </c>
      <c r="T3224">
        <v>-1.204398232</v>
      </c>
      <c r="U3224">
        <v>-0.45959491499999999</v>
      </c>
    </row>
    <row r="3225" spans="1:21" x14ac:dyDescent="0.2">
      <c r="A3225" t="s">
        <v>1368</v>
      </c>
      <c r="B3225">
        <v>335040</v>
      </c>
      <c r="C3225" t="s">
        <v>6931</v>
      </c>
      <c r="D3225" t="s">
        <v>1368</v>
      </c>
      <c r="E3225" t="s">
        <v>6956</v>
      </c>
      <c r="F3225">
        <v>16</v>
      </c>
      <c r="G3225">
        <v>7</v>
      </c>
      <c r="H3225" t="s">
        <v>13444</v>
      </c>
      <c r="N3225">
        <v>1.9323965059999999</v>
      </c>
      <c r="O3225">
        <v>3.0528020530000002</v>
      </c>
      <c r="P3225">
        <v>2.6493138999999999E-2</v>
      </c>
      <c r="Q3225">
        <v>-0.38692188</v>
      </c>
      <c r="S3225" s="13">
        <v>-1.632271204</v>
      </c>
      <c r="T3225">
        <v>-1.207459032</v>
      </c>
      <c r="U3225">
        <v>-0.28675691599999997</v>
      </c>
    </row>
    <row r="3226" spans="1:21" x14ac:dyDescent="0.2">
      <c r="A3226" t="s">
        <v>172</v>
      </c>
      <c r="B3226">
        <v>485720</v>
      </c>
      <c r="C3226" t="s">
        <v>6914</v>
      </c>
      <c r="D3226" t="s">
        <v>172</v>
      </c>
      <c r="E3226" t="s">
        <v>7006</v>
      </c>
      <c r="F3226">
        <v>11</v>
      </c>
      <c r="G3226">
        <v>3</v>
      </c>
      <c r="H3226" t="s">
        <v>13445</v>
      </c>
      <c r="J3226" t="s">
        <v>174</v>
      </c>
      <c r="M3226" t="s">
        <v>13446</v>
      </c>
      <c r="N3226">
        <v>1.8217074179999999</v>
      </c>
      <c r="O3226">
        <v>4.1700741289999996</v>
      </c>
      <c r="P3226">
        <v>0.189705977</v>
      </c>
      <c r="Q3226">
        <v>-1.7194070999999998E-2</v>
      </c>
      <c r="S3226" s="13">
        <v>-1.6327728459999999</v>
      </c>
      <c r="T3226">
        <v>-1.209651094</v>
      </c>
      <c r="U3226">
        <v>-0.41648583099999997</v>
      </c>
    </row>
    <row r="3227" spans="1:21" x14ac:dyDescent="0.2">
      <c r="A3227" t="s">
        <v>1123</v>
      </c>
      <c r="B3227">
        <v>485560</v>
      </c>
      <c r="C3227" t="s">
        <v>6914</v>
      </c>
      <c r="D3227" t="s">
        <v>1123</v>
      </c>
      <c r="E3227" t="s">
        <v>6946</v>
      </c>
      <c r="F3227">
        <v>16</v>
      </c>
      <c r="G3227">
        <v>11</v>
      </c>
      <c r="H3227" t="s">
        <v>13447</v>
      </c>
      <c r="J3227" t="s">
        <v>6685</v>
      </c>
      <c r="M3227" t="s">
        <v>13448</v>
      </c>
      <c r="N3227">
        <v>1.8217074179999999</v>
      </c>
      <c r="O3227">
        <v>4.1700741289999996</v>
      </c>
      <c r="P3227">
        <v>0.189705977</v>
      </c>
      <c r="Q3227">
        <v>-1.7194070999999998E-2</v>
      </c>
      <c r="S3227" s="13">
        <v>-1.6329652880000001</v>
      </c>
      <c r="T3227">
        <v>-1.2104920210000001</v>
      </c>
      <c r="U3227">
        <v>-0.41668234999999998</v>
      </c>
    </row>
    <row r="3228" spans="1:21" x14ac:dyDescent="0.2">
      <c r="A3228" t="s">
        <v>2421</v>
      </c>
      <c r="B3228">
        <v>196240</v>
      </c>
      <c r="C3228" t="s">
        <v>6945</v>
      </c>
      <c r="D3228" t="s">
        <v>2422</v>
      </c>
      <c r="E3228" t="s">
        <v>7085</v>
      </c>
      <c r="F3228">
        <v>8</v>
      </c>
      <c r="G3228">
        <v>9</v>
      </c>
      <c r="H3228" t="s">
        <v>13449</v>
      </c>
      <c r="J3228" t="s">
        <v>5803</v>
      </c>
      <c r="M3228" t="s">
        <v>13450</v>
      </c>
      <c r="N3228">
        <v>2.2220813349999999</v>
      </c>
      <c r="O3228">
        <v>6.5440947090000003</v>
      </c>
      <c r="P3228">
        <v>0.58228215500000002</v>
      </c>
      <c r="Q3228">
        <v>0.35188233000000002</v>
      </c>
      <c r="S3228" s="13">
        <v>-1.633175499</v>
      </c>
      <c r="T3228">
        <v>-1.2114105909999999</v>
      </c>
      <c r="U3228">
        <v>-0.57867427500000002</v>
      </c>
    </row>
    <row r="3229" spans="1:21" x14ac:dyDescent="0.2">
      <c r="A3229" t="s">
        <v>289</v>
      </c>
      <c r="B3229">
        <v>409960</v>
      </c>
      <c r="C3229" t="s">
        <v>6906</v>
      </c>
      <c r="D3229" t="s">
        <v>290</v>
      </c>
      <c r="E3229" t="s">
        <v>6977</v>
      </c>
      <c r="F3229">
        <v>5</v>
      </c>
      <c r="G3229">
        <v>5</v>
      </c>
      <c r="H3229" t="s">
        <v>13451</v>
      </c>
      <c r="J3229" t="s">
        <v>2783</v>
      </c>
      <c r="M3229" t="s">
        <v>13452</v>
      </c>
      <c r="N3229">
        <v>1.813871112</v>
      </c>
      <c r="O3229">
        <v>2.6633694910000001</v>
      </c>
      <c r="P3229">
        <v>-0.29586356800000002</v>
      </c>
      <c r="Q3229">
        <v>-0.59018158399999998</v>
      </c>
      <c r="S3229" s="13">
        <v>-1.633947483</v>
      </c>
      <c r="T3229">
        <v>-1.2147839869999999</v>
      </c>
      <c r="U3229">
        <v>-0.32806489799999999</v>
      </c>
    </row>
    <row r="3230" spans="1:21" x14ac:dyDescent="0.2">
      <c r="A3230" t="s">
        <v>342</v>
      </c>
      <c r="B3230">
        <v>333560</v>
      </c>
      <c r="C3230" t="s">
        <v>6931</v>
      </c>
      <c r="D3230" t="s">
        <v>342</v>
      </c>
      <c r="E3230" t="s">
        <v>6956</v>
      </c>
      <c r="F3230">
        <v>15</v>
      </c>
      <c r="G3230">
        <v>7</v>
      </c>
      <c r="H3230" t="s">
        <v>13453</v>
      </c>
      <c r="N3230">
        <v>1.9323965059999999</v>
      </c>
      <c r="O3230">
        <v>3.0528020530000002</v>
      </c>
      <c r="P3230">
        <v>2.6493138999999999E-2</v>
      </c>
      <c r="Q3230">
        <v>-0.38692188</v>
      </c>
      <c r="S3230" s="13">
        <v>-1.634215886</v>
      </c>
      <c r="T3230">
        <v>-1.215956847</v>
      </c>
      <c r="U3230">
        <v>-0.288107102</v>
      </c>
    </row>
    <row r="3231" spans="1:21" x14ac:dyDescent="0.2">
      <c r="A3231" t="s">
        <v>924</v>
      </c>
      <c r="B3231">
        <v>434320</v>
      </c>
      <c r="C3231" t="s">
        <v>6953</v>
      </c>
      <c r="D3231" t="s">
        <v>924</v>
      </c>
      <c r="E3231" t="s">
        <v>7115</v>
      </c>
      <c r="F3231">
        <v>17</v>
      </c>
      <c r="G3231">
        <v>10</v>
      </c>
      <c r="H3231" t="s">
        <v>13454</v>
      </c>
      <c r="J3231" t="s">
        <v>5421</v>
      </c>
      <c r="M3231" t="s">
        <v>13455</v>
      </c>
      <c r="N3231">
        <v>1.921480887</v>
      </c>
      <c r="O3231">
        <v>3.0856645180000002</v>
      </c>
      <c r="P3231">
        <v>0.44706724399999997</v>
      </c>
      <c r="Q3231">
        <v>-0.354940863</v>
      </c>
      <c r="S3231" s="13">
        <v>-1.634548737</v>
      </c>
      <c r="T3231">
        <v>-1.2174113310000001</v>
      </c>
      <c r="U3231">
        <v>-0.364274457</v>
      </c>
    </row>
    <row r="3232" spans="1:21" x14ac:dyDescent="0.2">
      <c r="A3232" t="s">
        <v>2257</v>
      </c>
      <c r="B3232">
        <v>484120</v>
      </c>
      <c r="C3232" t="s">
        <v>6914</v>
      </c>
      <c r="D3232" t="s">
        <v>2257</v>
      </c>
      <c r="E3232" t="s">
        <v>6911</v>
      </c>
      <c r="F3232">
        <v>16</v>
      </c>
      <c r="G3232">
        <v>12</v>
      </c>
      <c r="H3232" t="s">
        <v>13456</v>
      </c>
      <c r="J3232" t="s">
        <v>2259</v>
      </c>
      <c r="M3232" t="s">
        <v>13457</v>
      </c>
      <c r="N3232">
        <v>1.8217074179999999</v>
      </c>
      <c r="O3232">
        <v>4.1700741289999996</v>
      </c>
      <c r="P3232">
        <v>0.189705977</v>
      </c>
      <c r="Q3232">
        <v>-1.7194070999999998E-2</v>
      </c>
      <c r="S3232" s="13">
        <v>-1.634697265</v>
      </c>
      <c r="T3232">
        <v>-1.218060363</v>
      </c>
      <c r="U3232">
        <v>-0.418455034</v>
      </c>
    </row>
    <row r="3233" spans="1:21" x14ac:dyDescent="0.2">
      <c r="A3233" t="s">
        <v>1104</v>
      </c>
      <c r="B3233">
        <v>409040</v>
      </c>
      <c r="C3233" t="s">
        <v>6906</v>
      </c>
      <c r="D3233" t="s">
        <v>1105</v>
      </c>
      <c r="E3233" t="s">
        <v>6956</v>
      </c>
      <c r="F3233">
        <v>2</v>
      </c>
      <c r="G3233">
        <v>7</v>
      </c>
      <c r="H3233" t="s">
        <v>13458</v>
      </c>
      <c r="J3233" t="s">
        <v>3869</v>
      </c>
      <c r="M3233" t="s">
        <v>13459</v>
      </c>
      <c r="N3233">
        <v>1.813871112</v>
      </c>
      <c r="O3233">
        <v>2.6633694910000001</v>
      </c>
      <c r="P3233">
        <v>-0.29586356800000002</v>
      </c>
      <c r="Q3233">
        <v>-0.59018158399999998</v>
      </c>
      <c r="S3233" s="13">
        <v>-1.63528217</v>
      </c>
      <c r="T3233">
        <v>-1.2206162659999999</v>
      </c>
      <c r="U3233">
        <v>-0.32898749999999999</v>
      </c>
    </row>
    <row r="3234" spans="1:21" x14ac:dyDescent="0.2">
      <c r="A3234" t="s">
        <v>1415</v>
      </c>
      <c r="B3234">
        <v>368480</v>
      </c>
      <c r="C3234" t="s">
        <v>6927</v>
      </c>
      <c r="D3234" t="s">
        <v>1415</v>
      </c>
      <c r="E3234" t="s">
        <v>6946</v>
      </c>
      <c r="F3234">
        <v>12</v>
      </c>
      <c r="G3234">
        <v>11</v>
      </c>
      <c r="H3234" t="s">
        <v>13460</v>
      </c>
      <c r="J3234" t="s">
        <v>13461</v>
      </c>
      <c r="M3234" t="s">
        <v>13462</v>
      </c>
      <c r="N3234">
        <v>1.982575982</v>
      </c>
      <c r="O3234">
        <v>3.4571926419999999</v>
      </c>
      <c r="P3234">
        <v>-0.114791479</v>
      </c>
      <c r="Q3234">
        <v>1.868949E-3</v>
      </c>
      <c r="S3234" s="13">
        <v>-1.6353892130000001</v>
      </c>
      <c r="T3234">
        <v>-1.2210840169999999</v>
      </c>
      <c r="U3234">
        <v>-0.46461429799999998</v>
      </c>
    </row>
    <row r="3235" spans="1:21" x14ac:dyDescent="0.2">
      <c r="A3235" t="s">
        <v>143</v>
      </c>
      <c r="B3235">
        <v>433280</v>
      </c>
      <c r="C3235" t="s">
        <v>6953</v>
      </c>
      <c r="D3235" t="s">
        <v>144</v>
      </c>
      <c r="E3235" t="s">
        <v>7115</v>
      </c>
      <c r="F3235">
        <v>8</v>
      </c>
      <c r="G3235">
        <v>10</v>
      </c>
      <c r="H3235" t="s">
        <v>13463</v>
      </c>
      <c r="J3235" t="s">
        <v>146</v>
      </c>
      <c r="M3235" t="s">
        <v>13464</v>
      </c>
      <c r="N3235">
        <v>1.921480887</v>
      </c>
      <c r="O3235">
        <v>3.0856645180000002</v>
      </c>
      <c r="P3235">
        <v>0.44706724399999997</v>
      </c>
      <c r="Q3235">
        <v>-0.354940863</v>
      </c>
      <c r="S3235" s="13">
        <v>-1.6356278660000001</v>
      </c>
      <c r="T3235">
        <v>-1.2221268789999999</v>
      </c>
      <c r="U3235">
        <v>-0.36540835799999999</v>
      </c>
    </row>
    <row r="3236" spans="1:21" x14ac:dyDescent="0.2">
      <c r="A3236" t="s">
        <v>1123</v>
      </c>
      <c r="B3236">
        <v>408760</v>
      </c>
      <c r="C3236" t="s">
        <v>6906</v>
      </c>
      <c r="D3236" t="s">
        <v>1123</v>
      </c>
      <c r="E3236" t="s">
        <v>6946</v>
      </c>
      <c r="F3236">
        <v>16</v>
      </c>
      <c r="G3236">
        <v>11</v>
      </c>
      <c r="H3236" t="s">
        <v>13465</v>
      </c>
      <c r="J3236" t="s">
        <v>1342</v>
      </c>
      <c r="M3236" t="s">
        <v>13466</v>
      </c>
      <c r="N3236">
        <v>1.813871112</v>
      </c>
      <c r="O3236">
        <v>2.6633694910000001</v>
      </c>
      <c r="P3236">
        <v>-0.29586356800000002</v>
      </c>
      <c r="Q3236">
        <v>-0.59018158399999998</v>
      </c>
      <c r="S3236" s="13">
        <v>-1.6356883799999999</v>
      </c>
      <c r="T3236">
        <v>-1.2223913070000001</v>
      </c>
      <c r="U3236">
        <v>-0.32926868100000001</v>
      </c>
    </row>
    <row r="3237" spans="1:21" x14ac:dyDescent="0.2">
      <c r="A3237" t="s">
        <v>883</v>
      </c>
      <c r="B3237">
        <v>483160</v>
      </c>
      <c r="C3237" t="s">
        <v>6914</v>
      </c>
      <c r="D3237" t="s">
        <v>883</v>
      </c>
      <c r="E3237" t="s">
        <v>6977</v>
      </c>
      <c r="F3237">
        <v>17</v>
      </c>
      <c r="G3237">
        <v>5</v>
      </c>
      <c r="H3237" t="s">
        <v>13467</v>
      </c>
      <c r="J3237" t="s">
        <v>4217</v>
      </c>
      <c r="M3237" t="s">
        <v>13468</v>
      </c>
      <c r="N3237">
        <v>1.8217074179999999</v>
      </c>
      <c r="O3237">
        <v>4.1700741289999996</v>
      </c>
      <c r="P3237">
        <v>0.189705977</v>
      </c>
      <c r="Q3237">
        <v>-1.7194070999999998E-2</v>
      </c>
      <c r="S3237" s="13">
        <v>-1.635851916</v>
      </c>
      <c r="T3237">
        <v>-1.223105924</v>
      </c>
      <c r="U3237">
        <v>-0.41964085499999998</v>
      </c>
    </row>
    <row r="3238" spans="1:21" x14ac:dyDescent="0.2">
      <c r="A3238" t="s">
        <v>1747</v>
      </c>
      <c r="B3238">
        <v>482960</v>
      </c>
      <c r="C3238" t="s">
        <v>6914</v>
      </c>
      <c r="D3238" t="s">
        <v>1747</v>
      </c>
      <c r="E3238" t="s">
        <v>6911</v>
      </c>
      <c r="F3238">
        <v>13</v>
      </c>
      <c r="G3238">
        <v>12</v>
      </c>
      <c r="H3238" t="s">
        <v>13469</v>
      </c>
      <c r="J3238" t="s">
        <v>3629</v>
      </c>
      <c r="M3238" t="s">
        <v>13470</v>
      </c>
      <c r="N3238">
        <v>1.8217074179999999</v>
      </c>
      <c r="O3238">
        <v>4.1700741289999996</v>
      </c>
      <c r="P3238">
        <v>0.189705977</v>
      </c>
      <c r="Q3238">
        <v>-1.7194070999999998E-2</v>
      </c>
      <c r="S3238" s="13">
        <v>-1.636092468</v>
      </c>
      <c r="T3238">
        <v>-1.2241570829999999</v>
      </c>
      <c r="U3238">
        <v>-0.41988830900000002</v>
      </c>
    </row>
    <row r="3239" spans="1:21" x14ac:dyDescent="0.2">
      <c r="A3239" t="s">
        <v>1031</v>
      </c>
      <c r="B3239">
        <v>432160</v>
      </c>
      <c r="C3239" t="s">
        <v>6953</v>
      </c>
      <c r="D3239" t="s">
        <v>1031</v>
      </c>
      <c r="E3239" t="s">
        <v>6956</v>
      </c>
      <c r="F3239">
        <v>13</v>
      </c>
      <c r="G3239">
        <v>7</v>
      </c>
      <c r="H3239" t="s">
        <v>13471</v>
      </c>
      <c r="J3239" t="s">
        <v>5209</v>
      </c>
      <c r="M3239" t="s">
        <v>13472</v>
      </c>
      <c r="N3239">
        <v>1.921480887</v>
      </c>
      <c r="O3239">
        <v>3.0856645180000002</v>
      </c>
      <c r="P3239">
        <v>0.44706724399999997</v>
      </c>
      <c r="Q3239">
        <v>-0.354940863</v>
      </c>
      <c r="S3239" s="13">
        <v>-1.636790006</v>
      </c>
      <c r="T3239">
        <v>-1.2272051610000001</v>
      </c>
      <c r="U3239">
        <v>-0.36663280100000001</v>
      </c>
    </row>
    <row r="3240" spans="1:21" x14ac:dyDescent="0.2">
      <c r="A3240" t="s">
        <v>1065</v>
      </c>
      <c r="B3240">
        <v>407680</v>
      </c>
      <c r="C3240" t="s">
        <v>6906</v>
      </c>
      <c r="D3240" t="s">
        <v>1066</v>
      </c>
      <c r="E3240" t="s">
        <v>6956</v>
      </c>
      <c r="F3240">
        <v>7</v>
      </c>
      <c r="G3240">
        <v>7</v>
      </c>
      <c r="H3240" t="s">
        <v>13473</v>
      </c>
      <c r="J3240" t="s">
        <v>1068</v>
      </c>
      <c r="M3240" t="s">
        <v>13474</v>
      </c>
      <c r="N3240">
        <v>1.813871112</v>
      </c>
      <c r="O3240">
        <v>2.6633694910000001</v>
      </c>
      <c r="P3240">
        <v>-0.29586356800000002</v>
      </c>
      <c r="Q3240">
        <v>-0.59018158399999998</v>
      </c>
      <c r="S3240" s="13">
        <v>-1.637255186</v>
      </c>
      <c r="T3240">
        <v>-1.229237895</v>
      </c>
      <c r="U3240">
        <v>-0.33035494599999998</v>
      </c>
    </row>
    <row r="3241" spans="1:21" x14ac:dyDescent="0.2">
      <c r="A3241" t="s">
        <v>769</v>
      </c>
      <c r="B3241">
        <v>323080</v>
      </c>
      <c r="C3241" t="s">
        <v>6938</v>
      </c>
      <c r="D3241" t="s">
        <v>769</v>
      </c>
      <c r="E3241" t="s">
        <v>6911</v>
      </c>
      <c r="F3241">
        <v>12</v>
      </c>
      <c r="G3241">
        <v>12</v>
      </c>
      <c r="H3241" t="s">
        <v>13475</v>
      </c>
      <c r="J3241" t="s">
        <v>5581</v>
      </c>
      <c r="M3241" t="s">
        <v>13476</v>
      </c>
      <c r="N3241">
        <v>2.092758737</v>
      </c>
      <c r="O3241">
        <v>5.3323610669999999</v>
      </c>
      <c r="P3241">
        <v>0.70420098600000003</v>
      </c>
      <c r="Q3241">
        <v>0.41355372699999998</v>
      </c>
      <c r="S3241" s="13">
        <v>-1.637650292</v>
      </c>
      <c r="T3241">
        <v>-1.230964416</v>
      </c>
      <c r="U3241">
        <v>-0.590354033</v>
      </c>
    </row>
    <row r="3242" spans="1:21" x14ac:dyDescent="0.2">
      <c r="A3242" t="s">
        <v>2028</v>
      </c>
      <c r="B3242">
        <v>284800</v>
      </c>
      <c r="C3242" t="s">
        <v>6942</v>
      </c>
      <c r="D3242" t="s">
        <v>2028</v>
      </c>
      <c r="E3242" t="s">
        <v>6924</v>
      </c>
      <c r="F3242">
        <v>10</v>
      </c>
      <c r="G3242">
        <v>6</v>
      </c>
      <c r="H3242" t="s">
        <v>13477</v>
      </c>
      <c r="J3242" t="s">
        <v>4774</v>
      </c>
      <c r="M3242" t="s">
        <v>13478</v>
      </c>
      <c r="N3242">
        <v>2.0902262079999998</v>
      </c>
      <c r="O3242">
        <v>4.2704203920000001</v>
      </c>
      <c r="P3242">
        <v>0.23425843900000001</v>
      </c>
      <c r="Q3242">
        <v>1.6181978999999999E-2</v>
      </c>
      <c r="S3242" s="13">
        <v>-1.6377127380000001</v>
      </c>
      <c r="T3242">
        <v>-1.2312372899999999</v>
      </c>
      <c r="U3242">
        <v>-0.54806100300000005</v>
      </c>
    </row>
    <row r="3243" spans="1:21" x14ac:dyDescent="0.2">
      <c r="A3243" t="s">
        <v>603</v>
      </c>
      <c r="B3243">
        <v>481600</v>
      </c>
      <c r="C3243" t="s">
        <v>6914</v>
      </c>
      <c r="D3243" t="s">
        <v>604</v>
      </c>
      <c r="E3243" t="s">
        <v>6911</v>
      </c>
      <c r="F3243">
        <v>8</v>
      </c>
      <c r="G3243">
        <v>12</v>
      </c>
      <c r="H3243" t="s">
        <v>13479</v>
      </c>
      <c r="J3243" t="s">
        <v>4475</v>
      </c>
      <c r="M3243" t="s">
        <v>13480</v>
      </c>
      <c r="N3243">
        <v>1.8217074179999999</v>
      </c>
      <c r="O3243">
        <v>4.1700741289999996</v>
      </c>
      <c r="P3243">
        <v>0.189705977</v>
      </c>
      <c r="Q3243">
        <v>-1.7194070999999998E-2</v>
      </c>
      <c r="S3243" s="13">
        <v>-1.637728224</v>
      </c>
      <c r="T3243">
        <v>-1.231304961</v>
      </c>
      <c r="U3243">
        <v>-0.42157474700000003</v>
      </c>
    </row>
    <row r="3244" spans="1:21" x14ac:dyDescent="0.2">
      <c r="A3244" t="s">
        <v>458</v>
      </c>
      <c r="B3244">
        <v>481480</v>
      </c>
      <c r="C3244" t="s">
        <v>6914</v>
      </c>
      <c r="D3244" t="s">
        <v>459</v>
      </c>
      <c r="E3244" t="s">
        <v>6921</v>
      </c>
      <c r="F3244">
        <v>4</v>
      </c>
      <c r="G3244">
        <v>8</v>
      </c>
      <c r="H3244" t="s">
        <v>13481</v>
      </c>
      <c r="J3244" t="s">
        <v>1030</v>
      </c>
      <c r="M3244" t="s">
        <v>13482</v>
      </c>
      <c r="N3244">
        <v>1.8217074179999999</v>
      </c>
      <c r="O3244">
        <v>4.1700741289999996</v>
      </c>
      <c r="P3244">
        <v>0.189705977</v>
      </c>
      <c r="Q3244">
        <v>-1.7194070999999998E-2</v>
      </c>
      <c r="S3244" s="13">
        <v>-1.637872555</v>
      </c>
      <c r="T3244">
        <v>-1.2319356560000001</v>
      </c>
      <c r="U3244">
        <v>-0.421723866</v>
      </c>
    </row>
    <row r="3245" spans="1:21" x14ac:dyDescent="0.2">
      <c r="A3245" t="s">
        <v>218</v>
      </c>
      <c r="B3245">
        <v>406800</v>
      </c>
      <c r="C3245" t="s">
        <v>6906</v>
      </c>
      <c r="D3245" t="s">
        <v>218</v>
      </c>
      <c r="E3245" t="s">
        <v>6918</v>
      </c>
      <c r="F3245">
        <v>22</v>
      </c>
      <c r="G3245">
        <v>1</v>
      </c>
      <c r="H3245" t="s">
        <v>13483</v>
      </c>
      <c r="J3245" t="s">
        <v>4302</v>
      </c>
      <c r="M3245" t="s">
        <v>13484</v>
      </c>
      <c r="N3245">
        <v>1.813871112</v>
      </c>
      <c r="O3245">
        <v>2.6633694910000001</v>
      </c>
      <c r="P3245">
        <v>-0.29586356800000002</v>
      </c>
      <c r="Q3245">
        <v>-0.59018158399999998</v>
      </c>
      <c r="S3245" s="13">
        <v>-1.6385318440000001</v>
      </c>
      <c r="T3245">
        <v>-1.2348165959999999</v>
      </c>
      <c r="U3245">
        <v>-0.331242064</v>
      </c>
    </row>
    <row r="3246" spans="1:21" x14ac:dyDescent="0.2">
      <c r="A3246" t="s">
        <v>1073</v>
      </c>
      <c r="B3246">
        <v>330120</v>
      </c>
      <c r="C3246" t="s">
        <v>6931</v>
      </c>
      <c r="D3246" t="s">
        <v>1073</v>
      </c>
      <c r="E3246" t="s">
        <v>7115</v>
      </c>
      <c r="F3246">
        <v>18</v>
      </c>
      <c r="G3246">
        <v>10</v>
      </c>
      <c r="H3246" t="s">
        <v>13485</v>
      </c>
      <c r="N3246">
        <v>1.9323965059999999</v>
      </c>
      <c r="O3246">
        <v>3.0528020530000002</v>
      </c>
      <c r="P3246">
        <v>2.6493138999999999E-2</v>
      </c>
      <c r="Q3246">
        <v>-0.38692188</v>
      </c>
      <c r="S3246" s="13">
        <v>-1.638735957</v>
      </c>
      <c r="T3246">
        <v>-1.235708523</v>
      </c>
      <c r="U3246">
        <v>-0.29126168699999999</v>
      </c>
    </row>
    <row r="3247" spans="1:21" x14ac:dyDescent="0.2">
      <c r="A3247" t="s">
        <v>1882</v>
      </c>
      <c r="B3247">
        <v>406360</v>
      </c>
      <c r="C3247" t="s">
        <v>6906</v>
      </c>
      <c r="D3247" t="s">
        <v>1882</v>
      </c>
      <c r="E3247" t="s">
        <v>7006</v>
      </c>
      <c r="F3247">
        <v>20</v>
      </c>
      <c r="G3247">
        <v>3</v>
      </c>
      <c r="H3247" t="s">
        <v>13486</v>
      </c>
      <c r="J3247" t="s">
        <v>1884</v>
      </c>
      <c r="M3247" t="s">
        <v>13487</v>
      </c>
      <c r="N3247">
        <v>1.813871112</v>
      </c>
      <c r="O3247">
        <v>2.6633694910000001</v>
      </c>
      <c r="P3247">
        <v>-0.29586356800000002</v>
      </c>
      <c r="Q3247">
        <v>-0.59018158399999998</v>
      </c>
      <c r="S3247" s="13">
        <v>-1.6391701729999999</v>
      </c>
      <c r="T3247">
        <v>-1.237605947</v>
      </c>
      <c r="U3247">
        <v>-0.33168630300000002</v>
      </c>
    </row>
    <row r="3248" spans="1:21" x14ac:dyDescent="0.2">
      <c r="A3248" t="s">
        <v>1174</v>
      </c>
      <c r="B3248">
        <v>329720</v>
      </c>
      <c r="C3248" t="s">
        <v>6931</v>
      </c>
      <c r="D3248" t="s">
        <v>1174</v>
      </c>
      <c r="E3248" t="s">
        <v>7085</v>
      </c>
      <c r="F3248">
        <v>16</v>
      </c>
      <c r="G3248">
        <v>9</v>
      </c>
      <c r="H3248" t="s">
        <v>13488</v>
      </c>
      <c r="N3248">
        <v>1.9323965059999999</v>
      </c>
      <c r="O3248">
        <v>3.0528020530000002</v>
      </c>
      <c r="P3248">
        <v>2.6493138999999999E-2</v>
      </c>
      <c r="Q3248">
        <v>-0.38692188</v>
      </c>
      <c r="S3248" s="13">
        <v>-1.639261547</v>
      </c>
      <c r="T3248">
        <v>-1.23800523</v>
      </c>
      <c r="U3248">
        <v>-0.29162999000000001</v>
      </c>
    </row>
    <row r="3249" spans="1:21" x14ac:dyDescent="0.2">
      <c r="A3249" t="s">
        <v>1698</v>
      </c>
      <c r="B3249">
        <v>405800</v>
      </c>
      <c r="C3249" t="s">
        <v>6906</v>
      </c>
      <c r="D3249" t="s">
        <v>1698</v>
      </c>
      <c r="E3249" t="s">
        <v>6921</v>
      </c>
      <c r="F3249">
        <v>11</v>
      </c>
      <c r="G3249">
        <v>8</v>
      </c>
      <c r="H3249" t="s">
        <v>13489</v>
      </c>
      <c r="J3249" t="s">
        <v>13490</v>
      </c>
      <c r="M3249" t="s">
        <v>13491</v>
      </c>
      <c r="N3249">
        <v>1.813871112</v>
      </c>
      <c r="O3249">
        <v>2.6633694910000001</v>
      </c>
      <c r="P3249">
        <v>-0.29586356800000002</v>
      </c>
      <c r="Q3249">
        <v>-0.59018158399999998</v>
      </c>
      <c r="S3249" s="13">
        <v>-1.6399825910000001</v>
      </c>
      <c r="T3249">
        <v>-1.24115603</v>
      </c>
      <c r="U3249">
        <v>-0.332252357</v>
      </c>
    </row>
    <row r="3250" spans="1:21" x14ac:dyDescent="0.2">
      <c r="A3250" t="s">
        <v>1373</v>
      </c>
      <c r="B3250">
        <v>346280</v>
      </c>
      <c r="C3250" t="s">
        <v>6910</v>
      </c>
      <c r="D3250" t="s">
        <v>1373</v>
      </c>
      <c r="E3250" t="s">
        <v>6977</v>
      </c>
      <c r="F3250">
        <v>10</v>
      </c>
      <c r="G3250">
        <v>5</v>
      </c>
      <c r="H3250" t="s">
        <v>13492</v>
      </c>
      <c r="J3250" t="s">
        <v>5046</v>
      </c>
      <c r="M3250" t="s">
        <v>13493</v>
      </c>
      <c r="N3250">
        <v>1.9874741039999999</v>
      </c>
      <c r="O3250">
        <v>3.7453511220000002</v>
      </c>
      <c r="P3250">
        <v>0.451009722</v>
      </c>
      <c r="Q3250">
        <v>-0.102386592</v>
      </c>
      <c r="S3250" s="13">
        <v>-1.6401243729999999</v>
      </c>
      <c r="T3250">
        <v>-1.2417755859999999</v>
      </c>
      <c r="U3250">
        <v>-0.35243792200000001</v>
      </c>
    </row>
    <row r="3251" spans="1:21" x14ac:dyDescent="0.2">
      <c r="A3251" t="s">
        <v>563</v>
      </c>
      <c r="B3251">
        <v>188720</v>
      </c>
      <c r="C3251" t="s">
        <v>6945</v>
      </c>
      <c r="D3251" t="s">
        <v>564</v>
      </c>
      <c r="E3251" t="s">
        <v>6928</v>
      </c>
      <c r="F3251">
        <v>9</v>
      </c>
      <c r="G3251">
        <v>16</v>
      </c>
      <c r="H3251" t="s">
        <v>13494</v>
      </c>
      <c r="J3251" t="s">
        <v>5945</v>
      </c>
      <c r="M3251" t="s">
        <v>13495</v>
      </c>
      <c r="N3251">
        <v>2.2220813349999999</v>
      </c>
      <c r="O3251">
        <v>6.5440947090000003</v>
      </c>
      <c r="P3251">
        <v>0.58228215500000002</v>
      </c>
      <c r="Q3251">
        <v>0.35188233000000002</v>
      </c>
      <c r="S3251" s="13">
        <v>-1.6402686339999999</v>
      </c>
      <c r="T3251">
        <v>-1.2424059700000001</v>
      </c>
      <c r="U3251">
        <v>-0.59230088599999997</v>
      </c>
    </row>
    <row r="3252" spans="1:21" x14ac:dyDescent="0.2">
      <c r="A3252" t="s">
        <v>267</v>
      </c>
      <c r="B3252">
        <v>479400</v>
      </c>
      <c r="C3252" t="s">
        <v>6914</v>
      </c>
      <c r="D3252" t="s">
        <v>268</v>
      </c>
      <c r="E3252" t="s">
        <v>6911</v>
      </c>
      <c r="F3252">
        <v>2</v>
      </c>
      <c r="G3252">
        <v>12</v>
      </c>
      <c r="H3252" t="s">
        <v>13496</v>
      </c>
      <c r="J3252" t="s">
        <v>5417</v>
      </c>
      <c r="M3252" t="s">
        <v>13497</v>
      </c>
      <c r="N3252">
        <v>1.8217074179999999</v>
      </c>
      <c r="O3252">
        <v>4.1700741289999996</v>
      </c>
      <c r="P3252">
        <v>0.189705977</v>
      </c>
      <c r="Q3252">
        <v>-1.7194070999999998E-2</v>
      </c>
      <c r="S3252" s="13">
        <v>-1.6403742990000001</v>
      </c>
      <c r="T3252">
        <v>-1.242867706</v>
      </c>
      <c r="U3252">
        <v>-0.42431675099999999</v>
      </c>
    </row>
    <row r="3253" spans="1:21" x14ac:dyDescent="0.2">
      <c r="A3253" t="s">
        <v>2499</v>
      </c>
      <c r="B3253">
        <v>362560</v>
      </c>
      <c r="C3253" t="s">
        <v>6927</v>
      </c>
      <c r="D3253" t="s">
        <v>2500</v>
      </c>
      <c r="E3253" t="s">
        <v>6977</v>
      </c>
      <c r="F3253">
        <v>9</v>
      </c>
      <c r="G3253">
        <v>5</v>
      </c>
      <c r="H3253" t="s">
        <v>13498</v>
      </c>
      <c r="J3253" t="s">
        <v>13499</v>
      </c>
      <c r="M3253" t="s">
        <v>13500</v>
      </c>
      <c r="N3253">
        <v>1.982575982</v>
      </c>
      <c r="O3253">
        <v>3.4571926419999999</v>
      </c>
      <c r="P3253">
        <v>-0.114791479</v>
      </c>
      <c r="Q3253">
        <v>1.868949E-3</v>
      </c>
      <c r="S3253" s="13">
        <v>-1.6415319479999999</v>
      </c>
      <c r="T3253">
        <v>-1.247926367</v>
      </c>
      <c r="U3253">
        <v>-0.47281269599999998</v>
      </c>
    </row>
    <row r="3254" spans="1:21" x14ac:dyDescent="0.2">
      <c r="A3254" t="s">
        <v>2252</v>
      </c>
      <c r="B3254">
        <v>403720</v>
      </c>
      <c r="C3254" t="s">
        <v>6906</v>
      </c>
      <c r="D3254" t="s">
        <v>2253</v>
      </c>
      <c r="E3254" t="s">
        <v>6924</v>
      </c>
      <c r="F3254">
        <v>4</v>
      </c>
      <c r="G3254">
        <v>6</v>
      </c>
      <c r="H3254" t="s">
        <v>13501</v>
      </c>
      <c r="J3254" t="s">
        <v>2762</v>
      </c>
      <c r="M3254" t="s">
        <v>13502</v>
      </c>
      <c r="N3254">
        <v>1.813871112</v>
      </c>
      <c r="O3254">
        <v>2.6633694910000001</v>
      </c>
      <c r="P3254">
        <v>-0.29586356800000002</v>
      </c>
      <c r="Q3254">
        <v>-0.59018158399999998</v>
      </c>
      <c r="S3254" s="13">
        <v>-1.643000145</v>
      </c>
      <c r="T3254">
        <v>-1.2543420510000001</v>
      </c>
      <c r="U3254">
        <v>-0.33436132499999999</v>
      </c>
    </row>
    <row r="3255" spans="1:21" x14ac:dyDescent="0.2">
      <c r="A3255" t="s">
        <v>175</v>
      </c>
      <c r="B3255">
        <v>343440</v>
      </c>
      <c r="C3255" t="s">
        <v>6910</v>
      </c>
      <c r="D3255" t="s">
        <v>175</v>
      </c>
      <c r="E3255" t="s">
        <v>7006</v>
      </c>
      <c r="F3255">
        <v>15</v>
      </c>
      <c r="G3255">
        <v>3</v>
      </c>
      <c r="H3255" t="s">
        <v>13503</v>
      </c>
      <c r="J3255" t="s">
        <v>3885</v>
      </c>
      <c r="M3255" t="s">
        <v>13504</v>
      </c>
      <c r="N3255">
        <v>1.9874741039999999</v>
      </c>
      <c r="O3255">
        <v>3.7453511220000002</v>
      </c>
      <c r="P3255">
        <v>0.451009722</v>
      </c>
      <c r="Q3255">
        <v>-0.102386592</v>
      </c>
      <c r="S3255" s="13">
        <v>-1.643179911</v>
      </c>
      <c r="T3255">
        <v>-1.255127587</v>
      </c>
      <c r="U3255">
        <v>-0.35545763400000002</v>
      </c>
    </row>
    <row r="3256" spans="1:21" x14ac:dyDescent="0.2">
      <c r="A3256" t="s">
        <v>1118</v>
      </c>
      <c r="B3256">
        <v>403360</v>
      </c>
      <c r="C3256" t="s">
        <v>6906</v>
      </c>
      <c r="D3256" t="s">
        <v>1118</v>
      </c>
      <c r="E3256" t="s">
        <v>6924</v>
      </c>
      <c r="F3256">
        <v>13</v>
      </c>
      <c r="G3256">
        <v>6</v>
      </c>
      <c r="H3256" t="s">
        <v>13505</v>
      </c>
      <c r="J3256" t="s">
        <v>13506</v>
      </c>
      <c r="M3256" t="s">
        <v>13507</v>
      </c>
      <c r="N3256">
        <v>1.813871112</v>
      </c>
      <c r="O3256">
        <v>2.6633694910000001</v>
      </c>
      <c r="P3256">
        <v>-0.29586356800000002</v>
      </c>
      <c r="Q3256">
        <v>-0.59018158399999998</v>
      </c>
      <c r="S3256" s="13">
        <v>-1.643522414</v>
      </c>
      <c r="T3256">
        <v>-1.256624247</v>
      </c>
      <c r="U3256">
        <v>-0.33472738000000002</v>
      </c>
    </row>
    <row r="3257" spans="1:21" x14ac:dyDescent="0.2">
      <c r="A3257" t="s">
        <v>1167</v>
      </c>
      <c r="B3257">
        <v>476680</v>
      </c>
      <c r="C3257" t="s">
        <v>6914</v>
      </c>
      <c r="D3257" t="s">
        <v>1168</v>
      </c>
      <c r="E3257" t="s">
        <v>7006</v>
      </c>
      <c r="F3257">
        <v>5</v>
      </c>
      <c r="G3257">
        <v>3</v>
      </c>
      <c r="H3257" t="s">
        <v>13508</v>
      </c>
      <c r="J3257" t="s">
        <v>4832</v>
      </c>
      <c r="M3257" t="s">
        <v>13509</v>
      </c>
      <c r="N3257">
        <v>1.8217074179999999</v>
      </c>
      <c r="O3257">
        <v>4.1700741289999996</v>
      </c>
      <c r="P3257">
        <v>0.189705977</v>
      </c>
      <c r="Q3257">
        <v>-1.7194070999999998E-2</v>
      </c>
      <c r="S3257" s="13">
        <v>-1.6436458110000001</v>
      </c>
      <c r="T3257">
        <v>-1.2571634629999999</v>
      </c>
      <c r="U3257">
        <v>-0.42773097399999999</v>
      </c>
    </row>
    <row r="3258" spans="1:21" x14ac:dyDescent="0.2">
      <c r="A3258" t="s">
        <v>236</v>
      </c>
      <c r="B3258">
        <v>342760</v>
      </c>
      <c r="C3258" t="s">
        <v>6910</v>
      </c>
      <c r="D3258" t="s">
        <v>236</v>
      </c>
      <c r="E3258" t="s">
        <v>7006</v>
      </c>
      <c r="F3258">
        <v>17</v>
      </c>
      <c r="G3258">
        <v>3</v>
      </c>
      <c r="H3258" t="s">
        <v>13510</v>
      </c>
      <c r="J3258" t="s">
        <v>5871</v>
      </c>
      <c r="M3258" t="s">
        <v>13511</v>
      </c>
      <c r="N3258">
        <v>1.9874741039999999</v>
      </c>
      <c r="O3258">
        <v>3.7453511220000002</v>
      </c>
      <c r="P3258">
        <v>0.451009722</v>
      </c>
      <c r="Q3258">
        <v>-0.102386592</v>
      </c>
      <c r="S3258" s="13">
        <v>-1.643911519</v>
      </c>
      <c r="T3258">
        <v>-1.258324545</v>
      </c>
      <c r="U3258">
        <v>-0.35618379</v>
      </c>
    </row>
    <row r="3259" spans="1:21" x14ac:dyDescent="0.2">
      <c r="A3259" t="s">
        <v>1989</v>
      </c>
      <c r="B3259">
        <v>475480</v>
      </c>
      <c r="C3259" t="s">
        <v>6914</v>
      </c>
      <c r="D3259" t="s">
        <v>1990</v>
      </c>
      <c r="E3259" t="s">
        <v>6921</v>
      </c>
      <c r="F3259">
        <v>9</v>
      </c>
      <c r="G3259">
        <v>8</v>
      </c>
      <c r="H3259" t="s">
        <v>13512</v>
      </c>
      <c r="J3259" t="s">
        <v>5091</v>
      </c>
      <c r="M3259" t="s">
        <v>13513</v>
      </c>
      <c r="N3259">
        <v>1.8217074179999999</v>
      </c>
      <c r="O3259">
        <v>4.1700741289999996</v>
      </c>
      <c r="P3259">
        <v>0.189705977</v>
      </c>
      <c r="Q3259">
        <v>-1.7194070999999998E-2</v>
      </c>
      <c r="S3259" s="13">
        <v>-1.6450891249999999</v>
      </c>
      <c r="T3259">
        <v>-1.2634704139999999</v>
      </c>
      <c r="U3259">
        <v>-0.429245824</v>
      </c>
    </row>
    <row r="3260" spans="1:21" x14ac:dyDescent="0.2">
      <c r="A3260" t="s">
        <v>1729</v>
      </c>
      <c r="B3260">
        <v>325160</v>
      </c>
      <c r="C3260" t="s">
        <v>6931</v>
      </c>
      <c r="D3260" t="s">
        <v>1729</v>
      </c>
      <c r="E3260" t="s">
        <v>6907</v>
      </c>
      <c r="F3260">
        <v>16</v>
      </c>
      <c r="G3260">
        <v>4</v>
      </c>
      <c r="H3260" t="s">
        <v>13514</v>
      </c>
      <c r="N3260">
        <v>1.9323965059999999</v>
      </c>
      <c r="O3260">
        <v>3.0528020530000002</v>
      </c>
      <c r="P3260">
        <v>2.6493138999999999E-2</v>
      </c>
      <c r="Q3260">
        <v>-0.38692188</v>
      </c>
      <c r="S3260" s="13">
        <v>-1.6452532689999999</v>
      </c>
      <c r="T3260">
        <v>-1.264187685</v>
      </c>
      <c r="U3260">
        <v>-0.29585087799999998</v>
      </c>
    </row>
    <row r="3261" spans="1:21" x14ac:dyDescent="0.2">
      <c r="A3261" t="s">
        <v>1082</v>
      </c>
      <c r="B3261">
        <v>183160</v>
      </c>
      <c r="C3261" t="s">
        <v>6945</v>
      </c>
      <c r="D3261" t="s">
        <v>1082</v>
      </c>
      <c r="E3261" t="s">
        <v>7115</v>
      </c>
      <c r="F3261">
        <v>21</v>
      </c>
      <c r="G3261">
        <v>10</v>
      </c>
      <c r="H3261" t="s">
        <v>13515</v>
      </c>
      <c r="J3261" t="s">
        <v>6213</v>
      </c>
      <c r="M3261" t="s">
        <v>13516</v>
      </c>
      <c r="N3261">
        <v>2.2220813349999999</v>
      </c>
      <c r="O3261">
        <v>6.5440947090000003</v>
      </c>
      <c r="P3261">
        <v>0.58228215500000002</v>
      </c>
      <c r="Q3261">
        <v>0.35188233000000002</v>
      </c>
      <c r="S3261" s="13">
        <v>-1.6455130259999999</v>
      </c>
      <c r="T3261">
        <v>-1.265322767</v>
      </c>
      <c r="U3261">
        <v>-0.60265813199999996</v>
      </c>
    </row>
    <row r="3262" spans="1:21" x14ac:dyDescent="0.2">
      <c r="A3262" t="s">
        <v>444</v>
      </c>
      <c r="B3262">
        <v>324920</v>
      </c>
      <c r="C3262" t="s">
        <v>6931</v>
      </c>
      <c r="D3262" t="s">
        <v>445</v>
      </c>
      <c r="E3262" t="s">
        <v>7006</v>
      </c>
      <c r="F3262">
        <v>2</v>
      </c>
      <c r="G3262">
        <v>3</v>
      </c>
      <c r="H3262" t="s">
        <v>13517</v>
      </c>
      <c r="J3262" t="s">
        <v>5563</v>
      </c>
      <c r="M3262" t="s">
        <v>13518</v>
      </c>
      <c r="N3262">
        <v>1.9323965059999999</v>
      </c>
      <c r="O3262">
        <v>3.0528020530000002</v>
      </c>
      <c r="P3262">
        <v>2.6493138999999999E-2</v>
      </c>
      <c r="Q3262">
        <v>-0.38692188</v>
      </c>
      <c r="S3262" s="13">
        <v>-1.6455686220000001</v>
      </c>
      <c r="T3262">
        <v>-1.2655657090000001</v>
      </c>
      <c r="U3262">
        <v>-0.296074171</v>
      </c>
    </row>
    <row r="3263" spans="1:21" x14ac:dyDescent="0.2">
      <c r="A3263" t="s">
        <v>504</v>
      </c>
      <c r="B3263">
        <v>401920</v>
      </c>
      <c r="C3263" t="s">
        <v>6906</v>
      </c>
      <c r="D3263" t="s">
        <v>504</v>
      </c>
      <c r="E3263" t="s">
        <v>6956</v>
      </c>
      <c r="F3263">
        <v>12</v>
      </c>
      <c r="G3263">
        <v>7</v>
      </c>
      <c r="H3263" t="s">
        <v>13519</v>
      </c>
      <c r="J3263" t="s">
        <v>13520</v>
      </c>
      <c r="M3263" t="s">
        <v>13521</v>
      </c>
      <c r="N3263">
        <v>1.813871112</v>
      </c>
      <c r="O3263">
        <v>2.6633694910000001</v>
      </c>
      <c r="P3263">
        <v>-0.29586356800000002</v>
      </c>
      <c r="Q3263">
        <v>-0.59018158399999998</v>
      </c>
      <c r="S3263" s="13">
        <v>-1.6456114900000001</v>
      </c>
      <c r="T3263">
        <v>-1.265753031</v>
      </c>
      <c r="U3263">
        <v>-0.33619469600000002</v>
      </c>
    </row>
    <row r="3264" spans="1:21" x14ac:dyDescent="0.2">
      <c r="A3264" t="s">
        <v>796</v>
      </c>
      <c r="B3264">
        <v>423560</v>
      </c>
      <c r="C3264" t="s">
        <v>6953</v>
      </c>
      <c r="D3264" t="s">
        <v>796</v>
      </c>
      <c r="E3264" t="s">
        <v>6918</v>
      </c>
      <c r="F3264">
        <v>13</v>
      </c>
      <c r="G3264">
        <v>1</v>
      </c>
      <c r="H3264" t="s">
        <v>13522</v>
      </c>
      <c r="J3264" t="s">
        <v>1665</v>
      </c>
      <c r="M3264" t="s">
        <v>13523</v>
      </c>
      <c r="N3264">
        <v>1.921480887</v>
      </c>
      <c r="O3264">
        <v>3.0856645180000002</v>
      </c>
      <c r="P3264">
        <v>0.44706724399999997</v>
      </c>
      <c r="Q3264">
        <v>-0.354940863</v>
      </c>
      <c r="S3264" s="13">
        <v>-1.645713574</v>
      </c>
      <c r="T3264">
        <v>-1.2661991159999999</v>
      </c>
      <c r="U3264">
        <v>-0.37615160199999997</v>
      </c>
    </row>
    <row r="3265" spans="1:21" x14ac:dyDescent="0.2">
      <c r="A3265" t="s">
        <v>2167</v>
      </c>
      <c r="B3265">
        <v>422480</v>
      </c>
      <c r="C3265" t="s">
        <v>6953</v>
      </c>
      <c r="D3265" t="s">
        <v>2168</v>
      </c>
      <c r="E3265" t="s">
        <v>6956</v>
      </c>
      <c r="F3265">
        <v>8</v>
      </c>
      <c r="G3265">
        <v>7</v>
      </c>
      <c r="H3265" t="s">
        <v>13524</v>
      </c>
      <c r="J3265" t="s">
        <v>4244</v>
      </c>
      <c r="M3265" t="s">
        <v>13525</v>
      </c>
      <c r="N3265">
        <v>1.921480887</v>
      </c>
      <c r="O3265">
        <v>3.0856645180000002</v>
      </c>
      <c r="P3265">
        <v>0.44706724399999997</v>
      </c>
      <c r="Q3265">
        <v>-0.354940863</v>
      </c>
      <c r="S3265" s="13">
        <v>-1.646834208</v>
      </c>
      <c r="T3265">
        <v>-1.2710960309999999</v>
      </c>
      <c r="U3265">
        <v>-0.37736186700000002</v>
      </c>
    </row>
    <row r="3266" spans="1:21" x14ac:dyDescent="0.2">
      <c r="A3266" t="s">
        <v>198</v>
      </c>
      <c r="B3266">
        <v>400800</v>
      </c>
      <c r="C3266" t="s">
        <v>6906</v>
      </c>
      <c r="D3266" t="s">
        <v>199</v>
      </c>
      <c r="E3266" t="s">
        <v>6918</v>
      </c>
      <c r="F3266">
        <v>3</v>
      </c>
      <c r="G3266">
        <v>1</v>
      </c>
      <c r="H3266" t="s">
        <v>13526</v>
      </c>
      <c r="J3266" t="s">
        <v>4298</v>
      </c>
      <c r="M3266" t="s">
        <v>13527</v>
      </c>
      <c r="N3266">
        <v>1.813871112</v>
      </c>
      <c r="O3266">
        <v>2.6633694910000001</v>
      </c>
      <c r="P3266">
        <v>-0.29586356800000002</v>
      </c>
      <c r="Q3266">
        <v>-0.59018158399999998</v>
      </c>
      <c r="S3266" s="13">
        <v>-1.6472363269999999</v>
      </c>
      <c r="T3266">
        <v>-1.272853196</v>
      </c>
      <c r="U3266">
        <v>-0.33733937899999999</v>
      </c>
    </row>
    <row r="3267" spans="1:21" x14ac:dyDescent="0.2">
      <c r="A3267" t="s">
        <v>753</v>
      </c>
      <c r="B3267">
        <v>400600</v>
      </c>
      <c r="C3267" t="s">
        <v>6906</v>
      </c>
      <c r="D3267" t="s">
        <v>753</v>
      </c>
      <c r="E3267" t="s">
        <v>6911</v>
      </c>
      <c r="F3267">
        <v>10</v>
      </c>
      <c r="G3267">
        <v>12</v>
      </c>
      <c r="H3267" t="s">
        <v>13528</v>
      </c>
      <c r="J3267" t="s">
        <v>13529</v>
      </c>
      <c r="M3267" t="s">
        <v>13530</v>
      </c>
      <c r="N3267">
        <v>1.813871112</v>
      </c>
      <c r="O3267">
        <v>2.6633694910000001</v>
      </c>
      <c r="P3267">
        <v>-0.29586356800000002</v>
      </c>
      <c r="Q3267">
        <v>-0.59018158399999998</v>
      </c>
      <c r="S3267" s="13">
        <v>-1.6475264759999999</v>
      </c>
      <c r="T3267">
        <v>-1.274121083</v>
      </c>
      <c r="U3267">
        <v>-0.33754410499999998</v>
      </c>
    </row>
    <row r="3268" spans="1:21" x14ac:dyDescent="0.2">
      <c r="A3268" t="s">
        <v>190</v>
      </c>
      <c r="B3268">
        <v>473240</v>
      </c>
      <c r="C3268" t="s">
        <v>6914</v>
      </c>
      <c r="D3268" t="s">
        <v>190</v>
      </c>
      <c r="E3268" t="s">
        <v>6946</v>
      </c>
      <c r="F3268">
        <v>10</v>
      </c>
      <c r="G3268">
        <v>11</v>
      </c>
      <c r="H3268" t="s">
        <v>13531</v>
      </c>
      <c r="J3268" t="s">
        <v>5213</v>
      </c>
      <c r="M3268" t="s">
        <v>13532</v>
      </c>
      <c r="N3268">
        <v>1.8217074179999999</v>
      </c>
      <c r="O3268">
        <v>4.1700741289999996</v>
      </c>
      <c r="P3268">
        <v>0.189705977</v>
      </c>
      <c r="Q3268">
        <v>-1.7194070999999998E-2</v>
      </c>
      <c r="S3268" s="13">
        <v>-1.6477833099999999</v>
      </c>
      <c r="T3268">
        <v>-1.27524339</v>
      </c>
      <c r="U3268">
        <v>-0.43208775999999999</v>
      </c>
    </row>
    <row r="3269" spans="1:21" x14ac:dyDescent="0.2">
      <c r="A3269" t="s">
        <v>482</v>
      </c>
      <c r="B3269">
        <v>420800</v>
      </c>
      <c r="C3269" t="s">
        <v>6953</v>
      </c>
      <c r="D3269" t="s">
        <v>482</v>
      </c>
      <c r="E3269" t="s">
        <v>6946</v>
      </c>
      <c r="F3269">
        <v>15</v>
      </c>
      <c r="G3269">
        <v>11</v>
      </c>
      <c r="H3269" t="s">
        <v>13533</v>
      </c>
      <c r="J3269" t="s">
        <v>1300</v>
      </c>
      <c r="M3269" t="s">
        <v>13534</v>
      </c>
      <c r="N3269">
        <v>1.921480887</v>
      </c>
      <c r="O3269">
        <v>3.0856645180000002</v>
      </c>
      <c r="P3269">
        <v>0.44706724399999997</v>
      </c>
      <c r="Q3269">
        <v>-0.354940863</v>
      </c>
      <c r="S3269" s="13">
        <v>-1.648577417</v>
      </c>
      <c r="T3269">
        <v>-1.2787134550000001</v>
      </c>
      <c r="U3269">
        <v>-0.37925123100000002</v>
      </c>
    </row>
    <row r="3270" spans="1:21" x14ac:dyDescent="0.2">
      <c r="A3270" t="s">
        <v>2488</v>
      </c>
      <c r="B3270">
        <v>273320</v>
      </c>
      <c r="C3270" t="s">
        <v>6942</v>
      </c>
      <c r="D3270" t="s">
        <v>2488</v>
      </c>
      <c r="E3270" t="s">
        <v>6907</v>
      </c>
      <c r="F3270">
        <v>10</v>
      </c>
      <c r="G3270">
        <v>4</v>
      </c>
      <c r="H3270" t="s">
        <v>13535</v>
      </c>
      <c r="J3270" t="s">
        <v>3827</v>
      </c>
      <c r="M3270" t="s">
        <v>13536</v>
      </c>
      <c r="N3270">
        <v>2.0902262079999998</v>
      </c>
      <c r="O3270">
        <v>4.2704203920000001</v>
      </c>
      <c r="P3270">
        <v>0.23425843900000001</v>
      </c>
      <c r="Q3270">
        <v>1.6181978999999999E-2</v>
      </c>
      <c r="S3270" s="13">
        <v>-1.6489802330000001</v>
      </c>
      <c r="T3270">
        <v>-1.2804736670000001</v>
      </c>
      <c r="U3270">
        <v>-0.56757855700000004</v>
      </c>
    </row>
    <row r="3271" spans="1:21" x14ac:dyDescent="0.2">
      <c r="A3271" t="s">
        <v>749</v>
      </c>
      <c r="B3271">
        <v>419600</v>
      </c>
      <c r="C3271" t="s">
        <v>6953</v>
      </c>
      <c r="D3271" t="s">
        <v>749</v>
      </c>
      <c r="E3271" t="s">
        <v>6946</v>
      </c>
      <c r="F3271">
        <v>13</v>
      </c>
      <c r="G3271">
        <v>11</v>
      </c>
      <c r="H3271" t="s">
        <v>13537</v>
      </c>
      <c r="J3271" t="s">
        <v>4185</v>
      </c>
      <c r="M3271" t="s">
        <v>13538</v>
      </c>
      <c r="N3271">
        <v>1.921480887</v>
      </c>
      <c r="O3271">
        <v>3.0856645180000002</v>
      </c>
      <c r="P3271">
        <v>0.44706724399999997</v>
      </c>
      <c r="Q3271">
        <v>-0.354940863</v>
      </c>
      <c r="S3271" s="13">
        <v>-1.6498225660000001</v>
      </c>
      <c r="T3271">
        <v>-1.284154472</v>
      </c>
      <c r="U3271">
        <v>-0.38060582799999998</v>
      </c>
    </row>
    <row r="3272" spans="1:21" x14ac:dyDescent="0.2">
      <c r="A3272" t="s">
        <v>753</v>
      </c>
      <c r="B3272">
        <v>354320</v>
      </c>
      <c r="C3272" t="s">
        <v>6927</v>
      </c>
      <c r="D3272" t="s">
        <v>753</v>
      </c>
      <c r="E3272" t="s">
        <v>6911</v>
      </c>
      <c r="F3272">
        <v>10</v>
      </c>
      <c r="G3272">
        <v>12</v>
      </c>
      <c r="H3272" t="s">
        <v>13539</v>
      </c>
      <c r="J3272" t="s">
        <v>13540</v>
      </c>
      <c r="M3272" t="s">
        <v>13541</v>
      </c>
      <c r="N3272">
        <v>1.982575982</v>
      </c>
      <c r="O3272">
        <v>3.4571926419999999</v>
      </c>
      <c r="P3272">
        <v>-0.114791479</v>
      </c>
      <c r="Q3272">
        <v>1.868949E-3</v>
      </c>
      <c r="S3272" s="13">
        <v>-1.650081972</v>
      </c>
      <c r="T3272">
        <v>-1.2852880170000001</v>
      </c>
      <c r="U3272">
        <v>-0.48448790600000002</v>
      </c>
    </row>
    <row r="3273" spans="1:21" x14ac:dyDescent="0.2">
      <c r="A3273" t="s">
        <v>303</v>
      </c>
      <c r="B3273">
        <v>336240</v>
      </c>
      <c r="C3273" t="s">
        <v>6910</v>
      </c>
      <c r="D3273" t="s">
        <v>304</v>
      </c>
      <c r="E3273" t="s">
        <v>7006</v>
      </c>
      <c r="F3273">
        <v>3</v>
      </c>
      <c r="G3273">
        <v>3</v>
      </c>
      <c r="H3273" t="s">
        <v>13542</v>
      </c>
      <c r="J3273" t="s">
        <v>6005</v>
      </c>
      <c r="M3273" t="s">
        <v>13543</v>
      </c>
      <c r="N3273">
        <v>1.9874741039999999</v>
      </c>
      <c r="O3273">
        <v>3.7453511220000002</v>
      </c>
      <c r="P3273">
        <v>0.451009722</v>
      </c>
      <c r="Q3273">
        <v>-0.102386592</v>
      </c>
      <c r="S3273" s="13">
        <v>-1.6509263439999999</v>
      </c>
      <c r="T3273">
        <v>-1.28897773</v>
      </c>
      <c r="U3273">
        <v>-0.36320867699999998</v>
      </c>
    </row>
    <row r="3274" spans="1:21" x14ac:dyDescent="0.2">
      <c r="A3274" t="s">
        <v>2167</v>
      </c>
      <c r="B3274">
        <v>320680</v>
      </c>
      <c r="C3274" t="s">
        <v>6931</v>
      </c>
      <c r="D3274" t="s">
        <v>2168</v>
      </c>
      <c r="E3274" t="s">
        <v>6956</v>
      </c>
      <c r="F3274">
        <v>8</v>
      </c>
      <c r="G3274">
        <v>7</v>
      </c>
      <c r="H3274" t="s">
        <v>13544</v>
      </c>
      <c r="N3274">
        <v>1.9323965059999999</v>
      </c>
      <c r="O3274">
        <v>3.0528020530000002</v>
      </c>
      <c r="P3274">
        <v>2.6493138999999999E-2</v>
      </c>
      <c r="Q3274">
        <v>-0.38692188</v>
      </c>
      <c r="S3274" s="13">
        <v>-1.651139873</v>
      </c>
      <c r="T3274">
        <v>-1.2899107990000001</v>
      </c>
      <c r="U3274">
        <v>-0.30003805300000003</v>
      </c>
    </row>
    <row r="3275" spans="1:21" x14ac:dyDescent="0.2">
      <c r="A3275" t="s">
        <v>397</v>
      </c>
      <c r="B3275">
        <v>335760</v>
      </c>
      <c r="C3275" t="s">
        <v>6910</v>
      </c>
      <c r="D3275" t="s">
        <v>397</v>
      </c>
      <c r="E3275" t="s">
        <v>7006</v>
      </c>
      <c r="F3275">
        <v>10</v>
      </c>
      <c r="G3275">
        <v>3</v>
      </c>
      <c r="H3275" t="s">
        <v>13545</v>
      </c>
      <c r="J3275" t="s">
        <v>5469</v>
      </c>
      <c r="M3275" t="s">
        <v>13546</v>
      </c>
      <c r="N3275">
        <v>1.9874741039999999</v>
      </c>
      <c r="O3275">
        <v>3.7453511220000002</v>
      </c>
      <c r="P3275">
        <v>0.451009722</v>
      </c>
      <c r="Q3275">
        <v>-0.102386592</v>
      </c>
      <c r="S3275" s="13">
        <v>-1.6514427730000001</v>
      </c>
      <c r="T3275">
        <v>-1.2912344060000001</v>
      </c>
      <c r="U3275">
        <v>-0.363730365</v>
      </c>
    </row>
    <row r="3276" spans="1:21" x14ac:dyDescent="0.2">
      <c r="A3276" t="s">
        <v>2341</v>
      </c>
      <c r="B3276">
        <v>397840</v>
      </c>
      <c r="C3276" t="s">
        <v>6906</v>
      </c>
      <c r="D3276" t="s">
        <v>2341</v>
      </c>
      <c r="E3276" t="s">
        <v>6921</v>
      </c>
      <c r="F3276">
        <v>14</v>
      </c>
      <c r="G3276">
        <v>8</v>
      </c>
      <c r="H3276" t="s">
        <v>13547</v>
      </c>
      <c r="J3276" t="s">
        <v>13548</v>
      </c>
      <c r="M3276" t="s">
        <v>13549</v>
      </c>
      <c r="N3276">
        <v>1.813871112</v>
      </c>
      <c r="O3276">
        <v>2.6633694910000001</v>
      </c>
      <c r="P3276">
        <v>-0.29586356800000002</v>
      </c>
      <c r="Q3276">
        <v>-0.59018158399999998</v>
      </c>
      <c r="S3276" s="13">
        <v>-1.651530538</v>
      </c>
      <c r="T3276">
        <v>-1.2916179189999999</v>
      </c>
      <c r="U3276">
        <v>-0.34037921700000001</v>
      </c>
    </row>
    <row r="3277" spans="1:21" x14ac:dyDescent="0.2">
      <c r="A3277" t="s">
        <v>1582</v>
      </c>
      <c r="B3277">
        <v>176720</v>
      </c>
      <c r="C3277" t="s">
        <v>6945</v>
      </c>
      <c r="D3277" t="s">
        <v>1583</v>
      </c>
      <c r="E3277" t="s">
        <v>7006</v>
      </c>
      <c r="F3277">
        <v>9</v>
      </c>
      <c r="G3277">
        <v>3</v>
      </c>
      <c r="H3277" t="s">
        <v>13550</v>
      </c>
      <c r="J3277" t="s">
        <v>5861</v>
      </c>
      <c r="M3277" t="s">
        <v>13551</v>
      </c>
      <c r="N3277">
        <v>2.2220813349999999</v>
      </c>
      <c r="O3277">
        <v>6.5440947090000003</v>
      </c>
      <c r="P3277">
        <v>0.58228215500000002</v>
      </c>
      <c r="Q3277">
        <v>0.35188233000000002</v>
      </c>
      <c r="S3277" s="13">
        <v>-1.6515874660000001</v>
      </c>
      <c r="T3277">
        <v>-1.291866682</v>
      </c>
      <c r="U3277">
        <v>-0.61497177400000003</v>
      </c>
    </row>
    <row r="3278" spans="1:21" x14ac:dyDescent="0.2">
      <c r="A3278" t="s">
        <v>2499</v>
      </c>
      <c r="B3278">
        <v>397800</v>
      </c>
      <c r="C3278" t="s">
        <v>6906</v>
      </c>
      <c r="D3278" t="s">
        <v>2500</v>
      </c>
      <c r="E3278" t="s">
        <v>6977</v>
      </c>
      <c r="F3278">
        <v>9</v>
      </c>
      <c r="G3278">
        <v>5</v>
      </c>
      <c r="H3278" t="s">
        <v>13552</v>
      </c>
      <c r="J3278" t="s">
        <v>3825</v>
      </c>
      <c r="M3278" t="s">
        <v>13553</v>
      </c>
      <c r="N3278">
        <v>1.813871112</v>
      </c>
      <c r="O3278">
        <v>2.6633694910000001</v>
      </c>
      <c r="P3278">
        <v>-0.29586356800000002</v>
      </c>
      <c r="Q3278">
        <v>-0.59018158399999998</v>
      </c>
      <c r="S3278" s="13">
        <v>-1.651588568</v>
      </c>
      <c r="T3278">
        <v>-1.291871496</v>
      </c>
      <c r="U3278">
        <v>-0.34042044199999999</v>
      </c>
    </row>
    <row r="3279" spans="1:21" x14ac:dyDescent="0.2">
      <c r="A3279" t="s">
        <v>2911</v>
      </c>
      <c r="B3279">
        <v>397480</v>
      </c>
      <c r="C3279" t="s">
        <v>6906</v>
      </c>
      <c r="D3279" t="s">
        <v>2912</v>
      </c>
      <c r="E3279" t="s">
        <v>6946</v>
      </c>
      <c r="F3279">
        <v>6</v>
      </c>
      <c r="G3279">
        <v>11</v>
      </c>
      <c r="H3279" t="s">
        <v>13554</v>
      </c>
      <c r="J3279" t="s">
        <v>4238</v>
      </c>
      <c r="M3279" t="s">
        <v>13555</v>
      </c>
      <c r="N3279">
        <v>1.813871112</v>
      </c>
      <c r="O3279">
        <v>2.6633694910000001</v>
      </c>
      <c r="P3279">
        <v>-0.29586356800000002</v>
      </c>
      <c r="Q3279">
        <v>-0.59018158399999998</v>
      </c>
      <c r="S3279" s="13">
        <v>-1.652052807</v>
      </c>
      <c r="T3279">
        <v>-1.293900115</v>
      </c>
      <c r="U3279">
        <v>-0.34075038200000002</v>
      </c>
    </row>
    <row r="3280" spans="1:21" x14ac:dyDescent="0.2">
      <c r="A3280" t="s">
        <v>380</v>
      </c>
      <c r="B3280">
        <v>176120</v>
      </c>
      <c r="C3280" t="s">
        <v>6945</v>
      </c>
      <c r="D3280" t="s">
        <v>380</v>
      </c>
      <c r="E3280" t="s">
        <v>6928</v>
      </c>
      <c r="F3280">
        <v>16</v>
      </c>
      <c r="G3280">
        <v>16</v>
      </c>
      <c r="H3280" t="s">
        <v>13556</v>
      </c>
      <c r="J3280" t="s">
        <v>5881</v>
      </c>
      <c r="M3280" t="s">
        <v>13557</v>
      </c>
      <c r="N3280">
        <v>2.2220813349999999</v>
      </c>
      <c r="O3280">
        <v>6.5440947090000003</v>
      </c>
      <c r="P3280">
        <v>0.58228215500000002</v>
      </c>
      <c r="Q3280">
        <v>0.35188233000000002</v>
      </c>
      <c r="S3280" s="13">
        <v>-1.652153408</v>
      </c>
      <c r="T3280">
        <v>-1.2943397169999999</v>
      </c>
      <c r="U3280">
        <v>-0.61613698800000005</v>
      </c>
    </row>
    <row r="3281" spans="1:21" x14ac:dyDescent="0.2">
      <c r="A3281" t="s">
        <v>2270</v>
      </c>
      <c r="B3281">
        <v>469040</v>
      </c>
      <c r="C3281" t="s">
        <v>6914</v>
      </c>
      <c r="D3281" t="s">
        <v>2271</v>
      </c>
      <c r="E3281" t="s">
        <v>6921</v>
      </c>
      <c r="F3281">
        <v>8</v>
      </c>
      <c r="G3281">
        <v>8</v>
      </c>
      <c r="H3281" t="s">
        <v>13558</v>
      </c>
      <c r="J3281" t="s">
        <v>3229</v>
      </c>
      <c r="M3281" t="s">
        <v>13559</v>
      </c>
      <c r="N3281">
        <v>1.8217074179999999</v>
      </c>
      <c r="O3281">
        <v>4.1700741289999996</v>
      </c>
      <c r="P3281">
        <v>0.189705977</v>
      </c>
      <c r="Q3281">
        <v>-1.7194070999999998E-2</v>
      </c>
      <c r="S3281" s="13">
        <v>-1.6528349090000001</v>
      </c>
      <c r="T3281">
        <v>-1.297317721</v>
      </c>
      <c r="U3281">
        <v>-0.43746703999999997</v>
      </c>
    </row>
    <row r="3282" spans="1:21" x14ac:dyDescent="0.2">
      <c r="A3282" t="s">
        <v>977</v>
      </c>
      <c r="B3282">
        <v>396240</v>
      </c>
      <c r="C3282" t="s">
        <v>6906</v>
      </c>
      <c r="D3282" t="s">
        <v>978</v>
      </c>
      <c r="E3282" t="s">
        <v>6915</v>
      </c>
      <c r="F3282">
        <v>5</v>
      </c>
      <c r="G3282">
        <v>13</v>
      </c>
      <c r="H3282" t="s">
        <v>13560</v>
      </c>
      <c r="J3282" t="s">
        <v>980</v>
      </c>
      <c r="M3282" t="s">
        <v>13561</v>
      </c>
      <c r="N3282">
        <v>1.813871112</v>
      </c>
      <c r="O3282">
        <v>2.6633694910000001</v>
      </c>
      <c r="P3282">
        <v>-0.29586356800000002</v>
      </c>
      <c r="Q3282">
        <v>-0.59018158399999998</v>
      </c>
      <c r="S3282" s="13">
        <v>-1.6538517340000001</v>
      </c>
      <c r="T3282">
        <v>-1.3017610120000001</v>
      </c>
      <c r="U3282">
        <v>-0.342031274</v>
      </c>
    </row>
    <row r="3283" spans="1:21" x14ac:dyDescent="0.2">
      <c r="A3283" t="s">
        <v>1112</v>
      </c>
      <c r="B3283">
        <v>395440</v>
      </c>
      <c r="C3283" t="s">
        <v>6906</v>
      </c>
      <c r="D3283" t="s">
        <v>1112</v>
      </c>
      <c r="E3283" t="s">
        <v>6924</v>
      </c>
      <c r="F3283">
        <v>23</v>
      </c>
      <c r="G3283">
        <v>6</v>
      </c>
      <c r="H3283" t="s">
        <v>13562</v>
      </c>
      <c r="J3283" t="s">
        <v>4044</v>
      </c>
      <c r="M3283" t="s">
        <v>13563</v>
      </c>
      <c r="N3283">
        <v>1.813871112</v>
      </c>
      <c r="O3283">
        <v>2.6633694910000001</v>
      </c>
      <c r="P3283">
        <v>-0.29586356800000002</v>
      </c>
      <c r="Q3283">
        <v>-0.59018158399999998</v>
      </c>
      <c r="S3283" s="13">
        <v>-1.655012331</v>
      </c>
      <c r="T3283">
        <v>-1.3068325590000001</v>
      </c>
      <c r="U3283">
        <v>-0.34285966600000001</v>
      </c>
    </row>
    <row r="3284" spans="1:21" x14ac:dyDescent="0.2">
      <c r="A3284" t="s">
        <v>1336</v>
      </c>
      <c r="B3284">
        <v>172040</v>
      </c>
      <c r="C3284" t="s">
        <v>6945</v>
      </c>
      <c r="D3284" t="s">
        <v>1336</v>
      </c>
      <c r="E3284" t="s">
        <v>6915</v>
      </c>
      <c r="F3284">
        <v>15</v>
      </c>
      <c r="G3284">
        <v>13</v>
      </c>
      <c r="H3284" t="s">
        <v>13564</v>
      </c>
      <c r="J3284" t="s">
        <v>5983</v>
      </c>
      <c r="M3284" t="s">
        <v>13565</v>
      </c>
      <c r="N3284">
        <v>2.2220813349999999</v>
      </c>
      <c r="O3284">
        <v>6.5440947090000003</v>
      </c>
      <c r="P3284">
        <v>0.58228215500000002</v>
      </c>
      <c r="Q3284">
        <v>0.35188233000000002</v>
      </c>
      <c r="S3284" s="13">
        <v>-1.6560018110000001</v>
      </c>
      <c r="T3284">
        <v>-1.3111563589999999</v>
      </c>
      <c r="U3284">
        <v>-0.62414445200000002</v>
      </c>
    </row>
    <row r="3285" spans="1:21" x14ac:dyDescent="0.2">
      <c r="A3285" t="s">
        <v>361</v>
      </c>
      <c r="B3285">
        <v>171800</v>
      </c>
      <c r="C3285" t="s">
        <v>6945</v>
      </c>
      <c r="D3285" t="s">
        <v>361</v>
      </c>
      <c r="E3285" t="s">
        <v>6921</v>
      </c>
      <c r="F3285">
        <v>21</v>
      </c>
      <c r="G3285">
        <v>8</v>
      </c>
      <c r="H3285" t="s">
        <v>13566</v>
      </c>
      <c r="J3285" t="s">
        <v>6081</v>
      </c>
      <c r="M3285" t="s">
        <v>13567</v>
      </c>
      <c r="N3285">
        <v>2.2220813349999999</v>
      </c>
      <c r="O3285">
        <v>6.5440947090000003</v>
      </c>
      <c r="P3285">
        <v>0.58228215500000002</v>
      </c>
      <c r="Q3285">
        <v>0.35188233000000002</v>
      </c>
      <c r="S3285" s="13">
        <v>-1.656228188</v>
      </c>
      <c r="T3285">
        <v>-1.312145573</v>
      </c>
      <c r="U3285">
        <v>-0.62462010899999998</v>
      </c>
    </row>
    <row r="3286" spans="1:21" x14ac:dyDescent="0.2">
      <c r="A3286" t="s">
        <v>1330</v>
      </c>
      <c r="B3286">
        <v>393720</v>
      </c>
      <c r="C3286" t="s">
        <v>6906</v>
      </c>
      <c r="D3286" t="s">
        <v>1330</v>
      </c>
      <c r="E3286" t="s">
        <v>6915</v>
      </c>
      <c r="F3286">
        <v>23</v>
      </c>
      <c r="G3286">
        <v>13</v>
      </c>
      <c r="H3286" t="s">
        <v>13568</v>
      </c>
      <c r="J3286" t="s">
        <v>2835</v>
      </c>
      <c r="M3286" t="s">
        <v>13569</v>
      </c>
      <c r="N3286">
        <v>1.813871112</v>
      </c>
      <c r="O3286">
        <v>2.6633694910000001</v>
      </c>
      <c r="P3286">
        <v>-0.29586356800000002</v>
      </c>
      <c r="Q3286">
        <v>-0.59018158399999998</v>
      </c>
      <c r="S3286" s="13">
        <v>-1.657507616</v>
      </c>
      <c r="T3286">
        <v>-1.317736384</v>
      </c>
      <c r="U3286">
        <v>-0.344646077</v>
      </c>
    </row>
    <row r="3287" spans="1:21" x14ac:dyDescent="0.2">
      <c r="A3287" t="s">
        <v>295</v>
      </c>
      <c r="B3287">
        <v>464280</v>
      </c>
      <c r="C3287" t="s">
        <v>6914</v>
      </c>
      <c r="D3287" t="s">
        <v>295</v>
      </c>
      <c r="E3287" t="s">
        <v>6911</v>
      </c>
      <c r="F3287">
        <v>20</v>
      </c>
      <c r="G3287">
        <v>12</v>
      </c>
      <c r="H3287" t="s">
        <v>13570</v>
      </c>
      <c r="J3287" t="s">
        <v>3585</v>
      </c>
      <c r="M3287" t="s">
        <v>13571</v>
      </c>
      <c r="N3287">
        <v>1.8217074179999999</v>
      </c>
      <c r="O3287">
        <v>4.1700741289999996</v>
      </c>
      <c r="P3287">
        <v>0.189705977</v>
      </c>
      <c r="Q3287">
        <v>-1.7194070999999998E-2</v>
      </c>
      <c r="S3287" s="13">
        <v>-1.6585600540000001</v>
      </c>
      <c r="T3287">
        <v>-1.3223352960000001</v>
      </c>
      <c r="U3287">
        <v>-0.44364520800000001</v>
      </c>
    </row>
    <row r="3288" spans="1:21" x14ac:dyDescent="0.2">
      <c r="A3288" t="s">
        <v>1794</v>
      </c>
      <c r="B3288">
        <v>463240</v>
      </c>
      <c r="C3288" t="s">
        <v>6914</v>
      </c>
      <c r="D3288" t="s">
        <v>1794</v>
      </c>
      <c r="E3288" t="s">
        <v>7115</v>
      </c>
      <c r="F3288">
        <v>13</v>
      </c>
      <c r="G3288">
        <v>10</v>
      </c>
      <c r="H3288" t="s">
        <v>13572</v>
      </c>
      <c r="J3288" t="s">
        <v>5363</v>
      </c>
      <c r="M3288" t="s">
        <v>13573</v>
      </c>
      <c r="N3288">
        <v>1.8217074179999999</v>
      </c>
      <c r="O3288">
        <v>4.1700741289999996</v>
      </c>
      <c r="P3288">
        <v>0.189705977</v>
      </c>
      <c r="Q3288">
        <v>-1.7194070999999998E-2</v>
      </c>
      <c r="S3288" s="13">
        <v>-1.659810926</v>
      </c>
      <c r="T3288">
        <v>-1.3278013200000001</v>
      </c>
      <c r="U3288">
        <v>-0.44500683899999999</v>
      </c>
    </row>
    <row r="3289" spans="1:21" x14ac:dyDescent="0.2">
      <c r="A3289" t="s">
        <v>1343</v>
      </c>
      <c r="B3289">
        <v>463040</v>
      </c>
      <c r="C3289" t="s">
        <v>6914</v>
      </c>
      <c r="D3289" t="s">
        <v>1344</v>
      </c>
      <c r="E3289" t="s">
        <v>7085</v>
      </c>
      <c r="F3289">
        <v>7</v>
      </c>
      <c r="G3289">
        <v>9</v>
      </c>
      <c r="H3289" t="s">
        <v>13574</v>
      </c>
      <c r="J3289" t="s">
        <v>6601</v>
      </c>
      <c r="M3289" t="s">
        <v>13575</v>
      </c>
      <c r="N3289">
        <v>1.8217074179999999</v>
      </c>
      <c r="O3289">
        <v>4.1700741289999996</v>
      </c>
      <c r="P3289">
        <v>0.189705977</v>
      </c>
      <c r="Q3289">
        <v>-1.7194070999999998E-2</v>
      </c>
      <c r="S3289" s="13">
        <v>-1.660051478</v>
      </c>
      <c r="T3289">
        <v>-1.328852479</v>
      </c>
      <c r="U3289">
        <v>-0.44526918100000001</v>
      </c>
    </row>
    <row r="3290" spans="1:21" x14ac:dyDescent="0.2">
      <c r="A3290" t="s">
        <v>820</v>
      </c>
      <c r="B3290">
        <v>327560</v>
      </c>
      <c r="C3290" t="s">
        <v>6910</v>
      </c>
      <c r="D3290" t="s">
        <v>820</v>
      </c>
      <c r="E3290" t="s">
        <v>6974</v>
      </c>
      <c r="F3290">
        <v>20</v>
      </c>
      <c r="G3290">
        <v>15</v>
      </c>
      <c r="H3290" t="s">
        <v>13576</v>
      </c>
      <c r="J3290" t="s">
        <v>5347</v>
      </c>
      <c r="M3290" t="s">
        <v>13577</v>
      </c>
      <c r="N3290">
        <v>1.9874741039999999</v>
      </c>
      <c r="O3290">
        <v>3.7453511220000002</v>
      </c>
      <c r="P3290">
        <v>0.451009722</v>
      </c>
      <c r="Q3290">
        <v>-0.102386592</v>
      </c>
      <c r="S3290" s="13">
        <v>-1.6602650999999999</v>
      </c>
      <c r="T3290">
        <v>-1.329785958</v>
      </c>
      <c r="U3290">
        <v>-0.372740719</v>
      </c>
    </row>
    <row r="3291" spans="1:21" x14ac:dyDescent="0.2">
      <c r="A3291" t="s">
        <v>504</v>
      </c>
      <c r="B3291">
        <v>409360</v>
      </c>
      <c r="C3291" t="s">
        <v>6953</v>
      </c>
      <c r="D3291" t="s">
        <v>504</v>
      </c>
      <c r="E3291" t="s">
        <v>6956</v>
      </c>
      <c r="F3291">
        <v>12</v>
      </c>
      <c r="G3291">
        <v>7</v>
      </c>
      <c r="H3291" t="s">
        <v>13578</v>
      </c>
      <c r="J3291" t="s">
        <v>1921</v>
      </c>
      <c r="M3291" t="s">
        <v>13579</v>
      </c>
      <c r="N3291">
        <v>1.921480887</v>
      </c>
      <c r="O3291">
        <v>3.0856645180000002</v>
      </c>
      <c r="P3291">
        <v>0.44706724399999997</v>
      </c>
      <c r="Q3291">
        <v>-0.354940863</v>
      </c>
      <c r="S3291" s="13">
        <v>-1.6604478389999999</v>
      </c>
      <c r="T3291">
        <v>-1.330584483</v>
      </c>
      <c r="U3291">
        <v>-0.39234020400000003</v>
      </c>
    </row>
    <row r="3292" spans="1:21" x14ac:dyDescent="0.2">
      <c r="A3292" t="s">
        <v>99</v>
      </c>
      <c r="B3292">
        <v>296480</v>
      </c>
      <c r="C3292" t="s">
        <v>6938</v>
      </c>
      <c r="D3292" t="s">
        <v>101</v>
      </c>
      <c r="E3292" t="s">
        <v>6918</v>
      </c>
      <c r="F3292">
        <v>4</v>
      </c>
      <c r="G3292">
        <v>1</v>
      </c>
      <c r="H3292" t="s">
        <v>13580</v>
      </c>
      <c r="J3292" t="s">
        <v>1901</v>
      </c>
      <c r="M3292" t="s">
        <v>13581</v>
      </c>
      <c r="N3292">
        <v>2.092758737</v>
      </c>
      <c r="O3292">
        <v>5.3323610669999999</v>
      </c>
      <c r="P3292">
        <v>0.70420098600000003</v>
      </c>
      <c r="Q3292">
        <v>0.41355372699999998</v>
      </c>
      <c r="S3292" s="13">
        <v>-1.660494675</v>
      </c>
      <c r="T3292">
        <v>-1.3307891489999999</v>
      </c>
      <c r="U3292">
        <v>-0.64205895999999996</v>
      </c>
    </row>
    <row r="3293" spans="1:21" x14ac:dyDescent="0.2">
      <c r="A3293" t="s">
        <v>465</v>
      </c>
      <c r="B3293">
        <v>462480</v>
      </c>
      <c r="C3293" t="s">
        <v>6914</v>
      </c>
      <c r="D3293" t="s">
        <v>466</v>
      </c>
      <c r="E3293" t="s">
        <v>6939</v>
      </c>
      <c r="F3293">
        <v>8</v>
      </c>
      <c r="G3293">
        <v>2</v>
      </c>
      <c r="H3293" t="s">
        <v>13582</v>
      </c>
      <c r="J3293" t="s">
        <v>6803</v>
      </c>
      <c r="M3293" t="s">
        <v>13583</v>
      </c>
      <c r="N3293">
        <v>1.8217074179999999</v>
      </c>
      <c r="O3293">
        <v>4.1700741289999996</v>
      </c>
      <c r="P3293">
        <v>0.189705977</v>
      </c>
      <c r="Q3293">
        <v>-1.7194070999999998E-2</v>
      </c>
      <c r="S3293" s="13">
        <v>-1.6607250250000001</v>
      </c>
      <c r="T3293">
        <v>-1.3317957229999999</v>
      </c>
      <c r="U3293">
        <v>-0.44600458300000001</v>
      </c>
    </row>
    <row r="3294" spans="1:21" x14ac:dyDescent="0.2">
      <c r="A3294" t="s">
        <v>2167</v>
      </c>
      <c r="B3294">
        <v>391320</v>
      </c>
      <c r="C3294" t="s">
        <v>6906</v>
      </c>
      <c r="D3294" t="s">
        <v>2168</v>
      </c>
      <c r="E3294" t="s">
        <v>6956</v>
      </c>
      <c r="F3294">
        <v>8</v>
      </c>
      <c r="G3294">
        <v>7</v>
      </c>
      <c r="H3294" t="s">
        <v>13584</v>
      </c>
      <c r="J3294" t="s">
        <v>2170</v>
      </c>
      <c r="M3294" t="s">
        <v>13585</v>
      </c>
      <c r="N3294">
        <v>1.813871112</v>
      </c>
      <c r="O3294">
        <v>2.6633694910000001</v>
      </c>
      <c r="P3294">
        <v>-0.29586356800000002</v>
      </c>
      <c r="Q3294">
        <v>-0.59018158399999998</v>
      </c>
      <c r="S3294" s="13">
        <v>-1.66098941</v>
      </c>
      <c r="T3294">
        <v>-1.332951024</v>
      </c>
      <c r="U3294">
        <v>-0.34715108700000002</v>
      </c>
    </row>
    <row r="3295" spans="1:21" x14ac:dyDescent="0.2">
      <c r="A3295" t="s">
        <v>650</v>
      </c>
      <c r="B3295">
        <v>391080</v>
      </c>
      <c r="C3295" t="s">
        <v>6906</v>
      </c>
      <c r="D3295" t="s">
        <v>651</v>
      </c>
      <c r="E3295" t="s">
        <v>7085</v>
      </c>
      <c r="F3295">
        <v>9</v>
      </c>
      <c r="G3295">
        <v>9</v>
      </c>
      <c r="H3295" t="s">
        <v>13586</v>
      </c>
      <c r="J3295" t="s">
        <v>4234</v>
      </c>
      <c r="M3295" t="s">
        <v>13587</v>
      </c>
      <c r="N3295">
        <v>1.813871112</v>
      </c>
      <c r="O3295">
        <v>2.6633694910000001</v>
      </c>
      <c r="P3295">
        <v>-0.29586356800000002</v>
      </c>
      <c r="Q3295">
        <v>-0.59018158399999998</v>
      </c>
      <c r="S3295" s="13">
        <v>-1.6613375889999999</v>
      </c>
      <c r="T3295">
        <v>-1.3344724880000001</v>
      </c>
      <c r="U3295">
        <v>-0.34740238400000001</v>
      </c>
    </row>
    <row r="3296" spans="1:21" x14ac:dyDescent="0.2">
      <c r="A3296" t="s">
        <v>947</v>
      </c>
      <c r="B3296">
        <v>461880</v>
      </c>
      <c r="C3296" t="s">
        <v>6914</v>
      </c>
      <c r="D3296" t="s">
        <v>948</v>
      </c>
      <c r="E3296" t="s">
        <v>6921</v>
      </c>
      <c r="F3296">
        <v>7</v>
      </c>
      <c r="G3296">
        <v>8</v>
      </c>
      <c r="H3296" t="s">
        <v>13588</v>
      </c>
      <c r="J3296" t="s">
        <v>5115</v>
      </c>
      <c r="M3296" t="s">
        <v>13589</v>
      </c>
      <c r="N3296">
        <v>1.8217074179999999</v>
      </c>
      <c r="O3296">
        <v>4.1700741289999996</v>
      </c>
      <c r="P3296">
        <v>0.189705977</v>
      </c>
      <c r="Q3296">
        <v>-1.7194070999999998E-2</v>
      </c>
      <c r="S3296" s="13">
        <v>-1.661446682</v>
      </c>
      <c r="T3296">
        <v>-1.334949199</v>
      </c>
      <c r="U3296">
        <v>-0.44679389899999999</v>
      </c>
    </row>
    <row r="3297" spans="1:21" x14ac:dyDescent="0.2">
      <c r="A3297" t="s">
        <v>1133</v>
      </c>
      <c r="B3297">
        <v>461720</v>
      </c>
      <c r="C3297" t="s">
        <v>6914</v>
      </c>
      <c r="D3297" t="s">
        <v>1134</v>
      </c>
      <c r="E3297" t="s">
        <v>6907</v>
      </c>
      <c r="F3297">
        <v>8</v>
      </c>
      <c r="G3297">
        <v>4</v>
      </c>
      <c r="H3297" t="s">
        <v>13590</v>
      </c>
      <c r="J3297" t="s">
        <v>5533</v>
      </c>
      <c r="M3297" t="s">
        <v>13591</v>
      </c>
      <c r="N3297">
        <v>1.8217074179999999</v>
      </c>
      <c r="O3297">
        <v>4.1700741289999996</v>
      </c>
      <c r="P3297">
        <v>0.189705977</v>
      </c>
      <c r="Q3297">
        <v>-1.7194070999999998E-2</v>
      </c>
      <c r="S3297" s="13">
        <v>-1.6616391230000001</v>
      </c>
      <c r="T3297">
        <v>-1.335790126</v>
      </c>
      <c r="U3297">
        <v>-0.44700462600000002</v>
      </c>
    </row>
    <row r="3298" spans="1:21" x14ac:dyDescent="0.2">
      <c r="A3298" t="s">
        <v>779</v>
      </c>
      <c r="B3298">
        <v>165280</v>
      </c>
      <c r="C3298" t="s">
        <v>6945</v>
      </c>
      <c r="D3298" t="s">
        <v>780</v>
      </c>
      <c r="E3298" t="s">
        <v>7006</v>
      </c>
      <c r="F3298">
        <v>8</v>
      </c>
      <c r="G3298">
        <v>3</v>
      </c>
      <c r="H3298" t="s">
        <v>13592</v>
      </c>
      <c r="J3298" t="s">
        <v>6435</v>
      </c>
      <c r="M3298" t="s">
        <v>13593</v>
      </c>
      <c r="N3298">
        <v>2.2220813349999999</v>
      </c>
      <c r="O3298">
        <v>6.5440947090000003</v>
      </c>
      <c r="P3298">
        <v>0.58228215500000002</v>
      </c>
      <c r="Q3298">
        <v>0.35188233000000002</v>
      </c>
      <c r="S3298" s="13">
        <v>-1.662378087</v>
      </c>
      <c r="T3298">
        <v>-1.339019226</v>
      </c>
      <c r="U3298">
        <v>-0.63774555700000002</v>
      </c>
    </row>
    <row r="3299" spans="1:21" x14ac:dyDescent="0.2">
      <c r="A3299" t="s">
        <v>375</v>
      </c>
      <c r="B3299">
        <v>405480</v>
      </c>
      <c r="C3299" t="s">
        <v>6953</v>
      </c>
      <c r="D3299" t="s">
        <v>375</v>
      </c>
      <c r="E3299" t="s">
        <v>6977</v>
      </c>
      <c r="F3299">
        <v>12</v>
      </c>
      <c r="G3299">
        <v>5</v>
      </c>
      <c r="H3299" t="s">
        <v>13594</v>
      </c>
      <c r="J3299" t="s">
        <v>4596</v>
      </c>
      <c r="M3299" t="s">
        <v>13595</v>
      </c>
      <c r="N3299">
        <v>1.921480887</v>
      </c>
      <c r="O3299">
        <v>3.0856645180000002</v>
      </c>
      <c r="P3299">
        <v>0.44706724399999997</v>
      </c>
      <c r="Q3299">
        <v>-0.354940863</v>
      </c>
      <c r="S3299" s="13">
        <v>-1.6644738210000001</v>
      </c>
      <c r="T3299">
        <v>-1.348177105</v>
      </c>
      <c r="U3299">
        <v>-0.39687059200000002</v>
      </c>
    </row>
    <row r="3300" spans="1:21" x14ac:dyDescent="0.2">
      <c r="A3300" t="s">
        <v>389</v>
      </c>
      <c r="B3300">
        <v>323640</v>
      </c>
      <c r="C3300" t="s">
        <v>6910</v>
      </c>
      <c r="D3300" t="s">
        <v>389</v>
      </c>
      <c r="E3300" t="s">
        <v>6974</v>
      </c>
      <c r="F3300">
        <v>11</v>
      </c>
      <c r="G3300">
        <v>15</v>
      </c>
      <c r="H3300" t="s">
        <v>13596</v>
      </c>
      <c r="J3300" t="s">
        <v>5887</v>
      </c>
      <c r="M3300" t="s">
        <v>13597</v>
      </c>
      <c r="N3300">
        <v>1.9874741039999999</v>
      </c>
      <c r="O3300">
        <v>3.7453511220000002</v>
      </c>
      <c r="P3300">
        <v>0.451009722</v>
      </c>
      <c r="Q3300">
        <v>-0.102386592</v>
      </c>
      <c r="S3300" s="13">
        <v>-1.6644826029999999</v>
      </c>
      <c r="T3300">
        <v>-1.3482154799999999</v>
      </c>
      <c r="U3300">
        <v>-0.377115058</v>
      </c>
    </row>
    <row r="3301" spans="1:21" x14ac:dyDescent="0.2">
      <c r="A3301" t="s">
        <v>1729</v>
      </c>
      <c r="B3301">
        <v>459160</v>
      </c>
      <c r="C3301" t="s">
        <v>6914</v>
      </c>
      <c r="D3301" t="s">
        <v>1729</v>
      </c>
      <c r="E3301" t="s">
        <v>6907</v>
      </c>
      <c r="F3301">
        <v>16</v>
      </c>
      <c r="G3301">
        <v>4</v>
      </c>
      <c r="H3301" t="s">
        <v>13598</v>
      </c>
      <c r="J3301" t="s">
        <v>6821</v>
      </c>
      <c r="M3301" t="s">
        <v>13599</v>
      </c>
      <c r="N3301">
        <v>1.8217074179999999</v>
      </c>
      <c r="O3301">
        <v>4.1700741289999996</v>
      </c>
      <c r="P3301">
        <v>0.189705977</v>
      </c>
      <c r="Q3301">
        <v>-1.7194070999999998E-2</v>
      </c>
      <c r="S3301" s="13">
        <v>-1.6647181929999999</v>
      </c>
      <c r="T3301">
        <v>-1.3492449559999999</v>
      </c>
      <c r="U3301">
        <v>-0.45039023299999997</v>
      </c>
    </row>
    <row r="3302" spans="1:21" x14ac:dyDescent="0.2">
      <c r="A3302" t="s">
        <v>567</v>
      </c>
      <c r="B3302">
        <v>257000</v>
      </c>
      <c r="C3302" t="s">
        <v>6942</v>
      </c>
      <c r="D3302" t="s">
        <v>567</v>
      </c>
      <c r="E3302" t="s">
        <v>6924</v>
      </c>
      <c r="F3302">
        <v>24</v>
      </c>
      <c r="G3302">
        <v>6</v>
      </c>
      <c r="H3302" t="s">
        <v>13600</v>
      </c>
      <c r="J3302" t="s">
        <v>3743</v>
      </c>
      <c r="M3302" t="s">
        <v>13601</v>
      </c>
      <c r="N3302">
        <v>2.0902262079999998</v>
      </c>
      <c r="O3302">
        <v>4.2704203920000001</v>
      </c>
      <c r="P3302">
        <v>0.23425843900000001</v>
      </c>
      <c r="Q3302">
        <v>1.6181978999999999E-2</v>
      </c>
      <c r="S3302" s="13">
        <v>-1.664998135</v>
      </c>
      <c r="T3302">
        <v>-1.350468239</v>
      </c>
      <c r="U3302">
        <v>-0.59692738400000001</v>
      </c>
    </row>
    <row r="3303" spans="1:21" x14ac:dyDescent="0.2">
      <c r="A3303" t="s">
        <v>507</v>
      </c>
      <c r="B3303">
        <v>339920</v>
      </c>
      <c r="C3303" t="s">
        <v>6927</v>
      </c>
      <c r="D3303" t="s">
        <v>508</v>
      </c>
      <c r="E3303" t="s">
        <v>6918</v>
      </c>
      <c r="F3303">
        <v>5</v>
      </c>
      <c r="G3303">
        <v>1</v>
      </c>
      <c r="H3303" t="s">
        <v>13602</v>
      </c>
      <c r="J3303" t="s">
        <v>13603</v>
      </c>
      <c r="M3303" t="s">
        <v>13604</v>
      </c>
      <c r="N3303">
        <v>1.982575982</v>
      </c>
      <c r="O3303">
        <v>3.4571926419999999</v>
      </c>
      <c r="P3303">
        <v>-0.114791479</v>
      </c>
      <c r="Q3303">
        <v>1.868949E-3</v>
      </c>
      <c r="S3303" s="13">
        <v>-1.6650237619999999</v>
      </c>
      <c r="T3303">
        <v>-1.350580221</v>
      </c>
      <c r="U3303">
        <v>-0.50567648700000001</v>
      </c>
    </row>
    <row r="3304" spans="1:21" x14ac:dyDescent="0.2">
      <c r="A3304" t="s">
        <v>42</v>
      </c>
      <c r="B3304">
        <v>310000</v>
      </c>
      <c r="C3304" t="s">
        <v>6931</v>
      </c>
      <c r="D3304" t="s">
        <v>42</v>
      </c>
      <c r="E3304" t="s">
        <v>6977</v>
      </c>
      <c r="F3304">
        <v>13</v>
      </c>
      <c r="G3304">
        <v>5</v>
      </c>
      <c r="H3304" t="s">
        <v>13605</v>
      </c>
      <c r="N3304">
        <v>1.9323965059999999</v>
      </c>
      <c r="O3304">
        <v>3.0528020530000002</v>
      </c>
      <c r="P3304">
        <v>2.6493138999999999E-2</v>
      </c>
      <c r="Q3304">
        <v>-0.38692188</v>
      </c>
      <c r="S3304" s="13">
        <v>-1.6651731160000001</v>
      </c>
      <c r="T3304">
        <v>-1.3512328659999999</v>
      </c>
      <c r="U3304">
        <v>-0.31018589299999999</v>
      </c>
    </row>
    <row r="3305" spans="1:21" x14ac:dyDescent="0.2">
      <c r="A3305" t="s">
        <v>769</v>
      </c>
      <c r="B3305">
        <v>458240</v>
      </c>
      <c r="C3305" t="s">
        <v>6914</v>
      </c>
      <c r="D3305" t="s">
        <v>769</v>
      </c>
      <c r="E3305" t="s">
        <v>6911</v>
      </c>
      <c r="F3305">
        <v>12</v>
      </c>
      <c r="G3305">
        <v>12</v>
      </c>
      <c r="H3305" t="s">
        <v>13606</v>
      </c>
      <c r="J3305" t="s">
        <v>5747</v>
      </c>
      <c r="M3305" t="s">
        <v>13607</v>
      </c>
      <c r="N3305">
        <v>1.8217074179999999</v>
      </c>
      <c r="O3305">
        <v>4.1700741289999996</v>
      </c>
      <c r="P3305">
        <v>0.189705977</v>
      </c>
      <c r="Q3305">
        <v>-1.7194070999999998E-2</v>
      </c>
      <c r="S3305" s="13">
        <v>-1.6658247340000001</v>
      </c>
      <c r="T3305">
        <v>-1.354080285</v>
      </c>
      <c r="U3305">
        <v>-0.45161341100000002</v>
      </c>
    </row>
    <row r="3306" spans="1:21" x14ac:dyDescent="0.2">
      <c r="A3306" t="s">
        <v>2089</v>
      </c>
      <c r="B3306">
        <v>254120</v>
      </c>
      <c r="C3306" t="s">
        <v>6942</v>
      </c>
      <c r="D3306" t="s">
        <v>2090</v>
      </c>
      <c r="E3306" t="s">
        <v>7085</v>
      </c>
      <c r="F3306">
        <v>3</v>
      </c>
      <c r="G3306">
        <v>9</v>
      </c>
      <c r="H3306" t="s">
        <v>13608</v>
      </c>
      <c r="J3306" t="s">
        <v>4842</v>
      </c>
      <c r="M3306" t="s">
        <v>13609</v>
      </c>
      <c r="N3306">
        <v>2.0902262079999998</v>
      </c>
      <c r="O3306">
        <v>4.2704203920000001</v>
      </c>
      <c r="P3306">
        <v>0.23425843900000001</v>
      </c>
      <c r="Q3306">
        <v>1.6181978999999999E-2</v>
      </c>
      <c r="S3306" s="13">
        <v>-1.667824824</v>
      </c>
      <c r="T3306">
        <v>-1.3628202220000001</v>
      </c>
      <c r="U3306">
        <v>-0.602318927</v>
      </c>
    </row>
    <row r="3307" spans="1:21" x14ac:dyDescent="0.2">
      <c r="A3307" t="s">
        <v>2871</v>
      </c>
      <c r="B3307">
        <v>253200</v>
      </c>
      <c r="C3307" t="s">
        <v>6942</v>
      </c>
      <c r="D3307" t="s">
        <v>2871</v>
      </c>
      <c r="E3307" t="s">
        <v>6907</v>
      </c>
      <c r="F3307">
        <v>21</v>
      </c>
      <c r="G3307">
        <v>4</v>
      </c>
      <c r="H3307" t="s">
        <v>13610</v>
      </c>
      <c r="J3307" t="s">
        <v>3990</v>
      </c>
      <c r="M3307" t="s">
        <v>13611</v>
      </c>
      <c r="N3307">
        <v>2.0902262079999998</v>
      </c>
      <c r="O3307">
        <v>4.2704203920000001</v>
      </c>
      <c r="P3307">
        <v>0.23425843900000001</v>
      </c>
      <c r="Q3307">
        <v>1.6181978999999999E-2</v>
      </c>
      <c r="S3307" s="13">
        <v>-1.668727794</v>
      </c>
      <c r="T3307">
        <v>-1.366765995</v>
      </c>
      <c r="U3307">
        <v>-0.60405542800000001</v>
      </c>
    </row>
    <row r="3308" spans="1:21" x14ac:dyDescent="0.2">
      <c r="A3308" t="s">
        <v>2412</v>
      </c>
      <c r="B3308">
        <v>400800</v>
      </c>
      <c r="C3308" t="s">
        <v>6953</v>
      </c>
      <c r="D3308" t="s">
        <v>2412</v>
      </c>
      <c r="E3308" t="s">
        <v>6956</v>
      </c>
      <c r="F3308">
        <v>14</v>
      </c>
      <c r="G3308">
        <v>7</v>
      </c>
      <c r="H3308" t="s">
        <v>13612</v>
      </c>
      <c r="J3308" t="s">
        <v>3703</v>
      </c>
      <c r="M3308" t="s">
        <v>13613</v>
      </c>
      <c r="N3308">
        <v>1.921480887</v>
      </c>
      <c r="O3308">
        <v>3.0856645180000002</v>
      </c>
      <c r="P3308">
        <v>0.44706724399999997</v>
      </c>
      <c r="Q3308">
        <v>-0.354940863</v>
      </c>
      <c r="S3308" s="13">
        <v>-1.6693299020000001</v>
      </c>
      <c r="T3308">
        <v>-1.3693970710000001</v>
      </c>
      <c r="U3308">
        <v>-0.40239871700000002</v>
      </c>
    </row>
    <row r="3309" spans="1:21" x14ac:dyDescent="0.2">
      <c r="A3309" t="s">
        <v>355</v>
      </c>
      <c r="B3309">
        <v>385320</v>
      </c>
      <c r="C3309" t="s">
        <v>6906</v>
      </c>
      <c r="D3309" t="s">
        <v>356</v>
      </c>
      <c r="E3309" t="s">
        <v>6946</v>
      </c>
      <c r="F3309">
        <v>3</v>
      </c>
      <c r="G3309">
        <v>11</v>
      </c>
      <c r="H3309" t="s">
        <v>13614</v>
      </c>
      <c r="J3309" t="s">
        <v>2898</v>
      </c>
      <c r="M3309" t="s">
        <v>13615</v>
      </c>
      <c r="N3309">
        <v>1.813871112</v>
      </c>
      <c r="O3309">
        <v>2.6633694910000001</v>
      </c>
      <c r="P3309">
        <v>-0.29586356800000002</v>
      </c>
      <c r="Q3309">
        <v>-0.59018158399999998</v>
      </c>
      <c r="S3309" s="13">
        <v>-1.669693892</v>
      </c>
      <c r="T3309">
        <v>-1.3709876249999999</v>
      </c>
      <c r="U3309">
        <v>-0.35347756400000002</v>
      </c>
    </row>
    <row r="3310" spans="1:21" x14ac:dyDescent="0.2">
      <c r="A3310" t="s">
        <v>769</v>
      </c>
      <c r="B3310">
        <v>335360</v>
      </c>
      <c r="C3310" t="s">
        <v>6927</v>
      </c>
      <c r="D3310" t="s">
        <v>769</v>
      </c>
      <c r="E3310" t="s">
        <v>6911</v>
      </c>
      <c r="F3310">
        <v>12</v>
      </c>
      <c r="G3310">
        <v>12</v>
      </c>
      <c r="H3310" t="s">
        <v>13616</v>
      </c>
      <c r="J3310" t="s">
        <v>13617</v>
      </c>
      <c r="M3310" t="s">
        <v>13618</v>
      </c>
      <c r="N3310">
        <v>1.982575982</v>
      </c>
      <c r="O3310">
        <v>3.4571926419999999</v>
      </c>
      <c r="P3310">
        <v>-0.114791479</v>
      </c>
      <c r="Q3310">
        <v>1.868949E-3</v>
      </c>
      <c r="S3310" s="13">
        <v>-1.6697553279999999</v>
      </c>
      <c r="T3310">
        <v>-1.371256085</v>
      </c>
      <c r="U3310">
        <v>-0.51260759300000003</v>
      </c>
    </row>
    <row r="3311" spans="1:21" x14ac:dyDescent="0.2">
      <c r="A3311" t="s">
        <v>342</v>
      </c>
      <c r="B3311">
        <v>454720</v>
      </c>
      <c r="C3311" t="s">
        <v>6914</v>
      </c>
      <c r="D3311" t="s">
        <v>342</v>
      </c>
      <c r="E3311" t="s">
        <v>6956</v>
      </c>
      <c r="F3311">
        <v>15</v>
      </c>
      <c r="G3311">
        <v>7</v>
      </c>
      <c r="H3311" t="s">
        <v>13619</v>
      </c>
      <c r="J3311" t="s">
        <v>4307</v>
      </c>
      <c r="M3311" t="s">
        <v>13620</v>
      </c>
      <c r="N3311">
        <v>1.8217074179999999</v>
      </c>
      <c r="O3311">
        <v>4.1700741289999996</v>
      </c>
      <c r="P3311">
        <v>0.189705977</v>
      </c>
      <c r="Q3311">
        <v>-1.7194070999999998E-2</v>
      </c>
      <c r="S3311" s="13">
        <v>-1.6700584540000001</v>
      </c>
      <c r="T3311">
        <v>-1.372580677</v>
      </c>
      <c r="U3311">
        <v>-0.45632546499999999</v>
      </c>
    </row>
    <row r="3312" spans="1:21" x14ac:dyDescent="0.2">
      <c r="A3312" t="s">
        <v>1104</v>
      </c>
      <c r="B3312">
        <v>251040</v>
      </c>
      <c r="C3312" t="s">
        <v>6942</v>
      </c>
      <c r="D3312" t="s">
        <v>1105</v>
      </c>
      <c r="E3312" t="s">
        <v>6956</v>
      </c>
      <c r="F3312">
        <v>2</v>
      </c>
      <c r="G3312">
        <v>7</v>
      </c>
      <c r="H3312" t="s">
        <v>13621</v>
      </c>
      <c r="J3312" t="s">
        <v>4916</v>
      </c>
      <c r="M3312" t="s">
        <v>13622</v>
      </c>
      <c r="N3312">
        <v>2.0902262079999998</v>
      </c>
      <c r="O3312">
        <v>4.2704203920000001</v>
      </c>
      <c r="P3312">
        <v>0.23425843900000001</v>
      </c>
      <c r="Q3312">
        <v>1.6181978999999999E-2</v>
      </c>
      <c r="S3312" s="13">
        <v>-1.6708478099999999</v>
      </c>
      <c r="T3312">
        <v>-1.3760299819999999</v>
      </c>
      <c r="U3312">
        <v>-0.60815992600000002</v>
      </c>
    </row>
    <row r="3313" spans="1:21" x14ac:dyDescent="0.2">
      <c r="A3313" t="s">
        <v>2167</v>
      </c>
      <c r="B3313">
        <v>251040</v>
      </c>
      <c r="C3313" t="s">
        <v>6942</v>
      </c>
      <c r="D3313" t="s">
        <v>2168</v>
      </c>
      <c r="E3313" t="s">
        <v>6956</v>
      </c>
      <c r="F3313">
        <v>8</v>
      </c>
      <c r="G3313">
        <v>7</v>
      </c>
      <c r="H3313" t="s">
        <v>13623</v>
      </c>
      <c r="J3313" t="s">
        <v>4810</v>
      </c>
      <c r="M3313" t="s">
        <v>13624</v>
      </c>
      <c r="N3313">
        <v>2.0902262079999998</v>
      </c>
      <c r="O3313">
        <v>4.2704203920000001</v>
      </c>
      <c r="P3313">
        <v>0.23425843900000001</v>
      </c>
      <c r="Q3313">
        <v>1.6181978999999999E-2</v>
      </c>
      <c r="S3313" s="13">
        <v>-1.6708478099999999</v>
      </c>
      <c r="T3313">
        <v>-1.3760299819999999</v>
      </c>
      <c r="U3313">
        <v>-0.60815992600000002</v>
      </c>
    </row>
    <row r="3314" spans="1:21" x14ac:dyDescent="0.2">
      <c r="A3314" t="s">
        <v>1788</v>
      </c>
      <c r="B3314">
        <v>317440</v>
      </c>
      <c r="C3314" t="s">
        <v>6910</v>
      </c>
      <c r="D3314" t="s">
        <v>1788</v>
      </c>
      <c r="E3314" t="s">
        <v>6956</v>
      </c>
      <c r="F3314">
        <v>10</v>
      </c>
      <c r="G3314">
        <v>7</v>
      </c>
      <c r="H3314" t="s">
        <v>13625</v>
      </c>
      <c r="J3314" t="s">
        <v>6243</v>
      </c>
      <c r="M3314" t="s">
        <v>13626</v>
      </c>
      <c r="N3314">
        <v>1.9874741039999999</v>
      </c>
      <c r="O3314">
        <v>3.7453511220000002</v>
      </c>
      <c r="P3314">
        <v>0.451009722</v>
      </c>
      <c r="Q3314">
        <v>-0.102386592</v>
      </c>
      <c r="S3314" s="13">
        <v>-1.671153143</v>
      </c>
      <c r="T3314">
        <v>-1.3773642150000001</v>
      </c>
      <c r="U3314">
        <v>-0.38412488299999997</v>
      </c>
    </row>
    <row r="3315" spans="1:21" x14ac:dyDescent="0.2">
      <c r="A3315" t="s">
        <v>246</v>
      </c>
      <c r="B3315">
        <v>333720</v>
      </c>
      <c r="C3315" t="s">
        <v>6927</v>
      </c>
      <c r="D3315" t="s">
        <v>246</v>
      </c>
      <c r="E3315" t="s">
        <v>6939</v>
      </c>
      <c r="F3315">
        <v>10</v>
      </c>
      <c r="G3315">
        <v>2</v>
      </c>
      <c r="H3315" t="s">
        <v>13627</v>
      </c>
      <c r="J3315" t="s">
        <v>13628</v>
      </c>
      <c r="M3315" t="s">
        <v>13629</v>
      </c>
      <c r="N3315">
        <v>1.982575982</v>
      </c>
      <c r="O3315">
        <v>3.4571926419999999</v>
      </c>
      <c r="P3315">
        <v>-0.114791479</v>
      </c>
      <c r="Q3315">
        <v>1.868949E-3</v>
      </c>
      <c r="S3315" s="13">
        <v>-1.671457032</v>
      </c>
      <c r="T3315">
        <v>-1.378692142</v>
      </c>
      <c r="U3315">
        <v>-0.51512765400000005</v>
      </c>
    </row>
    <row r="3316" spans="1:21" x14ac:dyDescent="0.2">
      <c r="A3316" t="s">
        <v>944</v>
      </c>
      <c r="B3316">
        <v>453280</v>
      </c>
      <c r="C3316" t="s">
        <v>6914</v>
      </c>
      <c r="D3316" t="s">
        <v>944</v>
      </c>
      <c r="E3316" t="s">
        <v>6924</v>
      </c>
      <c r="F3316">
        <v>12</v>
      </c>
      <c r="G3316">
        <v>6</v>
      </c>
      <c r="H3316" t="s">
        <v>13630</v>
      </c>
      <c r="J3316" t="s">
        <v>6763</v>
      </c>
      <c r="M3316" t="s">
        <v>13631</v>
      </c>
      <c r="N3316">
        <v>1.8217074179999999</v>
      </c>
      <c r="O3316">
        <v>4.1700741289999996</v>
      </c>
      <c r="P3316">
        <v>0.189705977</v>
      </c>
      <c r="Q3316">
        <v>-1.7194070999999998E-2</v>
      </c>
      <c r="S3316" s="13">
        <v>-1.671790431</v>
      </c>
      <c r="T3316">
        <v>-1.380149018</v>
      </c>
      <c r="U3316">
        <v>-0.45826795599999998</v>
      </c>
    </row>
    <row r="3317" spans="1:21" x14ac:dyDescent="0.2">
      <c r="A3317" t="s">
        <v>482</v>
      </c>
      <c r="B3317">
        <v>383840</v>
      </c>
      <c r="C3317" t="s">
        <v>6906</v>
      </c>
      <c r="D3317" t="s">
        <v>482</v>
      </c>
      <c r="E3317" t="s">
        <v>6946</v>
      </c>
      <c r="F3317">
        <v>15</v>
      </c>
      <c r="G3317">
        <v>11</v>
      </c>
      <c r="H3317" t="s">
        <v>13632</v>
      </c>
      <c r="J3317" t="s">
        <v>484</v>
      </c>
      <c r="M3317" t="s">
        <v>13633</v>
      </c>
      <c r="N3317">
        <v>1.813871112</v>
      </c>
      <c r="O3317">
        <v>2.6633694910000001</v>
      </c>
      <c r="P3317">
        <v>-0.29586356800000002</v>
      </c>
      <c r="Q3317">
        <v>-0.59018158399999998</v>
      </c>
      <c r="S3317" s="13">
        <v>-1.671840998</v>
      </c>
      <c r="T3317">
        <v>-1.380369986</v>
      </c>
      <c r="U3317">
        <v>-0.35505236899999998</v>
      </c>
    </row>
    <row r="3318" spans="1:21" x14ac:dyDescent="0.2">
      <c r="A3318" t="s">
        <v>1550</v>
      </c>
      <c r="B3318">
        <v>396720</v>
      </c>
      <c r="C3318" t="s">
        <v>6953</v>
      </c>
      <c r="D3318" t="s">
        <v>1550</v>
      </c>
      <c r="E3318" t="s">
        <v>6974</v>
      </c>
      <c r="F3318">
        <v>14</v>
      </c>
      <c r="G3318">
        <v>15</v>
      </c>
      <c r="H3318" t="s">
        <v>13634</v>
      </c>
      <c r="J3318" t="s">
        <v>5293</v>
      </c>
      <c r="M3318" t="s">
        <v>13635</v>
      </c>
      <c r="N3318">
        <v>1.921480887</v>
      </c>
      <c r="O3318">
        <v>3.0856645180000002</v>
      </c>
      <c r="P3318">
        <v>0.44706724399999997</v>
      </c>
      <c r="Q3318">
        <v>-0.354940863</v>
      </c>
      <c r="S3318" s="13">
        <v>-1.673563409</v>
      </c>
      <c r="T3318">
        <v>-1.387896529</v>
      </c>
      <c r="U3318">
        <v>-0.40727619799999998</v>
      </c>
    </row>
    <row r="3319" spans="1:21" x14ac:dyDescent="0.2">
      <c r="A3319" t="s">
        <v>730</v>
      </c>
      <c r="B3319">
        <v>151040</v>
      </c>
      <c r="C3319" t="s">
        <v>6945</v>
      </c>
      <c r="D3319" t="s">
        <v>731</v>
      </c>
      <c r="E3319" t="s">
        <v>6946</v>
      </c>
      <c r="F3319">
        <v>4</v>
      </c>
      <c r="G3319">
        <v>11</v>
      </c>
      <c r="H3319" t="s">
        <v>13636</v>
      </c>
      <c r="J3319" t="s">
        <v>6193</v>
      </c>
      <c r="M3319" t="s">
        <v>13637</v>
      </c>
      <c r="N3319">
        <v>2.2220813349999999</v>
      </c>
      <c r="O3319">
        <v>6.5440947090000003</v>
      </c>
      <c r="P3319">
        <v>0.58228215500000002</v>
      </c>
      <c r="Q3319">
        <v>0.35188233000000002</v>
      </c>
      <c r="S3319" s="13">
        <v>-1.6758097679999999</v>
      </c>
      <c r="T3319">
        <v>-1.3977126040000001</v>
      </c>
      <c r="U3319">
        <v>-0.66787085800000001</v>
      </c>
    </row>
    <row r="3320" spans="1:21" x14ac:dyDescent="0.2">
      <c r="A3320" t="s">
        <v>314</v>
      </c>
      <c r="B3320">
        <v>393640</v>
      </c>
      <c r="C3320" t="s">
        <v>6953</v>
      </c>
      <c r="D3320" t="s">
        <v>315</v>
      </c>
      <c r="E3320" t="s">
        <v>6915</v>
      </c>
      <c r="F3320">
        <v>6</v>
      </c>
      <c r="G3320">
        <v>13</v>
      </c>
      <c r="H3320" t="s">
        <v>13638</v>
      </c>
      <c r="J3320" t="s">
        <v>3470</v>
      </c>
      <c r="M3320" t="s">
        <v>13639</v>
      </c>
      <c r="N3320">
        <v>1.921480887</v>
      </c>
      <c r="O3320">
        <v>3.0856645180000002</v>
      </c>
      <c r="P3320">
        <v>0.44706724399999997</v>
      </c>
      <c r="Q3320">
        <v>-0.354940863</v>
      </c>
      <c r="S3320" s="13">
        <v>-1.6767592920000001</v>
      </c>
      <c r="T3320">
        <v>-1.4018618060000001</v>
      </c>
      <c r="U3320">
        <v>-0.410994847</v>
      </c>
    </row>
    <row r="3321" spans="1:21" x14ac:dyDescent="0.2">
      <c r="A3321" t="s">
        <v>963</v>
      </c>
      <c r="B3321">
        <v>149800</v>
      </c>
      <c r="C3321" t="s">
        <v>6945</v>
      </c>
      <c r="D3321" t="s">
        <v>963</v>
      </c>
      <c r="E3321" t="s">
        <v>6939</v>
      </c>
      <c r="F3321">
        <v>20</v>
      </c>
      <c r="G3321">
        <v>2</v>
      </c>
      <c r="H3321" t="s">
        <v>13640</v>
      </c>
      <c r="J3321" t="s">
        <v>6203</v>
      </c>
      <c r="M3321" t="s">
        <v>13641</v>
      </c>
      <c r="N3321">
        <v>2.2220813349999999</v>
      </c>
      <c r="O3321">
        <v>6.5440947090000003</v>
      </c>
      <c r="P3321">
        <v>0.58228215500000002</v>
      </c>
      <c r="Q3321">
        <v>0.35188233000000002</v>
      </c>
      <c r="S3321" s="13">
        <v>-1.676979381</v>
      </c>
      <c r="T3321">
        <v>-1.4028235440000001</v>
      </c>
      <c r="U3321">
        <v>-0.670595783</v>
      </c>
    </row>
    <row r="3322" spans="1:21" x14ac:dyDescent="0.2">
      <c r="A3322" t="s">
        <v>1521</v>
      </c>
      <c r="B3322">
        <v>446840</v>
      </c>
      <c r="C3322" t="s">
        <v>6914</v>
      </c>
      <c r="D3322" t="s">
        <v>1521</v>
      </c>
      <c r="E3322" t="s">
        <v>6921</v>
      </c>
      <c r="F3322">
        <v>10</v>
      </c>
      <c r="G3322">
        <v>8</v>
      </c>
      <c r="H3322" t="s">
        <v>13642</v>
      </c>
      <c r="J3322" t="s">
        <v>3655</v>
      </c>
      <c r="M3322" t="s">
        <v>13643</v>
      </c>
      <c r="N3322">
        <v>1.8217074179999999</v>
      </c>
      <c r="O3322">
        <v>4.1700741289999996</v>
      </c>
      <c r="P3322">
        <v>0.189705977</v>
      </c>
      <c r="Q3322">
        <v>-1.7194070999999998E-2</v>
      </c>
      <c r="S3322" s="13">
        <v>-1.6795362149999999</v>
      </c>
      <c r="T3322">
        <v>-1.4139963250000001</v>
      </c>
      <c r="U3322">
        <v>-0.467063126</v>
      </c>
    </row>
    <row r="3323" spans="1:21" x14ac:dyDescent="0.2">
      <c r="A3323" t="s">
        <v>300</v>
      </c>
      <c r="B3323">
        <v>146240</v>
      </c>
      <c r="C3323" t="s">
        <v>6945</v>
      </c>
      <c r="D3323" t="s">
        <v>300</v>
      </c>
      <c r="E3323" t="s">
        <v>7006</v>
      </c>
      <c r="F3323">
        <v>19</v>
      </c>
      <c r="G3323">
        <v>3</v>
      </c>
      <c r="H3323" t="s">
        <v>13644</v>
      </c>
      <c r="J3323" t="s">
        <v>6247</v>
      </c>
      <c r="M3323" t="s">
        <v>13645</v>
      </c>
      <c r="N3323">
        <v>2.2220813349999999</v>
      </c>
      <c r="O3323">
        <v>6.5440947090000003</v>
      </c>
      <c r="P3323">
        <v>0.58228215500000002</v>
      </c>
      <c r="Q3323">
        <v>0.35188233000000002</v>
      </c>
      <c r="S3323" s="13">
        <v>-1.680337301</v>
      </c>
      <c r="T3323">
        <v>-1.4174968880000001</v>
      </c>
      <c r="U3323">
        <v>-0.67851532000000003</v>
      </c>
    </row>
    <row r="3324" spans="1:21" x14ac:dyDescent="0.2">
      <c r="A3324" t="s">
        <v>380</v>
      </c>
      <c r="B3324">
        <v>240240</v>
      </c>
      <c r="C3324" t="s">
        <v>6942</v>
      </c>
      <c r="D3324" t="s">
        <v>380</v>
      </c>
      <c r="E3324" t="s">
        <v>6928</v>
      </c>
      <c r="F3324">
        <v>16</v>
      </c>
      <c r="G3324">
        <v>16</v>
      </c>
      <c r="H3324" t="s">
        <v>13646</v>
      </c>
      <c r="J3324" t="s">
        <v>4625</v>
      </c>
      <c r="M3324" t="s">
        <v>13647</v>
      </c>
      <c r="N3324">
        <v>2.0902262079999998</v>
      </c>
      <c r="O3324">
        <v>4.2704203920000001</v>
      </c>
      <c r="P3324">
        <v>0.23425843900000001</v>
      </c>
      <c r="Q3324">
        <v>1.6181978999999999E-2</v>
      </c>
      <c r="S3324" s="13">
        <v>-1.6814478930000001</v>
      </c>
      <c r="T3324">
        <v>-1.422349919</v>
      </c>
      <c r="U3324">
        <v>-0.62928527099999998</v>
      </c>
    </row>
    <row r="3325" spans="1:21" x14ac:dyDescent="0.2">
      <c r="A3325" t="s">
        <v>311</v>
      </c>
      <c r="B3325">
        <v>240160</v>
      </c>
      <c r="C3325" t="s">
        <v>6942</v>
      </c>
      <c r="D3325" t="s">
        <v>311</v>
      </c>
      <c r="E3325" t="s">
        <v>7006</v>
      </c>
      <c r="F3325">
        <v>18</v>
      </c>
      <c r="G3325">
        <v>3</v>
      </c>
      <c r="H3325" t="s">
        <v>13648</v>
      </c>
      <c r="J3325" t="s">
        <v>5014</v>
      </c>
      <c r="M3325" t="s">
        <v>13649</v>
      </c>
      <c r="N3325">
        <v>2.0902262079999998</v>
      </c>
      <c r="O3325">
        <v>4.2704203920000001</v>
      </c>
      <c r="P3325">
        <v>0.23425843900000001</v>
      </c>
      <c r="Q3325">
        <v>1.6181978999999999E-2</v>
      </c>
      <c r="S3325" s="13">
        <v>-1.681526412</v>
      </c>
      <c r="T3325">
        <v>-1.42269303</v>
      </c>
      <c r="U3325">
        <v>-0.62944565299999999</v>
      </c>
    </row>
    <row r="3326" spans="1:21" x14ac:dyDescent="0.2">
      <c r="A3326" t="s">
        <v>759</v>
      </c>
      <c r="B3326">
        <v>444960</v>
      </c>
      <c r="C3326" t="s">
        <v>6914</v>
      </c>
      <c r="D3326" t="s">
        <v>760</v>
      </c>
      <c r="E3326" t="s">
        <v>6907</v>
      </c>
      <c r="F3326">
        <v>4</v>
      </c>
      <c r="G3326">
        <v>4</v>
      </c>
      <c r="H3326" t="s">
        <v>13650</v>
      </c>
      <c r="J3326" t="s">
        <v>6673</v>
      </c>
      <c r="M3326" t="s">
        <v>13651</v>
      </c>
      <c r="N3326">
        <v>1.8217074179999999</v>
      </c>
      <c r="O3326">
        <v>4.1700741289999996</v>
      </c>
      <c r="P3326">
        <v>0.189705977</v>
      </c>
      <c r="Q3326">
        <v>-1.7194070999999998E-2</v>
      </c>
      <c r="S3326" s="13">
        <v>-1.6817974069999999</v>
      </c>
      <c r="T3326">
        <v>-1.4238772159999999</v>
      </c>
      <c r="U3326">
        <v>-0.46966461100000001</v>
      </c>
    </row>
    <row r="3327" spans="1:21" x14ac:dyDescent="0.2">
      <c r="A3327" t="s">
        <v>1373</v>
      </c>
      <c r="B3327">
        <v>376840</v>
      </c>
      <c r="C3327" t="s">
        <v>6906</v>
      </c>
      <c r="D3327" t="s">
        <v>1373</v>
      </c>
      <c r="E3327" t="s">
        <v>6977</v>
      </c>
      <c r="F3327">
        <v>10</v>
      </c>
      <c r="G3327">
        <v>5</v>
      </c>
      <c r="H3327" t="s">
        <v>13652</v>
      </c>
      <c r="J3327" t="s">
        <v>13653</v>
      </c>
      <c r="M3327" t="s">
        <v>13654</v>
      </c>
      <c r="N3327">
        <v>1.813871112</v>
      </c>
      <c r="O3327">
        <v>2.6633694910000001</v>
      </c>
      <c r="P3327">
        <v>-0.29586356800000002</v>
      </c>
      <c r="Q3327">
        <v>-0.59018158399999998</v>
      </c>
      <c r="S3327" s="13">
        <v>-1.681996228</v>
      </c>
      <c r="T3327">
        <v>-1.4247460190000001</v>
      </c>
      <c r="U3327">
        <v>-0.36257913899999999</v>
      </c>
    </row>
    <row r="3328" spans="1:21" x14ac:dyDescent="0.2">
      <c r="A3328" t="s">
        <v>1343</v>
      </c>
      <c r="B3328">
        <v>376480</v>
      </c>
      <c r="C3328" t="s">
        <v>6906</v>
      </c>
      <c r="D3328" t="s">
        <v>1344</v>
      </c>
      <c r="E3328" t="s">
        <v>7085</v>
      </c>
      <c r="F3328">
        <v>7</v>
      </c>
      <c r="G3328">
        <v>9</v>
      </c>
      <c r="H3328" t="s">
        <v>13655</v>
      </c>
      <c r="J3328" t="s">
        <v>1479</v>
      </c>
      <c r="M3328" t="s">
        <v>13656</v>
      </c>
      <c r="N3328">
        <v>1.813871112</v>
      </c>
      <c r="O3328">
        <v>2.6633694910000001</v>
      </c>
      <c r="P3328">
        <v>-0.29586356800000002</v>
      </c>
      <c r="Q3328">
        <v>-0.59018158399999998</v>
      </c>
      <c r="S3328" s="13">
        <v>-1.682518497</v>
      </c>
      <c r="T3328">
        <v>-1.427028215</v>
      </c>
      <c r="U3328">
        <v>-0.36296977899999999</v>
      </c>
    </row>
    <row r="3329" spans="1:21" x14ac:dyDescent="0.2">
      <c r="A3329" t="s">
        <v>1065</v>
      </c>
      <c r="B3329">
        <v>386680</v>
      </c>
      <c r="C3329" t="s">
        <v>6953</v>
      </c>
      <c r="D3329" t="s">
        <v>1066</v>
      </c>
      <c r="E3329" t="s">
        <v>6956</v>
      </c>
      <c r="F3329">
        <v>7</v>
      </c>
      <c r="G3329">
        <v>7</v>
      </c>
      <c r="H3329" t="s">
        <v>13657</v>
      </c>
      <c r="J3329" t="s">
        <v>13658</v>
      </c>
      <c r="M3329" t="s">
        <v>13659</v>
      </c>
      <c r="N3329">
        <v>1.921480887</v>
      </c>
      <c r="O3329">
        <v>3.0856645180000002</v>
      </c>
      <c r="P3329">
        <v>0.44706724399999997</v>
      </c>
      <c r="Q3329">
        <v>-0.354940863</v>
      </c>
      <c r="S3329" s="13">
        <v>-1.6839811570000001</v>
      </c>
      <c r="T3329">
        <v>-1.4334197040000001</v>
      </c>
      <c r="U3329">
        <v>-0.41951718100000002</v>
      </c>
    </row>
    <row r="3330" spans="1:21" x14ac:dyDescent="0.2">
      <c r="A3330" t="s">
        <v>2764</v>
      </c>
      <c r="B3330">
        <v>236600</v>
      </c>
      <c r="C3330" t="s">
        <v>6942</v>
      </c>
      <c r="D3330" t="s">
        <v>2764</v>
      </c>
      <c r="E3330" t="s">
        <v>6921</v>
      </c>
      <c r="F3330">
        <v>12</v>
      </c>
      <c r="G3330">
        <v>8</v>
      </c>
      <c r="H3330" t="s">
        <v>13660</v>
      </c>
      <c r="J3330" t="s">
        <v>4558</v>
      </c>
      <c r="M3330" t="s">
        <v>13661</v>
      </c>
      <c r="N3330">
        <v>2.0902262079999998</v>
      </c>
      <c r="O3330">
        <v>4.2704203920000001</v>
      </c>
      <c r="P3330">
        <v>0.23425843900000001</v>
      </c>
      <c r="Q3330">
        <v>1.6181978999999999E-2</v>
      </c>
      <c r="S3330" s="13">
        <v>-1.685020513</v>
      </c>
      <c r="T3330">
        <v>-1.4379614540000001</v>
      </c>
      <c r="U3330">
        <v>-0.63664328599999997</v>
      </c>
    </row>
    <row r="3331" spans="1:21" x14ac:dyDescent="0.2">
      <c r="A3331" t="s">
        <v>1986</v>
      </c>
      <c r="B3331">
        <v>442000</v>
      </c>
      <c r="C3331" t="s">
        <v>6914</v>
      </c>
      <c r="D3331" t="s">
        <v>1986</v>
      </c>
      <c r="E3331" t="s">
        <v>6977</v>
      </c>
      <c r="F3331">
        <v>11</v>
      </c>
      <c r="G3331">
        <v>5</v>
      </c>
      <c r="H3331" t="s">
        <v>13662</v>
      </c>
      <c r="J3331" t="s">
        <v>4786</v>
      </c>
      <c r="M3331" t="s">
        <v>13663</v>
      </c>
      <c r="N3331">
        <v>1.8217074179999999</v>
      </c>
      <c r="O3331">
        <v>4.1700741289999996</v>
      </c>
      <c r="P3331">
        <v>0.189705977</v>
      </c>
      <c r="Q3331">
        <v>-1.7194070999999998E-2</v>
      </c>
      <c r="S3331" s="13">
        <v>-1.6853575810000001</v>
      </c>
      <c r="T3331">
        <v>-1.4394343629999999</v>
      </c>
      <c r="U3331">
        <v>-0.47379241300000002</v>
      </c>
    </row>
    <row r="3332" spans="1:21" x14ac:dyDescent="0.2">
      <c r="A3332" t="s">
        <v>753</v>
      </c>
      <c r="B3332">
        <v>385240</v>
      </c>
      <c r="C3332" t="s">
        <v>6953</v>
      </c>
      <c r="D3332" t="s">
        <v>753</v>
      </c>
      <c r="E3332" t="s">
        <v>6911</v>
      </c>
      <c r="F3332">
        <v>10</v>
      </c>
      <c r="G3332">
        <v>12</v>
      </c>
      <c r="H3332" t="s">
        <v>13664</v>
      </c>
      <c r="J3332" t="s">
        <v>755</v>
      </c>
      <c r="M3332" t="s">
        <v>13665</v>
      </c>
      <c r="N3332">
        <v>1.921480887</v>
      </c>
      <c r="O3332">
        <v>3.0856645180000002</v>
      </c>
      <c r="P3332">
        <v>0.44706724399999997</v>
      </c>
      <c r="Q3332">
        <v>-0.354940863</v>
      </c>
      <c r="S3332" s="13">
        <v>-1.6854753360000001</v>
      </c>
      <c r="T3332">
        <v>-1.4399489240000001</v>
      </c>
      <c r="U3332">
        <v>-0.42130149700000002</v>
      </c>
    </row>
    <row r="3333" spans="1:21" x14ac:dyDescent="0.2">
      <c r="A3333" t="s">
        <v>779</v>
      </c>
      <c r="B3333">
        <v>385000</v>
      </c>
      <c r="C3333" t="s">
        <v>6953</v>
      </c>
      <c r="D3333" t="s">
        <v>780</v>
      </c>
      <c r="E3333" t="s">
        <v>7006</v>
      </c>
      <c r="F3333">
        <v>8</v>
      </c>
      <c r="G3333">
        <v>3</v>
      </c>
      <c r="H3333" t="s">
        <v>13666</v>
      </c>
      <c r="J3333" t="s">
        <v>2779</v>
      </c>
      <c r="M3333" t="s">
        <v>13667</v>
      </c>
      <c r="N3333">
        <v>1.921480887</v>
      </c>
      <c r="O3333">
        <v>3.0856645180000002</v>
      </c>
      <c r="P3333">
        <v>0.44706724399999997</v>
      </c>
      <c r="Q3333">
        <v>-0.354940863</v>
      </c>
      <c r="S3333" s="13">
        <v>-1.685724365</v>
      </c>
      <c r="T3333">
        <v>-1.4410371280000001</v>
      </c>
      <c r="U3333">
        <v>-0.42159959699999999</v>
      </c>
    </row>
    <row r="3334" spans="1:21" x14ac:dyDescent="0.2">
      <c r="A3334" t="s">
        <v>314</v>
      </c>
      <c r="B3334">
        <v>441600</v>
      </c>
      <c r="C3334" t="s">
        <v>6914</v>
      </c>
      <c r="D3334" t="s">
        <v>315</v>
      </c>
      <c r="E3334" t="s">
        <v>6915</v>
      </c>
      <c r="F3334">
        <v>6</v>
      </c>
      <c r="G3334">
        <v>13</v>
      </c>
      <c r="H3334" t="s">
        <v>13668</v>
      </c>
      <c r="J3334" t="s">
        <v>2425</v>
      </c>
      <c r="M3334" t="s">
        <v>13669</v>
      </c>
      <c r="N3334">
        <v>1.8217074179999999</v>
      </c>
      <c r="O3334">
        <v>4.1700741289999996</v>
      </c>
      <c r="P3334">
        <v>0.189705977</v>
      </c>
      <c r="Q3334">
        <v>-1.7194070999999998E-2</v>
      </c>
      <c r="S3334" s="13">
        <v>-1.6858386860000001</v>
      </c>
      <c r="T3334">
        <v>-1.4415366810000001</v>
      </c>
      <c r="U3334">
        <v>-0.47435324600000001</v>
      </c>
    </row>
    <row r="3335" spans="1:21" x14ac:dyDescent="0.2">
      <c r="A3335" t="s">
        <v>1747</v>
      </c>
      <c r="B3335">
        <v>384800</v>
      </c>
      <c r="C3335" t="s">
        <v>6953</v>
      </c>
      <c r="D3335" t="s">
        <v>1747</v>
      </c>
      <c r="E3335" t="s">
        <v>6911</v>
      </c>
      <c r="F3335">
        <v>13</v>
      </c>
      <c r="G3335">
        <v>12</v>
      </c>
      <c r="H3335" t="s">
        <v>13670</v>
      </c>
      <c r="J3335" t="s">
        <v>5419</v>
      </c>
      <c r="M3335" t="s">
        <v>13671</v>
      </c>
      <c r="N3335">
        <v>1.921480887</v>
      </c>
      <c r="O3335">
        <v>3.0856645180000002</v>
      </c>
      <c r="P3335">
        <v>0.44706724399999997</v>
      </c>
      <c r="Q3335">
        <v>-0.354940863</v>
      </c>
      <c r="S3335" s="13">
        <v>-1.68593189</v>
      </c>
      <c r="T3335">
        <v>-1.441943964</v>
      </c>
      <c r="U3335">
        <v>-0.42184817000000002</v>
      </c>
    </row>
    <row r="3336" spans="1:21" x14ac:dyDescent="0.2">
      <c r="A3336" t="s">
        <v>1659</v>
      </c>
      <c r="B3336">
        <v>441200</v>
      </c>
      <c r="C3336" t="s">
        <v>6914</v>
      </c>
      <c r="D3336" t="s">
        <v>1660</v>
      </c>
      <c r="E3336" t="s">
        <v>6946</v>
      </c>
      <c r="F3336">
        <v>8</v>
      </c>
      <c r="G3336">
        <v>11</v>
      </c>
      <c r="H3336" t="s">
        <v>13672</v>
      </c>
      <c r="J3336" t="s">
        <v>5553</v>
      </c>
      <c r="M3336" t="s">
        <v>13673</v>
      </c>
      <c r="N3336">
        <v>1.8217074179999999</v>
      </c>
      <c r="O3336">
        <v>4.1700741289999996</v>
      </c>
      <c r="P3336">
        <v>0.189705977</v>
      </c>
      <c r="Q3336">
        <v>-1.7194070999999998E-2</v>
      </c>
      <c r="S3336" s="13">
        <v>-1.68631979</v>
      </c>
      <c r="T3336">
        <v>-1.443638998</v>
      </c>
      <c r="U3336">
        <v>-0.474914803</v>
      </c>
    </row>
    <row r="3337" spans="1:21" x14ac:dyDescent="0.2">
      <c r="A3337" t="s">
        <v>519</v>
      </c>
      <c r="B3337">
        <v>373480</v>
      </c>
      <c r="C3337" t="s">
        <v>6906</v>
      </c>
      <c r="D3337" t="s">
        <v>519</v>
      </c>
      <c r="E3337" t="s">
        <v>6956</v>
      </c>
      <c r="F3337">
        <v>18</v>
      </c>
      <c r="G3337">
        <v>7</v>
      </c>
      <c r="H3337" t="s">
        <v>13674</v>
      </c>
      <c r="J3337" t="s">
        <v>521</v>
      </c>
      <c r="M3337" t="s">
        <v>13675</v>
      </c>
      <c r="N3337">
        <v>1.813871112</v>
      </c>
      <c r="O3337">
        <v>2.6633694910000001</v>
      </c>
      <c r="P3337">
        <v>-0.29586356800000002</v>
      </c>
      <c r="Q3337">
        <v>-0.59018158399999998</v>
      </c>
      <c r="S3337" s="13">
        <v>-1.6868707380000001</v>
      </c>
      <c r="T3337">
        <v>-1.4460465149999999</v>
      </c>
      <c r="U3337">
        <v>-0.366238854</v>
      </c>
    </row>
    <row r="3338" spans="1:21" x14ac:dyDescent="0.2">
      <c r="A3338" t="s">
        <v>689</v>
      </c>
      <c r="B3338">
        <v>373280</v>
      </c>
      <c r="C3338" t="s">
        <v>6906</v>
      </c>
      <c r="D3338" t="s">
        <v>690</v>
      </c>
      <c r="E3338" t="s">
        <v>6911</v>
      </c>
      <c r="F3338">
        <v>5</v>
      </c>
      <c r="G3338">
        <v>12</v>
      </c>
      <c r="H3338" t="s">
        <v>13676</v>
      </c>
      <c r="J3338" t="s">
        <v>3763</v>
      </c>
      <c r="M3338" t="s">
        <v>13677</v>
      </c>
      <c r="N3338">
        <v>1.813871112</v>
      </c>
      <c r="O3338">
        <v>2.6633694910000001</v>
      </c>
      <c r="P3338">
        <v>-0.29586356800000002</v>
      </c>
      <c r="Q3338">
        <v>-0.59018158399999998</v>
      </c>
      <c r="S3338" s="13">
        <v>-1.687160888</v>
      </c>
      <c r="T3338">
        <v>-1.4473144019999999</v>
      </c>
      <c r="U3338">
        <v>-0.36645766899999999</v>
      </c>
    </row>
    <row r="3339" spans="1:21" x14ac:dyDescent="0.2">
      <c r="A3339" t="s">
        <v>185</v>
      </c>
      <c r="B3339">
        <v>318240</v>
      </c>
      <c r="C3339" t="s">
        <v>6927</v>
      </c>
      <c r="D3339" t="s">
        <v>185</v>
      </c>
      <c r="E3339" t="s">
        <v>6977</v>
      </c>
      <c r="F3339">
        <v>23</v>
      </c>
      <c r="G3339">
        <v>5</v>
      </c>
      <c r="H3339" t="s">
        <v>13678</v>
      </c>
      <c r="J3339" t="s">
        <v>13679</v>
      </c>
      <c r="M3339" t="s">
        <v>13680</v>
      </c>
      <c r="N3339">
        <v>1.982575982</v>
      </c>
      <c r="O3339">
        <v>3.4571926419999999</v>
      </c>
      <c r="P3339">
        <v>-0.114791479</v>
      </c>
      <c r="Q3339">
        <v>1.868949E-3</v>
      </c>
      <c r="S3339" s="13">
        <v>-1.6875194549999999</v>
      </c>
      <c r="T3339">
        <v>-1.4488812600000001</v>
      </c>
      <c r="U3339">
        <v>-0.53966396500000002</v>
      </c>
    </row>
    <row r="3340" spans="1:21" x14ac:dyDescent="0.2">
      <c r="A3340" t="s">
        <v>190</v>
      </c>
      <c r="B3340">
        <v>382200</v>
      </c>
      <c r="C3340" t="s">
        <v>6953</v>
      </c>
      <c r="D3340" t="s">
        <v>190</v>
      </c>
      <c r="E3340" t="s">
        <v>6946</v>
      </c>
      <c r="F3340">
        <v>10</v>
      </c>
      <c r="G3340">
        <v>11</v>
      </c>
      <c r="H3340" t="s">
        <v>13681</v>
      </c>
      <c r="J3340" t="s">
        <v>5481</v>
      </c>
      <c r="M3340" t="s">
        <v>13682</v>
      </c>
      <c r="N3340">
        <v>1.921480887</v>
      </c>
      <c r="O3340">
        <v>3.0856645180000002</v>
      </c>
      <c r="P3340">
        <v>0.44706724399999997</v>
      </c>
      <c r="Q3340">
        <v>-0.354940863</v>
      </c>
      <c r="S3340" s="13">
        <v>-1.6886297130000001</v>
      </c>
      <c r="T3340">
        <v>-1.453732834</v>
      </c>
      <c r="U3340">
        <v>-0.42509263400000002</v>
      </c>
    </row>
    <row r="3341" spans="1:21" x14ac:dyDescent="0.2">
      <c r="A3341" t="s">
        <v>500</v>
      </c>
      <c r="B3341">
        <v>135360</v>
      </c>
      <c r="C3341" t="s">
        <v>6945</v>
      </c>
      <c r="D3341" t="s">
        <v>501</v>
      </c>
      <c r="E3341" t="s">
        <v>7115</v>
      </c>
      <c r="F3341">
        <v>9</v>
      </c>
      <c r="G3341">
        <v>10</v>
      </c>
      <c r="H3341" t="s">
        <v>13683</v>
      </c>
      <c r="J3341" t="s">
        <v>5937</v>
      </c>
      <c r="M3341" t="s">
        <v>13684</v>
      </c>
      <c r="N3341">
        <v>2.2220813349999999</v>
      </c>
      <c r="O3341">
        <v>6.5440947090000003</v>
      </c>
      <c r="P3341">
        <v>0.58228215500000002</v>
      </c>
      <c r="Q3341">
        <v>0.35188233000000002</v>
      </c>
      <c r="S3341" s="13">
        <v>-1.690599709</v>
      </c>
      <c r="T3341">
        <v>-1.4623412659999999</v>
      </c>
      <c r="U3341">
        <v>-0.70365463800000005</v>
      </c>
    </row>
    <row r="3342" spans="1:21" x14ac:dyDescent="0.2">
      <c r="A3342" t="s">
        <v>202</v>
      </c>
      <c r="B3342">
        <v>314800</v>
      </c>
      <c r="C3342" t="s">
        <v>6927</v>
      </c>
      <c r="D3342" t="s">
        <v>202</v>
      </c>
      <c r="E3342" t="s">
        <v>6907</v>
      </c>
      <c r="F3342">
        <v>14</v>
      </c>
      <c r="G3342">
        <v>4</v>
      </c>
      <c r="H3342" t="s">
        <v>13685</v>
      </c>
      <c r="J3342" t="s">
        <v>13686</v>
      </c>
      <c r="M3342" t="s">
        <v>13687</v>
      </c>
      <c r="N3342">
        <v>1.982575982</v>
      </c>
      <c r="O3342">
        <v>3.4571926419999999</v>
      </c>
      <c r="P3342">
        <v>-0.114791479</v>
      </c>
      <c r="Q3342">
        <v>1.868949E-3</v>
      </c>
      <c r="S3342" s="13">
        <v>-1.6910888829999999</v>
      </c>
      <c r="T3342">
        <v>-1.4644788419999999</v>
      </c>
      <c r="U3342">
        <v>-0.545309987</v>
      </c>
    </row>
    <row r="3343" spans="1:21" x14ac:dyDescent="0.2">
      <c r="A3343" t="s">
        <v>314</v>
      </c>
      <c r="B3343">
        <v>370200</v>
      </c>
      <c r="C3343" t="s">
        <v>6906</v>
      </c>
      <c r="D3343" t="s">
        <v>315</v>
      </c>
      <c r="E3343" t="s">
        <v>6915</v>
      </c>
      <c r="F3343">
        <v>6</v>
      </c>
      <c r="G3343">
        <v>13</v>
      </c>
      <c r="H3343" t="s">
        <v>13688</v>
      </c>
      <c r="J3343" t="s">
        <v>317</v>
      </c>
      <c r="M3343" t="s">
        <v>13689</v>
      </c>
      <c r="N3343">
        <v>1.813871112</v>
      </c>
      <c r="O3343">
        <v>2.6633694910000001</v>
      </c>
      <c r="P3343">
        <v>-0.29586356800000002</v>
      </c>
      <c r="Q3343">
        <v>-0.59018158399999998</v>
      </c>
      <c r="S3343" s="13">
        <v>-1.6916291889999999</v>
      </c>
      <c r="T3343">
        <v>-1.4668398570000001</v>
      </c>
      <c r="U3343">
        <v>-0.36984142800000003</v>
      </c>
    </row>
    <row r="3344" spans="1:21" x14ac:dyDescent="0.2">
      <c r="A3344" t="s">
        <v>741</v>
      </c>
      <c r="B3344">
        <v>436640</v>
      </c>
      <c r="C3344" t="s">
        <v>6914</v>
      </c>
      <c r="D3344" t="s">
        <v>741</v>
      </c>
      <c r="E3344" t="s">
        <v>6946</v>
      </c>
      <c r="F3344">
        <v>17</v>
      </c>
      <c r="G3344">
        <v>11</v>
      </c>
      <c r="H3344" t="s">
        <v>13690</v>
      </c>
      <c r="J3344" t="s">
        <v>4692</v>
      </c>
      <c r="M3344" t="s">
        <v>13691</v>
      </c>
      <c r="N3344">
        <v>1.8217074179999999</v>
      </c>
      <c r="O3344">
        <v>4.1700741289999996</v>
      </c>
      <c r="P3344">
        <v>0.189705977</v>
      </c>
      <c r="Q3344">
        <v>-1.7194070999999998E-2</v>
      </c>
      <c r="S3344" s="13">
        <v>-1.691804383</v>
      </c>
      <c r="T3344">
        <v>-1.4676054140000001</v>
      </c>
      <c r="U3344">
        <v>-0.48136841299999999</v>
      </c>
    </row>
    <row r="3345" spans="1:21" x14ac:dyDescent="0.2">
      <c r="A3345" t="s">
        <v>1703</v>
      </c>
      <c r="B3345">
        <v>229600</v>
      </c>
      <c r="C3345" t="s">
        <v>6942</v>
      </c>
      <c r="D3345" t="s">
        <v>1703</v>
      </c>
      <c r="E3345" t="s">
        <v>6928</v>
      </c>
      <c r="F3345">
        <v>21</v>
      </c>
      <c r="G3345">
        <v>16</v>
      </c>
      <c r="H3345" t="s">
        <v>13692</v>
      </c>
      <c r="J3345" t="s">
        <v>4884</v>
      </c>
      <c r="M3345" t="s">
        <v>13693</v>
      </c>
      <c r="N3345">
        <v>2.0902262079999998</v>
      </c>
      <c r="O3345">
        <v>4.2704203920000001</v>
      </c>
      <c r="P3345">
        <v>0.23425843900000001</v>
      </c>
      <c r="Q3345">
        <v>1.6181978999999999E-2</v>
      </c>
      <c r="S3345" s="13">
        <v>-1.6918909369999999</v>
      </c>
      <c r="T3345">
        <v>-1.467983635</v>
      </c>
      <c r="U3345">
        <v>-0.65115359100000003</v>
      </c>
    </row>
    <row r="3346" spans="1:21" x14ac:dyDescent="0.2">
      <c r="A3346" t="s">
        <v>1456</v>
      </c>
      <c r="B3346">
        <v>132760</v>
      </c>
      <c r="C3346" t="s">
        <v>6945</v>
      </c>
      <c r="D3346" t="s">
        <v>1457</v>
      </c>
      <c r="E3346" t="s">
        <v>7006</v>
      </c>
      <c r="F3346">
        <v>7</v>
      </c>
      <c r="G3346">
        <v>3</v>
      </c>
      <c r="H3346" t="s">
        <v>13694</v>
      </c>
      <c r="J3346" t="s">
        <v>6071</v>
      </c>
      <c r="M3346" t="s">
        <v>13695</v>
      </c>
      <c r="N3346">
        <v>2.2220813349999999</v>
      </c>
      <c r="O3346">
        <v>6.5440947090000003</v>
      </c>
      <c r="P3346">
        <v>0.58228215500000002</v>
      </c>
      <c r="Q3346">
        <v>0.35188233000000002</v>
      </c>
      <c r="S3346" s="13">
        <v>-1.693052123</v>
      </c>
      <c r="T3346">
        <v>-1.4730577540000001</v>
      </c>
      <c r="U3346">
        <v>-0.70988393699999996</v>
      </c>
    </row>
    <row r="3347" spans="1:21" x14ac:dyDescent="0.2">
      <c r="A3347" t="s">
        <v>1309</v>
      </c>
      <c r="B3347">
        <v>434480</v>
      </c>
      <c r="C3347" t="s">
        <v>6914</v>
      </c>
      <c r="D3347" t="s">
        <v>1309</v>
      </c>
      <c r="E3347" t="s">
        <v>6921</v>
      </c>
      <c r="F3347">
        <v>20</v>
      </c>
      <c r="G3347">
        <v>8</v>
      </c>
      <c r="H3347" t="s">
        <v>13696</v>
      </c>
      <c r="J3347" t="s">
        <v>3345</v>
      </c>
      <c r="M3347" t="s">
        <v>13697</v>
      </c>
      <c r="N3347">
        <v>1.8217074179999999</v>
      </c>
      <c r="O3347">
        <v>4.1700741289999996</v>
      </c>
      <c r="P3347">
        <v>0.189705977</v>
      </c>
      <c r="Q3347">
        <v>-1.7194070999999998E-2</v>
      </c>
      <c r="S3347" s="13">
        <v>-1.6944023479999999</v>
      </c>
      <c r="T3347">
        <v>-1.478957927</v>
      </c>
      <c r="U3347">
        <v>-0.48445918399999999</v>
      </c>
    </row>
    <row r="3348" spans="1:21" x14ac:dyDescent="0.2">
      <c r="A3348" t="s">
        <v>477</v>
      </c>
      <c r="B3348">
        <v>367720</v>
      </c>
      <c r="C3348" t="s">
        <v>6906</v>
      </c>
      <c r="D3348" t="s">
        <v>477</v>
      </c>
      <c r="E3348" t="s">
        <v>6918</v>
      </c>
      <c r="F3348">
        <v>12</v>
      </c>
      <c r="G3348">
        <v>1</v>
      </c>
      <c r="H3348" t="s">
        <v>13698</v>
      </c>
      <c r="J3348" t="s">
        <v>13699</v>
      </c>
      <c r="M3348" t="s">
        <v>13700</v>
      </c>
      <c r="N3348">
        <v>1.813871112</v>
      </c>
      <c r="O3348">
        <v>2.6633694910000001</v>
      </c>
      <c r="P3348">
        <v>-0.29586356800000002</v>
      </c>
      <c r="Q3348">
        <v>-0.59018158399999998</v>
      </c>
      <c r="S3348" s="13">
        <v>-1.695227042</v>
      </c>
      <c r="T3348">
        <v>-1.4825616509999999</v>
      </c>
      <c r="U3348">
        <v>-0.37258530499999998</v>
      </c>
    </row>
    <row r="3349" spans="1:21" x14ac:dyDescent="0.2">
      <c r="A3349" t="s">
        <v>1069</v>
      </c>
      <c r="B3349">
        <v>375680</v>
      </c>
      <c r="C3349" t="s">
        <v>6953</v>
      </c>
      <c r="D3349" t="s">
        <v>1070</v>
      </c>
      <c r="E3349" t="s">
        <v>7085</v>
      </c>
      <c r="F3349">
        <v>6</v>
      </c>
      <c r="G3349">
        <v>9</v>
      </c>
      <c r="H3349" t="s">
        <v>13701</v>
      </c>
      <c r="J3349" t="s">
        <v>5323</v>
      </c>
      <c r="M3349" t="s">
        <v>13702</v>
      </c>
      <c r="N3349">
        <v>1.921480887</v>
      </c>
      <c r="O3349">
        <v>3.0856645180000002</v>
      </c>
      <c r="P3349">
        <v>0.44706724399999997</v>
      </c>
      <c r="Q3349">
        <v>-0.354940863</v>
      </c>
      <c r="S3349" s="13">
        <v>-1.695395024</v>
      </c>
      <c r="T3349">
        <v>-1.4832956930000001</v>
      </c>
      <c r="U3349">
        <v>-0.43333697900000001</v>
      </c>
    </row>
    <row r="3350" spans="1:21" x14ac:dyDescent="0.2">
      <c r="A3350" t="s">
        <v>749</v>
      </c>
      <c r="B3350">
        <v>255000</v>
      </c>
      <c r="C3350" t="s">
        <v>6938</v>
      </c>
      <c r="D3350" t="s">
        <v>749</v>
      </c>
      <c r="E3350" t="s">
        <v>6946</v>
      </c>
      <c r="F3350">
        <v>13</v>
      </c>
      <c r="G3350">
        <v>11</v>
      </c>
      <c r="H3350" t="s">
        <v>13703</v>
      </c>
      <c r="J3350" t="s">
        <v>5369</v>
      </c>
      <c r="M3350" t="s">
        <v>13704</v>
      </c>
      <c r="N3350">
        <v>2.092758737</v>
      </c>
      <c r="O3350">
        <v>5.3323610669999999</v>
      </c>
      <c r="P3350">
        <v>0.70420098600000003</v>
      </c>
      <c r="Q3350">
        <v>0.41355372699999998</v>
      </c>
      <c r="S3350" s="13">
        <v>-1.696118172</v>
      </c>
      <c r="T3350">
        <v>-1.4864556879999999</v>
      </c>
      <c r="U3350">
        <v>-0.73742869200000005</v>
      </c>
    </row>
    <row r="3351" spans="1:21" x14ac:dyDescent="0.2">
      <c r="A3351" t="s">
        <v>13</v>
      </c>
      <c r="B3351">
        <v>366360</v>
      </c>
      <c r="C3351" t="s">
        <v>6906</v>
      </c>
      <c r="D3351" t="s">
        <v>13</v>
      </c>
      <c r="E3351" t="s">
        <v>6921</v>
      </c>
      <c r="F3351">
        <v>22</v>
      </c>
      <c r="G3351">
        <v>8</v>
      </c>
      <c r="H3351" t="s">
        <v>13705</v>
      </c>
      <c r="J3351" t="s">
        <v>2977</v>
      </c>
      <c r="M3351" t="s">
        <v>13706</v>
      </c>
      <c r="N3351">
        <v>1.813871112</v>
      </c>
      <c r="O3351">
        <v>2.6633694910000001</v>
      </c>
      <c r="P3351">
        <v>-0.29586356800000002</v>
      </c>
      <c r="Q3351">
        <v>-0.59018158399999998</v>
      </c>
      <c r="S3351" s="13">
        <v>-1.697200058</v>
      </c>
      <c r="T3351">
        <v>-1.4911832810000001</v>
      </c>
      <c r="U3351">
        <v>-0.37409740400000002</v>
      </c>
    </row>
    <row r="3352" spans="1:21" x14ac:dyDescent="0.2">
      <c r="A3352" t="s">
        <v>1256</v>
      </c>
      <c r="B3352">
        <v>127760</v>
      </c>
      <c r="C3352" t="s">
        <v>6945</v>
      </c>
      <c r="D3352" t="s">
        <v>1257</v>
      </c>
      <c r="E3352" t="s">
        <v>6946</v>
      </c>
      <c r="F3352">
        <v>7</v>
      </c>
      <c r="G3352">
        <v>11</v>
      </c>
      <c r="H3352" t="s">
        <v>13707</v>
      </c>
      <c r="J3352" t="s">
        <v>6129</v>
      </c>
      <c r="M3352" t="s">
        <v>13708</v>
      </c>
      <c r="N3352">
        <v>2.2220813349999999</v>
      </c>
      <c r="O3352">
        <v>6.5440947090000003</v>
      </c>
      <c r="P3352">
        <v>0.58228215500000002</v>
      </c>
      <c r="Q3352">
        <v>0.35188233000000002</v>
      </c>
      <c r="S3352" s="13">
        <v>-1.6977683029999999</v>
      </c>
      <c r="T3352">
        <v>-1.493666384</v>
      </c>
      <c r="U3352">
        <v>-0.72212046200000002</v>
      </c>
    </row>
    <row r="3353" spans="1:21" x14ac:dyDescent="0.2">
      <c r="A3353" t="s">
        <v>1290</v>
      </c>
      <c r="B3353">
        <v>431520</v>
      </c>
      <c r="C3353" t="s">
        <v>6914</v>
      </c>
      <c r="D3353" t="s">
        <v>1291</v>
      </c>
      <c r="E3353" t="s">
        <v>6924</v>
      </c>
      <c r="F3353">
        <v>7</v>
      </c>
      <c r="G3353">
        <v>6</v>
      </c>
      <c r="H3353" t="s">
        <v>13709</v>
      </c>
      <c r="J3353" t="s">
        <v>6799</v>
      </c>
      <c r="M3353" t="s">
        <v>13710</v>
      </c>
      <c r="N3353">
        <v>1.8217074179999999</v>
      </c>
      <c r="O3353">
        <v>4.1700741289999996</v>
      </c>
      <c r="P3353">
        <v>0.189705977</v>
      </c>
      <c r="Q3353">
        <v>-1.7194070999999998E-2</v>
      </c>
      <c r="S3353" s="13">
        <v>-1.6979625220000001</v>
      </c>
      <c r="T3353">
        <v>-1.4945150739999999</v>
      </c>
      <c r="U3353">
        <v>-0.48873073099999997</v>
      </c>
    </row>
    <row r="3354" spans="1:21" x14ac:dyDescent="0.2">
      <c r="A3354" t="s">
        <v>2118</v>
      </c>
      <c r="B3354">
        <v>307080</v>
      </c>
      <c r="C3354" t="s">
        <v>6927</v>
      </c>
      <c r="D3354" t="s">
        <v>2119</v>
      </c>
      <c r="E3354" t="s">
        <v>6974</v>
      </c>
      <c r="F3354">
        <v>4</v>
      </c>
      <c r="G3354">
        <v>15</v>
      </c>
      <c r="H3354" t="s">
        <v>13711</v>
      </c>
      <c r="J3354" t="s">
        <v>13712</v>
      </c>
      <c r="M3354" t="s">
        <v>13713</v>
      </c>
      <c r="N3354">
        <v>1.982575982</v>
      </c>
      <c r="O3354">
        <v>3.4571926419999999</v>
      </c>
      <c r="P3354">
        <v>-0.114791479</v>
      </c>
      <c r="Q3354">
        <v>1.868949E-3</v>
      </c>
      <c r="S3354" s="13">
        <v>-1.699099342</v>
      </c>
      <c r="T3354">
        <v>-1.4994827180000001</v>
      </c>
      <c r="U3354">
        <v>-0.55825444000000002</v>
      </c>
    </row>
    <row r="3355" spans="1:21" x14ac:dyDescent="0.2">
      <c r="A3355" t="s">
        <v>400</v>
      </c>
      <c r="B3355">
        <v>371240</v>
      </c>
      <c r="C3355" t="s">
        <v>6953</v>
      </c>
      <c r="D3355" t="s">
        <v>400</v>
      </c>
      <c r="E3355" t="s">
        <v>6939</v>
      </c>
      <c r="F3355">
        <v>11</v>
      </c>
      <c r="G3355">
        <v>2</v>
      </c>
      <c r="H3355" t="s">
        <v>13714</v>
      </c>
      <c r="J3355" t="s">
        <v>5467</v>
      </c>
      <c r="M3355" t="s">
        <v>13715</v>
      </c>
      <c r="N3355">
        <v>1.921480887</v>
      </c>
      <c r="O3355">
        <v>3.0856645180000002</v>
      </c>
      <c r="P3355">
        <v>0.44706724399999997</v>
      </c>
      <c r="Q3355">
        <v>-0.354940863</v>
      </c>
      <c r="S3355" s="13">
        <v>-1.700002075</v>
      </c>
      <c r="T3355">
        <v>-1.503427455</v>
      </c>
      <c r="U3355">
        <v>-0.43904216299999999</v>
      </c>
    </row>
    <row r="3356" spans="1:21" x14ac:dyDescent="0.2">
      <c r="A3356" t="s">
        <v>772</v>
      </c>
      <c r="B3356">
        <v>364360</v>
      </c>
      <c r="C3356" t="s">
        <v>6906</v>
      </c>
      <c r="D3356" t="s">
        <v>772</v>
      </c>
      <c r="E3356" t="s">
        <v>6928</v>
      </c>
      <c r="F3356">
        <v>18</v>
      </c>
      <c r="G3356">
        <v>16</v>
      </c>
      <c r="H3356" t="s">
        <v>13716</v>
      </c>
      <c r="J3356" t="s">
        <v>4195</v>
      </c>
      <c r="M3356" t="s">
        <v>13717</v>
      </c>
      <c r="N3356">
        <v>1.813871112</v>
      </c>
      <c r="O3356">
        <v>2.6633694910000001</v>
      </c>
      <c r="P3356">
        <v>-0.29586356800000002</v>
      </c>
      <c r="Q3356">
        <v>-0.59018158399999998</v>
      </c>
      <c r="S3356" s="13">
        <v>-1.700101552</v>
      </c>
      <c r="T3356">
        <v>-1.503862147</v>
      </c>
      <c r="U3356">
        <v>-0.376330687</v>
      </c>
    </row>
    <row r="3357" spans="1:21" x14ac:dyDescent="0.2">
      <c r="A3357" t="s">
        <v>1275</v>
      </c>
      <c r="B3357">
        <v>427760</v>
      </c>
      <c r="C3357" t="s">
        <v>6914</v>
      </c>
      <c r="D3357" t="s">
        <v>1276</v>
      </c>
      <c r="E3357" t="s">
        <v>7085</v>
      </c>
      <c r="F3357">
        <v>5</v>
      </c>
      <c r="G3357">
        <v>9</v>
      </c>
      <c r="H3357" t="s">
        <v>13718</v>
      </c>
      <c r="J3357" t="s">
        <v>4766</v>
      </c>
      <c r="M3357" t="s">
        <v>13719</v>
      </c>
      <c r="N3357">
        <v>1.8217074179999999</v>
      </c>
      <c r="O3357">
        <v>4.1700741289999996</v>
      </c>
      <c r="P3357">
        <v>0.189705977</v>
      </c>
      <c r="Q3357">
        <v>-1.7194070999999998E-2</v>
      </c>
      <c r="S3357" s="13">
        <v>-1.7024849049999999</v>
      </c>
      <c r="T3357">
        <v>-1.5142768550000001</v>
      </c>
      <c r="U3357">
        <v>-0.494218043</v>
      </c>
    </row>
    <row r="3358" spans="1:21" x14ac:dyDescent="0.2">
      <c r="A3358" t="s">
        <v>1150</v>
      </c>
      <c r="B3358">
        <v>361800</v>
      </c>
      <c r="C3358" t="s">
        <v>6906</v>
      </c>
      <c r="D3358" t="s">
        <v>1150</v>
      </c>
      <c r="E3358" t="s">
        <v>7006</v>
      </c>
      <c r="F3358">
        <v>16</v>
      </c>
      <c r="G3358">
        <v>3</v>
      </c>
      <c r="H3358" t="s">
        <v>13720</v>
      </c>
      <c r="J3358" t="s">
        <v>3453</v>
      </c>
      <c r="M3358" t="s">
        <v>13721</v>
      </c>
      <c r="N3358">
        <v>1.813871112</v>
      </c>
      <c r="O3358">
        <v>2.6633694910000001</v>
      </c>
      <c r="P3358">
        <v>-0.29586356800000002</v>
      </c>
      <c r="Q3358">
        <v>-0.59018158399999998</v>
      </c>
      <c r="S3358" s="13">
        <v>-1.7038154649999999</v>
      </c>
      <c r="T3358">
        <v>-1.5200910969999999</v>
      </c>
      <c r="U3358">
        <v>-0.37920615099999999</v>
      </c>
    </row>
    <row r="3359" spans="1:21" x14ac:dyDescent="0.2">
      <c r="A3359" t="s">
        <v>2421</v>
      </c>
      <c r="B3359">
        <v>425960</v>
      </c>
      <c r="C3359" t="s">
        <v>6914</v>
      </c>
      <c r="D3359" t="s">
        <v>2422</v>
      </c>
      <c r="E3359" t="s">
        <v>7085</v>
      </c>
      <c r="F3359">
        <v>8</v>
      </c>
      <c r="G3359">
        <v>9</v>
      </c>
      <c r="H3359" t="s">
        <v>13722</v>
      </c>
      <c r="J3359" t="s">
        <v>4902</v>
      </c>
      <c r="M3359" t="s">
        <v>13723</v>
      </c>
      <c r="N3359">
        <v>1.8217074179999999</v>
      </c>
      <c r="O3359">
        <v>4.1700741289999996</v>
      </c>
      <c r="P3359">
        <v>0.189705977</v>
      </c>
      <c r="Q3359">
        <v>-1.7194070999999998E-2</v>
      </c>
      <c r="S3359" s="13">
        <v>-1.704649876</v>
      </c>
      <c r="T3359">
        <v>-1.523737283</v>
      </c>
      <c r="U3359">
        <v>-0.496869691</v>
      </c>
    </row>
    <row r="3360" spans="1:21" x14ac:dyDescent="0.2">
      <c r="A3360" t="s">
        <v>1208</v>
      </c>
      <c r="B3360">
        <v>361000</v>
      </c>
      <c r="C3360" t="s">
        <v>6906</v>
      </c>
      <c r="D3360" t="s">
        <v>1208</v>
      </c>
      <c r="E3360" t="s">
        <v>6921</v>
      </c>
      <c r="F3360">
        <v>15</v>
      </c>
      <c r="G3360">
        <v>8</v>
      </c>
      <c r="H3360" t="s">
        <v>13724</v>
      </c>
      <c r="J3360" t="s">
        <v>2579</v>
      </c>
      <c r="M3360" t="s">
        <v>13725</v>
      </c>
      <c r="N3360">
        <v>1.813871112</v>
      </c>
      <c r="O3360">
        <v>2.6633694910000001</v>
      </c>
      <c r="P3360">
        <v>-0.29586356800000002</v>
      </c>
      <c r="Q3360">
        <v>-0.59018158399999998</v>
      </c>
      <c r="S3360" s="13">
        <v>-1.7049760629999999</v>
      </c>
      <c r="T3360">
        <v>-1.5251626439999999</v>
      </c>
      <c r="U3360">
        <v>-0.38010865199999999</v>
      </c>
    </row>
    <row r="3361" spans="1:21" x14ac:dyDescent="0.2">
      <c r="A3361" t="s">
        <v>972</v>
      </c>
      <c r="B3361">
        <v>300080</v>
      </c>
      <c r="C3361" t="s">
        <v>6927</v>
      </c>
      <c r="D3361" t="s">
        <v>972</v>
      </c>
      <c r="E3361" t="s">
        <v>7085</v>
      </c>
      <c r="F3361">
        <v>17</v>
      </c>
      <c r="G3361">
        <v>9</v>
      </c>
      <c r="H3361" t="s">
        <v>13726</v>
      </c>
      <c r="J3361" t="s">
        <v>13727</v>
      </c>
      <c r="M3361" t="s">
        <v>13728</v>
      </c>
      <c r="N3361">
        <v>1.982575982</v>
      </c>
      <c r="O3361">
        <v>3.4571926419999999</v>
      </c>
      <c r="P3361">
        <v>-0.114791479</v>
      </c>
      <c r="Q3361">
        <v>1.868949E-3</v>
      </c>
      <c r="S3361" s="13">
        <v>-1.706362712</v>
      </c>
      <c r="T3361">
        <v>-1.5312219840000001</v>
      </c>
      <c r="U3361">
        <v>-0.57033477300000002</v>
      </c>
    </row>
    <row r="3362" spans="1:21" x14ac:dyDescent="0.2">
      <c r="A3362" t="s">
        <v>2230</v>
      </c>
      <c r="B3362">
        <v>364680</v>
      </c>
      <c r="C3362" t="s">
        <v>6953</v>
      </c>
      <c r="D3362" t="s">
        <v>2231</v>
      </c>
      <c r="E3362" t="s">
        <v>7115</v>
      </c>
      <c r="F3362">
        <v>2</v>
      </c>
      <c r="G3362">
        <v>10</v>
      </c>
      <c r="H3362" t="s">
        <v>13729</v>
      </c>
      <c r="J3362" t="s">
        <v>5483</v>
      </c>
      <c r="M3362" t="s">
        <v>13730</v>
      </c>
      <c r="N3362">
        <v>1.921480887</v>
      </c>
      <c r="O3362">
        <v>3.0856645180000002</v>
      </c>
      <c r="P3362">
        <v>0.44706724399999997</v>
      </c>
      <c r="Q3362">
        <v>-0.354940863</v>
      </c>
      <c r="S3362" s="13">
        <v>-1.70680889</v>
      </c>
      <c r="T3362">
        <v>-1.5331716820000001</v>
      </c>
      <c r="U3362">
        <v>-0.44761103499999999</v>
      </c>
    </row>
    <row r="3363" spans="1:21" x14ac:dyDescent="0.2">
      <c r="A3363" t="s">
        <v>190</v>
      </c>
      <c r="B3363">
        <v>359400</v>
      </c>
      <c r="C3363" t="s">
        <v>6906</v>
      </c>
      <c r="D3363" t="s">
        <v>190</v>
      </c>
      <c r="E3363" t="s">
        <v>6946</v>
      </c>
      <c r="F3363">
        <v>10</v>
      </c>
      <c r="G3363">
        <v>11</v>
      </c>
      <c r="H3363" t="s">
        <v>13731</v>
      </c>
      <c r="J3363" t="s">
        <v>13732</v>
      </c>
      <c r="M3363" t="s">
        <v>13733</v>
      </c>
      <c r="N3363">
        <v>1.813871112</v>
      </c>
      <c r="O3363">
        <v>2.6633694910000001</v>
      </c>
      <c r="P3363">
        <v>-0.29586356800000002</v>
      </c>
      <c r="Q3363">
        <v>-0.59018158399999998</v>
      </c>
      <c r="S3363" s="13">
        <v>-1.7072972580000001</v>
      </c>
      <c r="T3363">
        <v>-1.5353057370000001</v>
      </c>
      <c r="U3363">
        <v>-0.38191929899999999</v>
      </c>
    </row>
    <row r="3364" spans="1:21" x14ac:dyDescent="0.2">
      <c r="A3364" t="s">
        <v>1383</v>
      </c>
      <c r="B3364">
        <v>359320</v>
      </c>
      <c r="C3364" t="s">
        <v>6906</v>
      </c>
      <c r="D3364" t="s">
        <v>1384</v>
      </c>
      <c r="E3364" t="s">
        <v>6956</v>
      </c>
      <c r="F3364">
        <v>6</v>
      </c>
      <c r="G3364">
        <v>7</v>
      </c>
      <c r="H3364" t="s">
        <v>13734</v>
      </c>
      <c r="J3364" t="s">
        <v>1386</v>
      </c>
      <c r="M3364" t="s">
        <v>13735</v>
      </c>
      <c r="N3364">
        <v>1.813871112</v>
      </c>
      <c r="O3364">
        <v>2.6633694910000001</v>
      </c>
      <c r="P3364">
        <v>-0.29586356800000002</v>
      </c>
      <c r="Q3364">
        <v>-0.59018158399999998</v>
      </c>
      <c r="S3364" s="13">
        <v>-1.707413318</v>
      </c>
      <c r="T3364">
        <v>-1.535812892</v>
      </c>
      <c r="U3364">
        <v>-0.38201003</v>
      </c>
    </row>
    <row r="3365" spans="1:21" x14ac:dyDescent="0.2">
      <c r="A3365" t="s">
        <v>157</v>
      </c>
      <c r="B3365">
        <v>422080</v>
      </c>
      <c r="C3365" t="s">
        <v>6914</v>
      </c>
      <c r="D3365" t="s">
        <v>157</v>
      </c>
      <c r="E3365" t="s">
        <v>6946</v>
      </c>
      <c r="F3365">
        <v>14</v>
      </c>
      <c r="G3365">
        <v>11</v>
      </c>
      <c r="H3365" t="s">
        <v>13736</v>
      </c>
      <c r="J3365" t="s">
        <v>3532</v>
      </c>
      <c r="M3365" t="s">
        <v>13737</v>
      </c>
      <c r="N3365">
        <v>1.8217074179999999</v>
      </c>
      <c r="O3365">
        <v>4.1700741289999996</v>
      </c>
      <c r="P3365">
        <v>0.189705977</v>
      </c>
      <c r="Q3365">
        <v>-1.7194070999999998E-2</v>
      </c>
      <c r="S3365" s="13">
        <v>-1.7093165910000001</v>
      </c>
      <c r="T3365">
        <v>-1.5441297599999999</v>
      </c>
      <c r="U3365">
        <v>-0.50264113099999996</v>
      </c>
    </row>
    <row r="3366" spans="1:21" x14ac:dyDescent="0.2">
      <c r="A3366" t="s">
        <v>592</v>
      </c>
      <c r="B3366">
        <v>358000</v>
      </c>
      <c r="C3366" t="s">
        <v>6906</v>
      </c>
      <c r="D3366" t="s">
        <v>593</v>
      </c>
      <c r="E3366" t="s">
        <v>6946</v>
      </c>
      <c r="F3366">
        <v>9</v>
      </c>
      <c r="G3366">
        <v>11</v>
      </c>
      <c r="H3366" t="s">
        <v>13738</v>
      </c>
      <c r="J3366" t="s">
        <v>1803</v>
      </c>
      <c r="M3366" t="s">
        <v>13739</v>
      </c>
      <c r="N3366">
        <v>1.813871112</v>
      </c>
      <c r="O3366">
        <v>2.6633694910000001</v>
      </c>
      <c r="P3366">
        <v>-0.29586356800000002</v>
      </c>
      <c r="Q3366">
        <v>-0.59018158399999998</v>
      </c>
      <c r="S3366" s="13">
        <v>-1.709328304</v>
      </c>
      <c r="T3366">
        <v>-1.5441809440000001</v>
      </c>
      <c r="U3366">
        <v>-0.38350983199999999</v>
      </c>
    </row>
    <row r="3367" spans="1:21" x14ac:dyDescent="0.2">
      <c r="A3367" t="s">
        <v>1897</v>
      </c>
      <c r="B3367">
        <v>360200</v>
      </c>
      <c r="C3367" t="s">
        <v>6953</v>
      </c>
      <c r="D3367" t="s">
        <v>1897</v>
      </c>
      <c r="E3367" t="s">
        <v>7085</v>
      </c>
      <c r="F3367">
        <v>14</v>
      </c>
      <c r="G3367">
        <v>9</v>
      </c>
      <c r="H3367" t="s">
        <v>13740</v>
      </c>
      <c r="J3367" t="s">
        <v>5245</v>
      </c>
      <c r="M3367" t="s">
        <v>13741</v>
      </c>
      <c r="N3367">
        <v>1.921480887</v>
      </c>
      <c r="O3367">
        <v>3.0856645180000002</v>
      </c>
      <c r="P3367">
        <v>0.44706724399999997</v>
      </c>
      <c r="Q3367">
        <v>-0.354940863</v>
      </c>
      <c r="S3367" s="13">
        <v>-1.7114574469999999</v>
      </c>
      <c r="T3367">
        <v>-1.553484812</v>
      </c>
      <c r="U3367">
        <v>-0.45356164100000002</v>
      </c>
    </row>
    <row r="3368" spans="1:21" x14ac:dyDescent="0.2">
      <c r="A3368" t="s">
        <v>1231</v>
      </c>
      <c r="B3368">
        <v>208960</v>
      </c>
      <c r="C3368" t="s">
        <v>6942</v>
      </c>
      <c r="D3368" t="s">
        <v>1231</v>
      </c>
      <c r="E3368" t="s">
        <v>7085</v>
      </c>
      <c r="F3368">
        <v>21</v>
      </c>
      <c r="G3368">
        <v>9</v>
      </c>
      <c r="H3368" t="s">
        <v>13742</v>
      </c>
      <c r="J3368" t="s">
        <v>4700</v>
      </c>
      <c r="M3368" t="s">
        <v>13743</v>
      </c>
      <c r="N3368">
        <v>2.0902262079999998</v>
      </c>
      <c r="O3368">
        <v>4.2704203920000001</v>
      </c>
      <c r="P3368">
        <v>0.23425843900000001</v>
      </c>
      <c r="Q3368">
        <v>1.6181978999999999E-2</v>
      </c>
      <c r="S3368" s="13">
        <v>-1.712148872</v>
      </c>
      <c r="T3368">
        <v>-1.5565061819999999</v>
      </c>
      <c r="U3368">
        <v>-0.696997749</v>
      </c>
    </row>
    <row r="3369" spans="1:21" x14ac:dyDescent="0.2">
      <c r="A3369" t="s">
        <v>1939</v>
      </c>
      <c r="B3369">
        <v>359320</v>
      </c>
      <c r="C3369" t="s">
        <v>6953</v>
      </c>
      <c r="D3369" t="s">
        <v>1939</v>
      </c>
      <c r="E3369" t="s">
        <v>6928</v>
      </c>
      <c r="F3369">
        <v>19</v>
      </c>
      <c r="G3369">
        <v>16</v>
      </c>
      <c r="H3369" t="s">
        <v>13744</v>
      </c>
      <c r="J3369" t="s">
        <v>3395</v>
      </c>
      <c r="M3369" t="s">
        <v>13745</v>
      </c>
      <c r="N3369">
        <v>1.921480887</v>
      </c>
      <c r="O3369">
        <v>3.0856645180000002</v>
      </c>
      <c r="P3369">
        <v>0.44706724399999997</v>
      </c>
      <c r="Q3369">
        <v>-0.354940863</v>
      </c>
      <c r="S3369" s="13">
        <v>-1.712370556</v>
      </c>
      <c r="T3369">
        <v>-1.557474891</v>
      </c>
      <c r="U3369">
        <v>-0.45474015200000001</v>
      </c>
    </row>
    <row r="3370" spans="1:21" x14ac:dyDescent="0.2">
      <c r="A3370" t="s">
        <v>592</v>
      </c>
      <c r="B3370">
        <v>357480</v>
      </c>
      <c r="C3370" t="s">
        <v>6953</v>
      </c>
      <c r="D3370" t="s">
        <v>593</v>
      </c>
      <c r="E3370" t="s">
        <v>6946</v>
      </c>
      <c r="F3370">
        <v>9</v>
      </c>
      <c r="G3370">
        <v>11</v>
      </c>
      <c r="H3370" t="s">
        <v>13746</v>
      </c>
      <c r="J3370" t="s">
        <v>5281</v>
      </c>
      <c r="M3370" t="s">
        <v>13747</v>
      </c>
      <c r="N3370">
        <v>1.921480887</v>
      </c>
      <c r="O3370">
        <v>3.0856645180000002</v>
      </c>
      <c r="P3370">
        <v>0.44706724399999997</v>
      </c>
      <c r="Q3370">
        <v>-0.354940863</v>
      </c>
      <c r="S3370" s="13">
        <v>-1.714279785</v>
      </c>
      <c r="T3370">
        <v>-1.565817783</v>
      </c>
      <c r="U3370">
        <v>-0.457214695</v>
      </c>
    </row>
    <row r="3371" spans="1:21" x14ac:dyDescent="0.2">
      <c r="A3371" t="s">
        <v>99</v>
      </c>
      <c r="B3371">
        <v>417720</v>
      </c>
      <c r="C3371" t="s">
        <v>6914</v>
      </c>
      <c r="D3371" t="s">
        <v>101</v>
      </c>
      <c r="E3371" t="s">
        <v>6918</v>
      </c>
      <c r="F3371">
        <v>4</v>
      </c>
      <c r="G3371">
        <v>1</v>
      </c>
      <c r="H3371" t="s">
        <v>13748</v>
      </c>
      <c r="J3371" t="s">
        <v>6847</v>
      </c>
      <c r="M3371" t="s">
        <v>13749</v>
      </c>
      <c r="N3371">
        <v>1.8217074179999999</v>
      </c>
      <c r="O3371">
        <v>4.1700741289999996</v>
      </c>
      <c r="P3371">
        <v>0.189705977</v>
      </c>
      <c r="Q3371">
        <v>-1.7194070999999998E-2</v>
      </c>
      <c r="S3371" s="13">
        <v>-1.7145606309999999</v>
      </c>
      <c r="T3371">
        <v>-1.5670450170000001</v>
      </c>
      <c r="U3371">
        <v>-0.50921941900000001</v>
      </c>
    </row>
    <row r="3372" spans="1:21" x14ac:dyDescent="0.2">
      <c r="A3372" t="s">
        <v>441</v>
      </c>
      <c r="B3372">
        <v>353720</v>
      </c>
      <c r="C3372" t="s">
        <v>6906</v>
      </c>
      <c r="D3372" t="s">
        <v>442</v>
      </c>
      <c r="E3372" t="s">
        <v>6907</v>
      </c>
      <c r="F3372">
        <v>7</v>
      </c>
      <c r="G3372">
        <v>4</v>
      </c>
      <c r="H3372" t="s">
        <v>13750</v>
      </c>
      <c r="J3372" t="s">
        <v>4036</v>
      </c>
      <c r="M3372" t="s">
        <v>13751</v>
      </c>
      <c r="N3372">
        <v>1.813871112</v>
      </c>
      <c r="O3372">
        <v>2.6633694910000001</v>
      </c>
      <c r="P3372">
        <v>-0.29586356800000002</v>
      </c>
      <c r="Q3372">
        <v>-0.59018158399999998</v>
      </c>
      <c r="S3372" s="13">
        <v>-1.7155375020000001</v>
      </c>
      <c r="T3372">
        <v>-1.5713137180000001</v>
      </c>
      <c r="U3372">
        <v>-0.38840875899999999</v>
      </c>
    </row>
    <row r="3373" spans="1:21" x14ac:dyDescent="0.2">
      <c r="A3373" t="s">
        <v>1126</v>
      </c>
      <c r="B3373">
        <v>416880</v>
      </c>
      <c r="C3373" t="s">
        <v>6914</v>
      </c>
      <c r="D3373" t="s">
        <v>1126</v>
      </c>
      <c r="E3373" t="s">
        <v>6970</v>
      </c>
      <c r="F3373">
        <v>10</v>
      </c>
      <c r="G3373">
        <v>14</v>
      </c>
      <c r="H3373" t="s">
        <v>13752</v>
      </c>
      <c r="J3373" t="s">
        <v>4994</v>
      </c>
      <c r="M3373" t="s">
        <v>13753</v>
      </c>
      <c r="N3373">
        <v>1.8217074179999999</v>
      </c>
      <c r="O3373">
        <v>4.1700741289999996</v>
      </c>
      <c r="P3373">
        <v>0.189705977</v>
      </c>
      <c r="Q3373">
        <v>-1.7194070999999998E-2</v>
      </c>
      <c r="S3373" s="13">
        <v>-1.7155709509999999</v>
      </c>
      <c r="T3373">
        <v>-1.5714598829999999</v>
      </c>
      <c r="U3373">
        <v>-0.51049832399999995</v>
      </c>
    </row>
    <row r="3374" spans="1:21" x14ac:dyDescent="0.2">
      <c r="A3374" t="s">
        <v>1101</v>
      </c>
      <c r="B3374">
        <v>416720</v>
      </c>
      <c r="C3374" t="s">
        <v>6914</v>
      </c>
      <c r="D3374" t="s">
        <v>1101</v>
      </c>
      <c r="E3374" t="s">
        <v>6911</v>
      </c>
      <c r="F3374">
        <v>14</v>
      </c>
      <c r="G3374">
        <v>12</v>
      </c>
      <c r="H3374" t="s">
        <v>13754</v>
      </c>
      <c r="J3374" t="s">
        <v>6765</v>
      </c>
      <c r="M3374" t="s">
        <v>13755</v>
      </c>
      <c r="N3374">
        <v>1.8217074179999999</v>
      </c>
      <c r="O3374">
        <v>4.1700741289999996</v>
      </c>
      <c r="P3374">
        <v>0.189705977</v>
      </c>
      <c r="Q3374">
        <v>-1.7194070999999998E-2</v>
      </c>
      <c r="S3374" s="13">
        <v>-1.715763393</v>
      </c>
      <c r="T3374">
        <v>-1.57230081</v>
      </c>
      <c r="U3374">
        <v>-0.51074235300000004</v>
      </c>
    </row>
    <row r="3375" spans="1:21" x14ac:dyDescent="0.2">
      <c r="A3375" t="s">
        <v>289</v>
      </c>
      <c r="B3375">
        <v>354800</v>
      </c>
      <c r="C3375" t="s">
        <v>6953</v>
      </c>
      <c r="D3375" t="s">
        <v>290</v>
      </c>
      <c r="E3375" t="s">
        <v>6977</v>
      </c>
      <c r="F3375">
        <v>5</v>
      </c>
      <c r="G3375">
        <v>5</v>
      </c>
      <c r="H3375" t="s">
        <v>13756</v>
      </c>
      <c r="J3375" t="s">
        <v>5227</v>
      </c>
      <c r="M3375" t="s">
        <v>13757</v>
      </c>
      <c r="N3375">
        <v>1.921480887</v>
      </c>
      <c r="O3375">
        <v>3.0856645180000002</v>
      </c>
      <c r="P3375">
        <v>0.44706724399999997</v>
      </c>
      <c r="Q3375">
        <v>-0.354940863</v>
      </c>
      <c r="S3375" s="13">
        <v>-1.7170606180000001</v>
      </c>
      <c r="T3375">
        <v>-1.5779693880000001</v>
      </c>
      <c r="U3375">
        <v>-0.46084433299999999</v>
      </c>
    </row>
    <row r="3376" spans="1:21" x14ac:dyDescent="0.2">
      <c r="A3376" t="s">
        <v>392</v>
      </c>
      <c r="B3376">
        <v>354520</v>
      </c>
      <c r="C3376" t="s">
        <v>6953</v>
      </c>
      <c r="D3376" t="s">
        <v>392</v>
      </c>
      <c r="E3376" t="s">
        <v>7006</v>
      </c>
      <c r="F3376">
        <v>21</v>
      </c>
      <c r="G3376">
        <v>3</v>
      </c>
      <c r="H3376" t="s">
        <v>13758</v>
      </c>
      <c r="J3376" t="s">
        <v>5197</v>
      </c>
      <c r="M3376" t="s">
        <v>13759</v>
      </c>
      <c r="N3376">
        <v>1.921480887</v>
      </c>
      <c r="O3376">
        <v>3.0856645180000002</v>
      </c>
      <c r="P3376">
        <v>0.44706724399999997</v>
      </c>
      <c r="Q3376">
        <v>-0.354940863</v>
      </c>
      <c r="S3376" s="13">
        <v>-1.7173511530000001</v>
      </c>
      <c r="T3376">
        <v>-1.5792389579999999</v>
      </c>
      <c r="U3376">
        <v>-0.46122530499999997</v>
      </c>
    </row>
    <row r="3377" spans="1:21" x14ac:dyDescent="0.2">
      <c r="A3377" t="s">
        <v>1394</v>
      </c>
      <c r="B3377">
        <v>203600</v>
      </c>
      <c r="C3377" t="s">
        <v>6942</v>
      </c>
      <c r="D3377" t="s">
        <v>1394</v>
      </c>
      <c r="E3377" t="s">
        <v>6939</v>
      </c>
      <c r="F3377">
        <v>16</v>
      </c>
      <c r="G3377">
        <v>2</v>
      </c>
      <c r="H3377" t="s">
        <v>13760</v>
      </c>
      <c r="J3377" t="s">
        <v>3754</v>
      </c>
      <c r="M3377" t="s">
        <v>13761</v>
      </c>
      <c r="N3377">
        <v>2.0902262079999998</v>
      </c>
      <c r="O3377">
        <v>4.2704203920000001</v>
      </c>
      <c r="P3377">
        <v>0.23425843900000001</v>
      </c>
      <c r="Q3377">
        <v>1.6181978999999999E-2</v>
      </c>
      <c r="S3377" s="13">
        <v>-1.7174096539999999</v>
      </c>
      <c r="T3377">
        <v>-1.5794945949999999</v>
      </c>
      <c r="U3377">
        <v>-0.70973917200000003</v>
      </c>
    </row>
    <row r="3378" spans="1:21" x14ac:dyDescent="0.2">
      <c r="A3378" t="s">
        <v>1001</v>
      </c>
      <c r="B3378">
        <v>105640</v>
      </c>
      <c r="C3378" t="s">
        <v>6945</v>
      </c>
      <c r="D3378" t="s">
        <v>1001</v>
      </c>
      <c r="E3378" t="s">
        <v>7006</v>
      </c>
      <c r="F3378">
        <v>14</v>
      </c>
      <c r="G3378">
        <v>3</v>
      </c>
      <c r="H3378" t="s">
        <v>13762</v>
      </c>
      <c r="J3378" t="s">
        <v>6395</v>
      </c>
      <c r="M3378" t="s">
        <v>13763</v>
      </c>
      <c r="N3378">
        <v>2.2220813349999999</v>
      </c>
      <c r="O3378">
        <v>6.5440947090000003</v>
      </c>
      <c r="P3378">
        <v>0.58228215500000002</v>
      </c>
      <c r="Q3378">
        <v>0.35188233000000002</v>
      </c>
      <c r="S3378" s="13">
        <v>-1.718632685</v>
      </c>
      <c r="T3378">
        <v>-1.584838961</v>
      </c>
      <c r="U3378">
        <v>-0.78081861100000005</v>
      </c>
    </row>
    <row r="3379" spans="1:21" x14ac:dyDescent="0.2">
      <c r="A3379" t="s">
        <v>1582</v>
      </c>
      <c r="B3379">
        <v>286840</v>
      </c>
      <c r="C3379" t="s">
        <v>6927</v>
      </c>
      <c r="D3379" t="s">
        <v>1583</v>
      </c>
      <c r="E3379" t="s">
        <v>7006</v>
      </c>
      <c r="F3379">
        <v>9</v>
      </c>
      <c r="G3379">
        <v>3</v>
      </c>
      <c r="H3379" t="s">
        <v>13764</v>
      </c>
      <c r="J3379" t="s">
        <v>13765</v>
      </c>
      <c r="M3379" t="s">
        <v>13766</v>
      </c>
      <c r="N3379">
        <v>1.982575982</v>
      </c>
      <c r="O3379">
        <v>3.4571926419999999</v>
      </c>
      <c r="P3379">
        <v>-0.114791479</v>
      </c>
      <c r="Q3379">
        <v>1.868949E-3</v>
      </c>
      <c r="S3379" s="13">
        <v>-1.720100857</v>
      </c>
      <c r="T3379">
        <v>-1.5912545380000001</v>
      </c>
      <c r="U3379">
        <v>-0.59414557499999998</v>
      </c>
    </row>
    <row r="3380" spans="1:21" x14ac:dyDescent="0.2">
      <c r="A3380" t="s">
        <v>859</v>
      </c>
      <c r="B3380">
        <v>412920</v>
      </c>
      <c r="C3380" t="s">
        <v>6914</v>
      </c>
      <c r="D3380" t="s">
        <v>859</v>
      </c>
      <c r="E3380" t="s">
        <v>7115</v>
      </c>
      <c r="F3380">
        <v>19</v>
      </c>
      <c r="G3380">
        <v>10</v>
      </c>
      <c r="H3380" t="s">
        <v>13767</v>
      </c>
      <c r="J3380" t="s">
        <v>6629</v>
      </c>
      <c r="M3380" t="s">
        <v>13768</v>
      </c>
      <c r="N3380">
        <v>1.8217074179999999</v>
      </c>
      <c r="O3380">
        <v>4.1700741289999996</v>
      </c>
      <c r="P3380">
        <v>0.189705977</v>
      </c>
      <c r="Q3380">
        <v>-1.7194070999999998E-2</v>
      </c>
      <c r="S3380" s="13">
        <v>-1.720333887</v>
      </c>
      <c r="T3380">
        <v>-1.5922728230000001</v>
      </c>
      <c r="U3380">
        <v>-0.51657869999999995</v>
      </c>
    </row>
    <row r="3381" spans="1:21" x14ac:dyDescent="0.2">
      <c r="A3381" t="s">
        <v>307</v>
      </c>
      <c r="B3381">
        <v>225880</v>
      </c>
      <c r="C3381" t="s">
        <v>6938</v>
      </c>
      <c r="D3381" t="s">
        <v>308</v>
      </c>
      <c r="E3381" t="s">
        <v>6915</v>
      </c>
      <c r="F3381">
        <v>3</v>
      </c>
      <c r="G3381">
        <v>13</v>
      </c>
      <c r="H3381" t="s">
        <v>13769</v>
      </c>
      <c r="J3381" t="s">
        <v>5695</v>
      </c>
      <c r="M3381" t="s">
        <v>13770</v>
      </c>
      <c r="N3381">
        <v>2.092758737</v>
      </c>
      <c r="O3381">
        <v>5.3323610669999999</v>
      </c>
      <c r="P3381">
        <v>0.70420098600000003</v>
      </c>
      <c r="Q3381">
        <v>0.41355372699999998</v>
      </c>
      <c r="S3381" s="13">
        <v>-1.7211267610000001</v>
      </c>
      <c r="T3381">
        <v>-1.5957375009999999</v>
      </c>
      <c r="U3381">
        <v>-0.819607949</v>
      </c>
    </row>
    <row r="3382" spans="1:21" x14ac:dyDescent="0.2">
      <c r="A3382" t="s">
        <v>998</v>
      </c>
      <c r="B3382">
        <v>348480</v>
      </c>
      <c r="C3382" t="s">
        <v>6906</v>
      </c>
      <c r="D3382" t="s">
        <v>998</v>
      </c>
      <c r="E3382" t="s">
        <v>6970</v>
      </c>
      <c r="F3382">
        <v>13</v>
      </c>
      <c r="G3382">
        <v>14</v>
      </c>
      <c r="H3382" t="s">
        <v>13771</v>
      </c>
      <c r="J3382" t="s">
        <v>13772</v>
      </c>
      <c r="M3382" t="s">
        <v>13773</v>
      </c>
      <c r="N3382">
        <v>1.813871112</v>
      </c>
      <c r="O3382">
        <v>2.6633694910000001</v>
      </c>
      <c r="P3382">
        <v>-0.29586356800000002</v>
      </c>
      <c r="Q3382">
        <v>-0.59018158399999998</v>
      </c>
      <c r="S3382" s="13">
        <v>-1.7231394170000001</v>
      </c>
      <c r="T3382">
        <v>-1.6045323490000001</v>
      </c>
      <c r="U3382">
        <v>-0.39448274500000002</v>
      </c>
    </row>
    <row r="3383" spans="1:21" x14ac:dyDescent="0.2">
      <c r="A3383" t="s">
        <v>470</v>
      </c>
      <c r="B3383">
        <v>100240</v>
      </c>
      <c r="C3383" t="s">
        <v>6945</v>
      </c>
      <c r="D3383" t="s">
        <v>470</v>
      </c>
      <c r="E3383" t="s">
        <v>6970</v>
      </c>
      <c r="F3383">
        <v>22</v>
      </c>
      <c r="G3383">
        <v>14</v>
      </c>
      <c r="H3383" t="s">
        <v>13774</v>
      </c>
      <c r="J3383" t="s">
        <v>6045</v>
      </c>
      <c r="M3383" t="s">
        <v>13775</v>
      </c>
      <c r="N3383">
        <v>2.2220813349999999</v>
      </c>
      <c r="O3383">
        <v>6.5440947090000003</v>
      </c>
      <c r="P3383">
        <v>0.58228215500000002</v>
      </c>
      <c r="Q3383">
        <v>0.35188233000000002</v>
      </c>
      <c r="S3383" s="13">
        <v>-1.72372616</v>
      </c>
      <c r="T3383">
        <v>-1.607096281</v>
      </c>
      <c r="U3383">
        <v>-0.79643927699999995</v>
      </c>
    </row>
    <row r="3384" spans="1:21" x14ac:dyDescent="0.2">
      <c r="A3384" t="s">
        <v>868</v>
      </c>
      <c r="B3384">
        <v>195080</v>
      </c>
      <c r="C3384" t="s">
        <v>6942</v>
      </c>
      <c r="D3384" t="s">
        <v>869</v>
      </c>
      <c r="E3384" t="s">
        <v>7115</v>
      </c>
      <c r="F3384">
        <v>4</v>
      </c>
      <c r="G3384">
        <v>10</v>
      </c>
      <c r="H3384" t="s">
        <v>13776</v>
      </c>
      <c r="J3384" t="s">
        <v>4696</v>
      </c>
      <c r="M3384" t="s">
        <v>13777</v>
      </c>
      <c r="N3384">
        <v>2.0902262079999998</v>
      </c>
      <c r="O3384">
        <v>4.2704203920000001</v>
      </c>
      <c r="P3384">
        <v>0.23425843900000001</v>
      </c>
      <c r="Q3384">
        <v>1.6181978999999999E-2</v>
      </c>
      <c r="S3384" s="13">
        <v>-1.7257719410000001</v>
      </c>
      <c r="T3384">
        <v>-1.616035879</v>
      </c>
      <c r="U3384">
        <v>-0.73079460699999998</v>
      </c>
    </row>
    <row r="3385" spans="1:21" x14ac:dyDescent="0.2">
      <c r="A3385" t="s">
        <v>645</v>
      </c>
      <c r="B3385">
        <v>407520</v>
      </c>
      <c r="C3385" t="s">
        <v>6914</v>
      </c>
      <c r="D3385" t="s">
        <v>645</v>
      </c>
      <c r="E3385" t="s">
        <v>6974</v>
      </c>
      <c r="F3385">
        <v>12</v>
      </c>
      <c r="G3385">
        <v>15</v>
      </c>
      <c r="H3385" t="s">
        <v>13778</v>
      </c>
      <c r="J3385" t="s">
        <v>4598</v>
      </c>
      <c r="M3385" t="s">
        <v>13779</v>
      </c>
      <c r="N3385">
        <v>1.8217074179999999</v>
      </c>
      <c r="O3385">
        <v>4.1700741289999996</v>
      </c>
      <c r="P3385">
        <v>0.189705977</v>
      </c>
      <c r="Q3385">
        <v>-1.7194070999999998E-2</v>
      </c>
      <c r="S3385" s="13">
        <v>-1.726828799</v>
      </c>
      <c r="T3385">
        <v>-1.6206541059999999</v>
      </c>
      <c r="U3385">
        <v>-0.52500974499999997</v>
      </c>
    </row>
    <row r="3386" spans="1:21" x14ac:dyDescent="0.2">
      <c r="A3386" t="s">
        <v>441</v>
      </c>
      <c r="B3386">
        <v>406600</v>
      </c>
      <c r="C3386" t="s">
        <v>6914</v>
      </c>
      <c r="D3386" t="s">
        <v>442</v>
      </c>
      <c r="E3386" t="s">
        <v>6907</v>
      </c>
      <c r="F3386">
        <v>7</v>
      </c>
      <c r="G3386">
        <v>4</v>
      </c>
      <c r="H3386" t="s">
        <v>13780</v>
      </c>
      <c r="J3386" t="s">
        <v>2513</v>
      </c>
      <c r="M3386" t="s">
        <v>13781</v>
      </c>
      <c r="N3386">
        <v>1.8217074179999999</v>
      </c>
      <c r="O3386">
        <v>4.1700741289999996</v>
      </c>
      <c r="P3386">
        <v>0.189705977</v>
      </c>
      <c r="Q3386">
        <v>-1.7194070999999998E-2</v>
      </c>
      <c r="S3386" s="13">
        <v>-1.7279353399999999</v>
      </c>
      <c r="T3386">
        <v>-1.625489435</v>
      </c>
      <c r="U3386">
        <v>-0.52646260600000006</v>
      </c>
    </row>
    <row r="3387" spans="1:21" x14ac:dyDescent="0.2">
      <c r="A3387" t="s">
        <v>610</v>
      </c>
      <c r="B3387">
        <v>405680</v>
      </c>
      <c r="C3387" t="s">
        <v>6914</v>
      </c>
      <c r="D3387" t="s">
        <v>611</v>
      </c>
      <c r="E3387" t="s">
        <v>6974</v>
      </c>
      <c r="F3387">
        <v>9</v>
      </c>
      <c r="G3387">
        <v>15</v>
      </c>
      <c r="H3387" t="s">
        <v>13782</v>
      </c>
      <c r="J3387" t="s">
        <v>5929</v>
      </c>
      <c r="M3387" t="s">
        <v>13783</v>
      </c>
      <c r="N3387">
        <v>1.8217074179999999</v>
      </c>
      <c r="O3387">
        <v>4.1700741289999996</v>
      </c>
      <c r="P3387">
        <v>0.189705977</v>
      </c>
      <c r="Q3387">
        <v>-1.7194070999999998E-2</v>
      </c>
      <c r="S3387" s="13">
        <v>-1.72904188</v>
      </c>
      <c r="T3387">
        <v>-1.6303247649999999</v>
      </c>
      <c r="U3387">
        <v>-0.52792034300000001</v>
      </c>
    </row>
    <row r="3388" spans="1:21" x14ac:dyDescent="0.2">
      <c r="A3388" t="s">
        <v>277</v>
      </c>
      <c r="B3388">
        <v>93720</v>
      </c>
      <c r="C3388" t="s">
        <v>6945</v>
      </c>
      <c r="D3388" t="s">
        <v>277</v>
      </c>
      <c r="E3388" t="s">
        <v>7085</v>
      </c>
      <c r="F3388">
        <v>22</v>
      </c>
      <c r="G3388">
        <v>9</v>
      </c>
      <c r="H3388" t="s">
        <v>13784</v>
      </c>
      <c r="J3388" t="s">
        <v>5897</v>
      </c>
      <c r="M3388" t="s">
        <v>13785</v>
      </c>
      <c r="N3388">
        <v>2.2220813349999999</v>
      </c>
      <c r="O3388">
        <v>6.5440947090000003</v>
      </c>
      <c r="P3388">
        <v>0.58228215500000002</v>
      </c>
      <c r="Q3388">
        <v>0.35188233000000002</v>
      </c>
      <c r="S3388" s="13">
        <v>-1.729876059</v>
      </c>
      <c r="T3388">
        <v>-1.6339699350000001</v>
      </c>
      <c r="U3388">
        <v>-0.81608060199999999</v>
      </c>
    </row>
    <row r="3389" spans="1:21" x14ac:dyDescent="0.2">
      <c r="A3389" t="s">
        <v>2108</v>
      </c>
      <c r="B3389">
        <v>343720</v>
      </c>
      <c r="C3389" t="s">
        <v>6906</v>
      </c>
      <c r="D3389" t="s">
        <v>2108</v>
      </c>
      <c r="E3389" t="s">
        <v>6956</v>
      </c>
      <c r="F3389">
        <v>17</v>
      </c>
      <c r="G3389">
        <v>7</v>
      </c>
      <c r="H3389" t="s">
        <v>13786</v>
      </c>
      <c r="J3389" t="s">
        <v>2110</v>
      </c>
      <c r="M3389" t="s">
        <v>13787</v>
      </c>
      <c r="N3389">
        <v>1.813871112</v>
      </c>
      <c r="O3389">
        <v>2.6633694910000001</v>
      </c>
      <c r="P3389">
        <v>-0.29586356800000002</v>
      </c>
      <c r="Q3389">
        <v>-0.59018158399999998</v>
      </c>
      <c r="S3389" s="13">
        <v>-1.730044973</v>
      </c>
      <c r="T3389">
        <v>-1.6347080519999999</v>
      </c>
      <c r="U3389">
        <v>-0.40007494999999998</v>
      </c>
    </row>
    <row r="3390" spans="1:21" x14ac:dyDescent="0.2">
      <c r="A3390" t="s">
        <v>1119</v>
      </c>
      <c r="B3390">
        <v>343720</v>
      </c>
      <c r="C3390" t="s">
        <v>6906</v>
      </c>
      <c r="D3390" t="s">
        <v>1120</v>
      </c>
      <c r="E3390" t="s">
        <v>6915</v>
      </c>
      <c r="F3390">
        <v>9</v>
      </c>
      <c r="G3390">
        <v>13</v>
      </c>
      <c r="H3390" t="s">
        <v>13788</v>
      </c>
      <c r="J3390" t="s">
        <v>13789</v>
      </c>
      <c r="M3390" t="s">
        <v>13790</v>
      </c>
      <c r="N3390">
        <v>1.813871112</v>
      </c>
      <c r="O3390">
        <v>2.6633694910000001</v>
      </c>
      <c r="P3390">
        <v>-0.29586356800000002</v>
      </c>
      <c r="Q3390">
        <v>-0.59018158399999998</v>
      </c>
      <c r="S3390" s="13">
        <v>-1.730044973</v>
      </c>
      <c r="T3390">
        <v>-1.6347080519999999</v>
      </c>
      <c r="U3390">
        <v>-0.40007494999999998</v>
      </c>
    </row>
    <row r="3391" spans="1:21" x14ac:dyDescent="0.2">
      <c r="A3391" t="s">
        <v>1620</v>
      </c>
      <c r="B3391">
        <v>404360</v>
      </c>
      <c r="C3391" t="s">
        <v>6914</v>
      </c>
      <c r="D3391" t="s">
        <v>1620</v>
      </c>
      <c r="E3391" t="s">
        <v>6911</v>
      </c>
      <c r="F3391">
        <v>18</v>
      </c>
      <c r="G3391">
        <v>12</v>
      </c>
      <c r="H3391" t="s">
        <v>13791</v>
      </c>
      <c r="J3391" t="s">
        <v>3506</v>
      </c>
      <c r="M3391" t="s">
        <v>13792</v>
      </c>
      <c r="N3391">
        <v>1.8217074179999999</v>
      </c>
      <c r="O3391">
        <v>4.1700741289999996</v>
      </c>
      <c r="P3391">
        <v>0.189705977</v>
      </c>
      <c r="Q3391">
        <v>-1.7194070999999998E-2</v>
      </c>
      <c r="S3391" s="13">
        <v>-1.7306295249999999</v>
      </c>
      <c r="T3391">
        <v>-1.637262411</v>
      </c>
      <c r="U3391">
        <v>-0.53002046400000002</v>
      </c>
    </row>
    <row r="3392" spans="1:21" x14ac:dyDescent="0.2">
      <c r="A3392" t="s">
        <v>1521</v>
      </c>
      <c r="B3392">
        <v>276680</v>
      </c>
      <c r="C3392" t="s">
        <v>6927</v>
      </c>
      <c r="D3392" t="s">
        <v>1521</v>
      </c>
      <c r="E3392" t="s">
        <v>6921</v>
      </c>
      <c r="F3392">
        <v>10</v>
      </c>
      <c r="G3392">
        <v>8</v>
      </c>
      <c r="H3392" t="s">
        <v>13793</v>
      </c>
      <c r="J3392" t="s">
        <v>13794</v>
      </c>
      <c r="M3392" t="s">
        <v>13795</v>
      </c>
      <c r="N3392">
        <v>1.982575982</v>
      </c>
      <c r="O3392">
        <v>3.4571926419999999</v>
      </c>
      <c r="P3392">
        <v>-0.114791479</v>
      </c>
      <c r="Q3392">
        <v>1.868949E-3</v>
      </c>
      <c r="S3392" s="13">
        <v>-1.7306431200000001</v>
      </c>
      <c r="T3392">
        <v>-1.637321815</v>
      </c>
      <c r="U3392">
        <v>-0.61334570799999999</v>
      </c>
    </row>
    <row r="3393" spans="1:21" x14ac:dyDescent="0.2">
      <c r="A3393" t="s">
        <v>812</v>
      </c>
      <c r="B3393">
        <v>92600</v>
      </c>
      <c r="C3393" t="s">
        <v>6945</v>
      </c>
      <c r="D3393" t="s">
        <v>813</v>
      </c>
      <c r="E3393" t="s">
        <v>7115</v>
      </c>
      <c r="F3393">
        <v>7</v>
      </c>
      <c r="G3393">
        <v>10</v>
      </c>
      <c r="H3393" t="s">
        <v>13796</v>
      </c>
      <c r="J3393" t="s">
        <v>5949</v>
      </c>
      <c r="M3393" t="s">
        <v>13797</v>
      </c>
      <c r="N3393">
        <v>2.2220813349999999</v>
      </c>
      <c r="O3393">
        <v>6.5440947090000003</v>
      </c>
      <c r="P3393">
        <v>0.58228215500000002</v>
      </c>
      <c r="Q3393">
        <v>0.35188233000000002</v>
      </c>
      <c r="S3393" s="13">
        <v>-1.7309324829999999</v>
      </c>
      <c r="T3393">
        <v>-1.6385862680000001</v>
      </c>
      <c r="U3393">
        <v>-0.81954581800000004</v>
      </c>
    </row>
    <row r="3394" spans="1:21" x14ac:dyDescent="0.2">
      <c r="A3394" t="s">
        <v>812</v>
      </c>
      <c r="B3394">
        <v>340680</v>
      </c>
      <c r="C3394" t="s">
        <v>6953</v>
      </c>
      <c r="D3394" t="s">
        <v>813</v>
      </c>
      <c r="E3394" t="s">
        <v>7115</v>
      </c>
      <c r="F3394">
        <v>7</v>
      </c>
      <c r="G3394">
        <v>10</v>
      </c>
      <c r="H3394" t="s">
        <v>13798</v>
      </c>
      <c r="J3394" t="s">
        <v>5273</v>
      </c>
      <c r="M3394" t="s">
        <v>13799</v>
      </c>
      <c r="N3394">
        <v>1.921480887</v>
      </c>
      <c r="O3394">
        <v>3.0856645180000002</v>
      </c>
      <c r="P3394">
        <v>0.44706724399999997</v>
      </c>
      <c r="Q3394">
        <v>-0.354940863</v>
      </c>
      <c r="S3394" s="13">
        <v>-1.731711872</v>
      </c>
      <c r="T3394">
        <v>-1.6419920210000001</v>
      </c>
      <c r="U3394">
        <v>-0.48048529499999998</v>
      </c>
    </row>
    <row r="3395" spans="1:21" x14ac:dyDescent="0.2">
      <c r="A3395" t="s">
        <v>1986</v>
      </c>
      <c r="B3395">
        <v>338920</v>
      </c>
      <c r="C3395" t="s">
        <v>6953</v>
      </c>
      <c r="D3395" t="s">
        <v>1986</v>
      </c>
      <c r="E3395" t="s">
        <v>6977</v>
      </c>
      <c r="F3395">
        <v>11</v>
      </c>
      <c r="G3395">
        <v>5</v>
      </c>
      <c r="H3395" t="s">
        <v>13800</v>
      </c>
      <c r="J3395" t="s">
        <v>5449</v>
      </c>
      <c r="M3395" t="s">
        <v>13801</v>
      </c>
      <c r="N3395">
        <v>1.921480887</v>
      </c>
      <c r="O3395">
        <v>3.0856645180000002</v>
      </c>
      <c r="P3395">
        <v>0.44706724399999997</v>
      </c>
      <c r="Q3395">
        <v>-0.354940863</v>
      </c>
      <c r="S3395" s="13">
        <v>-1.733538091</v>
      </c>
      <c r="T3395">
        <v>-1.6499721789999999</v>
      </c>
      <c r="U3395">
        <v>-0.482996912</v>
      </c>
    </row>
    <row r="3396" spans="1:21" x14ac:dyDescent="0.2">
      <c r="A3396" t="s">
        <v>1137</v>
      </c>
      <c r="B3396">
        <v>340640</v>
      </c>
      <c r="C3396" t="s">
        <v>6906</v>
      </c>
      <c r="D3396" t="s">
        <v>1137</v>
      </c>
      <c r="E3396" t="s">
        <v>7085</v>
      </c>
      <c r="F3396">
        <v>18</v>
      </c>
      <c r="G3396">
        <v>9</v>
      </c>
      <c r="H3396" t="s">
        <v>13802</v>
      </c>
      <c r="J3396" t="s">
        <v>4179</v>
      </c>
      <c r="M3396" t="s">
        <v>13803</v>
      </c>
      <c r="N3396">
        <v>1.813871112</v>
      </c>
      <c r="O3396">
        <v>2.6633694910000001</v>
      </c>
      <c r="P3396">
        <v>-0.29586356800000002</v>
      </c>
      <c r="Q3396">
        <v>-0.59018158399999998</v>
      </c>
      <c r="S3396" s="13">
        <v>-1.734513274</v>
      </c>
      <c r="T3396">
        <v>-1.654233506</v>
      </c>
      <c r="U3396">
        <v>-0.40373218799999999</v>
      </c>
    </row>
    <row r="3397" spans="1:21" x14ac:dyDescent="0.2">
      <c r="A3397" t="s">
        <v>703</v>
      </c>
      <c r="B3397">
        <v>340400</v>
      </c>
      <c r="C3397" t="s">
        <v>6906</v>
      </c>
      <c r="D3397" t="s">
        <v>704</v>
      </c>
      <c r="E3397" t="s">
        <v>6924</v>
      </c>
      <c r="F3397">
        <v>8</v>
      </c>
      <c r="G3397">
        <v>6</v>
      </c>
      <c r="H3397" t="s">
        <v>13804</v>
      </c>
      <c r="J3397" t="s">
        <v>706</v>
      </c>
      <c r="M3397" t="s">
        <v>13805</v>
      </c>
      <c r="N3397">
        <v>1.813871112</v>
      </c>
      <c r="O3397">
        <v>2.6633694910000001</v>
      </c>
      <c r="P3397">
        <v>-0.29586356800000002</v>
      </c>
      <c r="Q3397">
        <v>-0.59018158399999998</v>
      </c>
      <c r="S3397" s="13">
        <v>-1.734861454</v>
      </c>
      <c r="T3397">
        <v>-1.65575497</v>
      </c>
      <c r="U3397">
        <v>-0.40401846499999999</v>
      </c>
    </row>
    <row r="3398" spans="1:21" x14ac:dyDescent="0.2">
      <c r="A3398" t="s">
        <v>972</v>
      </c>
      <c r="B3398">
        <v>340040</v>
      </c>
      <c r="C3398" t="s">
        <v>6906</v>
      </c>
      <c r="D3398" t="s">
        <v>972</v>
      </c>
      <c r="E3398" t="s">
        <v>7085</v>
      </c>
      <c r="F3398">
        <v>17</v>
      </c>
      <c r="G3398">
        <v>9</v>
      </c>
      <c r="H3398" t="s">
        <v>13806</v>
      </c>
      <c r="J3398" t="s">
        <v>3878</v>
      </c>
      <c r="M3398" t="s">
        <v>13807</v>
      </c>
      <c r="N3398">
        <v>1.813871112</v>
      </c>
      <c r="O3398">
        <v>2.6633694910000001</v>
      </c>
      <c r="P3398">
        <v>-0.29586356800000002</v>
      </c>
      <c r="Q3398">
        <v>-0.59018158399999998</v>
      </c>
      <c r="S3398" s="13">
        <v>-1.735383723</v>
      </c>
      <c r="T3398">
        <v>-1.658037166</v>
      </c>
      <c r="U3398">
        <v>-0.40444823499999999</v>
      </c>
    </row>
    <row r="3399" spans="1:21" x14ac:dyDescent="0.2">
      <c r="A3399" t="s">
        <v>2902</v>
      </c>
      <c r="B3399">
        <v>87520</v>
      </c>
      <c r="C3399" t="s">
        <v>6945</v>
      </c>
      <c r="D3399" t="s">
        <v>2903</v>
      </c>
      <c r="E3399" t="s">
        <v>6977</v>
      </c>
      <c r="F3399">
        <v>6</v>
      </c>
      <c r="G3399">
        <v>5</v>
      </c>
      <c r="H3399" t="s">
        <v>13808</v>
      </c>
      <c r="J3399" t="s">
        <v>6323</v>
      </c>
      <c r="M3399" t="s">
        <v>13809</v>
      </c>
      <c r="N3399">
        <v>2.2220813349999999</v>
      </c>
      <c r="O3399">
        <v>6.5440947090000003</v>
      </c>
      <c r="P3399">
        <v>0.58228215500000002</v>
      </c>
      <c r="Q3399">
        <v>0.35188233000000002</v>
      </c>
      <c r="S3399" s="13">
        <v>-1.7357241219999999</v>
      </c>
      <c r="T3399">
        <v>-1.6595246349999999</v>
      </c>
      <c r="U3399">
        <v>-0.83561974400000005</v>
      </c>
    </row>
    <row r="3400" spans="1:21" x14ac:dyDescent="0.2">
      <c r="A3400" t="s">
        <v>307</v>
      </c>
      <c r="B3400">
        <v>399960</v>
      </c>
      <c r="C3400" t="s">
        <v>6914</v>
      </c>
      <c r="D3400" t="s">
        <v>308</v>
      </c>
      <c r="E3400" t="s">
        <v>6915</v>
      </c>
      <c r="F3400">
        <v>3</v>
      </c>
      <c r="G3400">
        <v>13</v>
      </c>
      <c r="H3400" t="s">
        <v>13810</v>
      </c>
      <c r="J3400" t="s">
        <v>6709</v>
      </c>
      <c r="M3400" t="s">
        <v>13811</v>
      </c>
      <c r="N3400">
        <v>1.8217074179999999</v>
      </c>
      <c r="O3400">
        <v>4.1700741289999996</v>
      </c>
      <c r="P3400">
        <v>0.189705977</v>
      </c>
      <c r="Q3400">
        <v>-1.7194070999999998E-2</v>
      </c>
      <c r="S3400" s="13">
        <v>-1.735921676</v>
      </c>
      <c r="T3400">
        <v>-1.6603878999999999</v>
      </c>
      <c r="U3400">
        <v>-0.537095129</v>
      </c>
    </row>
    <row r="3401" spans="1:21" x14ac:dyDescent="0.2">
      <c r="A3401" t="s">
        <v>1150</v>
      </c>
      <c r="B3401">
        <v>398760</v>
      </c>
      <c r="C3401" t="s">
        <v>6914</v>
      </c>
      <c r="D3401" t="s">
        <v>1150</v>
      </c>
      <c r="E3401" t="s">
        <v>7006</v>
      </c>
      <c r="F3401">
        <v>16</v>
      </c>
      <c r="G3401">
        <v>3</v>
      </c>
      <c r="H3401" t="s">
        <v>13812</v>
      </c>
      <c r="J3401" t="s">
        <v>6647</v>
      </c>
      <c r="M3401" t="s">
        <v>13813</v>
      </c>
      <c r="N3401">
        <v>1.8217074179999999</v>
      </c>
      <c r="O3401">
        <v>4.1700741289999996</v>
      </c>
      <c r="P3401">
        <v>0.189705977</v>
      </c>
      <c r="Q3401">
        <v>-1.7194070999999998E-2</v>
      </c>
      <c r="S3401" s="13">
        <v>-1.7373649900000001</v>
      </c>
      <c r="T3401">
        <v>-1.666694852</v>
      </c>
      <c r="U3401">
        <v>-0.53904475399999996</v>
      </c>
    </row>
    <row r="3402" spans="1:21" x14ac:dyDescent="0.2">
      <c r="A3402" t="s">
        <v>697</v>
      </c>
      <c r="B3402">
        <v>255480</v>
      </c>
      <c r="C3402" t="s">
        <v>6910</v>
      </c>
      <c r="D3402" t="s">
        <v>698</v>
      </c>
      <c r="E3402" t="s">
        <v>7115</v>
      </c>
      <c r="F3402">
        <v>3</v>
      </c>
      <c r="G3402">
        <v>10</v>
      </c>
      <c r="H3402" t="s">
        <v>13814</v>
      </c>
      <c r="J3402" t="s">
        <v>6051</v>
      </c>
      <c r="M3402" t="s">
        <v>13815</v>
      </c>
      <c r="N3402">
        <v>1.9874741039999999</v>
      </c>
      <c r="O3402">
        <v>3.7453511220000002</v>
      </c>
      <c r="P3402">
        <v>0.451009722</v>
      </c>
      <c r="Q3402">
        <v>-0.102386592</v>
      </c>
      <c r="S3402" s="13">
        <v>-1.737815506</v>
      </c>
      <c r="T3402">
        <v>-1.6686635030000001</v>
      </c>
      <c r="U3402">
        <v>-0.46119808200000001</v>
      </c>
    </row>
    <row r="3403" spans="1:21" x14ac:dyDescent="0.2">
      <c r="A3403" t="s">
        <v>207</v>
      </c>
      <c r="B3403">
        <v>84040</v>
      </c>
      <c r="C3403" t="s">
        <v>6945</v>
      </c>
      <c r="D3403" t="s">
        <v>207</v>
      </c>
      <c r="E3403" t="s">
        <v>6939</v>
      </c>
      <c r="F3403">
        <v>21</v>
      </c>
      <c r="G3403">
        <v>2</v>
      </c>
      <c r="H3403" t="s">
        <v>13816</v>
      </c>
      <c r="J3403" t="s">
        <v>6043</v>
      </c>
      <c r="M3403" t="s">
        <v>13817</v>
      </c>
      <c r="N3403">
        <v>2.2220813349999999</v>
      </c>
      <c r="O3403">
        <v>6.5440947090000003</v>
      </c>
      <c r="P3403">
        <v>0.58228215500000002</v>
      </c>
      <c r="Q3403">
        <v>0.35188233000000002</v>
      </c>
      <c r="S3403" s="13">
        <v>-1.739006584</v>
      </c>
      <c r="T3403">
        <v>-1.673868242</v>
      </c>
      <c r="U3403">
        <v>-0.84698474199999996</v>
      </c>
    </row>
    <row r="3404" spans="1:21" x14ac:dyDescent="0.2">
      <c r="A3404" t="s">
        <v>547</v>
      </c>
      <c r="B3404">
        <v>331520</v>
      </c>
      <c r="C3404" t="s">
        <v>6953</v>
      </c>
      <c r="D3404" t="s">
        <v>548</v>
      </c>
      <c r="E3404" t="s">
        <v>6970</v>
      </c>
      <c r="F3404">
        <v>5</v>
      </c>
      <c r="G3404">
        <v>14</v>
      </c>
      <c r="H3404" t="s">
        <v>13818</v>
      </c>
      <c r="J3404" t="s">
        <v>5455</v>
      </c>
      <c r="M3404" t="s">
        <v>13819</v>
      </c>
      <c r="N3404">
        <v>1.921480887</v>
      </c>
      <c r="O3404">
        <v>3.0856645180000002</v>
      </c>
      <c r="P3404">
        <v>0.44706724399999997</v>
      </c>
      <c r="Q3404">
        <v>-0.354940863</v>
      </c>
      <c r="S3404" s="13">
        <v>-1.741216511</v>
      </c>
      <c r="T3404">
        <v>-1.6835251170000001</v>
      </c>
      <c r="U3404">
        <v>-0.49371898800000003</v>
      </c>
    </row>
    <row r="3405" spans="1:21" x14ac:dyDescent="0.2">
      <c r="A3405" t="s">
        <v>47</v>
      </c>
      <c r="B3405">
        <v>81640</v>
      </c>
      <c r="C3405" t="s">
        <v>6945</v>
      </c>
      <c r="D3405" t="s">
        <v>48</v>
      </c>
      <c r="E3405" t="s">
        <v>6918</v>
      </c>
      <c r="F3405">
        <v>8</v>
      </c>
      <c r="G3405">
        <v>1</v>
      </c>
      <c r="H3405" t="s">
        <v>13820</v>
      </c>
      <c r="J3405" t="s">
        <v>6039</v>
      </c>
      <c r="M3405" t="s">
        <v>13821</v>
      </c>
      <c r="N3405">
        <v>2.2220813349999999</v>
      </c>
      <c r="O3405">
        <v>6.5440947090000003</v>
      </c>
      <c r="P3405">
        <v>0.58228215500000002</v>
      </c>
      <c r="Q3405">
        <v>0.35188233000000002</v>
      </c>
      <c r="S3405" s="13">
        <v>-1.74127035</v>
      </c>
      <c r="T3405">
        <v>-1.6837603839999999</v>
      </c>
      <c r="U3405">
        <v>-0.85499963099999998</v>
      </c>
    </row>
    <row r="3406" spans="1:21" x14ac:dyDescent="0.2">
      <c r="A3406" t="s">
        <v>1112</v>
      </c>
      <c r="B3406">
        <v>81600</v>
      </c>
      <c r="C3406" t="s">
        <v>6945</v>
      </c>
      <c r="D3406" t="s">
        <v>1112</v>
      </c>
      <c r="E3406" t="s">
        <v>6924</v>
      </c>
      <c r="F3406">
        <v>23</v>
      </c>
      <c r="G3406">
        <v>6</v>
      </c>
      <c r="H3406" t="s">
        <v>13822</v>
      </c>
      <c r="J3406" t="s">
        <v>6241</v>
      </c>
      <c r="M3406" t="s">
        <v>13823</v>
      </c>
      <c r="N3406">
        <v>2.2220813349999999</v>
      </c>
      <c r="O3406">
        <v>6.5440947090000003</v>
      </c>
      <c r="P3406">
        <v>0.58228215500000002</v>
      </c>
      <c r="Q3406">
        <v>0.35188233000000002</v>
      </c>
      <c r="S3406" s="13">
        <v>-1.74130808</v>
      </c>
      <c r="T3406">
        <v>-1.683925253</v>
      </c>
      <c r="U3406">
        <v>-0.85513447399999998</v>
      </c>
    </row>
    <row r="3407" spans="1:21" x14ac:dyDescent="0.2">
      <c r="A3407" t="s">
        <v>2035</v>
      </c>
      <c r="B3407">
        <v>202160</v>
      </c>
      <c r="C3407" t="s">
        <v>6938</v>
      </c>
      <c r="D3407" t="s">
        <v>2035</v>
      </c>
      <c r="E3407" t="s">
        <v>7115</v>
      </c>
      <c r="F3407">
        <v>14</v>
      </c>
      <c r="G3407">
        <v>10</v>
      </c>
      <c r="H3407" t="s">
        <v>13824</v>
      </c>
      <c r="J3407" t="s">
        <v>5661</v>
      </c>
      <c r="M3407" t="s">
        <v>13825</v>
      </c>
      <c r="N3407">
        <v>2.092758737</v>
      </c>
      <c r="O3407">
        <v>5.3323610669999999</v>
      </c>
      <c r="P3407">
        <v>0.70420098600000003</v>
      </c>
      <c r="Q3407">
        <v>0.41355372699999998</v>
      </c>
      <c r="S3407" s="13">
        <v>-1.741497767</v>
      </c>
      <c r="T3407">
        <v>-1.6847541429999999</v>
      </c>
      <c r="U3407">
        <v>-0.90036406899999999</v>
      </c>
    </row>
    <row r="3408" spans="1:21" x14ac:dyDescent="0.2">
      <c r="A3408" t="s">
        <v>42</v>
      </c>
      <c r="B3408">
        <v>80800</v>
      </c>
      <c r="C3408" t="s">
        <v>6945</v>
      </c>
      <c r="D3408" t="s">
        <v>42</v>
      </c>
      <c r="E3408" t="s">
        <v>6977</v>
      </c>
      <c r="F3408">
        <v>13</v>
      </c>
      <c r="G3408">
        <v>5</v>
      </c>
      <c r="H3408" t="s">
        <v>13826</v>
      </c>
      <c r="J3408" t="s">
        <v>6281</v>
      </c>
      <c r="M3408" t="s">
        <v>13827</v>
      </c>
      <c r="N3408">
        <v>2.2220813349999999</v>
      </c>
      <c r="O3408">
        <v>6.5440947090000003</v>
      </c>
      <c r="P3408">
        <v>0.58228215500000002</v>
      </c>
      <c r="Q3408">
        <v>0.35188233000000002</v>
      </c>
      <c r="S3408" s="13">
        <v>-1.7420626690000001</v>
      </c>
      <c r="T3408">
        <v>-1.6872226340000001</v>
      </c>
      <c r="U3408">
        <v>-0.85784015599999996</v>
      </c>
    </row>
    <row r="3409" spans="1:21" x14ac:dyDescent="0.2">
      <c r="A3409" t="s">
        <v>1422</v>
      </c>
      <c r="B3409">
        <v>334760</v>
      </c>
      <c r="C3409" t="s">
        <v>6906</v>
      </c>
      <c r="D3409" t="s">
        <v>1423</v>
      </c>
      <c r="E3409" t="s">
        <v>6956</v>
      </c>
      <c r="F3409">
        <v>4</v>
      </c>
      <c r="G3409">
        <v>7</v>
      </c>
      <c r="H3409" t="s">
        <v>13828</v>
      </c>
      <c r="J3409" t="s">
        <v>1425</v>
      </c>
      <c r="M3409" t="s">
        <v>13829</v>
      </c>
      <c r="N3409">
        <v>1.813871112</v>
      </c>
      <c r="O3409">
        <v>2.6633694910000001</v>
      </c>
      <c r="P3409">
        <v>-0.29586356800000002</v>
      </c>
      <c r="Q3409">
        <v>-0.59018158399999998</v>
      </c>
      <c r="S3409" s="13">
        <v>-1.743043667</v>
      </c>
      <c r="T3409">
        <v>-1.6915093750000001</v>
      </c>
      <c r="U3409">
        <v>-0.41080088399999998</v>
      </c>
    </row>
    <row r="3410" spans="1:21" x14ac:dyDescent="0.2">
      <c r="A3410" t="s">
        <v>1857</v>
      </c>
      <c r="B3410">
        <v>250600</v>
      </c>
      <c r="C3410" t="s">
        <v>6910</v>
      </c>
      <c r="D3410" t="s">
        <v>1858</v>
      </c>
      <c r="E3410" t="s">
        <v>6974</v>
      </c>
      <c r="F3410">
        <v>6</v>
      </c>
      <c r="G3410">
        <v>15</v>
      </c>
      <c r="H3410" t="s">
        <v>13830</v>
      </c>
      <c r="J3410" t="s">
        <v>6471</v>
      </c>
      <c r="M3410" t="s">
        <v>13831</v>
      </c>
      <c r="N3410">
        <v>1.9874741039999999</v>
      </c>
      <c r="O3410">
        <v>3.7453511220000002</v>
      </c>
      <c r="P3410">
        <v>0.451009722</v>
      </c>
      <c r="Q3410">
        <v>-0.102386592</v>
      </c>
      <c r="S3410" s="13">
        <v>-1.743065866</v>
      </c>
      <c r="T3410">
        <v>-1.6916063779999999</v>
      </c>
      <c r="U3410">
        <v>-0.46789169600000002</v>
      </c>
    </row>
    <row r="3411" spans="1:21" x14ac:dyDescent="0.2">
      <c r="A3411" t="s">
        <v>243</v>
      </c>
      <c r="B3411">
        <v>199840</v>
      </c>
      <c r="C3411" t="s">
        <v>6938</v>
      </c>
      <c r="D3411" t="s">
        <v>243</v>
      </c>
      <c r="E3411" t="s">
        <v>6918</v>
      </c>
      <c r="F3411">
        <v>14</v>
      </c>
      <c r="G3411">
        <v>1</v>
      </c>
      <c r="H3411" t="s">
        <v>13832</v>
      </c>
      <c r="J3411" t="s">
        <v>5685</v>
      </c>
      <c r="M3411" t="s">
        <v>13833</v>
      </c>
      <c r="N3411">
        <v>2.092758737</v>
      </c>
      <c r="O3411">
        <v>5.3323610669999999</v>
      </c>
      <c r="P3411">
        <v>0.70420098600000003</v>
      </c>
      <c r="Q3411">
        <v>0.41355372699999998</v>
      </c>
      <c r="S3411" s="13">
        <v>-1.74349021</v>
      </c>
      <c r="T3411">
        <v>-1.693460661</v>
      </c>
      <c r="U3411">
        <v>-0.90913264900000001</v>
      </c>
    </row>
    <row r="3412" spans="1:21" x14ac:dyDescent="0.2">
      <c r="A3412" t="s">
        <v>1140</v>
      </c>
      <c r="B3412">
        <v>334240</v>
      </c>
      <c r="C3412" t="s">
        <v>6906</v>
      </c>
      <c r="D3412" t="s">
        <v>1141</v>
      </c>
      <c r="E3412" t="s">
        <v>7085</v>
      </c>
      <c r="F3412">
        <v>4</v>
      </c>
      <c r="G3412">
        <v>9</v>
      </c>
      <c r="H3412" t="s">
        <v>13834</v>
      </c>
      <c r="J3412" t="s">
        <v>1143</v>
      </c>
      <c r="M3412" t="s">
        <v>13835</v>
      </c>
      <c r="N3412">
        <v>1.813871112</v>
      </c>
      <c r="O3412">
        <v>2.6633694910000001</v>
      </c>
      <c r="P3412">
        <v>-0.29586356800000002</v>
      </c>
      <c r="Q3412">
        <v>-0.59018158399999998</v>
      </c>
      <c r="S3412" s="13">
        <v>-1.7437980559999999</v>
      </c>
      <c r="T3412">
        <v>-1.6948058800000001</v>
      </c>
      <c r="U3412">
        <v>-0.41143158000000002</v>
      </c>
    </row>
    <row r="3413" spans="1:21" x14ac:dyDescent="0.2">
      <c r="A3413" t="s">
        <v>2385</v>
      </c>
      <c r="B3413">
        <v>78480</v>
      </c>
      <c r="C3413" t="s">
        <v>6945</v>
      </c>
      <c r="D3413" t="s">
        <v>2385</v>
      </c>
      <c r="E3413" t="s">
        <v>6911</v>
      </c>
      <c r="F3413">
        <v>19</v>
      </c>
      <c r="G3413">
        <v>12</v>
      </c>
      <c r="H3413" t="s">
        <v>13836</v>
      </c>
      <c r="J3413" t="s">
        <v>6149</v>
      </c>
      <c r="M3413" t="s">
        <v>13837</v>
      </c>
      <c r="N3413">
        <v>2.2220813349999999</v>
      </c>
      <c r="O3413">
        <v>6.5440947090000003</v>
      </c>
      <c r="P3413">
        <v>0.58228215500000002</v>
      </c>
      <c r="Q3413">
        <v>0.35188233000000002</v>
      </c>
      <c r="S3413" s="13">
        <v>-1.744250976</v>
      </c>
      <c r="T3413">
        <v>-1.696785038</v>
      </c>
      <c r="U3413">
        <v>-0.86578332800000002</v>
      </c>
    </row>
    <row r="3414" spans="1:21" x14ac:dyDescent="0.2">
      <c r="A3414" t="s">
        <v>2421</v>
      </c>
      <c r="B3414">
        <v>197120</v>
      </c>
      <c r="C3414" t="s">
        <v>6938</v>
      </c>
      <c r="D3414" t="s">
        <v>2422</v>
      </c>
      <c r="E3414" t="s">
        <v>7085</v>
      </c>
      <c r="F3414">
        <v>8</v>
      </c>
      <c r="G3414">
        <v>9</v>
      </c>
      <c r="H3414" t="s">
        <v>13838</v>
      </c>
      <c r="J3414" t="s">
        <v>5567</v>
      </c>
      <c r="M3414" t="s">
        <v>13839</v>
      </c>
      <c r="N3414">
        <v>2.092758737</v>
      </c>
      <c r="O3414">
        <v>5.3323610669999999</v>
      </c>
      <c r="P3414">
        <v>0.70420098600000003</v>
      </c>
      <c r="Q3414">
        <v>0.41355372699999998</v>
      </c>
      <c r="S3414" s="13">
        <v>-1.7458261770000001</v>
      </c>
      <c r="T3414">
        <v>-1.7036683029999999</v>
      </c>
      <c r="U3414">
        <v>-0.919643714</v>
      </c>
    </row>
    <row r="3415" spans="1:21" x14ac:dyDescent="0.2">
      <c r="A3415" t="s">
        <v>2341</v>
      </c>
      <c r="B3415">
        <v>196400</v>
      </c>
      <c r="C3415" t="s">
        <v>6938</v>
      </c>
      <c r="D3415" t="s">
        <v>2341</v>
      </c>
      <c r="E3415" t="s">
        <v>6921</v>
      </c>
      <c r="F3415">
        <v>14</v>
      </c>
      <c r="G3415">
        <v>8</v>
      </c>
      <c r="H3415" t="s">
        <v>13840</v>
      </c>
      <c r="J3415" t="s">
        <v>5773</v>
      </c>
      <c r="M3415" t="s">
        <v>13841</v>
      </c>
      <c r="N3415">
        <v>2.092758737</v>
      </c>
      <c r="O3415">
        <v>5.3323610669999999</v>
      </c>
      <c r="P3415">
        <v>0.70420098600000003</v>
      </c>
      <c r="Q3415">
        <v>0.41355372699999998</v>
      </c>
      <c r="S3415" s="13">
        <v>-1.7464445209999999</v>
      </c>
      <c r="T3415">
        <v>-1.706370326</v>
      </c>
      <c r="U3415">
        <v>-0.92246916899999998</v>
      </c>
    </row>
    <row r="3416" spans="1:21" x14ac:dyDescent="0.2">
      <c r="A3416" t="s">
        <v>303</v>
      </c>
      <c r="B3416">
        <v>196120</v>
      </c>
      <c r="C3416" t="s">
        <v>6938</v>
      </c>
      <c r="D3416" t="s">
        <v>304</v>
      </c>
      <c r="E3416" t="s">
        <v>7006</v>
      </c>
      <c r="F3416">
        <v>3</v>
      </c>
      <c r="G3416">
        <v>3</v>
      </c>
      <c r="H3416" t="s">
        <v>13842</v>
      </c>
      <c r="J3416" t="s">
        <v>5649</v>
      </c>
      <c r="M3416" t="s">
        <v>13843</v>
      </c>
      <c r="N3416">
        <v>2.092758737</v>
      </c>
      <c r="O3416">
        <v>5.3323610669999999</v>
      </c>
      <c r="P3416">
        <v>0.70420098600000003</v>
      </c>
      <c r="Q3416">
        <v>0.41355372699999998</v>
      </c>
      <c r="S3416" s="13">
        <v>-1.7466849879999999</v>
      </c>
      <c r="T3416">
        <v>-1.7074211130000001</v>
      </c>
      <c r="U3416">
        <v>-0.92357294099999998</v>
      </c>
    </row>
    <row r="3417" spans="1:21" x14ac:dyDescent="0.2">
      <c r="A3417" t="s">
        <v>1215</v>
      </c>
      <c r="B3417">
        <v>75280</v>
      </c>
      <c r="C3417" t="s">
        <v>6945</v>
      </c>
      <c r="D3417" t="s">
        <v>1215</v>
      </c>
      <c r="E3417" t="s">
        <v>6970</v>
      </c>
      <c r="F3417">
        <v>18</v>
      </c>
      <c r="G3417">
        <v>14</v>
      </c>
      <c r="H3417" t="s">
        <v>13844</v>
      </c>
      <c r="J3417" t="s">
        <v>6013</v>
      </c>
      <c r="M3417" t="s">
        <v>13845</v>
      </c>
      <c r="N3417">
        <v>2.2220813349999999</v>
      </c>
      <c r="O3417">
        <v>6.5440947090000003</v>
      </c>
      <c r="P3417">
        <v>0.58228215500000002</v>
      </c>
      <c r="Q3417">
        <v>0.35188233000000002</v>
      </c>
      <c r="S3417" s="13">
        <v>-1.7472693319999999</v>
      </c>
      <c r="T3417">
        <v>-1.7099745609999999</v>
      </c>
      <c r="U3417">
        <v>-0.87698341899999999</v>
      </c>
    </row>
    <row r="3418" spans="1:21" x14ac:dyDescent="0.2">
      <c r="A3418" t="s">
        <v>295</v>
      </c>
      <c r="B3418">
        <v>74600</v>
      </c>
      <c r="C3418" t="s">
        <v>6945</v>
      </c>
      <c r="D3418" t="s">
        <v>295</v>
      </c>
      <c r="E3418" t="s">
        <v>6911</v>
      </c>
      <c r="F3418">
        <v>20</v>
      </c>
      <c r="G3418">
        <v>12</v>
      </c>
      <c r="H3418" t="s">
        <v>13846</v>
      </c>
      <c r="J3418" t="s">
        <v>5935</v>
      </c>
      <c r="M3418" t="s">
        <v>13847</v>
      </c>
      <c r="N3418">
        <v>2.2220813349999999</v>
      </c>
      <c r="O3418">
        <v>6.5440947090000003</v>
      </c>
      <c r="P3418">
        <v>0.58228215500000002</v>
      </c>
      <c r="Q3418">
        <v>0.35188233000000002</v>
      </c>
      <c r="S3418" s="13">
        <v>-1.747910732</v>
      </c>
      <c r="T3418">
        <v>-1.7127773340000001</v>
      </c>
      <c r="U3418">
        <v>-0.87940111099999996</v>
      </c>
    </row>
    <row r="3419" spans="1:21" x14ac:dyDescent="0.2">
      <c r="A3419" t="s">
        <v>2118</v>
      </c>
      <c r="B3419">
        <v>331000</v>
      </c>
      <c r="C3419" t="s">
        <v>6906</v>
      </c>
      <c r="D3419" t="s">
        <v>2119</v>
      </c>
      <c r="E3419" t="s">
        <v>6974</v>
      </c>
      <c r="F3419">
        <v>4</v>
      </c>
      <c r="G3419">
        <v>15</v>
      </c>
      <c r="H3419" t="s">
        <v>13848</v>
      </c>
      <c r="J3419" t="s">
        <v>2859</v>
      </c>
      <c r="M3419" t="s">
        <v>13849</v>
      </c>
      <c r="N3419">
        <v>1.813871112</v>
      </c>
      <c r="O3419">
        <v>2.6633694910000001</v>
      </c>
      <c r="P3419">
        <v>-0.29586356800000002</v>
      </c>
      <c r="Q3419">
        <v>-0.59018158399999998</v>
      </c>
      <c r="S3419" s="13">
        <v>-1.7484984770000001</v>
      </c>
      <c r="T3419">
        <v>-1.7153456439999999</v>
      </c>
      <c r="U3419">
        <v>-0.41538206599999999</v>
      </c>
    </row>
    <row r="3420" spans="1:21" x14ac:dyDescent="0.2">
      <c r="A3420" t="s">
        <v>246</v>
      </c>
      <c r="B3420">
        <v>245480</v>
      </c>
      <c r="C3420" t="s">
        <v>6910</v>
      </c>
      <c r="D3420" t="s">
        <v>246</v>
      </c>
      <c r="E3420" t="s">
        <v>6939</v>
      </c>
      <c r="F3420">
        <v>10</v>
      </c>
      <c r="G3420">
        <v>2</v>
      </c>
      <c r="H3420" t="s">
        <v>13850</v>
      </c>
      <c r="J3420" t="s">
        <v>6563</v>
      </c>
      <c r="M3420" t="s">
        <v>13851</v>
      </c>
      <c r="N3420">
        <v>1.9874741039999999</v>
      </c>
      <c r="O3420">
        <v>3.7453511220000002</v>
      </c>
      <c r="P3420">
        <v>0.451009722</v>
      </c>
      <c r="Q3420">
        <v>-0.102386592</v>
      </c>
      <c r="S3420" s="13">
        <v>-1.7485744409999999</v>
      </c>
      <c r="T3420">
        <v>-1.7156775909999999</v>
      </c>
      <c r="U3420">
        <v>-0.47502720199999998</v>
      </c>
    </row>
    <row r="3421" spans="1:21" x14ac:dyDescent="0.2">
      <c r="A3421" t="s">
        <v>909</v>
      </c>
      <c r="B3421">
        <v>323120</v>
      </c>
      <c r="C3421" t="s">
        <v>6953</v>
      </c>
      <c r="D3421" t="s">
        <v>909</v>
      </c>
      <c r="E3421" t="s">
        <v>6974</v>
      </c>
      <c r="F3421">
        <v>10</v>
      </c>
      <c r="G3421">
        <v>15</v>
      </c>
      <c r="H3421" t="s">
        <v>13852</v>
      </c>
      <c r="J3421" t="s">
        <v>5379</v>
      </c>
      <c r="M3421" t="s">
        <v>13853</v>
      </c>
      <c r="N3421">
        <v>1.921480887</v>
      </c>
      <c r="O3421">
        <v>3.0856645180000002</v>
      </c>
      <c r="P3421">
        <v>0.44706724399999997</v>
      </c>
      <c r="Q3421">
        <v>-0.354940863</v>
      </c>
      <c r="S3421" s="13">
        <v>-1.7499325539999999</v>
      </c>
      <c r="T3421">
        <v>-1.7216122359999999</v>
      </c>
      <c r="U3421">
        <v>-0.50621967599999995</v>
      </c>
    </row>
    <row r="3422" spans="1:21" x14ac:dyDescent="0.2">
      <c r="A3422" t="s">
        <v>529</v>
      </c>
      <c r="B3422">
        <v>72200</v>
      </c>
      <c r="C3422" t="s">
        <v>6945</v>
      </c>
      <c r="D3422" t="s">
        <v>529</v>
      </c>
      <c r="E3422" t="s">
        <v>6956</v>
      </c>
      <c r="F3422">
        <v>22</v>
      </c>
      <c r="G3422">
        <v>7</v>
      </c>
      <c r="H3422" t="s">
        <v>13854</v>
      </c>
      <c r="J3422" t="s">
        <v>6303</v>
      </c>
      <c r="M3422" t="s">
        <v>13855</v>
      </c>
      <c r="N3422">
        <v>2.2220813349999999</v>
      </c>
      <c r="O3422">
        <v>6.5440947090000003</v>
      </c>
      <c r="P3422">
        <v>0.58228215500000002</v>
      </c>
      <c r="Q3422">
        <v>0.35188233000000002</v>
      </c>
      <c r="S3422" s="13">
        <v>-1.7501744990000001</v>
      </c>
      <c r="T3422">
        <v>-1.7226694769999999</v>
      </c>
      <c r="U3422">
        <v>-0.88804335599999995</v>
      </c>
    </row>
    <row r="3423" spans="1:21" x14ac:dyDescent="0.2">
      <c r="A3423" t="s">
        <v>560</v>
      </c>
      <c r="B3423">
        <v>190720</v>
      </c>
      <c r="C3423" t="s">
        <v>6938</v>
      </c>
      <c r="D3423" t="s">
        <v>560</v>
      </c>
      <c r="E3423" t="s">
        <v>6928</v>
      </c>
      <c r="F3423">
        <v>13</v>
      </c>
      <c r="G3423">
        <v>16</v>
      </c>
      <c r="H3423" t="s">
        <v>13856</v>
      </c>
      <c r="J3423" t="s">
        <v>5675</v>
      </c>
      <c r="M3423" t="s">
        <v>13857</v>
      </c>
      <c r="N3423">
        <v>2.092758737</v>
      </c>
      <c r="O3423">
        <v>5.3323610669999999</v>
      </c>
      <c r="P3423">
        <v>0.70420098600000003</v>
      </c>
      <c r="Q3423">
        <v>0.41355372699999998</v>
      </c>
      <c r="S3423" s="13">
        <v>-1.7513225699999999</v>
      </c>
      <c r="T3423">
        <v>-1.727686284</v>
      </c>
      <c r="U3423">
        <v>-0.945427829</v>
      </c>
    </row>
    <row r="3424" spans="1:21" x14ac:dyDescent="0.2">
      <c r="A3424" t="s">
        <v>2960</v>
      </c>
      <c r="B3424">
        <v>241120</v>
      </c>
      <c r="C3424" t="s">
        <v>6910</v>
      </c>
      <c r="D3424" t="s">
        <v>2961</v>
      </c>
      <c r="E3424" t="s">
        <v>6939</v>
      </c>
      <c r="F3424">
        <v>7</v>
      </c>
      <c r="G3424">
        <v>2</v>
      </c>
      <c r="H3424" t="s">
        <v>13858</v>
      </c>
      <c r="J3424" t="s">
        <v>6397</v>
      </c>
      <c r="M3424" t="s">
        <v>13859</v>
      </c>
      <c r="N3424">
        <v>1.9874741039999999</v>
      </c>
      <c r="O3424">
        <v>3.7453511220000002</v>
      </c>
      <c r="P3424">
        <v>0.451009722</v>
      </c>
      <c r="Q3424">
        <v>-0.102386592</v>
      </c>
      <c r="S3424" s="13">
        <v>-1.753265337</v>
      </c>
      <c r="T3424">
        <v>-1.7361757330000001</v>
      </c>
      <c r="U3424">
        <v>-0.481197347</v>
      </c>
    </row>
    <row r="3425" spans="1:21" x14ac:dyDescent="0.2">
      <c r="A3425" t="s">
        <v>2885</v>
      </c>
      <c r="B3425">
        <v>67280</v>
      </c>
      <c r="C3425" t="s">
        <v>6945</v>
      </c>
      <c r="D3425" t="s">
        <v>2885</v>
      </c>
      <c r="E3425" t="s">
        <v>7085</v>
      </c>
      <c r="F3425">
        <v>11</v>
      </c>
      <c r="G3425">
        <v>9</v>
      </c>
      <c r="H3425" t="s">
        <v>13860</v>
      </c>
      <c r="J3425" t="s">
        <v>5963</v>
      </c>
      <c r="M3425" t="s">
        <v>13861</v>
      </c>
      <c r="N3425">
        <v>2.2220813349999999</v>
      </c>
      <c r="O3425">
        <v>6.5440947090000003</v>
      </c>
      <c r="P3425">
        <v>0.58228215500000002</v>
      </c>
      <c r="Q3425">
        <v>0.35188233000000002</v>
      </c>
      <c r="S3425" s="13">
        <v>-1.75481522</v>
      </c>
      <c r="T3425">
        <v>-1.742948368</v>
      </c>
      <c r="U3425">
        <v>-0.90631649800000003</v>
      </c>
    </row>
    <row r="3426" spans="1:21" x14ac:dyDescent="0.2">
      <c r="A3426" t="s">
        <v>853</v>
      </c>
      <c r="B3426">
        <v>66840</v>
      </c>
      <c r="C3426" t="s">
        <v>6945</v>
      </c>
      <c r="D3426" t="s">
        <v>854</v>
      </c>
      <c r="E3426" t="s">
        <v>6946</v>
      </c>
      <c r="F3426">
        <v>5</v>
      </c>
      <c r="G3426">
        <v>11</v>
      </c>
      <c r="H3426" t="s">
        <v>13862</v>
      </c>
      <c r="J3426" t="s">
        <v>6271</v>
      </c>
      <c r="M3426" t="s">
        <v>13863</v>
      </c>
      <c r="N3426">
        <v>2.2220813349999999</v>
      </c>
      <c r="O3426">
        <v>6.5440947090000003</v>
      </c>
      <c r="P3426">
        <v>0.58228215500000002</v>
      </c>
      <c r="Q3426">
        <v>0.35188233000000002</v>
      </c>
      <c r="S3426" s="13">
        <v>-1.7552302440000001</v>
      </c>
      <c r="T3426">
        <v>-1.744761928</v>
      </c>
      <c r="U3426">
        <v>-0.90798876399999995</v>
      </c>
    </row>
    <row r="3427" spans="1:21" x14ac:dyDescent="0.2">
      <c r="A3427" t="s">
        <v>619</v>
      </c>
      <c r="B3427">
        <v>64880</v>
      </c>
      <c r="C3427" t="s">
        <v>6945</v>
      </c>
      <c r="D3427" t="s">
        <v>619</v>
      </c>
      <c r="E3427" t="s">
        <v>6939</v>
      </c>
      <c r="F3427">
        <v>22</v>
      </c>
      <c r="G3427">
        <v>2</v>
      </c>
      <c r="H3427" t="s">
        <v>13864</v>
      </c>
      <c r="J3427" t="s">
        <v>6273</v>
      </c>
      <c r="M3427" t="s">
        <v>13865</v>
      </c>
      <c r="N3427">
        <v>2.2220813349999999</v>
      </c>
      <c r="O3427">
        <v>6.5440947090000003</v>
      </c>
      <c r="P3427">
        <v>0.58228215500000002</v>
      </c>
      <c r="Q3427">
        <v>0.35188233000000002</v>
      </c>
      <c r="S3427" s="13">
        <v>-1.7570789870000001</v>
      </c>
      <c r="T3427">
        <v>-1.752840511</v>
      </c>
      <c r="U3427">
        <v>-0.91551718500000001</v>
      </c>
    </row>
    <row r="3428" spans="1:21" x14ac:dyDescent="0.2">
      <c r="A3428" t="s">
        <v>511</v>
      </c>
      <c r="B3428">
        <v>61920</v>
      </c>
      <c r="C3428" t="s">
        <v>6945</v>
      </c>
      <c r="D3428" t="s">
        <v>511</v>
      </c>
      <c r="E3428" t="s">
        <v>6911</v>
      </c>
      <c r="F3428">
        <v>21</v>
      </c>
      <c r="G3428">
        <v>12</v>
      </c>
      <c r="H3428" t="s">
        <v>13866</v>
      </c>
      <c r="J3428" t="s">
        <v>6189</v>
      </c>
      <c r="M3428" t="s">
        <v>13867</v>
      </c>
      <c r="N3428">
        <v>2.2220813349999999</v>
      </c>
      <c r="O3428">
        <v>6.5440947090000003</v>
      </c>
      <c r="P3428">
        <v>0.58228215500000002</v>
      </c>
      <c r="Q3428">
        <v>0.35188233000000002</v>
      </c>
      <c r="S3428" s="13">
        <v>-1.759870965</v>
      </c>
      <c r="T3428">
        <v>-1.765040819</v>
      </c>
      <c r="U3428">
        <v>-0.92713989900000005</v>
      </c>
    </row>
    <row r="3429" spans="1:21" x14ac:dyDescent="0.2">
      <c r="A3429" t="s">
        <v>246</v>
      </c>
      <c r="B3429">
        <v>59440</v>
      </c>
      <c r="C3429" t="s">
        <v>6945</v>
      </c>
      <c r="D3429" t="s">
        <v>246</v>
      </c>
      <c r="E3429" t="s">
        <v>6939</v>
      </c>
      <c r="F3429">
        <v>10</v>
      </c>
      <c r="G3429">
        <v>2</v>
      </c>
      <c r="H3429" t="s">
        <v>13868</v>
      </c>
      <c r="J3429" t="s">
        <v>6173</v>
      </c>
      <c r="M3429" t="s">
        <v>13869</v>
      </c>
      <c r="N3429">
        <v>2.2220813349999999</v>
      </c>
      <c r="O3429">
        <v>6.5440947090000003</v>
      </c>
      <c r="P3429">
        <v>0.58228215500000002</v>
      </c>
      <c r="Q3429">
        <v>0.35188233000000002</v>
      </c>
      <c r="S3429" s="13">
        <v>-1.7622101910000001</v>
      </c>
      <c r="T3429">
        <v>-1.7752627000000001</v>
      </c>
      <c r="U3429">
        <v>-0.93712319399999999</v>
      </c>
    </row>
    <row r="3430" spans="1:21" x14ac:dyDescent="0.2">
      <c r="A3430" t="s">
        <v>868</v>
      </c>
      <c r="B3430">
        <v>310840</v>
      </c>
      <c r="C3430" t="s">
        <v>6953</v>
      </c>
      <c r="D3430" t="s">
        <v>869</v>
      </c>
      <c r="E3430" t="s">
        <v>7115</v>
      </c>
      <c r="F3430">
        <v>4</v>
      </c>
      <c r="G3430">
        <v>10</v>
      </c>
      <c r="H3430" t="s">
        <v>13870</v>
      </c>
      <c r="J3430" t="s">
        <v>4639</v>
      </c>
      <c r="M3430" t="s">
        <v>13871</v>
      </c>
      <c r="N3430">
        <v>1.921480887</v>
      </c>
      <c r="O3430">
        <v>3.0856645180000002</v>
      </c>
      <c r="P3430">
        <v>0.44706724399999997</v>
      </c>
      <c r="Q3430">
        <v>-0.354940863</v>
      </c>
      <c r="S3430" s="13">
        <v>-1.7626745800000001</v>
      </c>
      <c r="T3430">
        <v>-1.7772919760000001</v>
      </c>
      <c r="U3430">
        <v>-0.52516742900000002</v>
      </c>
    </row>
    <row r="3431" spans="1:21" x14ac:dyDescent="0.2">
      <c r="A3431" t="s">
        <v>812</v>
      </c>
      <c r="B3431">
        <v>377080</v>
      </c>
      <c r="C3431" t="s">
        <v>6914</v>
      </c>
      <c r="D3431" t="s">
        <v>813</v>
      </c>
      <c r="E3431" t="s">
        <v>7115</v>
      </c>
      <c r="F3431">
        <v>7</v>
      </c>
      <c r="G3431">
        <v>10</v>
      </c>
      <c r="H3431" t="s">
        <v>13872</v>
      </c>
      <c r="J3431" t="s">
        <v>5101</v>
      </c>
      <c r="M3431" t="s">
        <v>13873</v>
      </c>
      <c r="N3431">
        <v>1.8217074179999999</v>
      </c>
      <c r="O3431">
        <v>4.1700741289999996</v>
      </c>
      <c r="P3431">
        <v>0.189705977</v>
      </c>
      <c r="Q3431">
        <v>-1.7194070999999998E-2</v>
      </c>
      <c r="S3431" s="13">
        <v>-1.76344086</v>
      </c>
      <c r="T3431">
        <v>-1.7806404440000001</v>
      </c>
      <c r="U3431">
        <v>-0.57586479400000001</v>
      </c>
    </row>
    <row r="3432" spans="1:21" x14ac:dyDescent="0.2">
      <c r="A3432" t="s">
        <v>901</v>
      </c>
      <c r="B3432">
        <v>57160</v>
      </c>
      <c r="C3432" t="s">
        <v>6945</v>
      </c>
      <c r="D3432" t="s">
        <v>902</v>
      </c>
      <c r="E3432" t="s">
        <v>6977</v>
      </c>
      <c r="F3432">
        <v>2</v>
      </c>
      <c r="G3432">
        <v>5</v>
      </c>
      <c r="H3432" t="s">
        <v>13874</v>
      </c>
      <c r="J3432" t="s">
        <v>6257</v>
      </c>
      <c r="M3432" t="s">
        <v>13875</v>
      </c>
      <c r="N3432">
        <v>2.2220813349999999</v>
      </c>
      <c r="O3432">
        <v>6.5440947090000003</v>
      </c>
      <c r="P3432">
        <v>0.58228215500000002</v>
      </c>
      <c r="Q3432">
        <v>0.35188233000000002</v>
      </c>
      <c r="S3432" s="13">
        <v>-1.7643607690000001</v>
      </c>
      <c r="T3432">
        <v>-1.784660235</v>
      </c>
      <c r="U3432">
        <v>-0.94650836999999999</v>
      </c>
    </row>
    <row r="3433" spans="1:21" x14ac:dyDescent="0.2">
      <c r="A3433" t="s">
        <v>2206</v>
      </c>
      <c r="B3433">
        <v>56880</v>
      </c>
      <c r="C3433" t="s">
        <v>6945</v>
      </c>
      <c r="D3433" t="s">
        <v>2207</v>
      </c>
      <c r="E3433" t="s">
        <v>6956</v>
      </c>
      <c r="F3433">
        <v>3</v>
      </c>
      <c r="G3433">
        <v>7</v>
      </c>
      <c r="H3433" t="s">
        <v>13876</v>
      </c>
      <c r="J3433" t="s">
        <v>6133</v>
      </c>
      <c r="M3433" t="s">
        <v>13877</v>
      </c>
      <c r="N3433">
        <v>2.2220813349999999</v>
      </c>
      <c r="O3433">
        <v>6.5440947090000003</v>
      </c>
      <c r="P3433">
        <v>0.58228215500000002</v>
      </c>
      <c r="Q3433">
        <v>0.35188233000000002</v>
      </c>
      <c r="S3433" s="13">
        <v>-1.764624875</v>
      </c>
      <c r="T3433">
        <v>-1.7858143179999999</v>
      </c>
      <c r="U3433">
        <v>-0.94767504499999999</v>
      </c>
    </row>
    <row r="3434" spans="1:21" x14ac:dyDescent="0.2">
      <c r="A3434" t="s">
        <v>2230</v>
      </c>
      <c r="B3434">
        <v>55960</v>
      </c>
      <c r="C3434" t="s">
        <v>6945</v>
      </c>
      <c r="D3434" t="s">
        <v>2231</v>
      </c>
      <c r="E3434" t="s">
        <v>7115</v>
      </c>
      <c r="F3434">
        <v>2</v>
      </c>
      <c r="G3434">
        <v>10</v>
      </c>
      <c r="H3434" t="s">
        <v>13878</v>
      </c>
      <c r="J3434" t="s">
        <v>6075</v>
      </c>
      <c r="M3434" t="s">
        <v>13879</v>
      </c>
      <c r="N3434">
        <v>2.2220813349999999</v>
      </c>
      <c r="O3434">
        <v>6.5440947090000003</v>
      </c>
      <c r="P3434">
        <v>0.58228215500000002</v>
      </c>
      <c r="Q3434">
        <v>0.35188233000000002</v>
      </c>
      <c r="S3434" s="13">
        <v>-1.7654926520000001</v>
      </c>
      <c r="T3434">
        <v>-1.789606306</v>
      </c>
      <c r="U3434">
        <v>-0.95153062300000002</v>
      </c>
    </row>
    <row r="3435" spans="1:21" x14ac:dyDescent="0.2">
      <c r="A3435" t="s">
        <v>1140</v>
      </c>
      <c r="B3435">
        <v>153400</v>
      </c>
      <c r="C3435" t="s">
        <v>6942</v>
      </c>
      <c r="D3435" t="s">
        <v>1141</v>
      </c>
      <c r="E3435" t="s">
        <v>7085</v>
      </c>
      <c r="F3435">
        <v>4</v>
      </c>
      <c r="G3435">
        <v>9</v>
      </c>
      <c r="H3435" t="s">
        <v>13880</v>
      </c>
      <c r="J3435" t="s">
        <v>4914</v>
      </c>
      <c r="M3435" t="s">
        <v>13881</v>
      </c>
      <c r="N3435">
        <v>2.0902262079999998</v>
      </c>
      <c r="O3435">
        <v>4.2704203920000001</v>
      </c>
      <c r="P3435">
        <v>0.23425843900000001</v>
      </c>
      <c r="Q3435">
        <v>1.6181978999999999E-2</v>
      </c>
      <c r="S3435" s="13">
        <v>-1.766680408</v>
      </c>
      <c r="T3435">
        <v>-1.794796525</v>
      </c>
      <c r="U3435">
        <v>-0.85170899700000002</v>
      </c>
    </row>
    <row r="3436" spans="1:21" x14ac:dyDescent="0.2">
      <c r="A3436" t="s">
        <v>1295</v>
      </c>
      <c r="B3436">
        <v>306720</v>
      </c>
      <c r="C3436" t="s">
        <v>6953</v>
      </c>
      <c r="D3436" t="s">
        <v>1296</v>
      </c>
      <c r="E3436" t="s">
        <v>6921</v>
      </c>
      <c r="F3436">
        <v>5</v>
      </c>
      <c r="G3436">
        <v>8</v>
      </c>
      <c r="H3436" t="s">
        <v>13882</v>
      </c>
      <c r="J3436" t="s">
        <v>1753</v>
      </c>
      <c r="M3436" t="s">
        <v>13883</v>
      </c>
      <c r="N3436">
        <v>1.921480887</v>
      </c>
      <c r="O3436">
        <v>3.0856645180000002</v>
      </c>
      <c r="P3436">
        <v>0.44706724399999997</v>
      </c>
      <c r="Q3436">
        <v>-0.354940863</v>
      </c>
      <c r="S3436" s="13">
        <v>-1.766949592</v>
      </c>
      <c r="T3436">
        <v>-1.795972801</v>
      </c>
      <c r="U3436">
        <v>-0.531714307</v>
      </c>
    </row>
    <row r="3437" spans="1:21" x14ac:dyDescent="0.2">
      <c r="A3437" t="s">
        <v>592</v>
      </c>
      <c r="B3437">
        <v>373560</v>
      </c>
      <c r="C3437" t="s">
        <v>6914</v>
      </c>
      <c r="D3437" t="s">
        <v>593</v>
      </c>
      <c r="E3437" t="s">
        <v>6946</v>
      </c>
      <c r="F3437">
        <v>9</v>
      </c>
      <c r="G3437">
        <v>11</v>
      </c>
      <c r="H3437" t="s">
        <v>13884</v>
      </c>
      <c r="J3437" t="s">
        <v>5821</v>
      </c>
      <c r="M3437" t="s">
        <v>13885</v>
      </c>
      <c r="N3437">
        <v>1.8217074179999999</v>
      </c>
      <c r="O3437">
        <v>4.1700741289999996</v>
      </c>
      <c r="P3437">
        <v>0.189705977</v>
      </c>
      <c r="Q3437">
        <v>-1.7194070999999998E-2</v>
      </c>
      <c r="S3437" s="13">
        <v>-1.7676745810000001</v>
      </c>
      <c r="T3437">
        <v>-1.799140835</v>
      </c>
      <c r="U3437">
        <v>-0.58214893599999995</v>
      </c>
    </row>
    <row r="3438" spans="1:21" x14ac:dyDescent="0.2">
      <c r="A3438" t="s">
        <v>567</v>
      </c>
      <c r="B3438">
        <v>317600</v>
      </c>
      <c r="C3438" t="s">
        <v>6906</v>
      </c>
      <c r="D3438" t="s">
        <v>567</v>
      </c>
      <c r="E3438" t="s">
        <v>6924</v>
      </c>
      <c r="F3438">
        <v>24</v>
      </c>
      <c r="G3438">
        <v>6</v>
      </c>
      <c r="H3438" t="s">
        <v>13886</v>
      </c>
      <c r="J3438" t="s">
        <v>4137</v>
      </c>
      <c r="M3438" t="s">
        <v>13887</v>
      </c>
      <c r="N3438">
        <v>1.813871112</v>
      </c>
      <c r="O3438">
        <v>2.6633694910000001</v>
      </c>
      <c r="P3438">
        <v>-0.29586356800000002</v>
      </c>
      <c r="Q3438">
        <v>-0.59018158399999998</v>
      </c>
      <c r="S3438" s="13">
        <v>-1.767938488</v>
      </c>
      <c r="T3438">
        <v>-1.8002940510000001</v>
      </c>
      <c r="U3438">
        <v>-0.43211321800000002</v>
      </c>
    </row>
    <row r="3439" spans="1:21" x14ac:dyDescent="0.2">
      <c r="A3439" t="s">
        <v>1773</v>
      </c>
      <c r="B3439">
        <v>305480</v>
      </c>
      <c r="C3439" t="s">
        <v>6953</v>
      </c>
      <c r="D3439" t="s">
        <v>1773</v>
      </c>
      <c r="E3439" t="s">
        <v>6970</v>
      </c>
      <c r="F3439">
        <v>15</v>
      </c>
      <c r="G3439">
        <v>14</v>
      </c>
      <c r="H3439" t="s">
        <v>13888</v>
      </c>
      <c r="J3439" t="s">
        <v>5259</v>
      </c>
      <c r="M3439" t="s">
        <v>13889</v>
      </c>
      <c r="N3439">
        <v>1.921480887</v>
      </c>
      <c r="O3439">
        <v>3.0856645180000002</v>
      </c>
      <c r="P3439">
        <v>0.44706724399999997</v>
      </c>
      <c r="Q3439">
        <v>-0.354940863</v>
      </c>
      <c r="S3439" s="13">
        <v>-1.7682362460000001</v>
      </c>
      <c r="T3439">
        <v>-1.801595185</v>
      </c>
      <c r="U3439">
        <v>-0.53370420500000004</v>
      </c>
    </row>
    <row r="3440" spans="1:21" x14ac:dyDescent="0.2">
      <c r="A3440" t="s">
        <v>1593</v>
      </c>
      <c r="B3440">
        <v>53040</v>
      </c>
      <c r="C3440" t="s">
        <v>6945</v>
      </c>
      <c r="D3440" t="s">
        <v>1593</v>
      </c>
      <c r="E3440" t="s">
        <v>6939</v>
      </c>
      <c r="F3440">
        <v>14</v>
      </c>
      <c r="G3440">
        <v>2</v>
      </c>
      <c r="H3440" t="s">
        <v>13890</v>
      </c>
      <c r="J3440" t="s">
        <v>6457</v>
      </c>
      <c r="M3440" t="s">
        <v>13891</v>
      </c>
      <c r="N3440">
        <v>2.2220813349999999</v>
      </c>
      <c r="O3440">
        <v>6.5440947090000003</v>
      </c>
      <c r="P3440">
        <v>0.58228215500000002</v>
      </c>
      <c r="Q3440">
        <v>0.35188233000000002</v>
      </c>
      <c r="S3440" s="13">
        <v>-1.7682469009999999</v>
      </c>
      <c r="T3440">
        <v>-1.801641746</v>
      </c>
      <c r="U3440">
        <v>-0.963999673</v>
      </c>
    </row>
    <row r="3441" spans="1:21" x14ac:dyDescent="0.2">
      <c r="A3441" t="s">
        <v>400</v>
      </c>
      <c r="B3441">
        <v>317120</v>
      </c>
      <c r="C3441" t="s">
        <v>6906</v>
      </c>
      <c r="D3441" t="s">
        <v>400</v>
      </c>
      <c r="E3441" t="s">
        <v>6939</v>
      </c>
      <c r="F3441">
        <v>11</v>
      </c>
      <c r="G3441">
        <v>2</v>
      </c>
      <c r="H3441" t="s">
        <v>13892</v>
      </c>
      <c r="J3441" t="s">
        <v>13893</v>
      </c>
      <c r="M3441" t="s">
        <v>13894</v>
      </c>
      <c r="N3441">
        <v>1.813871112</v>
      </c>
      <c r="O3441">
        <v>2.6633694910000001</v>
      </c>
      <c r="P3441">
        <v>-0.29586356800000002</v>
      </c>
      <c r="Q3441">
        <v>-0.59018158399999998</v>
      </c>
      <c r="S3441" s="13">
        <v>-1.768634847</v>
      </c>
      <c r="T3441">
        <v>-1.803336979</v>
      </c>
      <c r="U3441">
        <v>-0.43272466799999998</v>
      </c>
    </row>
    <row r="3442" spans="1:21" x14ac:dyDescent="0.2">
      <c r="A3442" t="s">
        <v>57</v>
      </c>
      <c r="B3442">
        <v>372520</v>
      </c>
      <c r="C3442" t="s">
        <v>6914</v>
      </c>
      <c r="D3442" t="s">
        <v>59</v>
      </c>
      <c r="E3442" t="s">
        <v>6928</v>
      </c>
      <c r="F3442">
        <v>4</v>
      </c>
      <c r="G3442">
        <v>16</v>
      </c>
      <c r="H3442" t="s">
        <v>13895</v>
      </c>
      <c r="J3442" t="s">
        <v>6635</v>
      </c>
      <c r="M3442" t="s">
        <v>13896</v>
      </c>
      <c r="N3442">
        <v>1.8217074179999999</v>
      </c>
      <c r="O3442">
        <v>4.1700741289999996</v>
      </c>
      <c r="P3442">
        <v>0.189705977</v>
      </c>
      <c r="Q3442">
        <v>-1.7194070999999998E-2</v>
      </c>
      <c r="S3442" s="13">
        <v>-1.768925453</v>
      </c>
      <c r="T3442">
        <v>-1.80460686</v>
      </c>
      <c r="U3442">
        <v>-0.58402315000000005</v>
      </c>
    </row>
    <row r="3443" spans="1:21" x14ac:dyDescent="0.2">
      <c r="A3443" t="s">
        <v>2089</v>
      </c>
      <c r="B3443">
        <v>304800</v>
      </c>
      <c r="C3443" t="s">
        <v>6953</v>
      </c>
      <c r="D3443" t="s">
        <v>2090</v>
      </c>
      <c r="E3443" t="s">
        <v>7085</v>
      </c>
      <c r="F3443">
        <v>3</v>
      </c>
      <c r="G3443">
        <v>9</v>
      </c>
      <c r="H3443" t="s">
        <v>13897</v>
      </c>
      <c r="J3443" t="s">
        <v>3661</v>
      </c>
      <c r="M3443" t="s">
        <v>13898</v>
      </c>
      <c r="N3443">
        <v>1.921480887</v>
      </c>
      <c r="O3443">
        <v>3.0856645180000002</v>
      </c>
      <c r="P3443">
        <v>0.44706724399999997</v>
      </c>
      <c r="Q3443">
        <v>-0.354940863</v>
      </c>
      <c r="S3443" s="13">
        <v>-1.768941831</v>
      </c>
      <c r="T3443">
        <v>-1.8046784279999999</v>
      </c>
      <c r="U3443">
        <v>-0.53479932299999999</v>
      </c>
    </row>
    <row r="3444" spans="1:21" x14ac:dyDescent="0.2">
      <c r="A3444" t="s">
        <v>451</v>
      </c>
      <c r="B3444">
        <v>51640</v>
      </c>
      <c r="C3444" t="s">
        <v>6945</v>
      </c>
      <c r="D3444" t="s">
        <v>452</v>
      </c>
      <c r="E3444" t="s">
        <v>6907</v>
      </c>
      <c r="F3444">
        <v>9</v>
      </c>
      <c r="G3444">
        <v>4</v>
      </c>
      <c r="H3444" t="s">
        <v>13899</v>
      </c>
      <c r="J3444" t="s">
        <v>6113</v>
      </c>
      <c r="M3444" t="s">
        <v>13900</v>
      </c>
      <c r="N3444">
        <v>2.2220813349999999</v>
      </c>
      <c r="O3444">
        <v>6.5440947090000003</v>
      </c>
      <c r="P3444">
        <v>0.58228215500000002</v>
      </c>
      <c r="Q3444">
        <v>0.35188233000000002</v>
      </c>
      <c r="S3444" s="13">
        <v>-1.7695674320000001</v>
      </c>
      <c r="T3444">
        <v>-1.8074121620000001</v>
      </c>
      <c r="U3444">
        <v>-0.97010737999999996</v>
      </c>
    </row>
    <row r="3445" spans="1:21" x14ac:dyDescent="0.2">
      <c r="A3445" t="s">
        <v>1058</v>
      </c>
      <c r="B3445">
        <v>238480</v>
      </c>
      <c r="C3445" t="s">
        <v>6927</v>
      </c>
      <c r="D3445" t="s">
        <v>1059</v>
      </c>
      <c r="E3445" t="s">
        <v>6911</v>
      </c>
      <c r="F3445">
        <v>6</v>
      </c>
      <c r="G3445">
        <v>12</v>
      </c>
      <c r="H3445" t="s">
        <v>13901</v>
      </c>
      <c r="J3445" t="s">
        <v>13902</v>
      </c>
      <c r="M3445" t="s">
        <v>13903</v>
      </c>
      <c r="N3445">
        <v>1.982575982</v>
      </c>
      <c r="O3445">
        <v>3.4571926419999999</v>
      </c>
      <c r="P3445">
        <v>-0.114791479</v>
      </c>
      <c r="Q3445">
        <v>1.868949E-3</v>
      </c>
      <c r="S3445" s="13">
        <v>-1.7702803659999999</v>
      </c>
      <c r="T3445">
        <v>-1.810527521</v>
      </c>
      <c r="U3445">
        <v>-0.69424224199999995</v>
      </c>
    </row>
    <row r="3446" spans="1:21" x14ac:dyDescent="0.2">
      <c r="A3446" t="s">
        <v>222</v>
      </c>
      <c r="B3446">
        <v>225200</v>
      </c>
      <c r="C3446" t="s">
        <v>6910</v>
      </c>
      <c r="D3446" t="s">
        <v>222</v>
      </c>
      <c r="E3446" t="s">
        <v>6924</v>
      </c>
      <c r="F3446">
        <v>20</v>
      </c>
      <c r="G3446">
        <v>6</v>
      </c>
      <c r="H3446" t="s">
        <v>13904</v>
      </c>
      <c r="J3446" t="s">
        <v>4548</v>
      </c>
      <c r="M3446" t="s">
        <v>13905</v>
      </c>
      <c r="N3446">
        <v>1.9874741039999999</v>
      </c>
      <c r="O3446">
        <v>3.7453511220000002</v>
      </c>
      <c r="P3446">
        <v>0.451009722</v>
      </c>
      <c r="Q3446">
        <v>-0.102386592</v>
      </c>
      <c r="S3446" s="13">
        <v>-1.770393562</v>
      </c>
      <c r="T3446">
        <v>-1.8110221609999999</v>
      </c>
      <c r="U3446">
        <v>-0.50450190299999997</v>
      </c>
    </row>
    <row r="3447" spans="1:21" x14ac:dyDescent="0.2">
      <c r="A3447" t="s">
        <v>1052</v>
      </c>
      <c r="B3447">
        <v>168280</v>
      </c>
      <c r="C3447" t="s">
        <v>6938</v>
      </c>
      <c r="D3447" t="s">
        <v>1052</v>
      </c>
      <c r="E3447" t="s">
        <v>7085</v>
      </c>
      <c r="F3447">
        <v>19</v>
      </c>
      <c r="G3447">
        <v>9</v>
      </c>
      <c r="H3447" t="s">
        <v>13906</v>
      </c>
      <c r="J3447" t="s">
        <v>5159</v>
      </c>
      <c r="M3447" t="s">
        <v>13907</v>
      </c>
      <c r="N3447">
        <v>2.092758737</v>
      </c>
      <c r="O3447">
        <v>5.3323610669999999</v>
      </c>
      <c r="P3447">
        <v>0.70420098600000003</v>
      </c>
      <c r="Q3447">
        <v>0.41355372699999998</v>
      </c>
      <c r="S3447" s="13">
        <v>-1.7705942969999999</v>
      </c>
      <c r="T3447">
        <v>-1.8118993299999999</v>
      </c>
      <c r="U3447">
        <v>-1.050265073</v>
      </c>
    </row>
    <row r="3448" spans="1:21" x14ac:dyDescent="0.2">
      <c r="A3448" t="s">
        <v>1963</v>
      </c>
      <c r="B3448">
        <v>303040</v>
      </c>
      <c r="C3448" t="s">
        <v>6953</v>
      </c>
      <c r="D3448" t="s">
        <v>1963</v>
      </c>
      <c r="E3448" t="s">
        <v>6939</v>
      </c>
      <c r="F3448">
        <v>12</v>
      </c>
      <c r="G3448">
        <v>2</v>
      </c>
      <c r="H3448" t="s">
        <v>13908</v>
      </c>
      <c r="J3448" t="s">
        <v>5519</v>
      </c>
      <c r="M3448" t="s">
        <v>13909</v>
      </c>
      <c r="N3448">
        <v>1.921480887</v>
      </c>
      <c r="O3448">
        <v>3.0856645180000002</v>
      </c>
      <c r="P3448">
        <v>0.44706724399999997</v>
      </c>
      <c r="Q3448">
        <v>-0.354940863</v>
      </c>
      <c r="S3448" s="13">
        <v>-1.770768049</v>
      </c>
      <c r="T3448">
        <v>-1.812658586</v>
      </c>
      <c r="U3448">
        <v>-0.53764663499999998</v>
      </c>
    </row>
    <row r="3449" spans="1:21" x14ac:dyDescent="0.2">
      <c r="A3449" t="s">
        <v>832</v>
      </c>
      <c r="B3449">
        <v>49160</v>
      </c>
      <c r="C3449" t="s">
        <v>6945</v>
      </c>
      <c r="D3449" t="s">
        <v>832</v>
      </c>
      <c r="E3449" t="s">
        <v>6924</v>
      </c>
      <c r="F3449">
        <v>21</v>
      </c>
      <c r="G3449">
        <v>6</v>
      </c>
      <c r="H3449" t="s">
        <v>13910</v>
      </c>
      <c r="J3449" t="s">
        <v>6315</v>
      </c>
      <c r="M3449" t="s">
        <v>13911</v>
      </c>
      <c r="N3449">
        <v>2.2220813349999999</v>
      </c>
      <c r="O3449">
        <v>6.5440947090000003</v>
      </c>
      <c r="P3449">
        <v>0.58228215500000002</v>
      </c>
      <c r="Q3449">
        <v>0.35188233000000002</v>
      </c>
      <c r="S3449" s="13">
        <v>-1.7719066569999999</v>
      </c>
      <c r="T3449">
        <v>-1.8176340419999999</v>
      </c>
      <c r="U3449">
        <v>-0.98114219499999999</v>
      </c>
    </row>
    <row r="3450" spans="1:21" x14ac:dyDescent="0.2">
      <c r="A3450" t="s">
        <v>2421</v>
      </c>
      <c r="B3450">
        <v>314800</v>
      </c>
      <c r="C3450" t="s">
        <v>6906</v>
      </c>
      <c r="D3450" t="s">
        <v>2422</v>
      </c>
      <c r="E3450" t="s">
        <v>7085</v>
      </c>
      <c r="F3450">
        <v>8</v>
      </c>
      <c r="G3450">
        <v>9</v>
      </c>
      <c r="H3450" t="s">
        <v>13912</v>
      </c>
      <c r="J3450" t="s">
        <v>3837</v>
      </c>
      <c r="M3450" t="s">
        <v>13913</v>
      </c>
      <c r="N3450">
        <v>1.813871112</v>
      </c>
      <c r="O3450">
        <v>2.6633694910000001</v>
      </c>
      <c r="P3450">
        <v>-0.29586356800000002</v>
      </c>
      <c r="Q3450">
        <v>-0.59018158399999998</v>
      </c>
      <c r="S3450" s="13">
        <v>-1.77200058</v>
      </c>
      <c r="T3450">
        <v>-1.818044464</v>
      </c>
      <c r="U3450">
        <v>-0.43569220199999997</v>
      </c>
    </row>
    <row r="3451" spans="1:21" x14ac:dyDescent="0.2">
      <c r="A3451" t="s">
        <v>2791</v>
      </c>
      <c r="B3451">
        <v>147720</v>
      </c>
      <c r="C3451" t="s">
        <v>6942</v>
      </c>
      <c r="D3451" t="s">
        <v>2792</v>
      </c>
      <c r="E3451" t="s">
        <v>6921</v>
      </c>
      <c r="F3451">
        <v>6</v>
      </c>
      <c r="G3451">
        <v>8</v>
      </c>
      <c r="H3451" t="s">
        <v>13914</v>
      </c>
      <c r="J3451" t="s">
        <v>4637</v>
      </c>
      <c r="M3451" t="s">
        <v>13915</v>
      </c>
      <c r="N3451">
        <v>2.0902262079999998</v>
      </c>
      <c r="O3451">
        <v>4.2704203920000001</v>
      </c>
      <c r="P3451">
        <v>0.23425843900000001</v>
      </c>
      <c r="Q3451">
        <v>1.6181978999999999E-2</v>
      </c>
      <c r="S3451" s="13">
        <v>-1.7722552659999999</v>
      </c>
      <c r="T3451">
        <v>-1.8191573809999999</v>
      </c>
      <c r="U3451">
        <v>-0.87113733000000004</v>
      </c>
    </row>
    <row r="3452" spans="1:21" x14ac:dyDescent="0.2">
      <c r="A3452" t="s">
        <v>1295</v>
      </c>
      <c r="B3452">
        <v>47680</v>
      </c>
      <c r="C3452" t="s">
        <v>6945</v>
      </c>
      <c r="D3452" t="s">
        <v>1296</v>
      </c>
      <c r="E3452" t="s">
        <v>6921</v>
      </c>
      <c r="F3452">
        <v>5</v>
      </c>
      <c r="G3452">
        <v>8</v>
      </c>
      <c r="H3452" t="s">
        <v>13916</v>
      </c>
      <c r="J3452" t="s">
        <v>6097</v>
      </c>
      <c r="M3452" t="s">
        <v>13917</v>
      </c>
      <c r="N3452">
        <v>2.2220813349999999</v>
      </c>
      <c r="O3452">
        <v>6.5440947090000003</v>
      </c>
      <c r="P3452">
        <v>0.58228215500000002</v>
      </c>
      <c r="Q3452">
        <v>0.35188233000000002</v>
      </c>
      <c r="S3452" s="13">
        <v>-1.773302647</v>
      </c>
      <c r="T3452">
        <v>-1.8237341970000001</v>
      </c>
      <c r="U3452">
        <v>-0.98786360699999998</v>
      </c>
    </row>
    <row r="3453" spans="1:21" x14ac:dyDescent="0.2">
      <c r="A3453" t="s">
        <v>1318</v>
      </c>
      <c r="B3453">
        <v>47680</v>
      </c>
      <c r="C3453" t="s">
        <v>6945</v>
      </c>
      <c r="D3453" t="s">
        <v>1318</v>
      </c>
      <c r="E3453" t="s">
        <v>6946</v>
      </c>
      <c r="F3453">
        <v>20</v>
      </c>
      <c r="G3453">
        <v>11</v>
      </c>
      <c r="H3453" t="s">
        <v>13918</v>
      </c>
      <c r="J3453" t="s">
        <v>6063</v>
      </c>
      <c r="M3453" t="s">
        <v>13919</v>
      </c>
      <c r="N3453">
        <v>2.2220813349999999</v>
      </c>
      <c r="O3453">
        <v>6.5440947090000003</v>
      </c>
      <c r="P3453">
        <v>0.58228215500000002</v>
      </c>
      <c r="Q3453">
        <v>0.35188233000000002</v>
      </c>
      <c r="S3453" s="13">
        <v>-1.773302647</v>
      </c>
      <c r="T3453">
        <v>-1.8237341970000001</v>
      </c>
      <c r="U3453">
        <v>-0.98786360699999998</v>
      </c>
    </row>
    <row r="3454" spans="1:21" x14ac:dyDescent="0.2">
      <c r="A3454" t="s">
        <v>1494</v>
      </c>
      <c r="B3454">
        <v>164760</v>
      </c>
      <c r="C3454" t="s">
        <v>6938</v>
      </c>
      <c r="D3454" t="s">
        <v>1494</v>
      </c>
      <c r="E3454" t="s">
        <v>7115</v>
      </c>
      <c r="F3454">
        <v>12</v>
      </c>
      <c r="G3454">
        <v>10</v>
      </c>
      <c r="H3454" t="s">
        <v>13920</v>
      </c>
      <c r="J3454" t="s">
        <v>5683</v>
      </c>
      <c r="M3454" t="s">
        <v>13921</v>
      </c>
      <c r="N3454">
        <v>2.092758737</v>
      </c>
      <c r="O3454">
        <v>5.3323610669999999</v>
      </c>
      <c r="P3454">
        <v>0.70420098600000003</v>
      </c>
      <c r="Q3454">
        <v>0.41355372699999998</v>
      </c>
      <c r="S3454" s="13">
        <v>-1.773617314</v>
      </c>
      <c r="T3454">
        <v>-1.825109219</v>
      </c>
      <c r="U3454">
        <v>-1.069274904</v>
      </c>
    </row>
    <row r="3455" spans="1:21" x14ac:dyDescent="0.2">
      <c r="A3455" t="s">
        <v>218</v>
      </c>
      <c r="B3455">
        <v>234760</v>
      </c>
      <c r="C3455" t="s">
        <v>6927</v>
      </c>
      <c r="D3455" t="s">
        <v>218</v>
      </c>
      <c r="E3455" t="s">
        <v>6918</v>
      </c>
      <c r="F3455">
        <v>22</v>
      </c>
      <c r="G3455">
        <v>1</v>
      </c>
      <c r="H3455" t="s">
        <v>13922</v>
      </c>
      <c r="J3455" t="s">
        <v>13923</v>
      </c>
      <c r="M3455" t="s">
        <v>13924</v>
      </c>
      <c r="N3455">
        <v>1.982575982</v>
      </c>
      <c r="O3455">
        <v>3.4571926419999999</v>
      </c>
      <c r="P3455">
        <v>-0.114791479</v>
      </c>
      <c r="Q3455">
        <v>1.868949E-3</v>
      </c>
      <c r="S3455" s="13">
        <v>-1.7741403280000001</v>
      </c>
      <c r="T3455">
        <v>-1.827394674</v>
      </c>
      <c r="U3455">
        <v>-0.70298908900000001</v>
      </c>
    </row>
    <row r="3456" spans="1:21" x14ac:dyDescent="0.2">
      <c r="A3456" t="s">
        <v>2080</v>
      </c>
      <c r="B3456">
        <v>46720</v>
      </c>
      <c r="C3456" t="s">
        <v>6945</v>
      </c>
      <c r="D3456" t="s">
        <v>2080</v>
      </c>
      <c r="E3456" t="s">
        <v>6970</v>
      </c>
      <c r="F3456">
        <v>12</v>
      </c>
      <c r="G3456">
        <v>14</v>
      </c>
      <c r="H3456" t="s">
        <v>13925</v>
      </c>
      <c r="J3456" t="s">
        <v>6223</v>
      </c>
      <c r="M3456" t="s">
        <v>13926</v>
      </c>
      <c r="N3456">
        <v>2.2220813349999999</v>
      </c>
      <c r="O3456">
        <v>6.5440947090000003</v>
      </c>
      <c r="P3456">
        <v>0.58228215500000002</v>
      </c>
      <c r="Q3456">
        <v>0.35188233000000002</v>
      </c>
      <c r="S3456" s="13">
        <v>-1.774208153</v>
      </c>
      <c r="T3456">
        <v>-1.827691054</v>
      </c>
      <c r="U3456">
        <v>-0.99227973199999997</v>
      </c>
    </row>
    <row r="3457" spans="1:21" x14ac:dyDescent="0.2">
      <c r="A3457" t="s">
        <v>775</v>
      </c>
      <c r="B3457">
        <v>312760</v>
      </c>
      <c r="C3457" t="s">
        <v>6906</v>
      </c>
      <c r="D3457" t="s">
        <v>776</v>
      </c>
      <c r="E3457" t="s">
        <v>6939</v>
      </c>
      <c r="F3457">
        <v>2</v>
      </c>
      <c r="G3457">
        <v>2</v>
      </c>
      <c r="H3457" t="s">
        <v>13927</v>
      </c>
      <c r="J3457" t="s">
        <v>4394</v>
      </c>
      <c r="M3457" t="s">
        <v>13928</v>
      </c>
      <c r="N3457">
        <v>1.813871112</v>
      </c>
      <c r="O3457">
        <v>2.6633694910000001</v>
      </c>
      <c r="P3457">
        <v>-0.29586356800000002</v>
      </c>
      <c r="Q3457">
        <v>-0.59018158399999998</v>
      </c>
      <c r="S3457" s="13">
        <v>-1.774960104</v>
      </c>
      <c r="T3457">
        <v>-1.830976908</v>
      </c>
      <c r="U3457">
        <v>-0.438318447</v>
      </c>
    </row>
    <row r="3458" spans="1:21" x14ac:dyDescent="0.2">
      <c r="A3458" t="s">
        <v>598</v>
      </c>
      <c r="B3458">
        <v>312560</v>
      </c>
      <c r="C3458" t="s">
        <v>6906</v>
      </c>
      <c r="D3458" t="s">
        <v>598</v>
      </c>
      <c r="E3458" t="s">
        <v>7006</v>
      </c>
      <c r="F3458">
        <v>22</v>
      </c>
      <c r="G3458">
        <v>3</v>
      </c>
      <c r="H3458" t="s">
        <v>13929</v>
      </c>
      <c r="J3458" t="s">
        <v>3574</v>
      </c>
      <c r="M3458" t="s">
        <v>13930</v>
      </c>
      <c r="N3458">
        <v>1.813871112</v>
      </c>
      <c r="O3458">
        <v>2.6633694910000001</v>
      </c>
      <c r="P3458">
        <v>-0.29586356800000002</v>
      </c>
      <c r="Q3458">
        <v>-0.59018158399999998</v>
      </c>
      <c r="S3458" s="13">
        <v>-1.7752502539999999</v>
      </c>
      <c r="T3458">
        <v>-1.832244795</v>
      </c>
      <c r="U3458">
        <v>-0.438576778</v>
      </c>
    </row>
    <row r="3459" spans="1:21" x14ac:dyDescent="0.2">
      <c r="A3459" t="s">
        <v>342</v>
      </c>
      <c r="B3459">
        <v>45400</v>
      </c>
      <c r="C3459" t="s">
        <v>6945</v>
      </c>
      <c r="D3459" t="s">
        <v>342</v>
      </c>
      <c r="E3459" t="s">
        <v>6956</v>
      </c>
      <c r="F3459">
        <v>15</v>
      </c>
      <c r="G3459">
        <v>7</v>
      </c>
      <c r="H3459" t="s">
        <v>13931</v>
      </c>
      <c r="J3459" t="s">
        <v>6161</v>
      </c>
      <c r="M3459" t="s">
        <v>13932</v>
      </c>
      <c r="N3459">
        <v>2.2220813349999999</v>
      </c>
      <c r="O3459">
        <v>6.5440947090000003</v>
      </c>
      <c r="P3459">
        <v>0.58228215500000002</v>
      </c>
      <c r="Q3459">
        <v>0.35188233000000002</v>
      </c>
      <c r="S3459" s="13">
        <v>-1.7754532249999999</v>
      </c>
      <c r="T3459">
        <v>-1.833131732</v>
      </c>
      <c r="U3459">
        <v>-0.99842617</v>
      </c>
    </row>
    <row r="3460" spans="1:21" x14ac:dyDescent="0.2">
      <c r="A3460" t="s">
        <v>38</v>
      </c>
      <c r="B3460">
        <v>44680</v>
      </c>
      <c r="C3460" t="s">
        <v>6945</v>
      </c>
      <c r="D3460" t="s">
        <v>38</v>
      </c>
      <c r="E3460" t="s">
        <v>6939</v>
      </c>
      <c r="F3460">
        <v>24</v>
      </c>
      <c r="G3460">
        <v>2</v>
      </c>
      <c r="H3460" t="s">
        <v>13933</v>
      </c>
      <c r="J3460" t="s">
        <v>6503</v>
      </c>
      <c r="M3460" t="s">
        <v>13934</v>
      </c>
      <c r="N3460">
        <v>2.2220813349999999</v>
      </c>
      <c r="O3460">
        <v>6.5440947090000003</v>
      </c>
      <c r="P3460">
        <v>0.58228215500000002</v>
      </c>
      <c r="Q3460">
        <v>0.35188233000000002</v>
      </c>
      <c r="S3460" s="13">
        <v>-1.7761323550000001</v>
      </c>
      <c r="T3460">
        <v>-1.8360993750000001</v>
      </c>
      <c r="U3460">
        <v>-1.0018158020000001</v>
      </c>
    </row>
    <row r="3461" spans="1:21" x14ac:dyDescent="0.2">
      <c r="A3461" t="s">
        <v>714</v>
      </c>
      <c r="B3461">
        <v>311520</v>
      </c>
      <c r="C3461" t="s">
        <v>6906</v>
      </c>
      <c r="D3461" t="s">
        <v>715</v>
      </c>
      <c r="E3461" t="s">
        <v>6956</v>
      </c>
      <c r="F3461">
        <v>5</v>
      </c>
      <c r="G3461">
        <v>7</v>
      </c>
      <c r="H3461" t="s">
        <v>13935</v>
      </c>
      <c r="J3461" t="s">
        <v>717</v>
      </c>
      <c r="M3461" t="s">
        <v>13936</v>
      </c>
      <c r="N3461">
        <v>1.813871112</v>
      </c>
      <c r="O3461">
        <v>2.6633694910000001</v>
      </c>
      <c r="P3461">
        <v>-0.29586356800000002</v>
      </c>
      <c r="Q3461">
        <v>-0.59018158399999998</v>
      </c>
      <c r="S3461" s="13">
        <v>-1.7767590310000001</v>
      </c>
      <c r="T3461">
        <v>-1.838837805</v>
      </c>
      <c r="U3461">
        <v>-0.439922586</v>
      </c>
    </row>
    <row r="3462" spans="1:21" x14ac:dyDescent="0.2">
      <c r="A3462" t="s">
        <v>2453</v>
      </c>
      <c r="B3462">
        <v>42400</v>
      </c>
      <c r="C3462" t="s">
        <v>6945</v>
      </c>
      <c r="D3462" t="s">
        <v>2454</v>
      </c>
      <c r="E3462" t="s">
        <v>6911</v>
      </c>
      <c r="F3462">
        <v>3</v>
      </c>
      <c r="G3462">
        <v>12</v>
      </c>
      <c r="H3462" t="s">
        <v>13937</v>
      </c>
      <c r="J3462" t="s">
        <v>6245</v>
      </c>
      <c r="M3462" t="s">
        <v>13938</v>
      </c>
      <c r="N3462">
        <v>2.2220813349999999</v>
      </c>
      <c r="O3462">
        <v>6.5440947090000003</v>
      </c>
      <c r="P3462">
        <v>0.58228215500000002</v>
      </c>
      <c r="Q3462">
        <v>0.35188233000000002</v>
      </c>
      <c r="S3462" s="13">
        <v>-1.7782829330000001</v>
      </c>
      <c r="T3462">
        <v>-1.84549691</v>
      </c>
      <c r="U3462">
        <v>-1.0127275769999999</v>
      </c>
    </row>
    <row r="3463" spans="1:21" x14ac:dyDescent="0.2">
      <c r="A3463" t="s">
        <v>2453</v>
      </c>
      <c r="B3463">
        <v>364640</v>
      </c>
      <c r="C3463" t="s">
        <v>6914</v>
      </c>
      <c r="D3463" t="s">
        <v>2454</v>
      </c>
      <c r="E3463" t="s">
        <v>6911</v>
      </c>
      <c r="F3463">
        <v>3</v>
      </c>
      <c r="G3463">
        <v>12</v>
      </c>
      <c r="H3463" t="s">
        <v>13939</v>
      </c>
      <c r="J3463" t="s">
        <v>6649</v>
      </c>
      <c r="M3463" t="s">
        <v>13940</v>
      </c>
      <c r="N3463">
        <v>1.8217074179999999</v>
      </c>
      <c r="O3463">
        <v>4.1700741289999996</v>
      </c>
      <c r="P3463">
        <v>0.189705977</v>
      </c>
      <c r="Q3463">
        <v>-1.7194070999999998E-2</v>
      </c>
      <c r="S3463" s="13">
        <v>-1.7784032139999999</v>
      </c>
      <c r="T3463">
        <v>-1.846022509</v>
      </c>
      <c r="U3463">
        <v>-0.59849301499999996</v>
      </c>
    </row>
    <row r="3464" spans="1:21" x14ac:dyDescent="0.2">
      <c r="A3464" t="s">
        <v>977</v>
      </c>
      <c r="B3464">
        <v>295080</v>
      </c>
      <c r="C3464" t="s">
        <v>6953</v>
      </c>
      <c r="D3464" t="s">
        <v>978</v>
      </c>
      <c r="E3464" t="s">
        <v>6915</v>
      </c>
      <c r="F3464">
        <v>5</v>
      </c>
      <c r="G3464">
        <v>13</v>
      </c>
      <c r="H3464" t="s">
        <v>13941</v>
      </c>
      <c r="J3464" t="s">
        <v>2356</v>
      </c>
      <c r="M3464" t="s">
        <v>13942</v>
      </c>
      <c r="N3464">
        <v>1.921480887</v>
      </c>
      <c r="O3464">
        <v>3.0856645180000002</v>
      </c>
      <c r="P3464">
        <v>0.44706724399999997</v>
      </c>
      <c r="Q3464">
        <v>-0.354940863</v>
      </c>
      <c r="S3464" s="13">
        <v>-1.7790275390000001</v>
      </c>
      <c r="T3464">
        <v>-1.8487506650000001</v>
      </c>
      <c r="U3464">
        <v>-0.55076263700000005</v>
      </c>
    </row>
    <row r="3465" spans="1:21" x14ac:dyDescent="0.2">
      <c r="A3465" t="s">
        <v>563</v>
      </c>
      <c r="B3465">
        <v>363840</v>
      </c>
      <c r="C3465" t="s">
        <v>6914</v>
      </c>
      <c r="D3465" t="s">
        <v>564</v>
      </c>
      <c r="E3465" t="s">
        <v>6928</v>
      </c>
      <c r="F3465">
        <v>9</v>
      </c>
      <c r="G3465">
        <v>16</v>
      </c>
      <c r="H3465" t="s">
        <v>13943</v>
      </c>
      <c r="J3465" t="s">
        <v>6691</v>
      </c>
      <c r="M3465" t="s">
        <v>13944</v>
      </c>
      <c r="N3465">
        <v>1.8217074179999999</v>
      </c>
      <c r="O3465">
        <v>4.1700741289999996</v>
      </c>
      <c r="P3465">
        <v>0.189705977</v>
      </c>
      <c r="Q3465">
        <v>-1.7194070999999998E-2</v>
      </c>
      <c r="S3465" s="13">
        <v>-1.779365423</v>
      </c>
      <c r="T3465">
        <v>-1.8502271429999999</v>
      </c>
      <c r="U3465">
        <v>-0.59998935799999997</v>
      </c>
    </row>
    <row r="3466" spans="1:21" x14ac:dyDescent="0.2">
      <c r="A3466" t="s">
        <v>1290</v>
      </c>
      <c r="B3466">
        <v>309720</v>
      </c>
      <c r="C3466" t="s">
        <v>6906</v>
      </c>
      <c r="D3466" t="s">
        <v>1291</v>
      </c>
      <c r="E3466" t="s">
        <v>6924</v>
      </c>
      <c r="F3466">
        <v>7</v>
      </c>
      <c r="G3466">
        <v>6</v>
      </c>
      <c r="H3466" t="s">
        <v>13945</v>
      </c>
      <c r="J3466" t="s">
        <v>4232</v>
      </c>
      <c r="M3466" t="s">
        <v>13946</v>
      </c>
      <c r="N3466">
        <v>1.813871112</v>
      </c>
      <c r="O3466">
        <v>2.6633694910000001</v>
      </c>
      <c r="P3466">
        <v>-0.29586356800000002</v>
      </c>
      <c r="Q3466">
        <v>-0.59018158399999998</v>
      </c>
      <c r="S3466" s="13">
        <v>-1.7793703759999999</v>
      </c>
      <c r="T3466">
        <v>-1.850248785</v>
      </c>
      <c r="U3466">
        <v>-0.44226177100000003</v>
      </c>
    </row>
    <row r="3467" spans="1:21" x14ac:dyDescent="0.2">
      <c r="A3467" t="s">
        <v>42</v>
      </c>
      <c r="B3467">
        <v>216800</v>
      </c>
      <c r="C3467" t="s">
        <v>6910</v>
      </c>
      <c r="D3467" t="s">
        <v>42</v>
      </c>
      <c r="E3467" t="s">
        <v>6977</v>
      </c>
      <c r="F3467">
        <v>13</v>
      </c>
      <c r="G3467">
        <v>5</v>
      </c>
      <c r="H3467" t="s">
        <v>13947</v>
      </c>
      <c r="J3467" t="s">
        <v>6317</v>
      </c>
      <c r="M3467" t="s">
        <v>13948</v>
      </c>
      <c r="N3467">
        <v>1.9874741039999999</v>
      </c>
      <c r="O3467">
        <v>3.7453511220000002</v>
      </c>
      <c r="P3467">
        <v>0.451009722</v>
      </c>
      <c r="Q3467">
        <v>-0.102386592</v>
      </c>
      <c r="S3467" s="13">
        <v>-1.7794310680000001</v>
      </c>
      <c r="T3467">
        <v>-1.850513995</v>
      </c>
      <c r="U3467">
        <v>-0.51732153299999994</v>
      </c>
    </row>
    <row r="3468" spans="1:21" x14ac:dyDescent="0.2">
      <c r="A3468" t="s">
        <v>342</v>
      </c>
      <c r="B3468">
        <v>309480</v>
      </c>
      <c r="C3468" t="s">
        <v>6906</v>
      </c>
      <c r="D3468" t="s">
        <v>342</v>
      </c>
      <c r="E3468" t="s">
        <v>6956</v>
      </c>
      <c r="F3468">
        <v>15</v>
      </c>
      <c r="G3468">
        <v>7</v>
      </c>
      <c r="H3468" t="s">
        <v>13949</v>
      </c>
      <c r="J3468" t="s">
        <v>3033</v>
      </c>
      <c r="M3468" t="s">
        <v>13950</v>
      </c>
      <c r="N3468">
        <v>1.813871112</v>
      </c>
      <c r="O3468">
        <v>2.6633694910000001</v>
      </c>
      <c r="P3468">
        <v>-0.29586356800000002</v>
      </c>
      <c r="Q3468">
        <v>-0.59018158399999998</v>
      </c>
      <c r="S3468" s="13">
        <v>-1.7797185550000001</v>
      </c>
      <c r="T3468">
        <v>-1.8517702490000001</v>
      </c>
      <c r="U3468">
        <v>-0.44257461599999998</v>
      </c>
    </row>
    <row r="3469" spans="1:21" x14ac:dyDescent="0.2">
      <c r="A3469" t="s">
        <v>607</v>
      </c>
      <c r="B3469">
        <v>361640</v>
      </c>
      <c r="C3469" t="s">
        <v>6914</v>
      </c>
      <c r="D3469" t="s">
        <v>607</v>
      </c>
      <c r="E3469" t="s">
        <v>6915</v>
      </c>
      <c r="F3469">
        <v>18</v>
      </c>
      <c r="G3469">
        <v>13</v>
      </c>
      <c r="H3469" t="s">
        <v>13951</v>
      </c>
      <c r="J3469" t="s">
        <v>6423</v>
      </c>
      <c r="M3469" t="s">
        <v>13952</v>
      </c>
      <c r="N3469">
        <v>1.8217074179999999</v>
      </c>
      <c r="O3469">
        <v>4.1700741289999996</v>
      </c>
      <c r="P3469">
        <v>0.189705977</v>
      </c>
      <c r="Q3469">
        <v>-1.7194070999999998E-2</v>
      </c>
      <c r="S3469" s="13">
        <v>-1.7820114979999999</v>
      </c>
      <c r="T3469">
        <v>-1.8617898879999999</v>
      </c>
      <c r="U3469">
        <v>-0.60413108599999998</v>
      </c>
    </row>
    <row r="3470" spans="1:21" x14ac:dyDescent="0.2">
      <c r="A3470" t="s">
        <v>2453</v>
      </c>
      <c r="B3470">
        <v>287280</v>
      </c>
      <c r="C3470" t="s">
        <v>6953</v>
      </c>
      <c r="D3470" t="s">
        <v>2454</v>
      </c>
      <c r="E3470" t="s">
        <v>6911</v>
      </c>
      <c r="F3470">
        <v>3</v>
      </c>
      <c r="G3470">
        <v>12</v>
      </c>
      <c r="H3470" t="s">
        <v>13953</v>
      </c>
      <c r="J3470" t="s">
        <v>5493</v>
      </c>
      <c r="M3470" t="s">
        <v>13954</v>
      </c>
      <c r="N3470">
        <v>1.921480887</v>
      </c>
      <c r="O3470">
        <v>3.0856645180000002</v>
      </c>
      <c r="P3470">
        <v>0.44706724399999997</v>
      </c>
      <c r="Q3470">
        <v>-0.354940863</v>
      </c>
      <c r="S3470" s="13">
        <v>-1.787121008</v>
      </c>
      <c r="T3470">
        <v>-1.884117276</v>
      </c>
      <c r="U3470">
        <v>-0.56401108099999997</v>
      </c>
    </row>
    <row r="3471" spans="1:21" x14ac:dyDescent="0.2">
      <c r="A3471" t="s">
        <v>267</v>
      </c>
      <c r="B3471">
        <v>207760</v>
      </c>
      <c r="C3471" t="s">
        <v>6910</v>
      </c>
      <c r="D3471" t="s">
        <v>268</v>
      </c>
      <c r="E3471" t="s">
        <v>6911</v>
      </c>
      <c r="F3471">
        <v>2</v>
      </c>
      <c r="G3471">
        <v>12</v>
      </c>
      <c r="H3471" t="s">
        <v>13955</v>
      </c>
      <c r="J3471" t="s">
        <v>6451</v>
      </c>
      <c r="M3471" t="s">
        <v>13956</v>
      </c>
      <c r="N3471">
        <v>1.9874741039999999</v>
      </c>
      <c r="O3471">
        <v>3.7453511220000002</v>
      </c>
      <c r="P3471">
        <v>0.451009722</v>
      </c>
      <c r="Q3471">
        <v>-0.102386592</v>
      </c>
      <c r="S3471" s="13">
        <v>-1.7891571449999999</v>
      </c>
      <c r="T3471">
        <v>-1.89301473</v>
      </c>
      <c r="U3471">
        <v>-0.53155422799999996</v>
      </c>
    </row>
    <row r="3472" spans="1:21" x14ac:dyDescent="0.2">
      <c r="A3472" t="s">
        <v>2040</v>
      </c>
      <c r="B3472">
        <v>130040</v>
      </c>
      <c r="C3472" t="s">
        <v>6942</v>
      </c>
      <c r="D3472" t="s">
        <v>2040</v>
      </c>
      <c r="E3472" t="s">
        <v>6946</v>
      </c>
      <c r="F3472">
        <v>18</v>
      </c>
      <c r="G3472">
        <v>11</v>
      </c>
      <c r="H3472" t="s">
        <v>13957</v>
      </c>
      <c r="J3472" t="s">
        <v>4730</v>
      </c>
      <c r="M3472" t="s">
        <v>13958</v>
      </c>
      <c r="N3472">
        <v>2.0902262079999998</v>
      </c>
      <c r="O3472">
        <v>4.2704203920000001</v>
      </c>
      <c r="P3472">
        <v>0.23425843900000001</v>
      </c>
      <c r="Q3472">
        <v>1.6181978999999999E-2</v>
      </c>
      <c r="S3472" s="13">
        <v>-1.789607993</v>
      </c>
      <c r="T3472">
        <v>-1.894984834</v>
      </c>
      <c r="U3472">
        <v>-0.93785680000000005</v>
      </c>
    </row>
    <row r="3473" spans="1:21" x14ac:dyDescent="0.2">
      <c r="A3473" t="s">
        <v>33</v>
      </c>
      <c r="B3473">
        <v>146120</v>
      </c>
      <c r="C3473" t="s">
        <v>6938</v>
      </c>
      <c r="D3473" t="s">
        <v>33</v>
      </c>
      <c r="E3473" t="s">
        <v>6918</v>
      </c>
      <c r="F3473">
        <v>17</v>
      </c>
      <c r="G3473">
        <v>1</v>
      </c>
      <c r="H3473" t="s">
        <v>13959</v>
      </c>
      <c r="J3473" t="s">
        <v>5767</v>
      </c>
      <c r="M3473" t="s">
        <v>13960</v>
      </c>
      <c r="N3473">
        <v>2.092758737</v>
      </c>
      <c r="O3473">
        <v>5.3323610669999999</v>
      </c>
      <c r="P3473">
        <v>0.70420098600000003</v>
      </c>
      <c r="Q3473">
        <v>0.41355372699999998</v>
      </c>
      <c r="S3473" s="13">
        <v>-1.789625558</v>
      </c>
      <c r="T3473">
        <v>-1.895061589</v>
      </c>
      <c r="U3473">
        <v>-1.186715711</v>
      </c>
    </row>
    <row r="3474" spans="1:21" x14ac:dyDescent="0.2">
      <c r="A3474" t="s">
        <v>482</v>
      </c>
      <c r="B3474">
        <v>352240</v>
      </c>
      <c r="C3474" t="s">
        <v>6914</v>
      </c>
      <c r="D3474" t="s">
        <v>482</v>
      </c>
      <c r="E3474" t="s">
        <v>6946</v>
      </c>
      <c r="F3474">
        <v>15</v>
      </c>
      <c r="G3474">
        <v>11</v>
      </c>
      <c r="H3474" t="s">
        <v>13961</v>
      </c>
      <c r="J3474" t="s">
        <v>6597</v>
      </c>
      <c r="M3474" t="s">
        <v>13962</v>
      </c>
      <c r="N3474">
        <v>1.8217074179999999</v>
      </c>
      <c r="O3474">
        <v>4.1700741289999996</v>
      </c>
      <c r="P3474">
        <v>0.189705977</v>
      </c>
      <c r="Q3474">
        <v>-1.7194070999999998E-2</v>
      </c>
      <c r="S3474" s="13">
        <v>-1.7933174569999999</v>
      </c>
      <c r="T3474">
        <v>-1.9111943419999999</v>
      </c>
      <c r="U3474">
        <v>-0.62228646200000004</v>
      </c>
    </row>
    <row r="3475" spans="1:21" x14ac:dyDescent="0.2">
      <c r="A3475" t="s">
        <v>89</v>
      </c>
      <c r="B3475">
        <v>201640</v>
      </c>
      <c r="C3475" t="s">
        <v>6910</v>
      </c>
      <c r="D3475" t="s">
        <v>90</v>
      </c>
      <c r="E3475" t="s">
        <v>6921</v>
      </c>
      <c r="F3475">
        <v>1</v>
      </c>
      <c r="G3475">
        <v>8</v>
      </c>
      <c r="H3475" t="s">
        <v>13963</v>
      </c>
      <c r="J3475" t="s">
        <v>6391</v>
      </c>
      <c r="M3475" t="s">
        <v>13964</v>
      </c>
      <c r="N3475">
        <v>1.9874741039999999</v>
      </c>
      <c r="O3475">
        <v>3.7453511220000002</v>
      </c>
      <c r="P3475">
        <v>0.451009722</v>
      </c>
      <c r="Q3475">
        <v>-0.102386592</v>
      </c>
      <c r="S3475" s="13">
        <v>-1.7957416129999999</v>
      </c>
      <c r="T3475">
        <v>-1.9217873519999999</v>
      </c>
      <c r="U3475">
        <v>-0.54146140899999995</v>
      </c>
    </row>
    <row r="3476" spans="1:21" x14ac:dyDescent="0.2">
      <c r="A3476" t="s">
        <v>2224</v>
      </c>
      <c r="B3476">
        <v>119480</v>
      </c>
      <c r="C3476" t="s">
        <v>6942</v>
      </c>
      <c r="D3476" t="s">
        <v>2224</v>
      </c>
      <c r="E3476" t="s">
        <v>6974</v>
      </c>
      <c r="F3476">
        <v>18</v>
      </c>
      <c r="G3476">
        <v>15</v>
      </c>
      <c r="H3476" t="s">
        <v>13965</v>
      </c>
      <c r="J3476" t="s">
        <v>4682</v>
      </c>
      <c r="M3476" t="s">
        <v>13966</v>
      </c>
      <c r="N3476">
        <v>2.0902262079999998</v>
      </c>
      <c r="O3476">
        <v>4.2704203920000001</v>
      </c>
      <c r="P3476">
        <v>0.23425843900000001</v>
      </c>
      <c r="Q3476">
        <v>1.6181978999999999E-2</v>
      </c>
      <c r="S3476" s="13">
        <v>-1.7999725179999999</v>
      </c>
      <c r="T3476">
        <v>-1.9402754390000001</v>
      </c>
      <c r="U3476">
        <v>-0.98322016300000004</v>
      </c>
    </row>
    <row r="3477" spans="1:21" x14ac:dyDescent="0.2">
      <c r="A3477" t="s">
        <v>697</v>
      </c>
      <c r="B3477">
        <v>294480</v>
      </c>
      <c r="C3477" t="s">
        <v>6906</v>
      </c>
      <c r="D3477" t="s">
        <v>698</v>
      </c>
      <c r="E3477" t="s">
        <v>7115</v>
      </c>
      <c r="F3477">
        <v>3</v>
      </c>
      <c r="G3477">
        <v>10</v>
      </c>
      <c r="H3477" t="s">
        <v>13967</v>
      </c>
      <c r="J3477" t="s">
        <v>4282</v>
      </c>
      <c r="M3477" t="s">
        <v>13968</v>
      </c>
      <c r="N3477">
        <v>1.813871112</v>
      </c>
      <c r="O3477">
        <v>2.6633694910000001</v>
      </c>
      <c r="P3477">
        <v>-0.29586356800000002</v>
      </c>
      <c r="Q3477">
        <v>-0.59018158399999998</v>
      </c>
      <c r="S3477" s="13">
        <v>-1.801479762</v>
      </c>
      <c r="T3477">
        <v>-1.9468617500000001</v>
      </c>
      <c r="U3477">
        <v>-0.46258865399999999</v>
      </c>
    </row>
    <row r="3478" spans="1:21" x14ac:dyDescent="0.2">
      <c r="A3478" t="s">
        <v>3235</v>
      </c>
      <c r="B3478">
        <v>293200</v>
      </c>
      <c r="C3478" t="s">
        <v>6906</v>
      </c>
      <c r="D3478" t="s">
        <v>3236</v>
      </c>
      <c r="E3478" t="s">
        <v>6946</v>
      </c>
      <c r="F3478">
        <v>2</v>
      </c>
      <c r="G3478">
        <v>11</v>
      </c>
      <c r="H3478" t="s">
        <v>13969</v>
      </c>
      <c r="J3478" t="s">
        <v>4246</v>
      </c>
      <c r="M3478" t="s">
        <v>13970</v>
      </c>
      <c r="N3478">
        <v>1.813871112</v>
      </c>
      <c r="O3478">
        <v>2.6633694910000001</v>
      </c>
      <c r="P3478">
        <v>-0.29586356800000002</v>
      </c>
      <c r="Q3478">
        <v>-0.59018158399999998</v>
      </c>
      <c r="S3478" s="13">
        <v>-1.8033367179999999</v>
      </c>
      <c r="T3478">
        <v>-1.9549762239999999</v>
      </c>
      <c r="U3478">
        <v>-0.464340009</v>
      </c>
    </row>
    <row r="3479" spans="1:21" x14ac:dyDescent="0.2">
      <c r="A3479" t="s">
        <v>1413</v>
      </c>
      <c r="B3479">
        <v>115840</v>
      </c>
      <c r="C3479" t="s">
        <v>6942</v>
      </c>
      <c r="D3479" t="s">
        <v>1413</v>
      </c>
      <c r="E3479" t="s">
        <v>6977</v>
      </c>
      <c r="F3479">
        <v>18</v>
      </c>
      <c r="G3479">
        <v>5</v>
      </c>
      <c r="H3479" t="s">
        <v>13971</v>
      </c>
      <c r="J3479" t="s">
        <v>4742</v>
      </c>
      <c r="M3479" t="s">
        <v>13972</v>
      </c>
      <c r="N3479">
        <v>2.0902262079999998</v>
      </c>
      <c r="O3479">
        <v>4.2704203920000001</v>
      </c>
      <c r="P3479">
        <v>0.23425843900000001</v>
      </c>
      <c r="Q3479">
        <v>1.6181978999999999E-2</v>
      </c>
      <c r="S3479" s="13">
        <v>-1.8035451389999999</v>
      </c>
      <c r="T3479">
        <v>-1.9558869729999999</v>
      </c>
      <c r="U3479">
        <v>-1.000023533</v>
      </c>
    </row>
    <row r="3480" spans="1:21" x14ac:dyDescent="0.2">
      <c r="A3480" t="s">
        <v>348</v>
      </c>
      <c r="B3480">
        <v>343400</v>
      </c>
      <c r="C3480" t="s">
        <v>6914</v>
      </c>
      <c r="D3480" t="s">
        <v>349</v>
      </c>
      <c r="E3480" t="s">
        <v>6907</v>
      </c>
      <c r="F3480">
        <v>1</v>
      </c>
      <c r="G3480">
        <v>4</v>
      </c>
      <c r="H3480" t="s">
        <v>13973</v>
      </c>
      <c r="J3480" t="s">
        <v>6683</v>
      </c>
      <c r="M3480" t="s">
        <v>13974</v>
      </c>
      <c r="N3480">
        <v>1.8217074179999999</v>
      </c>
      <c r="O3480">
        <v>4.1700741289999996</v>
      </c>
      <c r="P3480">
        <v>0.189705977</v>
      </c>
      <c r="Q3480">
        <v>-1.7194070999999998E-2</v>
      </c>
      <c r="S3480" s="13">
        <v>-1.803949869</v>
      </c>
      <c r="T3480">
        <v>-1.9576555520000001</v>
      </c>
      <c r="U3480">
        <v>-0.64008180199999998</v>
      </c>
    </row>
    <row r="3481" spans="1:21" x14ac:dyDescent="0.2">
      <c r="A3481" t="s">
        <v>2319</v>
      </c>
      <c r="B3481">
        <v>193080</v>
      </c>
      <c r="C3481" t="s">
        <v>6910</v>
      </c>
      <c r="D3481" t="s">
        <v>2320</v>
      </c>
      <c r="E3481" t="s">
        <v>6915</v>
      </c>
      <c r="F3481">
        <v>8</v>
      </c>
      <c r="G3481">
        <v>13</v>
      </c>
      <c r="H3481" t="s">
        <v>13975</v>
      </c>
      <c r="J3481" t="s">
        <v>6229</v>
      </c>
      <c r="M3481" t="s">
        <v>13976</v>
      </c>
      <c r="N3481">
        <v>1.9874741039999999</v>
      </c>
      <c r="O3481">
        <v>3.7453511220000002</v>
      </c>
      <c r="P3481">
        <v>0.451009722</v>
      </c>
      <c r="Q3481">
        <v>-0.102386592</v>
      </c>
      <c r="S3481" s="13">
        <v>-1.8049512619999999</v>
      </c>
      <c r="T3481">
        <v>-1.9620314109999999</v>
      </c>
      <c r="U3481">
        <v>-0.55570894299999996</v>
      </c>
    </row>
    <row r="3482" spans="1:21" x14ac:dyDescent="0.2">
      <c r="A3482" t="s">
        <v>541</v>
      </c>
      <c r="B3482">
        <v>192920</v>
      </c>
      <c r="C3482" t="s">
        <v>6910</v>
      </c>
      <c r="D3482" t="s">
        <v>542</v>
      </c>
      <c r="E3482" t="s">
        <v>6974</v>
      </c>
      <c r="F3482">
        <v>1</v>
      </c>
      <c r="G3482">
        <v>15</v>
      </c>
      <c r="H3482" t="s">
        <v>13977</v>
      </c>
      <c r="J3482" t="s">
        <v>6509</v>
      </c>
      <c r="M3482" t="s">
        <v>13978</v>
      </c>
      <c r="N3482">
        <v>1.9874741039999999</v>
      </c>
      <c r="O3482">
        <v>3.7453511220000002</v>
      </c>
      <c r="P3482">
        <v>0.451009722</v>
      </c>
      <c r="Q3482">
        <v>-0.102386592</v>
      </c>
      <c r="S3482" s="13">
        <v>-1.805123405</v>
      </c>
      <c r="T3482">
        <v>-1.9627836359999999</v>
      </c>
      <c r="U3482">
        <v>-0.55597975300000002</v>
      </c>
    </row>
    <row r="3483" spans="1:21" x14ac:dyDescent="0.2">
      <c r="A3483" t="s">
        <v>779</v>
      </c>
      <c r="B3483">
        <v>127720</v>
      </c>
      <c r="C3483" t="s">
        <v>6938</v>
      </c>
      <c r="D3483" t="s">
        <v>780</v>
      </c>
      <c r="E3483" t="s">
        <v>7006</v>
      </c>
      <c r="F3483">
        <v>8</v>
      </c>
      <c r="G3483">
        <v>3</v>
      </c>
      <c r="H3483" t="s">
        <v>13979</v>
      </c>
      <c r="J3483" t="s">
        <v>5613</v>
      </c>
      <c r="M3483" t="s">
        <v>13980</v>
      </c>
      <c r="N3483">
        <v>2.092758737</v>
      </c>
      <c r="O3483">
        <v>5.3323610669999999</v>
      </c>
      <c r="P3483">
        <v>0.70420098600000003</v>
      </c>
      <c r="Q3483">
        <v>0.41355372699999998</v>
      </c>
      <c r="S3483" s="13">
        <v>-1.805427688</v>
      </c>
      <c r="T3483">
        <v>-1.964113284</v>
      </c>
      <c r="U3483">
        <v>-1.3456776429999999</v>
      </c>
    </row>
    <row r="3484" spans="1:21" x14ac:dyDescent="0.2">
      <c r="A3484" t="s">
        <v>775</v>
      </c>
      <c r="B3484">
        <v>113920</v>
      </c>
      <c r="C3484" t="s">
        <v>6942</v>
      </c>
      <c r="D3484" t="s">
        <v>776</v>
      </c>
      <c r="E3484" t="s">
        <v>6939</v>
      </c>
      <c r="F3484">
        <v>2</v>
      </c>
      <c r="G3484">
        <v>2</v>
      </c>
      <c r="H3484" t="s">
        <v>13981</v>
      </c>
      <c r="J3484" t="s">
        <v>4866</v>
      </c>
      <c r="M3484" t="s">
        <v>13982</v>
      </c>
      <c r="N3484">
        <v>2.0902262079999998</v>
      </c>
      <c r="O3484">
        <v>4.2704203920000001</v>
      </c>
      <c r="P3484">
        <v>0.23425843900000001</v>
      </c>
      <c r="Q3484">
        <v>1.6181978999999999E-2</v>
      </c>
      <c r="S3484" s="13">
        <v>-1.8054295979999999</v>
      </c>
      <c r="T3484">
        <v>-1.9641216290000001</v>
      </c>
      <c r="U3484">
        <v>-1.0091558970000001</v>
      </c>
    </row>
    <row r="3485" spans="1:21" x14ac:dyDescent="0.2">
      <c r="A3485" t="s">
        <v>663</v>
      </c>
      <c r="B3485">
        <v>111520</v>
      </c>
      <c r="C3485" t="s">
        <v>6942</v>
      </c>
      <c r="D3485" t="s">
        <v>663</v>
      </c>
      <c r="E3485" t="s">
        <v>6918</v>
      </c>
      <c r="F3485">
        <v>15</v>
      </c>
      <c r="G3485">
        <v>1</v>
      </c>
      <c r="H3485" t="s">
        <v>13983</v>
      </c>
      <c r="J3485" t="s">
        <v>4844</v>
      </c>
      <c r="M3485" t="s">
        <v>13984</v>
      </c>
      <c r="N3485">
        <v>2.0902262079999998</v>
      </c>
      <c r="O3485">
        <v>4.2704203920000001</v>
      </c>
      <c r="P3485">
        <v>0.23425843900000001</v>
      </c>
      <c r="Q3485">
        <v>1.6181978999999999E-2</v>
      </c>
      <c r="S3485" s="13">
        <v>-1.807785172</v>
      </c>
      <c r="T3485">
        <v>-1.9744149479999999</v>
      </c>
      <c r="U3485">
        <v>-1.02084821</v>
      </c>
    </row>
    <row r="3486" spans="1:21" x14ac:dyDescent="0.2">
      <c r="A3486" t="s">
        <v>2031</v>
      </c>
      <c r="B3486">
        <v>288960</v>
      </c>
      <c r="C3486" t="s">
        <v>6906</v>
      </c>
      <c r="D3486" t="s">
        <v>2032</v>
      </c>
      <c r="E3486" t="s">
        <v>6924</v>
      </c>
      <c r="F3486">
        <v>3</v>
      </c>
      <c r="G3486">
        <v>6</v>
      </c>
      <c r="H3486" t="s">
        <v>13985</v>
      </c>
      <c r="J3486" t="s">
        <v>4368</v>
      </c>
      <c r="M3486" t="s">
        <v>13986</v>
      </c>
      <c r="N3486">
        <v>1.813871112</v>
      </c>
      <c r="O3486">
        <v>2.6633694910000001</v>
      </c>
      <c r="P3486">
        <v>-0.29586356800000002</v>
      </c>
      <c r="Q3486">
        <v>-0.59018158399999998</v>
      </c>
      <c r="S3486" s="13">
        <v>-1.8094878860000001</v>
      </c>
      <c r="T3486">
        <v>-1.981855422</v>
      </c>
      <c r="U3486">
        <v>-0.47019234199999999</v>
      </c>
    </row>
    <row r="3487" spans="1:21" x14ac:dyDescent="0.2">
      <c r="A3487" t="s">
        <v>1595</v>
      </c>
      <c r="B3487">
        <v>121560</v>
      </c>
      <c r="C3487" t="s">
        <v>6938</v>
      </c>
      <c r="D3487" t="s">
        <v>1595</v>
      </c>
      <c r="E3487" t="s">
        <v>6974</v>
      </c>
      <c r="F3487">
        <v>23</v>
      </c>
      <c r="G3487">
        <v>15</v>
      </c>
      <c r="H3487" t="s">
        <v>13987</v>
      </c>
      <c r="J3487" t="s">
        <v>5607</v>
      </c>
      <c r="M3487" t="s">
        <v>13988</v>
      </c>
      <c r="N3487">
        <v>2.092758737</v>
      </c>
      <c r="O3487">
        <v>5.3323610669999999</v>
      </c>
      <c r="P3487">
        <v>0.70420098600000003</v>
      </c>
      <c r="Q3487">
        <v>0.41355372699999998</v>
      </c>
      <c r="S3487" s="13">
        <v>-1.8107179659999999</v>
      </c>
      <c r="T3487">
        <v>-1.98723059</v>
      </c>
      <c r="U3487">
        <v>-1.4152228650000001</v>
      </c>
    </row>
    <row r="3488" spans="1:21" x14ac:dyDescent="0.2">
      <c r="A3488" t="s">
        <v>2257</v>
      </c>
      <c r="B3488">
        <v>198480</v>
      </c>
      <c r="C3488" t="s">
        <v>6927</v>
      </c>
      <c r="D3488" t="s">
        <v>2257</v>
      </c>
      <c r="E3488" t="s">
        <v>6911</v>
      </c>
      <c r="F3488">
        <v>16</v>
      </c>
      <c r="G3488">
        <v>12</v>
      </c>
      <c r="H3488" t="s">
        <v>13989</v>
      </c>
      <c r="J3488" t="s">
        <v>13990</v>
      </c>
      <c r="M3488" t="s">
        <v>13991</v>
      </c>
      <c r="N3488">
        <v>1.982575982</v>
      </c>
      <c r="O3488">
        <v>3.4571926419999999</v>
      </c>
      <c r="P3488">
        <v>-0.114791479</v>
      </c>
      <c r="Q3488">
        <v>1.868949E-3</v>
      </c>
      <c r="S3488" s="13">
        <v>-1.811785336</v>
      </c>
      <c r="T3488">
        <v>-1.991894753</v>
      </c>
      <c r="U3488">
        <v>-0.79903896600000002</v>
      </c>
    </row>
    <row r="3489" spans="1:21" x14ac:dyDescent="0.2">
      <c r="A3489" t="s">
        <v>1714</v>
      </c>
      <c r="B3489">
        <v>336000</v>
      </c>
      <c r="C3489" t="s">
        <v>6914</v>
      </c>
      <c r="D3489" t="s">
        <v>1715</v>
      </c>
      <c r="E3489" t="s">
        <v>6915</v>
      </c>
      <c r="F3489">
        <v>7</v>
      </c>
      <c r="G3489">
        <v>13</v>
      </c>
      <c r="H3489" t="s">
        <v>13992</v>
      </c>
      <c r="J3489" t="s">
        <v>6689</v>
      </c>
      <c r="M3489" t="s">
        <v>13993</v>
      </c>
      <c r="N3489">
        <v>1.8217074179999999</v>
      </c>
      <c r="O3489">
        <v>4.1700741289999996</v>
      </c>
      <c r="P3489">
        <v>0.189705977</v>
      </c>
      <c r="Q3489">
        <v>-1.7194070999999998E-2</v>
      </c>
      <c r="S3489" s="13">
        <v>-1.8128503039999999</v>
      </c>
      <c r="T3489">
        <v>-1.9965484200000001</v>
      </c>
      <c r="U3489">
        <v>-0.65556034399999996</v>
      </c>
    </row>
    <row r="3490" spans="1:21" x14ac:dyDescent="0.2">
      <c r="A3490" t="s">
        <v>1598</v>
      </c>
      <c r="B3490">
        <v>335160</v>
      </c>
      <c r="C3490" t="s">
        <v>6914</v>
      </c>
      <c r="D3490" t="s">
        <v>1598</v>
      </c>
      <c r="E3490" t="s">
        <v>6970</v>
      </c>
      <c r="F3490">
        <v>17</v>
      </c>
      <c r="G3490">
        <v>14</v>
      </c>
      <c r="H3490" t="s">
        <v>13994</v>
      </c>
      <c r="J3490" t="s">
        <v>6751</v>
      </c>
      <c r="M3490" t="s">
        <v>13995</v>
      </c>
      <c r="N3490">
        <v>1.8217074179999999</v>
      </c>
      <c r="O3490">
        <v>4.1700741289999996</v>
      </c>
      <c r="P3490">
        <v>0.189705977</v>
      </c>
      <c r="Q3490">
        <v>-1.7194070999999998E-2</v>
      </c>
      <c r="S3490" s="13">
        <v>-1.8138606239999999</v>
      </c>
      <c r="T3490">
        <v>-2.0009632860000002</v>
      </c>
      <c r="U3490">
        <v>-0.65735274799999999</v>
      </c>
    </row>
    <row r="3491" spans="1:21" x14ac:dyDescent="0.2">
      <c r="A3491" t="s">
        <v>2348</v>
      </c>
      <c r="B3491">
        <v>284520</v>
      </c>
      <c r="C3491" t="s">
        <v>6906</v>
      </c>
      <c r="D3491" t="s">
        <v>2348</v>
      </c>
      <c r="E3491" t="s">
        <v>6911</v>
      </c>
      <c r="F3491">
        <v>11</v>
      </c>
      <c r="G3491">
        <v>12</v>
      </c>
      <c r="H3491" t="s">
        <v>13996</v>
      </c>
      <c r="J3491" t="s">
        <v>13997</v>
      </c>
      <c r="M3491" t="s">
        <v>13998</v>
      </c>
      <c r="N3491">
        <v>1.813871112</v>
      </c>
      <c r="O3491">
        <v>2.6633694910000001</v>
      </c>
      <c r="P3491">
        <v>-0.29586356800000002</v>
      </c>
      <c r="Q3491">
        <v>-0.59018158399999998</v>
      </c>
      <c r="S3491" s="13">
        <v>-1.8159292039999999</v>
      </c>
      <c r="T3491">
        <v>-2.0100025060000002</v>
      </c>
      <c r="U3491">
        <v>-0.47640645199999998</v>
      </c>
    </row>
    <row r="3492" spans="1:21" x14ac:dyDescent="0.2">
      <c r="A3492" t="s">
        <v>1394</v>
      </c>
      <c r="B3492">
        <v>115280</v>
      </c>
      <c r="C3492" t="s">
        <v>6938</v>
      </c>
      <c r="D3492" t="s">
        <v>1394</v>
      </c>
      <c r="E3492" t="s">
        <v>6939</v>
      </c>
      <c r="F3492">
        <v>16</v>
      </c>
      <c r="G3492">
        <v>2</v>
      </c>
      <c r="H3492" t="s">
        <v>13999</v>
      </c>
      <c r="J3492" t="s">
        <v>5765</v>
      </c>
      <c r="M3492" t="s">
        <v>14000</v>
      </c>
      <c r="N3492">
        <v>2.092758737</v>
      </c>
      <c r="O3492">
        <v>5.3323610669999999</v>
      </c>
      <c r="P3492">
        <v>0.70420098600000003</v>
      </c>
      <c r="Q3492">
        <v>0.41355372699999998</v>
      </c>
      <c r="S3492" s="13">
        <v>-1.8161113019999999</v>
      </c>
      <c r="T3492">
        <v>-2.0107982340000001</v>
      </c>
      <c r="U3492">
        <v>-1.4998499590000001</v>
      </c>
    </row>
    <row r="3493" spans="1:21" x14ac:dyDescent="0.2">
      <c r="A3493" t="s">
        <v>1617</v>
      </c>
      <c r="B3493">
        <v>283640</v>
      </c>
      <c r="C3493" t="s">
        <v>6906</v>
      </c>
      <c r="D3493" t="s">
        <v>1617</v>
      </c>
      <c r="E3493" t="s">
        <v>7115</v>
      </c>
      <c r="F3493">
        <v>16</v>
      </c>
      <c r="G3493">
        <v>10</v>
      </c>
      <c r="H3493" t="s">
        <v>14001</v>
      </c>
      <c r="J3493" t="s">
        <v>4300</v>
      </c>
      <c r="M3493" t="s">
        <v>14002</v>
      </c>
      <c r="N3493">
        <v>1.813871112</v>
      </c>
      <c r="O3493">
        <v>2.6633694910000001</v>
      </c>
      <c r="P3493">
        <v>-0.29586356800000002</v>
      </c>
      <c r="Q3493">
        <v>-0.59018158399999998</v>
      </c>
      <c r="S3493" s="13">
        <v>-1.8172058609999999</v>
      </c>
      <c r="T3493">
        <v>-2.0155812069999999</v>
      </c>
      <c r="U3493">
        <v>-0.47764870599999998</v>
      </c>
    </row>
    <row r="3494" spans="1:21" x14ac:dyDescent="0.2">
      <c r="A3494" t="s">
        <v>1409</v>
      </c>
      <c r="B3494">
        <v>191360</v>
      </c>
      <c r="C3494" t="s">
        <v>6927</v>
      </c>
      <c r="D3494" t="s">
        <v>1410</v>
      </c>
      <c r="E3494" t="s">
        <v>7115</v>
      </c>
      <c r="F3494">
        <v>6</v>
      </c>
      <c r="G3494">
        <v>10</v>
      </c>
      <c r="H3494" t="s">
        <v>14003</v>
      </c>
      <c r="J3494" t="s">
        <v>14004</v>
      </c>
      <c r="M3494" t="s">
        <v>14005</v>
      </c>
      <c r="N3494">
        <v>1.982575982</v>
      </c>
      <c r="O3494">
        <v>3.4571926419999999</v>
      </c>
      <c r="P3494">
        <v>-0.114791479</v>
      </c>
      <c r="Q3494">
        <v>1.868949E-3</v>
      </c>
      <c r="S3494" s="13">
        <v>-1.819173221</v>
      </c>
      <c r="T3494">
        <v>-2.0241781209999998</v>
      </c>
      <c r="U3494">
        <v>-0.82066553499999995</v>
      </c>
    </row>
    <row r="3495" spans="1:21" x14ac:dyDescent="0.2">
      <c r="A3495" t="s">
        <v>348</v>
      </c>
      <c r="B3495">
        <v>177720</v>
      </c>
      <c r="C3495" t="s">
        <v>6910</v>
      </c>
      <c r="D3495" t="s">
        <v>349</v>
      </c>
      <c r="E3495" t="s">
        <v>6907</v>
      </c>
      <c r="F3495">
        <v>1</v>
      </c>
      <c r="G3495">
        <v>4</v>
      </c>
      <c r="H3495" t="s">
        <v>14006</v>
      </c>
      <c r="J3495" t="s">
        <v>6375</v>
      </c>
      <c r="M3495" t="s">
        <v>14007</v>
      </c>
      <c r="N3495">
        <v>1.9874741039999999</v>
      </c>
      <c r="O3495">
        <v>3.7453511220000002</v>
      </c>
      <c r="P3495">
        <v>0.451009722</v>
      </c>
      <c r="Q3495">
        <v>-0.102386592</v>
      </c>
      <c r="S3495" s="13">
        <v>-1.821476987</v>
      </c>
      <c r="T3495">
        <v>-2.03424505</v>
      </c>
      <c r="U3495">
        <v>-0.58250873400000003</v>
      </c>
    </row>
    <row r="3496" spans="1:21" x14ac:dyDescent="0.2">
      <c r="A3496" t="s">
        <v>909</v>
      </c>
      <c r="B3496">
        <v>97280</v>
      </c>
      <c r="C3496" t="s">
        <v>6942</v>
      </c>
      <c r="D3496" t="s">
        <v>909</v>
      </c>
      <c r="E3496" t="s">
        <v>6974</v>
      </c>
      <c r="F3496">
        <v>10</v>
      </c>
      <c r="G3496">
        <v>15</v>
      </c>
      <c r="H3496" t="s">
        <v>14008</v>
      </c>
      <c r="J3496" t="s">
        <v>4862</v>
      </c>
      <c r="M3496" t="s">
        <v>14009</v>
      </c>
      <c r="N3496">
        <v>2.0902262079999998</v>
      </c>
      <c r="O3496">
        <v>4.2704203920000001</v>
      </c>
      <c r="P3496">
        <v>0.23425843900000001</v>
      </c>
      <c r="Q3496">
        <v>1.6181978999999999E-2</v>
      </c>
      <c r="S3496" s="13">
        <v>-1.821761577</v>
      </c>
      <c r="T3496">
        <v>-2.0354886429999999</v>
      </c>
      <c r="U3496">
        <v>-1.097557643</v>
      </c>
    </row>
    <row r="3497" spans="1:21" x14ac:dyDescent="0.2">
      <c r="A3497" t="s">
        <v>2488</v>
      </c>
      <c r="B3497">
        <v>177240</v>
      </c>
      <c r="C3497" t="s">
        <v>6910</v>
      </c>
      <c r="D3497" t="s">
        <v>2488</v>
      </c>
      <c r="E3497" t="s">
        <v>6907</v>
      </c>
      <c r="F3497">
        <v>10</v>
      </c>
      <c r="G3497">
        <v>4</v>
      </c>
      <c r="H3497" t="s">
        <v>14010</v>
      </c>
      <c r="J3497" t="s">
        <v>5893</v>
      </c>
      <c r="M3497" t="s">
        <v>14011</v>
      </c>
      <c r="N3497">
        <v>1.9874741039999999</v>
      </c>
      <c r="O3497">
        <v>3.7453511220000002</v>
      </c>
      <c r="P3497">
        <v>0.451009722</v>
      </c>
      <c r="Q3497">
        <v>-0.102386592</v>
      </c>
      <c r="S3497" s="13">
        <v>-1.821993416</v>
      </c>
      <c r="T3497">
        <v>-2.036501726</v>
      </c>
      <c r="U3497">
        <v>-0.58337346800000001</v>
      </c>
    </row>
    <row r="3498" spans="1:21" x14ac:dyDescent="0.2">
      <c r="A3498" t="s">
        <v>1010</v>
      </c>
      <c r="B3498">
        <v>107400</v>
      </c>
      <c r="C3498" t="s">
        <v>6938</v>
      </c>
      <c r="D3498" t="s">
        <v>1010</v>
      </c>
      <c r="E3498" t="s">
        <v>6970</v>
      </c>
      <c r="F3498">
        <v>19</v>
      </c>
      <c r="G3498">
        <v>14</v>
      </c>
      <c r="H3498" t="s">
        <v>14012</v>
      </c>
      <c r="J3498" t="s">
        <v>5633</v>
      </c>
      <c r="M3498" t="s">
        <v>14013</v>
      </c>
      <c r="N3498">
        <v>2.092758737</v>
      </c>
      <c r="O3498">
        <v>5.3323610669999999</v>
      </c>
      <c r="P3498">
        <v>0.70420098600000003</v>
      </c>
      <c r="Q3498">
        <v>0.41355372699999998</v>
      </c>
      <c r="S3498" s="13">
        <v>-1.8228787360000001</v>
      </c>
      <c r="T3498">
        <v>-2.040370373</v>
      </c>
      <c r="U3498">
        <v>-1.6365006040000001</v>
      </c>
    </row>
    <row r="3499" spans="1:21" x14ac:dyDescent="0.2">
      <c r="A3499" t="s">
        <v>207</v>
      </c>
      <c r="B3499">
        <v>107040</v>
      </c>
      <c r="C3499" t="s">
        <v>6938</v>
      </c>
      <c r="D3499" t="s">
        <v>207</v>
      </c>
      <c r="E3499" t="s">
        <v>6939</v>
      </c>
      <c r="F3499">
        <v>21</v>
      </c>
      <c r="G3499">
        <v>2</v>
      </c>
      <c r="H3499" t="s">
        <v>14014</v>
      </c>
      <c r="J3499" t="s">
        <v>5733</v>
      </c>
      <c r="M3499" t="s">
        <v>14015</v>
      </c>
      <c r="N3499">
        <v>2.092758737</v>
      </c>
      <c r="O3499">
        <v>5.3323610669999999</v>
      </c>
      <c r="P3499">
        <v>0.70420098600000003</v>
      </c>
      <c r="Q3499">
        <v>0.41355372699999998</v>
      </c>
      <c r="S3499" s="13">
        <v>-1.823187908</v>
      </c>
      <c r="T3499">
        <v>-2.0417213850000002</v>
      </c>
      <c r="U3499">
        <v>-1.6439000269999999</v>
      </c>
    </row>
    <row r="3500" spans="1:21" x14ac:dyDescent="0.2">
      <c r="A3500" t="s">
        <v>494</v>
      </c>
      <c r="B3500">
        <v>105200</v>
      </c>
      <c r="C3500" t="s">
        <v>6938</v>
      </c>
      <c r="D3500" t="s">
        <v>495</v>
      </c>
      <c r="E3500" t="s">
        <v>6939</v>
      </c>
      <c r="F3500">
        <v>5</v>
      </c>
      <c r="G3500">
        <v>2</v>
      </c>
      <c r="H3500" t="s">
        <v>14016</v>
      </c>
      <c r="J3500" t="s">
        <v>5741</v>
      </c>
      <c r="M3500" t="s">
        <v>14017</v>
      </c>
      <c r="N3500">
        <v>2.092758737</v>
      </c>
      <c r="O3500">
        <v>5.3323610669999999</v>
      </c>
      <c r="P3500">
        <v>0.70420098600000003</v>
      </c>
      <c r="Q3500">
        <v>0.41355372699999998</v>
      </c>
      <c r="S3500" s="13">
        <v>-1.824768121</v>
      </c>
      <c r="T3500">
        <v>-2.0486265540000002</v>
      </c>
      <c r="U3500">
        <v>-1.683823367</v>
      </c>
    </row>
    <row r="3501" spans="1:21" x14ac:dyDescent="0.2">
      <c r="A3501" t="s">
        <v>859</v>
      </c>
      <c r="B3501">
        <v>98840</v>
      </c>
      <c r="C3501" t="s">
        <v>6938</v>
      </c>
      <c r="D3501" t="s">
        <v>859</v>
      </c>
      <c r="E3501" t="s">
        <v>7115</v>
      </c>
      <c r="F3501">
        <v>19</v>
      </c>
      <c r="G3501">
        <v>10</v>
      </c>
      <c r="H3501" t="s">
        <v>14018</v>
      </c>
      <c r="J3501" t="s">
        <v>5639</v>
      </c>
      <c r="M3501" t="s">
        <v>14019</v>
      </c>
      <c r="N3501">
        <v>2.092758737</v>
      </c>
      <c r="O3501">
        <v>5.3323610669999999</v>
      </c>
      <c r="P3501">
        <v>0.70420098600000003</v>
      </c>
      <c r="Q3501">
        <v>0.41355372699999998</v>
      </c>
      <c r="S3501" s="13">
        <v>-1.830230161</v>
      </c>
      <c r="T3501">
        <v>-2.0724944230000002</v>
      </c>
      <c r="U3501">
        <v>-1.8595738690000001</v>
      </c>
    </row>
    <row r="3502" spans="1:21" x14ac:dyDescent="0.2">
      <c r="A3502" t="s">
        <v>812</v>
      </c>
      <c r="B3502">
        <v>98480</v>
      </c>
      <c r="C3502" t="s">
        <v>6938</v>
      </c>
      <c r="D3502" t="s">
        <v>813</v>
      </c>
      <c r="E3502" t="s">
        <v>7115</v>
      </c>
      <c r="F3502">
        <v>7</v>
      </c>
      <c r="G3502">
        <v>10</v>
      </c>
      <c r="H3502" t="s">
        <v>14020</v>
      </c>
      <c r="J3502" t="s">
        <v>5669</v>
      </c>
      <c r="M3502" t="s">
        <v>14021</v>
      </c>
      <c r="N3502">
        <v>2.092758737</v>
      </c>
      <c r="O3502">
        <v>5.3323610669999999</v>
      </c>
      <c r="P3502">
        <v>0.70420098600000003</v>
      </c>
      <c r="Q3502">
        <v>0.41355372699999998</v>
      </c>
      <c r="S3502" s="13">
        <v>-1.830539334</v>
      </c>
      <c r="T3502">
        <v>-2.0738454339999999</v>
      </c>
      <c r="U3502">
        <v>-1.8720127470000001</v>
      </c>
    </row>
    <row r="3503" spans="1:21" x14ac:dyDescent="0.2">
      <c r="A3503" t="s">
        <v>765</v>
      </c>
      <c r="B3503">
        <v>86920</v>
      </c>
      <c r="C3503" t="s">
        <v>6942</v>
      </c>
      <c r="D3503" t="s">
        <v>766</v>
      </c>
      <c r="E3503" t="s">
        <v>7006</v>
      </c>
      <c r="F3503">
        <v>4</v>
      </c>
      <c r="G3503">
        <v>3</v>
      </c>
      <c r="H3503" t="s">
        <v>14022</v>
      </c>
      <c r="J3503" t="s">
        <v>4906</v>
      </c>
      <c r="M3503" t="s">
        <v>14023</v>
      </c>
      <c r="N3503">
        <v>2.0902262079999998</v>
      </c>
      <c r="O3503">
        <v>4.2704203920000001</v>
      </c>
      <c r="P3503">
        <v>0.23425843900000001</v>
      </c>
      <c r="Q3503">
        <v>1.6181978999999999E-2</v>
      </c>
      <c r="S3503" s="13">
        <v>-1.8319298040000001</v>
      </c>
      <c r="T3503">
        <v>-2.0799214720000001</v>
      </c>
      <c r="U3503">
        <v>-1.1633374350000001</v>
      </c>
    </row>
    <row r="3504" spans="1:21" x14ac:dyDescent="0.2">
      <c r="A3504" t="s">
        <v>1714</v>
      </c>
      <c r="B3504">
        <v>271920</v>
      </c>
      <c r="C3504" t="s">
        <v>6906</v>
      </c>
      <c r="D3504" t="s">
        <v>1715</v>
      </c>
      <c r="E3504" t="s">
        <v>6915</v>
      </c>
      <c r="F3504">
        <v>7</v>
      </c>
      <c r="G3504">
        <v>13</v>
      </c>
      <c r="H3504" t="s">
        <v>14024</v>
      </c>
      <c r="J3504" t="s">
        <v>4114</v>
      </c>
      <c r="M3504" t="s">
        <v>14025</v>
      </c>
      <c r="N3504">
        <v>1.813871112</v>
      </c>
      <c r="O3504">
        <v>2.6633694910000001</v>
      </c>
      <c r="P3504">
        <v>-0.29586356800000002</v>
      </c>
      <c r="Q3504">
        <v>-0.59018158399999998</v>
      </c>
      <c r="S3504" s="13">
        <v>-1.834208617</v>
      </c>
      <c r="T3504">
        <v>-2.0898793659999999</v>
      </c>
      <c r="U3504">
        <v>-0.49454126599999998</v>
      </c>
    </row>
    <row r="3505" spans="1:21" x14ac:dyDescent="0.2">
      <c r="A3505" t="s">
        <v>253</v>
      </c>
      <c r="B3505">
        <v>94000</v>
      </c>
      <c r="C3505" t="s">
        <v>6938</v>
      </c>
      <c r="D3505" t="s">
        <v>254</v>
      </c>
      <c r="E3505" t="s">
        <v>6939</v>
      </c>
      <c r="F3505">
        <v>4</v>
      </c>
      <c r="G3505">
        <v>2</v>
      </c>
      <c r="H3505" t="s">
        <v>14026</v>
      </c>
      <c r="J3505" t="s">
        <v>5743</v>
      </c>
      <c r="M3505" t="s">
        <v>14027</v>
      </c>
      <c r="N3505">
        <v>2.092758737</v>
      </c>
      <c r="O3505">
        <v>5.3323610669999999</v>
      </c>
      <c r="P3505">
        <v>0.70420098600000003</v>
      </c>
      <c r="Q3505">
        <v>0.41355372699999998</v>
      </c>
      <c r="S3505" s="13">
        <v>-1.834386809</v>
      </c>
      <c r="T3505">
        <v>-2.0906580209999999</v>
      </c>
      <c r="U3505">
        <v>-2.0669075700000001</v>
      </c>
    </row>
    <row r="3506" spans="1:21" x14ac:dyDescent="0.2">
      <c r="A3506" t="s">
        <v>3164</v>
      </c>
      <c r="B3506">
        <v>88640</v>
      </c>
      <c r="C3506" t="s">
        <v>6938</v>
      </c>
      <c r="D3506" t="s">
        <v>3165</v>
      </c>
      <c r="E3506" t="s">
        <v>6918</v>
      </c>
      <c r="F3506">
        <v>9</v>
      </c>
      <c r="G3506">
        <v>1</v>
      </c>
      <c r="H3506" t="s">
        <v>14028</v>
      </c>
      <c r="J3506" t="s">
        <v>5677</v>
      </c>
      <c r="M3506" t="s">
        <v>14029</v>
      </c>
      <c r="N3506">
        <v>2.092758737</v>
      </c>
      <c r="O3506">
        <v>5.3323610669999999</v>
      </c>
      <c r="P3506">
        <v>0.70420098600000003</v>
      </c>
      <c r="Q3506">
        <v>0.41355372699999998</v>
      </c>
      <c r="S3506" s="13">
        <v>-1.8389900379999999</v>
      </c>
      <c r="T3506">
        <v>-2.11077308</v>
      </c>
      <c r="U3506">
        <v>-2.5585438730000001</v>
      </c>
    </row>
    <row r="3507" spans="1:21" x14ac:dyDescent="0.2">
      <c r="A3507" t="s">
        <v>909</v>
      </c>
      <c r="B3507">
        <v>85480</v>
      </c>
      <c r="C3507" t="s">
        <v>6938</v>
      </c>
      <c r="D3507" t="s">
        <v>909</v>
      </c>
      <c r="E3507" t="s">
        <v>6974</v>
      </c>
      <c r="F3507">
        <v>10</v>
      </c>
      <c r="G3507">
        <v>15</v>
      </c>
      <c r="H3507" t="s">
        <v>14030</v>
      </c>
      <c r="J3507" t="s">
        <v>5709</v>
      </c>
      <c r="M3507" t="s">
        <v>14031</v>
      </c>
      <c r="N3507">
        <v>2.092758737</v>
      </c>
      <c r="O3507">
        <v>5.3323610669999999</v>
      </c>
      <c r="P3507">
        <v>0.70420098600000003</v>
      </c>
      <c r="Q3507">
        <v>0.41355372699999998</v>
      </c>
      <c r="S3507" s="13">
        <v>-1.841703882</v>
      </c>
      <c r="T3507">
        <v>-2.1226319579999999</v>
      </c>
    </row>
    <row r="3508" spans="1:21" x14ac:dyDescent="0.2">
      <c r="A3508" t="s">
        <v>1010</v>
      </c>
      <c r="B3508">
        <v>76880</v>
      </c>
      <c r="C3508" t="s">
        <v>6942</v>
      </c>
      <c r="D3508" t="s">
        <v>1010</v>
      </c>
      <c r="E3508" t="s">
        <v>6970</v>
      </c>
      <c r="F3508">
        <v>19</v>
      </c>
      <c r="G3508">
        <v>14</v>
      </c>
      <c r="H3508" t="s">
        <v>14032</v>
      </c>
      <c r="J3508" t="s">
        <v>4740</v>
      </c>
      <c r="M3508" t="s">
        <v>14033</v>
      </c>
      <c r="N3508">
        <v>2.0902262079999998</v>
      </c>
      <c r="O3508">
        <v>4.2704203920000001</v>
      </c>
      <c r="P3508">
        <v>0.23425843900000001</v>
      </c>
      <c r="Q3508">
        <v>1.6181978999999999E-2</v>
      </c>
      <c r="S3508" s="13">
        <v>-1.8417839549999999</v>
      </c>
      <c r="T3508">
        <v>-2.1229818580000002</v>
      </c>
      <c r="U3508">
        <v>-1.2382753710000001</v>
      </c>
    </row>
    <row r="3509" spans="1:21" x14ac:dyDescent="0.2">
      <c r="A3509" t="s">
        <v>1394</v>
      </c>
      <c r="B3509">
        <v>266360</v>
      </c>
      <c r="C3509" t="s">
        <v>6906</v>
      </c>
      <c r="D3509" t="s">
        <v>1394</v>
      </c>
      <c r="E3509" t="s">
        <v>6939</v>
      </c>
      <c r="F3509">
        <v>16</v>
      </c>
      <c r="G3509">
        <v>2</v>
      </c>
      <c r="H3509" t="s">
        <v>14034</v>
      </c>
      <c r="J3509" t="s">
        <v>4364</v>
      </c>
      <c r="M3509" t="s">
        <v>14035</v>
      </c>
      <c r="N3509">
        <v>1.813871112</v>
      </c>
      <c r="O3509">
        <v>2.6633694910000001</v>
      </c>
      <c r="P3509">
        <v>-0.29586356800000002</v>
      </c>
      <c r="Q3509">
        <v>-0.59018158399999998</v>
      </c>
      <c r="S3509" s="13">
        <v>-1.8422747719999999</v>
      </c>
      <c r="T3509">
        <v>-2.1251266150000001</v>
      </c>
      <c r="U3509">
        <v>-0.50279089799999999</v>
      </c>
    </row>
    <row r="3510" spans="1:21" x14ac:dyDescent="0.2">
      <c r="A3510" t="s">
        <v>2230</v>
      </c>
      <c r="B3510">
        <v>76200</v>
      </c>
      <c r="C3510" t="s">
        <v>6942</v>
      </c>
      <c r="D3510" t="s">
        <v>2231</v>
      </c>
      <c r="E3510" t="s">
        <v>7115</v>
      </c>
      <c r="F3510">
        <v>2</v>
      </c>
      <c r="G3510">
        <v>10</v>
      </c>
      <c r="H3510" t="s">
        <v>14036</v>
      </c>
      <c r="J3510" t="s">
        <v>4702</v>
      </c>
      <c r="M3510" t="s">
        <v>14037</v>
      </c>
      <c r="N3510">
        <v>2.0902262079999998</v>
      </c>
      <c r="O3510">
        <v>4.2704203920000001</v>
      </c>
      <c r="P3510">
        <v>0.23425843900000001</v>
      </c>
      <c r="Q3510">
        <v>1.6181978999999999E-2</v>
      </c>
      <c r="S3510" s="13">
        <v>-1.842451367</v>
      </c>
      <c r="T3510">
        <v>-2.1258982980000001</v>
      </c>
      <c r="U3510">
        <v>-1.2438506840000001</v>
      </c>
    </row>
    <row r="3511" spans="1:21" x14ac:dyDescent="0.2">
      <c r="A3511" t="s">
        <v>1167</v>
      </c>
      <c r="B3511">
        <v>84320</v>
      </c>
      <c r="C3511" t="s">
        <v>6938</v>
      </c>
      <c r="D3511" t="s">
        <v>1168</v>
      </c>
      <c r="E3511" t="s">
        <v>7006</v>
      </c>
      <c r="F3511">
        <v>5</v>
      </c>
      <c r="G3511">
        <v>3</v>
      </c>
      <c r="H3511" t="s">
        <v>14038</v>
      </c>
      <c r="J3511" t="s">
        <v>5783</v>
      </c>
      <c r="M3511" t="s">
        <v>14039</v>
      </c>
      <c r="N3511">
        <v>2.092758737</v>
      </c>
      <c r="O3511">
        <v>5.3323610669999999</v>
      </c>
      <c r="P3511">
        <v>0.70420098600000003</v>
      </c>
      <c r="Q3511">
        <v>0.41355372699999998</v>
      </c>
      <c r="S3511" s="13">
        <v>-1.8427001030000001</v>
      </c>
      <c r="T3511">
        <v>-2.1269852170000001</v>
      </c>
    </row>
    <row r="3512" spans="1:21" x14ac:dyDescent="0.2">
      <c r="A3512" t="s">
        <v>1535</v>
      </c>
      <c r="B3512">
        <v>84160</v>
      </c>
      <c r="C3512" t="s">
        <v>6938</v>
      </c>
      <c r="D3512" t="s">
        <v>1535</v>
      </c>
      <c r="E3512" t="s">
        <v>6907</v>
      </c>
      <c r="F3512">
        <v>19</v>
      </c>
      <c r="G3512">
        <v>4</v>
      </c>
      <c r="H3512" t="s">
        <v>14040</v>
      </c>
      <c r="J3512" t="s">
        <v>5647</v>
      </c>
      <c r="M3512" t="s">
        <v>14041</v>
      </c>
      <c r="N3512">
        <v>2.092758737</v>
      </c>
      <c r="O3512">
        <v>5.3323610669999999</v>
      </c>
      <c r="P3512">
        <v>0.70420098600000003</v>
      </c>
      <c r="Q3512">
        <v>0.41355372699999998</v>
      </c>
      <c r="S3512" s="13">
        <v>-1.8428375130000001</v>
      </c>
      <c r="T3512">
        <v>-2.127585667</v>
      </c>
    </row>
    <row r="3513" spans="1:21" x14ac:dyDescent="0.2">
      <c r="A3513" t="s">
        <v>775</v>
      </c>
      <c r="B3513">
        <v>157840</v>
      </c>
      <c r="C3513" t="s">
        <v>6910</v>
      </c>
      <c r="D3513" t="s">
        <v>776</v>
      </c>
      <c r="E3513" t="s">
        <v>6939</v>
      </c>
      <c r="F3513">
        <v>2</v>
      </c>
      <c r="G3513">
        <v>2</v>
      </c>
      <c r="H3513" t="s">
        <v>14042</v>
      </c>
      <c r="J3513" t="s">
        <v>6545</v>
      </c>
      <c r="M3513" t="s">
        <v>14043</v>
      </c>
      <c r="N3513">
        <v>1.9874741039999999</v>
      </c>
      <c r="O3513">
        <v>3.7453511220000002</v>
      </c>
      <c r="P3513">
        <v>0.451009722</v>
      </c>
      <c r="Q3513">
        <v>-0.102386592</v>
      </c>
      <c r="S3513" s="13">
        <v>-1.8428657500000001</v>
      </c>
      <c r="T3513">
        <v>-2.127709056</v>
      </c>
      <c r="U3513">
        <v>-0.619847594</v>
      </c>
    </row>
    <row r="3514" spans="1:21" x14ac:dyDescent="0.2">
      <c r="A3514" t="s">
        <v>1104</v>
      </c>
      <c r="B3514">
        <v>84120</v>
      </c>
      <c r="C3514" t="s">
        <v>6938</v>
      </c>
      <c r="D3514" t="s">
        <v>1105</v>
      </c>
      <c r="E3514" t="s">
        <v>6956</v>
      </c>
      <c r="F3514">
        <v>2</v>
      </c>
      <c r="G3514">
        <v>7</v>
      </c>
      <c r="H3514" t="s">
        <v>14044</v>
      </c>
      <c r="J3514" t="s">
        <v>5735</v>
      </c>
      <c r="M3514" t="s">
        <v>14045</v>
      </c>
      <c r="N3514">
        <v>2.092758737</v>
      </c>
      <c r="O3514">
        <v>5.3323610669999999</v>
      </c>
      <c r="P3514">
        <v>0.70420098600000003</v>
      </c>
      <c r="Q3514">
        <v>0.41355372699999998</v>
      </c>
      <c r="S3514" s="13">
        <v>-1.842871865</v>
      </c>
      <c r="T3514">
        <v>-2.127735779</v>
      </c>
    </row>
    <row r="3515" spans="1:21" x14ac:dyDescent="0.2">
      <c r="A3515" t="s">
        <v>500</v>
      </c>
      <c r="B3515">
        <v>83840</v>
      </c>
      <c r="C3515" t="s">
        <v>6938</v>
      </c>
      <c r="D3515" t="s">
        <v>501</v>
      </c>
      <c r="E3515" t="s">
        <v>7115</v>
      </c>
      <c r="F3515">
        <v>9</v>
      </c>
      <c r="G3515">
        <v>10</v>
      </c>
      <c r="H3515" t="s">
        <v>14046</v>
      </c>
      <c r="J3515" t="s">
        <v>5705</v>
      </c>
      <c r="M3515" t="s">
        <v>14047</v>
      </c>
      <c r="N3515">
        <v>2.092758737</v>
      </c>
      <c r="O3515">
        <v>5.3323610669999999</v>
      </c>
      <c r="P3515">
        <v>0.70420098600000003</v>
      </c>
      <c r="Q3515">
        <v>0.41355372699999998</v>
      </c>
      <c r="S3515" s="13">
        <v>-1.8431123330000001</v>
      </c>
      <c r="T3515">
        <v>-2.128786566</v>
      </c>
    </row>
    <row r="3516" spans="1:21" x14ac:dyDescent="0.2">
      <c r="A3516" t="s">
        <v>23</v>
      </c>
      <c r="B3516">
        <v>231800</v>
      </c>
      <c r="C3516" t="s">
        <v>6953</v>
      </c>
      <c r="D3516" t="s">
        <v>23</v>
      </c>
      <c r="E3516" t="s">
        <v>6907</v>
      </c>
      <c r="F3516">
        <v>18</v>
      </c>
      <c r="G3516">
        <v>4</v>
      </c>
      <c r="H3516" t="s">
        <v>14048</v>
      </c>
      <c r="J3516" t="s">
        <v>800</v>
      </c>
      <c r="M3516" t="s">
        <v>14049</v>
      </c>
      <c r="N3516">
        <v>1.921480887</v>
      </c>
      <c r="O3516">
        <v>3.0856645180000002</v>
      </c>
      <c r="P3516">
        <v>0.44706724399999997</v>
      </c>
      <c r="Q3516">
        <v>-0.354940863</v>
      </c>
      <c r="S3516" s="13">
        <v>-1.844688401</v>
      </c>
      <c r="T3516">
        <v>-2.135673626</v>
      </c>
      <c r="U3516">
        <v>-0.67209738699999999</v>
      </c>
    </row>
    <row r="3517" spans="1:21" x14ac:dyDescent="0.2">
      <c r="A3517" t="s">
        <v>746</v>
      </c>
      <c r="B3517">
        <v>72840</v>
      </c>
      <c r="C3517" t="s">
        <v>6942</v>
      </c>
      <c r="D3517" t="s">
        <v>746</v>
      </c>
      <c r="E3517" t="s">
        <v>6974</v>
      </c>
      <c r="F3517">
        <v>19</v>
      </c>
      <c r="G3517">
        <v>15</v>
      </c>
      <c r="H3517" t="s">
        <v>14050</v>
      </c>
      <c r="J3517" t="s">
        <v>4806</v>
      </c>
      <c r="M3517" t="s">
        <v>14051</v>
      </c>
      <c r="N3517">
        <v>2.0902262079999998</v>
      </c>
      <c r="O3517">
        <v>4.2704203920000001</v>
      </c>
      <c r="P3517">
        <v>0.23425843900000001</v>
      </c>
      <c r="Q3517">
        <v>1.6181978999999999E-2</v>
      </c>
      <c r="S3517" s="13">
        <v>-1.845749171</v>
      </c>
      <c r="T3517">
        <v>-2.1403089450000001</v>
      </c>
      <c r="U3517">
        <v>-1.272501492</v>
      </c>
    </row>
    <row r="3518" spans="1:21" x14ac:dyDescent="0.2">
      <c r="A3518" t="s">
        <v>1112</v>
      </c>
      <c r="B3518">
        <v>72000</v>
      </c>
      <c r="C3518" t="s">
        <v>6942</v>
      </c>
      <c r="D3518" t="s">
        <v>1112</v>
      </c>
      <c r="E3518" t="s">
        <v>6924</v>
      </c>
      <c r="F3518">
        <v>23</v>
      </c>
      <c r="G3518">
        <v>6</v>
      </c>
      <c r="H3518" t="s">
        <v>14052</v>
      </c>
      <c r="J3518" t="s">
        <v>4924</v>
      </c>
      <c r="M3518" t="s">
        <v>14053</v>
      </c>
      <c r="N3518">
        <v>2.0902262079999998</v>
      </c>
      <c r="O3518">
        <v>4.2704203920000001</v>
      </c>
      <c r="P3518">
        <v>0.23425843900000001</v>
      </c>
      <c r="Q3518">
        <v>1.6181978999999999E-2</v>
      </c>
      <c r="S3518" s="13">
        <v>-1.8465736210000001</v>
      </c>
      <c r="T3518">
        <v>-2.1439116070000002</v>
      </c>
      <c r="U3518">
        <v>-1.2799695849999999</v>
      </c>
    </row>
    <row r="3519" spans="1:21" x14ac:dyDescent="0.2">
      <c r="A3519" t="s">
        <v>485</v>
      </c>
      <c r="B3519">
        <v>79720</v>
      </c>
      <c r="C3519" t="s">
        <v>6938</v>
      </c>
      <c r="D3519" t="s">
        <v>486</v>
      </c>
      <c r="E3519" t="s">
        <v>6974</v>
      </c>
      <c r="F3519">
        <v>8</v>
      </c>
      <c r="G3519">
        <v>15</v>
      </c>
      <c r="H3519" t="s">
        <v>14054</v>
      </c>
      <c r="J3519" t="s">
        <v>5671</v>
      </c>
      <c r="M3519" t="s">
        <v>14055</v>
      </c>
      <c r="N3519">
        <v>2.092758737</v>
      </c>
      <c r="O3519">
        <v>5.3323610669999999</v>
      </c>
      <c r="P3519">
        <v>0.70420098600000003</v>
      </c>
      <c r="Q3519">
        <v>0.41355372699999998</v>
      </c>
      <c r="S3519" s="13">
        <v>-1.8466506359999999</v>
      </c>
      <c r="T3519">
        <v>-2.1442481409999998</v>
      </c>
    </row>
    <row r="3520" spans="1:21" x14ac:dyDescent="0.2">
      <c r="A3520" t="s">
        <v>632</v>
      </c>
      <c r="B3520">
        <v>77600</v>
      </c>
      <c r="C3520" t="s">
        <v>6938</v>
      </c>
      <c r="D3520" t="s">
        <v>632</v>
      </c>
      <c r="E3520" t="s">
        <v>6924</v>
      </c>
      <c r="F3520">
        <v>18</v>
      </c>
      <c r="G3520">
        <v>6</v>
      </c>
      <c r="H3520" t="s">
        <v>14056</v>
      </c>
      <c r="J3520" t="s">
        <v>5761</v>
      </c>
      <c r="M3520" t="s">
        <v>14057</v>
      </c>
      <c r="N3520">
        <v>2.092758737</v>
      </c>
      <c r="O3520">
        <v>5.3323610669999999</v>
      </c>
      <c r="P3520">
        <v>0.70420098600000003</v>
      </c>
      <c r="Q3520">
        <v>0.41355372699999998</v>
      </c>
      <c r="S3520" s="13">
        <v>-1.8484713159999999</v>
      </c>
      <c r="T3520">
        <v>-2.1522040969999998</v>
      </c>
    </row>
    <row r="3521" spans="1:21" x14ac:dyDescent="0.2">
      <c r="A3521" t="s">
        <v>355</v>
      </c>
      <c r="B3521">
        <v>227240</v>
      </c>
      <c r="C3521" t="s">
        <v>6953</v>
      </c>
      <c r="D3521" t="s">
        <v>356</v>
      </c>
      <c r="E3521" t="s">
        <v>6946</v>
      </c>
      <c r="F3521">
        <v>3</v>
      </c>
      <c r="G3521">
        <v>11</v>
      </c>
      <c r="H3521" t="s">
        <v>14058</v>
      </c>
      <c r="J3521" t="s">
        <v>5503</v>
      </c>
      <c r="M3521" t="s">
        <v>14059</v>
      </c>
      <c r="N3521">
        <v>1.921480887</v>
      </c>
      <c r="O3521">
        <v>3.0856645180000002</v>
      </c>
      <c r="P3521">
        <v>0.44706724399999997</v>
      </c>
      <c r="Q3521">
        <v>-0.354940863</v>
      </c>
      <c r="S3521" s="13">
        <v>-1.8494199680000001</v>
      </c>
      <c r="T3521">
        <v>-2.1563494909999998</v>
      </c>
      <c r="U3521">
        <v>-0.68230338599999996</v>
      </c>
    </row>
    <row r="3522" spans="1:21" x14ac:dyDescent="0.2">
      <c r="A3522" t="s">
        <v>689</v>
      </c>
      <c r="B3522">
        <v>67720</v>
      </c>
      <c r="C3522" t="s">
        <v>6942</v>
      </c>
      <c r="D3522" t="s">
        <v>690</v>
      </c>
      <c r="E3522" t="s">
        <v>6911</v>
      </c>
      <c r="F3522">
        <v>5</v>
      </c>
      <c r="G3522">
        <v>12</v>
      </c>
      <c r="H3522" t="s">
        <v>14060</v>
      </c>
      <c r="J3522" t="s">
        <v>4684</v>
      </c>
      <c r="M3522" t="s">
        <v>14061</v>
      </c>
      <c r="N3522">
        <v>2.0902262079999998</v>
      </c>
      <c r="O3522">
        <v>4.2704203920000001</v>
      </c>
      <c r="P3522">
        <v>0.23425843900000001</v>
      </c>
      <c r="Q3522">
        <v>1.6181978999999999E-2</v>
      </c>
      <c r="S3522" s="13">
        <v>-1.850774395</v>
      </c>
      <c r="T3522">
        <v>-2.1622680270000001</v>
      </c>
      <c r="U3522">
        <v>-1.3201533459999999</v>
      </c>
    </row>
    <row r="3523" spans="1:21" x14ac:dyDescent="0.2">
      <c r="A3523" t="s">
        <v>956</v>
      </c>
      <c r="B3523">
        <v>66560</v>
      </c>
      <c r="C3523" t="s">
        <v>6942</v>
      </c>
      <c r="D3523" t="s">
        <v>956</v>
      </c>
      <c r="E3523" t="s">
        <v>6974</v>
      </c>
      <c r="F3523">
        <v>15</v>
      </c>
      <c r="G3523">
        <v>15</v>
      </c>
      <c r="H3523" t="s">
        <v>14062</v>
      </c>
      <c r="J3523" t="s">
        <v>4566</v>
      </c>
      <c r="M3523" t="s">
        <v>14063</v>
      </c>
      <c r="N3523">
        <v>2.0902262079999998</v>
      </c>
      <c r="O3523">
        <v>4.2704203920000001</v>
      </c>
      <c r="P3523">
        <v>0.23425843900000001</v>
      </c>
      <c r="Q3523">
        <v>1.6181978999999999E-2</v>
      </c>
      <c r="S3523" s="13">
        <v>-1.8519129219999999</v>
      </c>
      <c r="T3523">
        <v>-2.1672431310000002</v>
      </c>
      <c r="U3523">
        <v>-1.3317166090000001</v>
      </c>
    </row>
    <row r="3524" spans="1:21" x14ac:dyDescent="0.2">
      <c r="A3524" t="s">
        <v>1456</v>
      </c>
      <c r="B3524">
        <v>73520</v>
      </c>
      <c r="C3524" t="s">
        <v>6938</v>
      </c>
      <c r="D3524" t="s">
        <v>1457</v>
      </c>
      <c r="E3524" t="s">
        <v>7006</v>
      </c>
      <c r="F3524">
        <v>7</v>
      </c>
      <c r="G3524">
        <v>3</v>
      </c>
      <c r="H3524" t="s">
        <v>14064</v>
      </c>
      <c r="J3524" t="s">
        <v>5511</v>
      </c>
      <c r="M3524" t="s">
        <v>14065</v>
      </c>
      <c r="N3524">
        <v>2.092758737</v>
      </c>
      <c r="O3524">
        <v>5.3323610669999999</v>
      </c>
      <c r="P3524">
        <v>0.70420098600000003</v>
      </c>
      <c r="Q3524">
        <v>0.41355372699999998</v>
      </c>
      <c r="S3524" s="13">
        <v>-1.851975266</v>
      </c>
      <c r="T3524">
        <v>-2.16751556</v>
      </c>
    </row>
    <row r="3525" spans="1:21" x14ac:dyDescent="0.2">
      <c r="A3525" t="s">
        <v>714</v>
      </c>
      <c r="B3525">
        <v>66000</v>
      </c>
      <c r="C3525" t="s">
        <v>6942</v>
      </c>
      <c r="D3525" t="s">
        <v>715</v>
      </c>
      <c r="E3525" t="s">
        <v>6956</v>
      </c>
      <c r="F3525">
        <v>5</v>
      </c>
      <c r="G3525">
        <v>7</v>
      </c>
      <c r="H3525" t="s">
        <v>14066</v>
      </c>
      <c r="J3525" t="s">
        <v>4898</v>
      </c>
      <c r="M3525" t="s">
        <v>14067</v>
      </c>
      <c r="N3525">
        <v>2.0902262079999998</v>
      </c>
      <c r="O3525">
        <v>4.2704203920000001</v>
      </c>
      <c r="P3525">
        <v>0.23425843900000001</v>
      </c>
      <c r="Q3525">
        <v>1.6181978999999999E-2</v>
      </c>
      <c r="S3525" s="13">
        <v>-1.8524625560000001</v>
      </c>
      <c r="T3525">
        <v>-2.1696449059999998</v>
      </c>
      <c r="U3525">
        <v>-1.3374110219999999</v>
      </c>
    </row>
    <row r="3526" spans="1:21" x14ac:dyDescent="0.2">
      <c r="A3526" t="s">
        <v>1778</v>
      </c>
      <c r="B3526">
        <v>66000</v>
      </c>
      <c r="C3526" t="s">
        <v>6942</v>
      </c>
      <c r="D3526" t="s">
        <v>1778</v>
      </c>
      <c r="E3526" t="s">
        <v>6974</v>
      </c>
      <c r="F3526">
        <v>21</v>
      </c>
      <c r="G3526">
        <v>15</v>
      </c>
      <c r="H3526" t="s">
        <v>14068</v>
      </c>
      <c r="J3526" t="s">
        <v>4672</v>
      </c>
      <c r="M3526" t="s">
        <v>14069</v>
      </c>
      <c r="N3526">
        <v>2.0902262079999998</v>
      </c>
      <c r="O3526">
        <v>4.2704203920000001</v>
      </c>
      <c r="P3526">
        <v>0.23425843900000001</v>
      </c>
      <c r="Q3526">
        <v>1.6181978999999999E-2</v>
      </c>
      <c r="S3526" s="13">
        <v>-1.8524625560000001</v>
      </c>
      <c r="T3526">
        <v>-2.1696449059999998</v>
      </c>
      <c r="U3526">
        <v>-1.3374110219999999</v>
      </c>
    </row>
    <row r="3527" spans="1:21" x14ac:dyDescent="0.2">
      <c r="A3527" t="s">
        <v>853</v>
      </c>
      <c r="B3527">
        <v>224280</v>
      </c>
      <c r="C3527" t="s">
        <v>6953</v>
      </c>
      <c r="D3527" t="s">
        <v>854</v>
      </c>
      <c r="E3527" t="s">
        <v>6946</v>
      </c>
      <c r="F3527">
        <v>5</v>
      </c>
      <c r="G3527">
        <v>11</v>
      </c>
      <c r="H3527" t="s">
        <v>14070</v>
      </c>
      <c r="J3527" t="s">
        <v>5397</v>
      </c>
      <c r="M3527" t="s">
        <v>14071</v>
      </c>
      <c r="N3527">
        <v>1.921480887</v>
      </c>
      <c r="O3527">
        <v>3.0856645180000002</v>
      </c>
      <c r="P3527">
        <v>0.44706724399999997</v>
      </c>
      <c r="Q3527">
        <v>-0.354940863</v>
      </c>
      <c r="S3527" s="13">
        <v>-1.8524913359999999</v>
      </c>
      <c r="T3527">
        <v>-2.1697706659999998</v>
      </c>
      <c r="U3527">
        <v>-0.689059062</v>
      </c>
    </row>
    <row r="3528" spans="1:21" x14ac:dyDescent="0.2">
      <c r="A3528" t="s">
        <v>1456</v>
      </c>
      <c r="B3528">
        <v>65440</v>
      </c>
      <c r="C3528" t="s">
        <v>6942</v>
      </c>
      <c r="D3528" t="s">
        <v>1457</v>
      </c>
      <c r="E3528" t="s">
        <v>7006</v>
      </c>
      <c r="F3528">
        <v>7</v>
      </c>
      <c r="G3528">
        <v>3</v>
      </c>
      <c r="H3528" t="s">
        <v>14072</v>
      </c>
      <c r="J3528" t="s">
        <v>4722</v>
      </c>
      <c r="M3528" t="s">
        <v>14073</v>
      </c>
      <c r="N3528">
        <v>2.0902262079999998</v>
      </c>
      <c r="O3528">
        <v>4.2704203920000001</v>
      </c>
      <c r="P3528">
        <v>0.23425843900000001</v>
      </c>
      <c r="Q3528">
        <v>1.6181978999999999E-2</v>
      </c>
      <c r="S3528" s="13">
        <v>-1.8530121900000001</v>
      </c>
      <c r="T3528">
        <v>-2.1720466799999998</v>
      </c>
      <c r="U3528">
        <v>-1.3431810930000001</v>
      </c>
    </row>
    <row r="3529" spans="1:21" x14ac:dyDescent="0.2">
      <c r="A3529" t="s">
        <v>1811</v>
      </c>
      <c r="B3529">
        <v>258400</v>
      </c>
      <c r="C3529" t="s">
        <v>6906</v>
      </c>
      <c r="D3529" t="s">
        <v>1811</v>
      </c>
      <c r="E3529" t="s">
        <v>7085</v>
      </c>
      <c r="F3529">
        <v>15</v>
      </c>
      <c r="G3529">
        <v>9</v>
      </c>
      <c r="H3529" t="s">
        <v>14074</v>
      </c>
      <c r="J3529" t="s">
        <v>2010</v>
      </c>
      <c r="M3529" t="s">
        <v>14075</v>
      </c>
      <c r="N3529">
        <v>1.813871112</v>
      </c>
      <c r="O3529">
        <v>2.6633694910000001</v>
      </c>
      <c r="P3529">
        <v>-0.29586356800000002</v>
      </c>
      <c r="Q3529">
        <v>-0.59018158399999998</v>
      </c>
      <c r="S3529" s="13">
        <v>-1.8538227190000001</v>
      </c>
      <c r="T3529">
        <v>-2.1755885049999999</v>
      </c>
      <c r="U3529">
        <v>-0.51488115000000001</v>
      </c>
    </row>
    <row r="3530" spans="1:21" x14ac:dyDescent="0.2">
      <c r="A3530" t="s">
        <v>919</v>
      </c>
      <c r="B3530">
        <v>70560</v>
      </c>
      <c r="C3530" t="s">
        <v>6938</v>
      </c>
      <c r="D3530" t="s">
        <v>919</v>
      </c>
      <c r="E3530" t="s">
        <v>6946</v>
      </c>
      <c r="F3530">
        <v>22</v>
      </c>
      <c r="G3530">
        <v>11</v>
      </c>
      <c r="H3530" t="s">
        <v>14076</v>
      </c>
      <c r="J3530" t="s">
        <v>5725</v>
      </c>
      <c r="M3530" t="s">
        <v>14077</v>
      </c>
      <c r="N3530">
        <v>2.092758737</v>
      </c>
      <c r="O3530">
        <v>5.3323610669999999</v>
      </c>
      <c r="P3530">
        <v>0.70420098600000003</v>
      </c>
      <c r="Q3530">
        <v>0.41355372699999998</v>
      </c>
      <c r="S3530" s="13">
        <v>-1.8545173479999999</v>
      </c>
      <c r="T3530">
        <v>-2.1786238760000001</v>
      </c>
    </row>
    <row r="3531" spans="1:21" x14ac:dyDescent="0.2">
      <c r="A3531" t="s">
        <v>300</v>
      </c>
      <c r="B3531">
        <v>299760</v>
      </c>
      <c r="C3531" t="s">
        <v>6914</v>
      </c>
      <c r="D3531" t="s">
        <v>300</v>
      </c>
      <c r="E3531" t="s">
        <v>7006</v>
      </c>
      <c r="F3531">
        <v>19</v>
      </c>
      <c r="G3531">
        <v>3</v>
      </c>
      <c r="H3531" t="s">
        <v>14078</v>
      </c>
      <c r="J3531" t="s">
        <v>6827</v>
      </c>
      <c r="M3531" t="s">
        <v>14079</v>
      </c>
      <c r="N3531">
        <v>1.8217074179999999</v>
      </c>
      <c r="O3531">
        <v>4.1700741289999996</v>
      </c>
      <c r="P3531">
        <v>0.189705977</v>
      </c>
      <c r="Q3531">
        <v>-1.7194070999999998E-2</v>
      </c>
      <c r="S3531" s="13">
        <v>-1.856438383</v>
      </c>
      <c r="T3531">
        <v>-2.187018358</v>
      </c>
      <c r="U3531">
        <v>-0.74052509499999997</v>
      </c>
    </row>
    <row r="3532" spans="1:21" x14ac:dyDescent="0.2">
      <c r="A3532" t="s">
        <v>47</v>
      </c>
      <c r="B3532">
        <v>216520</v>
      </c>
      <c r="C3532" t="s">
        <v>6953</v>
      </c>
      <c r="D3532" t="s">
        <v>48</v>
      </c>
      <c r="E3532" t="s">
        <v>6918</v>
      </c>
      <c r="F3532">
        <v>8</v>
      </c>
      <c r="G3532">
        <v>1</v>
      </c>
      <c r="H3532" t="s">
        <v>14080</v>
      </c>
      <c r="J3532" t="s">
        <v>5215</v>
      </c>
      <c r="M3532" t="s">
        <v>14081</v>
      </c>
      <c r="N3532">
        <v>1.921480887</v>
      </c>
      <c r="O3532">
        <v>3.0856645180000002</v>
      </c>
      <c r="P3532">
        <v>0.44706724399999997</v>
      </c>
      <c r="Q3532">
        <v>-0.354940863</v>
      </c>
      <c r="S3532" s="13">
        <v>-1.8605433</v>
      </c>
      <c r="T3532">
        <v>-2.2049559090000002</v>
      </c>
      <c r="U3532">
        <v>-0.70728552499999997</v>
      </c>
    </row>
    <row r="3533" spans="1:21" x14ac:dyDescent="0.2">
      <c r="A3533" t="s">
        <v>400</v>
      </c>
      <c r="B3533">
        <v>62560</v>
      </c>
      <c r="C3533" t="s">
        <v>6938</v>
      </c>
      <c r="D3533" t="s">
        <v>400</v>
      </c>
      <c r="E3533" t="s">
        <v>6939</v>
      </c>
      <c r="F3533">
        <v>11</v>
      </c>
      <c r="G3533">
        <v>2</v>
      </c>
      <c r="H3533" t="s">
        <v>14082</v>
      </c>
      <c r="J3533" t="s">
        <v>5615</v>
      </c>
      <c r="M3533" t="s">
        <v>14083</v>
      </c>
      <c r="N3533">
        <v>2.092758737</v>
      </c>
      <c r="O3533">
        <v>5.3323610669999999</v>
      </c>
      <c r="P3533">
        <v>0.70420098600000003</v>
      </c>
      <c r="Q3533">
        <v>0.41355372699999998</v>
      </c>
      <c r="S3533" s="13">
        <v>-1.861387839</v>
      </c>
      <c r="T3533">
        <v>-2.2086463520000001</v>
      </c>
    </row>
    <row r="3534" spans="1:21" x14ac:dyDescent="0.2">
      <c r="A3534" t="s">
        <v>574</v>
      </c>
      <c r="B3534">
        <v>62400</v>
      </c>
      <c r="C3534" t="s">
        <v>6938</v>
      </c>
      <c r="D3534" t="s">
        <v>574</v>
      </c>
      <c r="E3534" t="s">
        <v>6977</v>
      </c>
      <c r="F3534">
        <v>20</v>
      </c>
      <c r="G3534">
        <v>5</v>
      </c>
      <c r="H3534" t="s">
        <v>14084</v>
      </c>
      <c r="J3534" t="s">
        <v>5635</v>
      </c>
      <c r="M3534" t="s">
        <v>14085</v>
      </c>
      <c r="N3534">
        <v>2.092758737</v>
      </c>
      <c r="O3534">
        <v>5.3323610669999999</v>
      </c>
      <c r="P3534">
        <v>0.70420098600000003</v>
      </c>
      <c r="Q3534">
        <v>0.41355372699999998</v>
      </c>
      <c r="S3534" s="13">
        <v>-1.861525249</v>
      </c>
      <c r="T3534">
        <v>-2.209246802</v>
      </c>
    </row>
    <row r="3535" spans="1:21" x14ac:dyDescent="0.2">
      <c r="A3535" t="s">
        <v>703</v>
      </c>
      <c r="B3535">
        <v>56520</v>
      </c>
      <c r="C3535" t="s">
        <v>6942</v>
      </c>
      <c r="D3535" t="s">
        <v>704</v>
      </c>
      <c r="E3535" t="s">
        <v>6924</v>
      </c>
      <c r="F3535">
        <v>8</v>
      </c>
      <c r="G3535">
        <v>6</v>
      </c>
      <c r="H3535" t="s">
        <v>14086</v>
      </c>
      <c r="J3535" t="s">
        <v>4912</v>
      </c>
      <c r="M3535" t="s">
        <v>14087</v>
      </c>
      <c r="N3535">
        <v>2.0902262079999998</v>
      </c>
      <c r="O3535">
        <v>4.2704203920000001</v>
      </c>
      <c r="P3535">
        <v>0.23425843900000001</v>
      </c>
      <c r="Q3535">
        <v>1.6181978999999999E-2</v>
      </c>
      <c r="S3535" s="13">
        <v>-1.861767073</v>
      </c>
      <c r="T3535">
        <v>-2.2103035169999998</v>
      </c>
      <c r="U3535">
        <v>-1.4472286350000001</v>
      </c>
    </row>
    <row r="3536" spans="1:21" x14ac:dyDescent="0.2">
      <c r="A3536" t="s">
        <v>408</v>
      </c>
      <c r="B3536">
        <v>61600</v>
      </c>
      <c r="C3536" t="s">
        <v>6938</v>
      </c>
      <c r="D3536" t="s">
        <v>408</v>
      </c>
      <c r="E3536" t="s">
        <v>6918</v>
      </c>
      <c r="F3536">
        <v>10</v>
      </c>
      <c r="G3536">
        <v>1</v>
      </c>
      <c r="H3536" t="s">
        <v>14088</v>
      </c>
      <c r="J3536" t="s">
        <v>5779</v>
      </c>
      <c r="M3536" t="s">
        <v>14089</v>
      </c>
      <c r="N3536">
        <v>2.092758737</v>
      </c>
      <c r="O3536">
        <v>5.3323610669999999</v>
      </c>
      <c r="P3536">
        <v>0.70420098600000003</v>
      </c>
      <c r="Q3536">
        <v>0.41355372699999998</v>
      </c>
      <c r="S3536" s="13">
        <v>-1.862212298</v>
      </c>
      <c r="T3536">
        <v>-2.212249049</v>
      </c>
    </row>
    <row r="3537" spans="1:21" x14ac:dyDescent="0.2">
      <c r="A3537" t="s">
        <v>1413</v>
      </c>
      <c r="B3537">
        <v>61120</v>
      </c>
      <c r="C3537" t="s">
        <v>6938</v>
      </c>
      <c r="D3537" t="s">
        <v>1413</v>
      </c>
      <c r="E3537" t="s">
        <v>6977</v>
      </c>
      <c r="F3537">
        <v>18</v>
      </c>
      <c r="G3537">
        <v>5</v>
      </c>
      <c r="H3537" t="s">
        <v>14090</v>
      </c>
      <c r="J3537" t="s">
        <v>5689</v>
      </c>
      <c r="M3537" t="s">
        <v>14091</v>
      </c>
      <c r="N3537">
        <v>2.092758737</v>
      </c>
      <c r="O3537">
        <v>5.3323610669999999</v>
      </c>
      <c r="P3537">
        <v>0.70420098600000003</v>
      </c>
      <c r="Q3537">
        <v>0.41355372699999998</v>
      </c>
      <c r="S3537" s="13">
        <v>-1.862624528</v>
      </c>
      <c r="T3537">
        <v>-2.2140503979999999</v>
      </c>
    </row>
    <row r="3538" spans="1:21" x14ac:dyDescent="0.2">
      <c r="A3538" t="s">
        <v>300</v>
      </c>
      <c r="B3538">
        <v>55440</v>
      </c>
      <c r="C3538" t="s">
        <v>6942</v>
      </c>
      <c r="D3538" t="s">
        <v>300</v>
      </c>
      <c r="E3538" t="s">
        <v>7006</v>
      </c>
      <c r="F3538">
        <v>19</v>
      </c>
      <c r="G3538">
        <v>3</v>
      </c>
      <c r="H3538" t="s">
        <v>14092</v>
      </c>
      <c r="J3538" t="s">
        <v>4888</v>
      </c>
      <c r="M3538" t="s">
        <v>14093</v>
      </c>
      <c r="N3538">
        <v>2.0902262079999998</v>
      </c>
      <c r="O3538">
        <v>4.2704203920000001</v>
      </c>
      <c r="P3538">
        <v>0.23425843900000001</v>
      </c>
      <c r="Q3538">
        <v>1.6181978999999999E-2</v>
      </c>
      <c r="S3538" s="13">
        <v>-1.8628270810000001</v>
      </c>
      <c r="T3538">
        <v>-2.2149355110000002</v>
      </c>
      <c r="U3538">
        <v>-1.4617019899999999</v>
      </c>
    </row>
    <row r="3539" spans="1:21" x14ac:dyDescent="0.2">
      <c r="A3539" t="s">
        <v>963</v>
      </c>
      <c r="B3539">
        <v>60680</v>
      </c>
      <c r="C3539" t="s">
        <v>6938</v>
      </c>
      <c r="D3539" t="s">
        <v>963</v>
      </c>
      <c r="E3539" t="s">
        <v>6939</v>
      </c>
      <c r="F3539">
        <v>20</v>
      </c>
      <c r="G3539">
        <v>2</v>
      </c>
      <c r="H3539" t="s">
        <v>14094</v>
      </c>
      <c r="J3539" t="s">
        <v>5729</v>
      </c>
      <c r="M3539" t="s">
        <v>14095</v>
      </c>
      <c r="N3539">
        <v>2.092758737</v>
      </c>
      <c r="O3539">
        <v>5.3323610669999999</v>
      </c>
      <c r="P3539">
        <v>0.70420098600000003</v>
      </c>
      <c r="Q3539">
        <v>0.41355372699999998</v>
      </c>
      <c r="S3539" s="13">
        <v>-1.863002405</v>
      </c>
      <c r="T3539">
        <v>-2.2157016340000002</v>
      </c>
    </row>
    <row r="3540" spans="1:21" x14ac:dyDescent="0.2">
      <c r="A3540" t="s">
        <v>901</v>
      </c>
      <c r="B3540">
        <v>54600</v>
      </c>
      <c r="C3540" t="s">
        <v>6942</v>
      </c>
      <c r="D3540" t="s">
        <v>902</v>
      </c>
      <c r="E3540" t="s">
        <v>6977</v>
      </c>
      <c r="F3540">
        <v>2</v>
      </c>
      <c r="G3540">
        <v>5</v>
      </c>
      <c r="H3540" t="s">
        <v>14096</v>
      </c>
      <c r="J3540" t="s">
        <v>4984</v>
      </c>
      <c r="M3540" t="s">
        <v>14097</v>
      </c>
      <c r="N3540">
        <v>2.0902262079999998</v>
      </c>
      <c r="O3540">
        <v>4.2704203920000001</v>
      </c>
      <c r="P3540">
        <v>0.23425843900000001</v>
      </c>
      <c r="Q3540">
        <v>1.6181978999999999E-2</v>
      </c>
      <c r="S3540" s="13">
        <v>-1.863651532</v>
      </c>
      <c r="T3540">
        <v>-2.2185381729999998</v>
      </c>
      <c r="U3540">
        <v>-1.473302278</v>
      </c>
    </row>
    <row r="3541" spans="1:21" x14ac:dyDescent="0.2">
      <c r="A3541" t="s">
        <v>451</v>
      </c>
      <c r="B3541">
        <v>59600</v>
      </c>
      <c r="C3541" t="s">
        <v>6938</v>
      </c>
      <c r="D3541" t="s">
        <v>452</v>
      </c>
      <c r="E3541" t="s">
        <v>6907</v>
      </c>
      <c r="F3541">
        <v>9</v>
      </c>
      <c r="G3541">
        <v>4</v>
      </c>
      <c r="H3541" t="s">
        <v>14098</v>
      </c>
      <c r="J3541" t="s">
        <v>5731</v>
      </c>
      <c r="M3541" t="s">
        <v>14099</v>
      </c>
      <c r="N3541">
        <v>2.092758737</v>
      </c>
      <c r="O3541">
        <v>5.3323610669999999</v>
      </c>
      <c r="P3541">
        <v>0.70420098600000003</v>
      </c>
      <c r="Q3541">
        <v>0.41355372699999998</v>
      </c>
      <c r="S3541" s="13">
        <v>-1.863929921</v>
      </c>
      <c r="T3541">
        <v>-2.2197546680000002</v>
      </c>
    </row>
    <row r="3542" spans="1:21" x14ac:dyDescent="0.2">
      <c r="A3542" t="s">
        <v>232</v>
      </c>
      <c r="B3542">
        <v>53960</v>
      </c>
      <c r="C3542" t="s">
        <v>6942</v>
      </c>
      <c r="D3542" t="s">
        <v>233</v>
      </c>
      <c r="E3542" t="s">
        <v>7085</v>
      </c>
      <c r="F3542">
        <v>1</v>
      </c>
      <c r="G3542">
        <v>9</v>
      </c>
      <c r="H3542" t="s">
        <v>14100</v>
      </c>
      <c r="J3542" t="s">
        <v>4776</v>
      </c>
      <c r="M3542" t="s">
        <v>14101</v>
      </c>
      <c r="N3542">
        <v>2.0902262079999998</v>
      </c>
      <c r="O3542">
        <v>4.2704203920000001</v>
      </c>
      <c r="P3542">
        <v>0.23425843900000001</v>
      </c>
      <c r="Q3542">
        <v>1.6181978999999999E-2</v>
      </c>
      <c r="S3542" s="13">
        <v>-1.8642796850000001</v>
      </c>
      <c r="T3542">
        <v>-2.221283058</v>
      </c>
      <c r="U3542">
        <v>-1.482353354</v>
      </c>
    </row>
    <row r="3543" spans="1:21" x14ac:dyDescent="0.2">
      <c r="A3543" t="s">
        <v>1163</v>
      </c>
      <c r="B3543">
        <v>53320</v>
      </c>
      <c r="C3543" t="s">
        <v>6942</v>
      </c>
      <c r="D3543" t="s">
        <v>1164</v>
      </c>
      <c r="E3543" t="s">
        <v>6918</v>
      </c>
      <c r="F3543">
        <v>6</v>
      </c>
      <c r="G3543">
        <v>1</v>
      </c>
      <c r="H3543" t="s">
        <v>14102</v>
      </c>
      <c r="J3543" t="s">
        <v>5024</v>
      </c>
      <c r="M3543" t="s">
        <v>14103</v>
      </c>
      <c r="N3543">
        <v>2.0902262079999998</v>
      </c>
      <c r="O3543">
        <v>4.2704203920000001</v>
      </c>
      <c r="P3543">
        <v>0.23425843900000001</v>
      </c>
      <c r="Q3543">
        <v>1.6181978999999999E-2</v>
      </c>
      <c r="S3543" s="13">
        <v>-1.8649078379999999</v>
      </c>
      <c r="T3543">
        <v>-2.2240279429999998</v>
      </c>
      <c r="U3543">
        <v>-1.4915970839999999</v>
      </c>
    </row>
    <row r="3544" spans="1:21" x14ac:dyDescent="0.2">
      <c r="A3544" t="s">
        <v>2167</v>
      </c>
      <c r="B3544">
        <v>57480</v>
      </c>
      <c r="C3544" t="s">
        <v>6938</v>
      </c>
      <c r="D3544" t="s">
        <v>2168</v>
      </c>
      <c r="E3544" t="s">
        <v>6956</v>
      </c>
      <c r="F3544">
        <v>8</v>
      </c>
      <c r="G3544">
        <v>7</v>
      </c>
      <c r="H3544" t="s">
        <v>14104</v>
      </c>
      <c r="J3544" t="s">
        <v>5679</v>
      </c>
      <c r="M3544" t="s">
        <v>14105</v>
      </c>
      <c r="N3544">
        <v>2.092758737</v>
      </c>
      <c r="O3544">
        <v>5.3323610669999999</v>
      </c>
      <c r="P3544">
        <v>0.70420098600000003</v>
      </c>
      <c r="Q3544">
        <v>0.41355372699999998</v>
      </c>
      <c r="S3544" s="13">
        <v>-1.865750601</v>
      </c>
      <c r="T3544">
        <v>-2.2277106249999998</v>
      </c>
    </row>
    <row r="3545" spans="1:21" x14ac:dyDescent="0.2">
      <c r="A3545" t="s">
        <v>603</v>
      </c>
      <c r="B3545">
        <v>52080</v>
      </c>
      <c r="C3545" t="s">
        <v>6942</v>
      </c>
      <c r="D3545" t="s">
        <v>604</v>
      </c>
      <c r="E3545" t="s">
        <v>6911</v>
      </c>
      <c r="F3545">
        <v>8</v>
      </c>
      <c r="G3545">
        <v>12</v>
      </c>
      <c r="H3545" t="s">
        <v>14106</v>
      </c>
      <c r="J3545" t="s">
        <v>4900</v>
      </c>
      <c r="M3545" t="s">
        <v>14107</v>
      </c>
      <c r="N3545">
        <v>2.0902262079999998</v>
      </c>
      <c r="O3545">
        <v>4.2704203920000001</v>
      </c>
      <c r="P3545">
        <v>0.23425843900000001</v>
      </c>
      <c r="Q3545">
        <v>1.6181978999999999E-2</v>
      </c>
      <c r="S3545" s="13">
        <v>-1.8661248850000001</v>
      </c>
      <c r="T3545">
        <v>-2.2293461579999998</v>
      </c>
      <c r="U3545">
        <v>-1.510086837</v>
      </c>
    </row>
    <row r="3546" spans="1:21" x14ac:dyDescent="0.2">
      <c r="A3546" t="s">
        <v>23</v>
      </c>
      <c r="B3546">
        <v>56160</v>
      </c>
      <c r="C3546" t="s">
        <v>6938</v>
      </c>
      <c r="D3546" t="s">
        <v>23</v>
      </c>
      <c r="E3546" t="s">
        <v>6907</v>
      </c>
      <c r="F3546">
        <v>18</v>
      </c>
      <c r="G3546">
        <v>4</v>
      </c>
      <c r="H3546" t="s">
        <v>14108</v>
      </c>
      <c r="J3546" t="s">
        <v>5555</v>
      </c>
      <c r="M3546" t="s">
        <v>14109</v>
      </c>
      <c r="N3546">
        <v>2.092758737</v>
      </c>
      <c r="O3546">
        <v>5.3323610669999999</v>
      </c>
      <c r="P3546">
        <v>0.70420098600000003</v>
      </c>
      <c r="Q3546">
        <v>0.41355372699999998</v>
      </c>
      <c r="S3546" s="13">
        <v>-1.8668842320000001</v>
      </c>
      <c r="T3546">
        <v>-2.2326643329999998</v>
      </c>
    </row>
    <row r="3547" spans="1:21" x14ac:dyDescent="0.2">
      <c r="A3547" t="s">
        <v>392</v>
      </c>
      <c r="B3547">
        <v>50760</v>
      </c>
      <c r="C3547" t="s">
        <v>6942</v>
      </c>
      <c r="D3547" t="s">
        <v>392</v>
      </c>
      <c r="E3547" t="s">
        <v>7006</v>
      </c>
      <c r="F3547">
        <v>21</v>
      </c>
      <c r="G3547">
        <v>3</v>
      </c>
      <c r="H3547" t="s">
        <v>14110</v>
      </c>
      <c r="J3547" t="s">
        <v>4798</v>
      </c>
      <c r="M3547" t="s">
        <v>14111</v>
      </c>
      <c r="N3547">
        <v>2.0902262079999998</v>
      </c>
      <c r="O3547">
        <v>4.2704203920000001</v>
      </c>
      <c r="P3547">
        <v>0.23425843900000001</v>
      </c>
      <c r="Q3547">
        <v>1.6181978999999999E-2</v>
      </c>
      <c r="S3547" s="13">
        <v>-1.86742045</v>
      </c>
      <c r="T3547">
        <v>-2.235007484</v>
      </c>
      <c r="U3547">
        <v>-1.5306748459999999</v>
      </c>
    </row>
    <row r="3548" spans="1:21" x14ac:dyDescent="0.2">
      <c r="A3548" t="s">
        <v>951</v>
      </c>
      <c r="B3548">
        <v>54200</v>
      </c>
      <c r="C3548" t="s">
        <v>6938</v>
      </c>
      <c r="D3548" t="s">
        <v>951</v>
      </c>
      <c r="E3548" t="s">
        <v>6970</v>
      </c>
      <c r="F3548">
        <v>16</v>
      </c>
      <c r="G3548">
        <v>14</v>
      </c>
      <c r="H3548" t="s">
        <v>14112</v>
      </c>
      <c r="J3548" t="s">
        <v>5651</v>
      </c>
      <c r="M3548" t="s">
        <v>14113</v>
      </c>
      <c r="N3548">
        <v>2.092758737</v>
      </c>
      <c r="O3548">
        <v>5.3323610669999999</v>
      </c>
      <c r="P3548">
        <v>0.70420098600000003</v>
      </c>
      <c r="Q3548">
        <v>0.41355372699999998</v>
      </c>
      <c r="S3548" s="13">
        <v>-1.868567503</v>
      </c>
      <c r="T3548">
        <v>-2.24001984</v>
      </c>
    </row>
    <row r="3549" spans="1:21" x14ac:dyDescent="0.2">
      <c r="A3549" t="s">
        <v>3164</v>
      </c>
      <c r="B3549">
        <v>49400</v>
      </c>
      <c r="C3549" t="s">
        <v>6942</v>
      </c>
      <c r="D3549" t="s">
        <v>3165</v>
      </c>
      <c r="E3549" t="s">
        <v>6918</v>
      </c>
      <c r="F3549">
        <v>9</v>
      </c>
      <c r="G3549">
        <v>1</v>
      </c>
      <c r="H3549" t="s">
        <v>14114</v>
      </c>
      <c r="J3549" t="s">
        <v>5020</v>
      </c>
      <c r="M3549" t="s">
        <v>14115</v>
      </c>
      <c r="N3549">
        <v>2.0902262079999998</v>
      </c>
      <c r="O3549">
        <v>4.2704203920000001</v>
      </c>
      <c r="P3549">
        <v>0.23425843900000001</v>
      </c>
      <c r="Q3549">
        <v>1.6181978999999999E-2</v>
      </c>
      <c r="S3549" s="13">
        <v>-1.8687552759999999</v>
      </c>
      <c r="T3549">
        <v>-2.2408403649999999</v>
      </c>
      <c r="U3549">
        <v>-1.5529596480000001</v>
      </c>
    </row>
    <row r="3550" spans="1:21" x14ac:dyDescent="0.2">
      <c r="A3550" t="s">
        <v>1263</v>
      </c>
      <c r="B3550">
        <v>53800</v>
      </c>
      <c r="C3550" t="s">
        <v>6938</v>
      </c>
      <c r="D3550" t="s">
        <v>1264</v>
      </c>
      <c r="E3550" t="s">
        <v>6911</v>
      </c>
      <c r="F3550">
        <v>7</v>
      </c>
      <c r="G3550">
        <v>12</v>
      </c>
      <c r="H3550" t="s">
        <v>14116</v>
      </c>
      <c r="J3550" t="s">
        <v>5755</v>
      </c>
      <c r="M3550" t="s">
        <v>14117</v>
      </c>
      <c r="N3550">
        <v>2.092758737</v>
      </c>
      <c r="O3550">
        <v>5.3323610669999999</v>
      </c>
      <c r="P3550">
        <v>0.70420098600000003</v>
      </c>
      <c r="Q3550">
        <v>0.41355372699999998</v>
      </c>
      <c r="S3550" s="13">
        <v>-1.868911027</v>
      </c>
      <c r="T3550">
        <v>-2.2415209639999998</v>
      </c>
    </row>
    <row r="3551" spans="1:21" x14ac:dyDescent="0.2">
      <c r="A3551" t="s">
        <v>541</v>
      </c>
      <c r="B3551">
        <v>53400</v>
      </c>
      <c r="C3551" t="s">
        <v>6938</v>
      </c>
      <c r="D3551" t="s">
        <v>542</v>
      </c>
      <c r="E3551" t="s">
        <v>6974</v>
      </c>
      <c r="F3551">
        <v>1</v>
      </c>
      <c r="G3551">
        <v>15</v>
      </c>
      <c r="H3551" t="s">
        <v>14118</v>
      </c>
      <c r="J3551" t="s">
        <v>5703</v>
      </c>
      <c r="M3551" t="s">
        <v>14119</v>
      </c>
      <c r="N3551">
        <v>2.092758737</v>
      </c>
      <c r="O3551">
        <v>5.3323610669999999</v>
      </c>
      <c r="P3551">
        <v>0.70420098600000003</v>
      </c>
      <c r="Q3551">
        <v>0.41355372699999998</v>
      </c>
      <c r="S3551" s="13">
        <v>-1.8692545519999999</v>
      </c>
      <c r="T3551">
        <v>-2.2430220869999999</v>
      </c>
    </row>
    <row r="3552" spans="1:21" x14ac:dyDescent="0.2">
      <c r="A3552" t="s">
        <v>1058</v>
      </c>
      <c r="B3552">
        <v>48000</v>
      </c>
      <c r="C3552" t="s">
        <v>6942</v>
      </c>
      <c r="D3552" t="s">
        <v>1059</v>
      </c>
      <c r="E3552" t="s">
        <v>6911</v>
      </c>
      <c r="F3552">
        <v>6</v>
      </c>
      <c r="G3552">
        <v>12</v>
      </c>
      <c r="H3552" t="s">
        <v>14120</v>
      </c>
      <c r="J3552" t="s">
        <v>4854</v>
      </c>
      <c r="M3552" t="s">
        <v>14121</v>
      </c>
      <c r="N3552">
        <v>2.0902262079999998</v>
      </c>
      <c r="O3552">
        <v>4.2704203920000001</v>
      </c>
      <c r="P3552">
        <v>0.23425843900000001</v>
      </c>
      <c r="Q3552">
        <v>1.6181978999999999E-2</v>
      </c>
      <c r="S3552" s="13">
        <v>-1.87012936</v>
      </c>
      <c r="T3552">
        <v>-2.2468448009999999</v>
      </c>
      <c r="U3552">
        <v>-1.5771605870000001</v>
      </c>
    </row>
    <row r="3553" spans="1:21" x14ac:dyDescent="0.2">
      <c r="A3553" t="s">
        <v>2453</v>
      </c>
      <c r="B3553">
        <v>47680</v>
      </c>
      <c r="C3553" t="s">
        <v>6942</v>
      </c>
      <c r="D3553" t="s">
        <v>2454</v>
      </c>
      <c r="E3553" t="s">
        <v>6911</v>
      </c>
      <c r="F3553">
        <v>3</v>
      </c>
      <c r="G3553">
        <v>12</v>
      </c>
      <c r="H3553" t="s">
        <v>14122</v>
      </c>
      <c r="J3553" t="s">
        <v>4904</v>
      </c>
      <c r="M3553" t="s">
        <v>14123</v>
      </c>
      <c r="N3553">
        <v>2.0902262079999998</v>
      </c>
      <c r="O3553">
        <v>4.2704203920000001</v>
      </c>
      <c r="P3553">
        <v>0.23425843900000001</v>
      </c>
      <c r="Q3553">
        <v>1.6181978999999999E-2</v>
      </c>
      <c r="S3553" s="13">
        <v>-1.870443437</v>
      </c>
      <c r="T3553">
        <v>-2.248217243</v>
      </c>
      <c r="U3553">
        <v>-1.582886843</v>
      </c>
    </row>
    <row r="3554" spans="1:21" x14ac:dyDescent="0.2">
      <c r="A3554" t="s">
        <v>792</v>
      </c>
      <c r="B3554">
        <v>47520</v>
      </c>
      <c r="C3554" t="s">
        <v>6942</v>
      </c>
      <c r="D3554" t="s">
        <v>793</v>
      </c>
      <c r="E3554" t="s">
        <v>6924</v>
      </c>
      <c r="F3554">
        <v>5</v>
      </c>
      <c r="G3554">
        <v>6</v>
      </c>
      <c r="H3554" t="s">
        <v>14124</v>
      </c>
      <c r="J3554" t="s">
        <v>4876</v>
      </c>
      <c r="M3554" t="s">
        <v>14125</v>
      </c>
      <c r="N3554">
        <v>2.0902262079999998</v>
      </c>
      <c r="O3554">
        <v>4.2704203920000001</v>
      </c>
      <c r="P3554">
        <v>0.23425843900000001</v>
      </c>
      <c r="Q3554">
        <v>1.6181978999999999E-2</v>
      </c>
      <c r="S3554" s="13">
        <v>-1.870600475</v>
      </c>
      <c r="T3554">
        <v>-2.2489034650000002</v>
      </c>
      <c r="U3554">
        <v>-1.5857785360000001</v>
      </c>
    </row>
    <row r="3555" spans="1:21" x14ac:dyDescent="0.2">
      <c r="A3555" t="s">
        <v>361</v>
      </c>
      <c r="B3555">
        <v>45840</v>
      </c>
      <c r="C3555" t="s">
        <v>6942</v>
      </c>
      <c r="D3555" t="s">
        <v>361</v>
      </c>
      <c r="E3555" t="s">
        <v>6921</v>
      </c>
      <c r="F3555">
        <v>21</v>
      </c>
      <c r="G3555">
        <v>8</v>
      </c>
      <c r="H3555" t="s">
        <v>14126</v>
      </c>
      <c r="J3555" t="s">
        <v>4954</v>
      </c>
      <c r="M3555" t="s">
        <v>14127</v>
      </c>
      <c r="N3555">
        <v>2.0902262079999998</v>
      </c>
      <c r="O3555">
        <v>4.2704203920000001</v>
      </c>
      <c r="P3555">
        <v>0.23425843900000001</v>
      </c>
      <c r="Q3555">
        <v>1.6181978999999999E-2</v>
      </c>
      <c r="S3555" s="13">
        <v>-1.8722493769999999</v>
      </c>
      <c r="T3555">
        <v>-2.2561087880000001</v>
      </c>
      <c r="U3555">
        <v>-1.6173638370000001</v>
      </c>
    </row>
    <row r="3556" spans="1:21" x14ac:dyDescent="0.2">
      <c r="A3556" t="s">
        <v>277</v>
      </c>
      <c r="B3556">
        <v>245600</v>
      </c>
      <c r="C3556" t="s">
        <v>6906</v>
      </c>
      <c r="D3556" t="s">
        <v>277</v>
      </c>
      <c r="E3556" t="s">
        <v>7085</v>
      </c>
      <c r="F3556">
        <v>22</v>
      </c>
      <c r="G3556">
        <v>9</v>
      </c>
      <c r="H3556" t="s">
        <v>14128</v>
      </c>
      <c r="J3556" t="s">
        <v>4152</v>
      </c>
      <c r="M3556" t="s">
        <v>14129</v>
      </c>
      <c r="N3556">
        <v>1.813871112</v>
      </c>
      <c r="O3556">
        <v>2.6633694910000001</v>
      </c>
      <c r="P3556">
        <v>-0.29586356800000002</v>
      </c>
      <c r="Q3556">
        <v>-0.59018158399999998</v>
      </c>
      <c r="S3556" s="13">
        <v>-1.8723922820000001</v>
      </c>
      <c r="T3556">
        <v>-2.2567332520000001</v>
      </c>
      <c r="U3556">
        <v>-0.53505739900000004</v>
      </c>
    </row>
    <row r="3557" spans="1:21" x14ac:dyDescent="0.2">
      <c r="A3557" t="s">
        <v>2089</v>
      </c>
      <c r="B3557">
        <v>139720</v>
      </c>
      <c r="C3557" t="s">
        <v>6927</v>
      </c>
      <c r="D3557" t="s">
        <v>2090</v>
      </c>
      <c r="E3557" t="s">
        <v>7085</v>
      </c>
      <c r="F3557">
        <v>3</v>
      </c>
      <c r="G3557">
        <v>9</v>
      </c>
      <c r="H3557" t="s">
        <v>14130</v>
      </c>
      <c r="J3557" t="s">
        <v>14131</v>
      </c>
      <c r="M3557" t="s">
        <v>14132</v>
      </c>
      <c r="N3557">
        <v>1.982575982</v>
      </c>
      <c r="O3557">
        <v>3.4571926419999999</v>
      </c>
      <c r="P3557">
        <v>-0.114791479</v>
      </c>
      <c r="Q3557">
        <v>1.868949E-3</v>
      </c>
      <c r="S3557" s="13">
        <v>-1.872756138</v>
      </c>
      <c r="T3557">
        <v>-2.258323217</v>
      </c>
      <c r="U3557">
        <v>-1.021540077</v>
      </c>
    </row>
    <row r="3558" spans="1:21" x14ac:dyDescent="0.2">
      <c r="A3558" t="s">
        <v>1362</v>
      </c>
      <c r="B3558">
        <v>48520</v>
      </c>
      <c r="C3558" t="s">
        <v>6938</v>
      </c>
      <c r="D3558" t="s">
        <v>1362</v>
      </c>
      <c r="E3558" t="s">
        <v>7115</v>
      </c>
      <c r="F3558">
        <v>22</v>
      </c>
      <c r="G3558">
        <v>10</v>
      </c>
      <c r="H3558" t="s">
        <v>14133</v>
      </c>
      <c r="J3558" t="s">
        <v>5781</v>
      </c>
      <c r="M3558" t="s">
        <v>14134</v>
      </c>
      <c r="N3558">
        <v>2.092758737</v>
      </c>
      <c r="O3558">
        <v>5.3323610669999999</v>
      </c>
      <c r="P3558">
        <v>0.70420098600000003</v>
      </c>
      <c r="Q3558">
        <v>0.41355372699999998</v>
      </c>
      <c r="S3558" s="13">
        <v>-1.8734455510000001</v>
      </c>
      <c r="T3558">
        <v>-2.2613357980000002</v>
      </c>
    </row>
    <row r="3559" spans="1:21" x14ac:dyDescent="0.2">
      <c r="A3559" t="s">
        <v>1118</v>
      </c>
      <c r="B3559">
        <v>48360</v>
      </c>
      <c r="C3559" t="s">
        <v>6938</v>
      </c>
      <c r="D3559" t="s">
        <v>1118</v>
      </c>
      <c r="E3559" t="s">
        <v>6924</v>
      </c>
      <c r="F3559">
        <v>13</v>
      </c>
      <c r="G3559">
        <v>6</v>
      </c>
      <c r="H3559" t="s">
        <v>14135</v>
      </c>
      <c r="J3559" t="s">
        <v>5721</v>
      </c>
      <c r="M3559" t="s">
        <v>14136</v>
      </c>
      <c r="N3559">
        <v>2.092758737</v>
      </c>
      <c r="O3559">
        <v>5.3323610669999999</v>
      </c>
      <c r="P3559">
        <v>0.70420098600000003</v>
      </c>
      <c r="Q3559">
        <v>0.41355372699999998</v>
      </c>
      <c r="S3559" s="13">
        <v>-1.8735829610000001</v>
      </c>
      <c r="T3559">
        <v>-2.261936247</v>
      </c>
    </row>
    <row r="3560" spans="1:21" x14ac:dyDescent="0.2">
      <c r="A3560" t="s">
        <v>746</v>
      </c>
      <c r="B3560">
        <v>138320</v>
      </c>
      <c r="C3560" t="s">
        <v>6927</v>
      </c>
      <c r="D3560" t="s">
        <v>746</v>
      </c>
      <c r="E3560" t="s">
        <v>6974</v>
      </c>
      <c r="F3560">
        <v>19</v>
      </c>
      <c r="G3560">
        <v>15</v>
      </c>
      <c r="H3560" t="s">
        <v>14137</v>
      </c>
      <c r="J3560" t="s">
        <v>14138</v>
      </c>
      <c r="M3560" t="s">
        <v>14139</v>
      </c>
      <c r="N3560">
        <v>1.982575982</v>
      </c>
      <c r="O3560">
        <v>3.4571926419999999</v>
      </c>
      <c r="P3560">
        <v>-0.114791479</v>
      </c>
      <c r="Q3560">
        <v>1.868949E-3</v>
      </c>
      <c r="S3560" s="13">
        <v>-1.874208812</v>
      </c>
      <c r="T3560">
        <v>-2.2646710699999999</v>
      </c>
      <c r="U3560">
        <v>-1.0285200489999999</v>
      </c>
    </row>
    <row r="3561" spans="1:21" x14ac:dyDescent="0.2">
      <c r="A3561" t="s">
        <v>153</v>
      </c>
      <c r="B3561">
        <v>43760</v>
      </c>
      <c r="C3561" t="s">
        <v>6942</v>
      </c>
      <c r="D3561" t="s">
        <v>153</v>
      </c>
      <c r="E3561" t="s">
        <v>6928</v>
      </c>
      <c r="F3561">
        <v>14</v>
      </c>
      <c r="G3561">
        <v>16</v>
      </c>
      <c r="H3561" t="s">
        <v>14140</v>
      </c>
      <c r="J3561" t="s">
        <v>4800</v>
      </c>
      <c r="M3561" t="s">
        <v>14141</v>
      </c>
      <c r="N3561">
        <v>2.0902262079999998</v>
      </c>
      <c r="O3561">
        <v>4.2704203920000001</v>
      </c>
      <c r="P3561">
        <v>0.23425843900000001</v>
      </c>
      <c r="Q3561">
        <v>1.6181978999999999E-2</v>
      </c>
      <c r="S3561" s="13">
        <v>-1.8742908739999999</v>
      </c>
      <c r="T3561">
        <v>-2.2650296650000001</v>
      </c>
      <c r="U3561">
        <v>-1.659947735</v>
      </c>
    </row>
    <row r="3562" spans="1:21" x14ac:dyDescent="0.2">
      <c r="A3562" t="s">
        <v>1659</v>
      </c>
      <c r="B3562">
        <v>43280</v>
      </c>
      <c r="C3562" t="s">
        <v>6942</v>
      </c>
      <c r="D3562" t="s">
        <v>1660</v>
      </c>
      <c r="E3562" t="s">
        <v>6946</v>
      </c>
      <c r="F3562">
        <v>8</v>
      </c>
      <c r="G3562">
        <v>11</v>
      </c>
      <c r="H3562" t="s">
        <v>14142</v>
      </c>
      <c r="J3562" t="s">
        <v>4932</v>
      </c>
      <c r="M3562" t="s">
        <v>14143</v>
      </c>
      <c r="N3562">
        <v>2.0902262079999998</v>
      </c>
      <c r="O3562">
        <v>4.2704203920000001</v>
      </c>
      <c r="P3562">
        <v>0.23425843900000001</v>
      </c>
      <c r="Q3562">
        <v>1.6181978999999999E-2</v>
      </c>
      <c r="S3562" s="13">
        <v>-1.874761989</v>
      </c>
      <c r="T3562">
        <v>-2.2670883289999999</v>
      </c>
      <c r="U3562">
        <v>-1.67039743</v>
      </c>
    </row>
    <row r="3563" spans="1:21" x14ac:dyDescent="0.2">
      <c r="A3563" t="s">
        <v>2412</v>
      </c>
      <c r="B3563">
        <v>43200</v>
      </c>
      <c r="C3563" t="s">
        <v>6942</v>
      </c>
      <c r="D3563" t="s">
        <v>2412</v>
      </c>
      <c r="E3563" t="s">
        <v>6956</v>
      </c>
      <c r="F3563">
        <v>14</v>
      </c>
      <c r="G3563">
        <v>7</v>
      </c>
      <c r="H3563" t="s">
        <v>14144</v>
      </c>
      <c r="J3563" t="s">
        <v>4926</v>
      </c>
      <c r="M3563" t="s">
        <v>14145</v>
      </c>
      <c r="N3563">
        <v>2.0902262079999998</v>
      </c>
      <c r="O3563">
        <v>4.2704203920000001</v>
      </c>
      <c r="P3563">
        <v>0.23425843900000001</v>
      </c>
      <c r="Q3563">
        <v>1.6181978999999999E-2</v>
      </c>
      <c r="S3563" s="13">
        <v>-1.8748405079999999</v>
      </c>
      <c r="T3563">
        <v>-2.2674314400000002</v>
      </c>
      <c r="U3563">
        <v>-1.6721637540000001</v>
      </c>
    </row>
    <row r="3564" spans="1:21" x14ac:dyDescent="0.2">
      <c r="A3564" t="s">
        <v>551</v>
      </c>
      <c r="B3564">
        <v>46280</v>
      </c>
      <c r="C3564" t="s">
        <v>6938</v>
      </c>
      <c r="D3564" t="s">
        <v>551</v>
      </c>
      <c r="E3564" t="s">
        <v>6928</v>
      </c>
      <c r="F3564">
        <v>11</v>
      </c>
      <c r="G3564">
        <v>16</v>
      </c>
      <c r="H3564" t="s">
        <v>14146</v>
      </c>
      <c r="J3564" t="s">
        <v>5681</v>
      </c>
      <c r="M3564" t="s">
        <v>14147</v>
      </c>
      <c r="N3564">
        <v>2.092758737</v>
      </c>
      <c r="O3564">
        <v>5.3323610669999999</v>
      </c>
      <c r="P3564">
        <v>0.70420098600000003</v>
      </c>
      <c r="Q3564">
        <v>0.41355372699999998</v>
      </c>
      <c r="S3564" s="13">
        <v>-1.875369289</v>
      </c>
      <c r="T3564">
        <v>-2.2697420909999999</v>
      </c>
    </row>
    <row r="3565" spans="1:21" x14ac:dyDescent="0.2">
      <c r="A3565" t="s">
        <v>42</v>
      </c>
      <c r="B3565">
        <v>42000</v>
      </c>
      <c r="C3565" t="s">
        <v>6942</v>
      </c>
      <c r="D3565" t="s">
        <v>42</v>
      </c>
      <c r="E3565" t="s">
        <v>6977</v>
      </c>
      <c r="F3565">
        <v>13</v>
      </c>
      <c r="G3565">
        <v>5</v>
      </c>
      <c r="H3565" t="s">
        <v>14148</v>
      </c>
      <c r="J3565" t="s">
        <v>4988</v>
      </c>
      <c r="M3565" t="s">
        <v>14149</v>
      </c>
      <c r="N3565">
        <v>2.0902262079999998</v>
      </c>
      <c r="O3565">
        <v>4.2704203920000001</v>
      </c>
      <c r="P3565">
        <v>0.23425843900000001</v>
      </c>
      <c r="Q3565">
        <v>1.6181978999999999E-2</v>
      </c>
      <c r="S3565" s="13">
        <v>-1.8760182949999999</v>
      </c>
      <c r="T3565">
        <v>-2.272578099</v>
      </c>
      <c r="U3565">
        <v>-1.6995587190000001</v>
      </c>
    </row>
    <row r="3566" spans="1:21" x14ac:dyDescent="0.2">
      <c r="A3566" t="s">
        <v>1456</v>
      </c>
      <c r="B3566">
        <v>200600</v>
      </c>
      <c r="C3566" t="s">
        <v>6953</v>
      </c>
      <c r="D3566" t="s">
        <v>1457</v>
      </c>
      <c r="E3566" t="s">
        <v>7006</v>
      </c>
      <c r="F3566">
        <v>7</v>
      </c>
      <c r="G3566">
        <v>3</v>
      </c>
      <c r="H3566" t="s">
        <v>14150</v>
      </c>
      <c r="J3566" t="s">
        <v>5501</v>
      </c>
      <c r="M3566" t="s">
        <v>14151</v>
      </c>
      <c r="N3566">
        <v>1.921480887</v>
      </c>
      <c r="O3566">
        <v>3.0856645180000002</v>
      </c>
      <c r="P3566">
        <v>0.44706724399999997</v>
      </c>
      <c r="Q3566">
        <v>-0.354940863</v>
      </c>
      <c r="S3566" s="13">
        <v>-1.8770622779999999</v>
      </c>
      <c r="T3566">
        <v>-2.2771400669999999</v>
      </c>
      <c r="U3566">
        <v>-0.74725807300000002</v>
      </c>
    </row>
    <row r="3567" spans="1:21" x14ac:dyDescent="0.2">
      <c r="A3567" t="s">
        <v>3235</v>
      </c>
      <c r="B3567">
        <v>40720</v>
      </c>
      <c r="C3567" t="s">
        <v>6942</v>
      </c>
      <c r="D3567" t="s">
        <v>3236</v>
      </c>
      <c r="E3567" t="s">
        <v>6946</v>
      </c>
      <c r="F3567">
        <v>2</v>
      </c>
      <c r="G3567">
        <v>11</v>
      </c>
      <c r="H3567" t="s">
        <v>14152</v>
      </c>
      <c r="J3567" t="s">
        <v>4892</v>
      </c>
      <c r="M3567" t="s">
        <v>14153</v>
      </c>
      <c r="N3567">
        <v>2.0902262079999998</v>
      </c>
      <c r="O3567">
        <v>4.2704203920000001</v>
      </c>
      <c r="P3567">
        <v>0.23425843900000001</v>
      </c>
      <c r="Q3567">
        <v>1.6181978999999999E-2</v>
      </c>
      <c r="S3567" s="13">
        <v>-1.8772746010000001</v>
      </c>
      <c r="T3567">
        <v>-2.2780678700000001</v>
      </c>
      <c r="U3567">
        <v>-1.7308199289999999</v>
      </c>
    </row>
    <row r="3568" spans="1:21" x14ac:dyDescent="0.2">
      <c r="A3568" t="s">
        <v>1897</v>
      </c>
      <c r="B3568">
        <v>42680</v>
      </c>
      <c r="C3568" t="s">
        <v>6938</v>
      </c>
      <c r="D3568" t="s">
        <v>1897</v>
      </c>
      <c r="E3568" t="s">
        <v>7085</v>
      </c>
      <c r="F3568">
        <v>14</v>
      </c>
      <c r="G3568">
        <v>9</v>
      </c>
      <c r="H3568" t="s">
        <v>14154</v>
      </c>
      <c r="J3568" t="s">
        <v>5719</v>
      </c>
      <c r="M3568" t="s">
        <v>14155</v>
      </c>
      <c r="N3568">
        <v>2.092758737</v>
      </c>
      <c r="O3568">
        <v>5.3323610669999999</v>
      </c>
      <c r="P3568">
        <v>0.70420098600000003</v>
      </c>
      <c r="Q3568">
        <v>0.41355372699999998</v>
      </c>
      <c r="S3568" s="13">
        <v>-1.8784610100000001</v>
      </c>
      <c r="T3568">
        <v>-2.2832522050000001</v>
      </c>
    </row>
    <row r="3569" spans="1:21" x14ac:dyDescent="0.2">
      <c r="A3569" t="s">
        <v>537</v>
      </c>
      <c r="B3569">
        <v>119800</v>
      </c>
      <c r="C3569" t="s">
        <v>6910</v>
      </c>
      <c r="D3569" t="s">
        <v>538</v>
      </c>
      <c r="E3569" t="s">
        <v>6928</v>
      </c>
      <c r="F3569">
        <v>8</v>
      </c>
      <c r="G3569">
        <v>16</v>
      </c>
      <c r="H3569" t="s">
        <v>14156</v>
      </c>
      <c r="J3569" t="s">
        <v>6069</v>
      </c>
      <c r="M3569" t="s">
        <v>14157</v>
      </c>
      <c r="N3569">
        <v>1.9874741039999999</v>
      </c>
      <c r="O3569">
        <v>3.7453511220000002</v>
      </c>
      <c r="P3569">
        <v>0.451009722</v>
      </c>
      <c r="Q3569">
        <v>-0.102386592</v>
      </c>
      <c r="S3569" s="13">
        <v>-1.8837927400000001</v>
      </c>
      <c r="T3569">
        <v>-2.3065506459999998</v>
      </c>
      <c r="U3569">
        <v>-0.70170840300000004</v>
      </c>
    </row>
    <row r="3570" spans="1:21" x14ac:dyDescent="0.2">
      <c r="A3570" t="s">
        <v>451</v>
      </c>
      <c r="B3570">
        <v>33880</v>
      </c>
      <c r="C3570" t="s">
        <v>6942</v>
      </c>
      <c r="D3570" t="s">
        <v>452</v>
      </c>
      <c r="E3570" t="s">
        <v>6907</v>
      </c>
      <c r="F3570">
        <v>9</v>
      </c>
      <c r="G3570">
        <v>4</v>
      </c>
      <c r="H3570" t="s">
        <v>14158</v>
      </c>
      <c r="J3570" t="s">
        <v>4938</v>
      </c>
      <c r="M3570" t="s">
        <v>14159</v>
      </c>
      <c r="N3570">
        <v>2.0902262079999998</v>
      </c>
      <c r="O3570">
        <v>4.2704203920000001</v>
      </c>
      <c r="P3570">
        <v>0.23425843900000001</v>
      </c>
      <c r="Q3570">
        <v>1.6181978999999999E-2</v>
      </c>
      <c r="S3570" s="13">
        <v>-1.883987987</v>
      </c>
      <c r="T3570">
        <v>-2.3074038300000002</v>
      </c>
      <c r="U3570">
        <v>-1.9518253889999999</v>
      </c>
    </row>
    <row r="3571" spans="1:21" x14ac:dyDescent="0.2">
      <c r="A3571" t="s">
        <v>1550</v>
      </c>
      <c r="B3571">
        <v>33800</v>
      </c>
      <c r="C3571" t="s">
        <v>6942</v>
      </c>
      <c r="D3571" t="s">
        <v>1550</v>
      </c>
      <c r="E3571" t="s">
        <v>6974</v>
      </c>
      <c r="F3571">
        <v>14</v>
      </c>
      <c r="G3571">
        <v>15</v>
      </c>
      <c r="H3571" t="s">
        <v>14160</v>
      </c>
      <c r="J3571" t="s">
        <v>4690</v>
      </c>
      <c r="M3571" t="s">
        <v>14161</v>
      </c>
      <c r="N3571">
        <v>2.0902262079999998</v>
      </c>
      <c r="O3571">
        <v>4.2704203920000001</v>
      </c>
      <c r="P3571">
        <v>0.23425843900000001</v>
      </c>
      <c r="Q3571">
        <v>1.6181978999999999E-2</v>
      </c>
      <c r="S3571" s="13">
        <v>-1.8840665059999999</v>
      </c>
      <c r="T3571">
        <v>-2.3077469399999999</v>
      </c>
      <c r="U3571">
        <v>-1.9552084199999999</v>
      </c>
    </row>
    <row r="3572" spans="1:21" x14ac:dyDescent="0.2">
      <c r="A3572" t="s">
        <v>2230</v>
      </c>
      <c r="B3572">
        <v>118840</v>
      </c>
      <c r="C3572" t="s">
        <v>6910</v>
      </c>
      <c r="D3572" t="s">
        <v>2231</v>
      </c>
      <c r="E3572" t="s">
        <v>7115</v>
      </c>
      <c r="F3572">
        <v>2</v>
      </c>
      <c r="G3572">
        <v>10</v>
      </c>
      <c r="H3572" t="s">
        <v>14162</v>
      </c>
      <c r="J3572" t="s">
        <v>6209</v>
      </c>
      <c r="M3572" t="s">
        <v>14163</v>
      </c>
      <c r="N3572">
        <v>1.9874741039999999</v>
      </c>
      <c r="O3572">
        <v>3.7453511220000002</v>
      </c>
      <c r="P3572">
        <v>0.451009722</v>
      </c>
      <c r="Q3572">
        <v>-0.102386592</v>
      </c>
      <c r="S3572" s="13">
        <v>-1.8848255979999999</v>
      </c>
      <c r="T3572">
        <v>-2.3110639989999999</v>
      </c>
      <c r="U3572">
        <v>-0.70398779600000005</v>
      </c>
    </row>
    <row r="3573" spans="1:21" x14ac:dyDescent="0.2">
      <c r="A3573" t="s">
        <v>1069</v>
      </c>
      <c r="B3573">
        <v>113080</v>
      </c>
      <c r="C3573" t="s">
        <v>6910</v>
      </c>
      <c r="D3573" t="s">
        <v>1070</v>
      </c>
      <c r="E3573" t="s">
        <v>7085</v>
      </c>
      <c r="F3573">
        <v>6</v>
      </c>
      <c r="G3573">
        <v>9</v>
      </c>
      <c r="H3573" t="s">
        <v>14164</v>
      </c>
      <c r="J3573" t="s">
        <v>6093</v>
      </c>
      <c r="M3573" t="s">
        <v>14165</v>
      </c>
      <c r="N3573">
        <v>1.9874741039999999</v>
      </c>
      <c r="O3573">
        <v>3.7453511220000002</v>
      </c>
      <c r="P3573">
        <v>0.451009722</v>
      </c>
      <c r="Q3573">
        <v>-0.102386592</v>
      </c>
      <c r="S3573" s="13">
        <v>-1.891022744</v>
      </c>
      <c r="T3573">
        <v>-2.3381441129999998</v>
      </c>
      <c r="U3573">
        <v>-0.71792124499999999</v>
      </c>
    </row>
    <row r="3574" spans="1:21" x14ac:dyDescent="0.2">
      <c r="A3574" t="s">
        <v>1521</v>
      </c>
      <c r="B3574">
        <v>108240</v>
      </c>
      <c r="C3574" t="s">
        <v>6910</v>
      </c>
      <c r="D3574" t="s">
        <v>1521</v>
      </c>
      <c r="E3574" t="s">
        <v>6921</v>
      </c>
      <c r="F3574">
        <v>10</v>
      </c>
      <c r="G3574">
        <v>8</v>
      </c>
      <c r="H3574" t="s">
        <v>14166</v>
      </c>
      <c r="J3574" t="s">
        <v>6123</v>
      </c>
      <c r="M3574" t="s">
        <v>14167</v>
      </c>
      <c r="N3574">
        <v>1.9874741039999999</v>
      </c>
      <c r="O3574">
        <v>3.7453511220000002</v>
      </c>
      <c r="P3574">
        <v>0.451009722</v>
      </c>
      <c r="Q3574">
        <v>-0.102386592</v>
      </c>
      <c r="S3574" s="13">
        <v>-1.896230069</v>
      </c>
      <c r="T3574">
        <v>-2.360898932</v>
      </c>
      <c r="U3574">
        <v>-0.72998506399999996</v>
      </c>
    </row>
    <row r="3575" spans="1:21" x14ac:dyDescent="0.2">
      <c r="A3575" t="s">
        <v>3164</v>
      </c>
      <c r="B3575">
        <v>101840</v>
      </c>
      <c r="C3575" t="s">
        <v>6910</v>
      </c>
      <c r="D3575" t="s">
        <v>3165</v>
      </c>
      <c r="E3575" t="s">
        <v>6918</v>
      </c>
      <c r="F3575">
        <v>9</v>
      </c>
      <c r="G3575">
        <v>1</v>
      </c>
      <c r="H3575" t="s">
        <v>14168</v>
      </c>
      <c r="J3575" t="s">
        <v>6321</v>
      </c>
      <c r="M3575" t="s">
        <v>14169</v>
      </c>
      <c r="N3575">
        <v>1.9874741039999999</v>
      </c>
      <c r="O3575">
        <v>3.7453511220000002</v>
      </c>
      <c r="P3575">
        <v>0.451009722</v>
      </c>
      <c r="Q3575">
        <v>-0.102386592</v>
      </c>
      <c r="S3575" s="13">
        <v>-1.903115788</v>
      </c>
      <c r="T3575">
        <v>-2.3909879479999998</v>
      </c>
      <c r="U3575">
        <v>-0.74646978399999997</v>
      </c>
    </row>
    <row r="3576" spans="1:21" x14ac:dyDescent="0.2">
      <c r="A3576" t="s">
        <v>148</v>
      </c>
      <c r="B3576">
        <v>175360</v>
      </c>
      <c r="C3576" t="s">
        <v>6953</v>
      </c>
      <c r="D3576" t="s">
        <v>148</v>
      </c>
      <c r="E3576" t="s">
        <v>6915</v>
      </c>
      <c r="F3576">
        <v>17</v>
      </c>
      <c r="G3576">
        <v>13</v>
      </c>
      <c r="H3576" t="s">
        <v>14170</v>
      </c>
      <c r="J3576" t="s">
        <v>5343</v>
      </c>
      <c r="M3576" t="s">
        <v>14171</v>
      </c>
      <c r="N3576">
        <v>1.921480887</v>
      </c>
      <c r="O3576">
        <v>3.0856645180000002</v>
      </c>
      <c r="P3576">
        <v>0.44706724399999997</v>
      </c>
      <c r="Q3576">
        <v>-0.354940863</v>
      </c>
      <c r="S3576" s="13">
        <v>-1.9032519139999999</v>
      </c>
      <c r="T3576">
        <v>-2.3915827909999998</v>
      </c>
      <c r="U3576">
        <v>-0.81929738399999996</v>
      </c>
    </row>
    <row r="3577" spans="1:21" x14ac:dyDescent="0.2">
      <c r="A3577" t="s">
        <v>293</v>
      </c>
      <c r="B3577">
        <v>222000</v>
      </c>
      <c r="C3577" t="s">
        <v>6906</v>
      </c>
      <c r="D3577" t="s">
        <v>293</v>
      </c>
      <c r="E3577" t="s">
        <v>6977</v>
      </c>
      <c r="F3577">
        <v>24</v>
      </c>
      <c r="G3577">
        <v>5</v>
      </c>
      <c r="H3577" t="s">
        <v>14172</v>
      </c>
      <c r="J3577" t="s">
        <v>3896</v>
      </c>
      <c r="M3577" t="s">
        <v>14173</v>
      </c>
      <c r="N3577">
        <v>1.813871112</v>
      </c>
      <c r="O3577">
        <v>2.6633694910000001</v>
      </c>
      <c r="P3577">
        <v>-0.29586356800000002</v>
      </c>
      <c r="Q3577">
        <v>-0.59018158399999998</v>
      </c>
      <c r="S3577" s="13">
        <v>-1.906629914</v>
      </c>
      <c r="T3577">
        <v>-2.406343879</v>
      </c>
      <c r="U3577">
        <v>-0.57490874400000003</v>
      </c>
    </row>
    <row r="3578" spans="1:21" x14ac:dyDescent="0.2">
      <c r="A3578" t="s">
        <v>314</v>
      </c>
      <c r="B3578">
        <v>98560</v>
      </c>
      <c r="C3578" t="s">
        <v>6910</v>
      </c>
      <c r="D3578" t="s">
        <v>315</v>
      </c>
      <c r="E3578" t="s">
        <v>6915</v>
      </c>
      <c r="F3578">
        <v>6</v>
      </c>
      <c r="G3578">
        <v>13</v>
      </c>
      <c r="H3578" t="s">
        <v>14174</v>
      </c>
      <c r="J3578" t="s">
        <v>6181</v>
      </c>
      <c r="M3578" t="s">
        <v>14175</v>
      </c>
      <c r="N3578">
        <v>1.9874741039999999</v>
      </c>
      <c r="O3578">
        <v>3.7453511220000002</v>
      </c>
      <c r="P3578">
        <v>0.451009722</v>
      </c>
      <c r="Q3578">
        <v>-0.102386592</v>
      </c>
      <c r="S3578" s="13">
        <v>-1.9066447179999999</v>
      </c>
      <c r="T3578">
        <v>-2.4064085689999999</v>
      </c>
      <c r="U3578">
        <v>-0.75516710099999995</v>
      </c>
    </row>
    <row r="3579" spans="1:21" x14ac:dyDescent="0.2">
      <c r="A3579" t="s">
        <v>203</v>
      </c>
      <c r="B3579">
        <v>97920</v>
      </c>
      <c r="C3579" t="s">
        <v>6910</v>
      </c>
      <c r="D3579" t="s">
        <v>204</v>
      </c>
      <c r="E3579" t="s">
        <v>6915</v>
      </c>
      <c r="F3579">
        <v>1</v>
      </c>
      <c r="G3579">
        <v>13</v>
      </c>
      <c r="H3579" t="s">
        <v>14176</v>
      </c>
      <c r="J3579" t="s">
        <v>6293</v>
      </c>
      <c r="M3579" t="s">
        <v>14177</v>
      </c>
      <c r="N3579">
        <v>1.9874741039999999</v>
      </c>
      <c r="O3579">
        <v>3.7453511220000002</v>
      </c>
      <c r="P3579">
        <v>0.451009722</v>
      </c>
      <c r="Q3579">
        <v>-0.102386592</v>
      </c>
      <c r="S3579" s="13">
        <v>-1.90733329</v>
      </c>
      <c r="T3579">
        <v>-2.4094174700000002</v>
      </c>
      <c r="U3579">
        <v>-0.75688463699999997</v>
      </c>
    </row>
    <row r="3580" spans="1:21" x14ac:dyDescent="0.2">
      <c r="A3580" t="s">
        <v>397</v>
      </c>
      <c r="B3580">
        <v>105800</v>
      </c>
      <c r="C3580" t="s">
        <v>6927</v>
      </c>
      <c r="D3580" t="s">
        <v>397</v>
      </c>
      <c r="E3580" t="s">
        <v>7006</v>
      </c>
      <c r="F3580">
        <v>10</v>
      </c>
      <c r="G3580">
        <v>3</v>
      </c>
      <c r="H3580" t="s">
        <v>14178</v>
      </c>
      <c r="J3580" t="s">
        <v>14179</v>
      </c>
      <c r="M3580" t="s">
        <v>14180</v>
      </c>
      <c r="N3580">
        <v>1.982575982</v>
      </c>
      <c r="O3580">
        <v>3.4571926419999999</v>
      </c>
      <c r="P3580">
        <v>-0.114791479</v>
      </c>
      <c r="Q3580">
        <v>1.868949E-3</v>
      </c>
      <c r="S3580" s="13">
        <v>-1.9079523519999999</v>
      </c>
      <c r="T3580">
        <v>-2.4121226299999998</v>
      </c>
      <c r="U3580">
        <v>-1.2335758699999999</v>
      </c>
    </row>
    <row r="3581" spans="1:21" x14ac:dyDescent="0.2">
      <c r="A3581" t="s">
        <v>239</v>
      </c>
      <c r="B3581">
        <v>105240</v>
      </c>
      <c r="C3581" t="s">
        <v>6927</v>
      </c>
      <c r="D3581" t="s">
        <v>240</v>
      </c>
      <c r="E3581" t="s">
        <v>6977</v>
      </c>
      <c r="F3581">
        <v>1</v>
      </c>
      <c r="G3581">
        <v>5</v>
      </c>
      <c r="H3581" t="s">
        <v>14181</v>
      </c>
      <c r="J3581" t="s">
        <v>14182</v>
      </c>
      <c r="M3581" t="s">
        <v>14183</v>
      </c>
      <c r="N3581">
        <v>1.982575982</v>
      </c>
      <c r="O3581">
        <v>3.4571926419999999</v>
      </c>
      <c r="P3581">
        <v>-0.114791479</v>
      </c>
      <c r="Q3581">
        <v>1.868949E-3</v>
      </c>
      <c r="S3581" s="13">
        <v>-1.9085334220000001</v>
      </c>
      <c r="T3581">
        <v>-2.414661771</v>
      </c>
      <c r="U3581">
        <v>-1.2381124699999999</v>
      </c>
    </row>
    <row r="3582" spans="1:21" x14ac:dyDescent="0.2">
      <c r="A3582" t="s">
        <v>157</v>
      </c>
      <c r="B3582">
        <v>170000</v>
      </c>
      <c r="C3582" t="s">
        <v>6953</v>
      </c>
      <c r="D3582" t="s">
        <v>157</v>
      </c>
      <c r="E3582" t="s">
        <v>6946</v>
      </c>
      <c r="F3582">
        <v>14</v>
      </c>
      <c r="G3582">
        <v>11</v>
      </c>
      <c r="H3582" t="s">
        <v>14184</v>
      </c>
      <c r="J3582" t="s">
        <v>5125</v>
      </c>
      <c r="M3582" t="s">
        <v>14185</v>
      </c>
      <c r="N3582">
        <v>1.921480887</v>
      </c>
      <c r="O3582">
        <v>3.0856645180000002</v>
      </c>
      <c r="P3582">
        <v>0.44706724399999997</v>
      </c>
      <c r="Q3582">
        <v>-0.354940863</v>
      </c>
      <c r="S3582" s="13">
        <v>-1.9088135799999999</v>
      </c>
      <c r="T3582">
        <v>-2.415886</v>
      </c>
      <c r="U3582">
        <v>-0.83626491199999997</v>
      </c>
    </row>
    <row r="3583" spans="1:21" x14ac:dyDescent="0.2">
      <c r="A3583" t="s">
        <v>1773</v>
      </c>
      <c r="B3583">
        <v>93480</v>
      </c>
      <c r="C3583" t="s">
        <v>6910</v>
      </c>
      <c r="D3583" t="s">
        <v>1773</v>
      </c>
      <c r="E3583" t="s">
        <v>6970</v>
      </c>
      <c r="F3583">
        <v>15</v>
      </c>
      <c r="G3583">
        <v>14</v>
      </c>
      <c r="H3583" t="s">
        <v>14186</v>
      </c>
      <c r="J3583" t="s">
        <v>6343</v>
      </c>
      <c r="M3583" t="s">
        <v>14187</v>
      </c>
      <c r="N3583">
        <v>1.9874741039999999</v>
      </c>
      <c r="O3583">
        <v>3.7453511220000002</v>
      </c>
      <c r="P3583">
        <v>0.451009722</v>
      </c>
      <c r="Q3583">
        <v>-0.102386592</v>
      </c>
      <c r="S3583" s="13">
        <v>-1.912110258</v>
      </c>
      <c r="T3583">
        <v>-2.430291725</v>
      </c>
      <c r="U3583">
        <v>-0.76899081000000002</v>
      </c>
    </row>
    <row r="3584" spans="1:21" x14ac:dyDescent="0.2">
      <c r="A3584" t="s">
        <v>853</v>
      </c>
      <c r="B3584">
        <v>101280</v>
      </c>
      <c r="C3584" t="s">
        <v>6927</v>
      </c>
      <c r="D3584" t="s">
        <v>854</v>
      </c>
      <c r="E3584" t="s">
        <v>6946</v>
      </c>
      <c r="F3584">
        <v>5</v>
      </c>
      <c r="G3584">
        <v>11</v>
      </c>
      <c r="H3584" t="s">
        <v>14188</v>
      </c>
      <c r="J3584" t="s">
        <v>14189</v>
      </c>
      <c r="M3584" t="s">
        <v>14190</v>
      </c>
      <c r="N3584">
        <v>1.982575982</v>
      </c>
      <c r="O3584">
        <v>3.4571926419999999</v>
      </c>
      <c r="P3584">
        <v>-0.114791479</v>
      </c>
      <c r="Q3584">
        <v>1.868949E-3</v>
      </c>
      <c r="S3584" s="13">
        <v>-1.912642414</v>
      </c>
      <c r="T3584">
        <v>-2.4326171269999999</v>
      </c>
      <c r="U3584">
        <v>-1.2716209270000001</v>
      </c>
    </row>
    <row r="3585" spans="1:21" x14ac:dyDescent="0.2">
      <c r="A3585" t="s">
        <v>225</v>
      </c>
      <c r="B3585">
        <v>165520</v>
      </c>
      <c r="C3585" t="s">
        <v>6953</v>
      </c>
      <c r="D3585" t="s">
        <v>225</v>
      </c>
      <c r="E3585" t="s">
        <v>6918</v>
      </c>
      <c r="F3585">
        <v>20</v>
      </c>
      <c r="G3585">
        <v>1</v>
      </c>
      <c r="H3585" t="s">
        <v>14191</v>
      </c>
      <c r="J3585" t="s">
        <v>5447</v>
      </c>
      <c r="M3585" t="s">
        <v>14192</v>
      </c>
      <c r="N3585">
        <v>1.921480887</v>
      </c>
      <c r="O3585">
        <v>3.0856645180000002</v>
      </c>
      <c r="P3585">
        <v>0.44706724399999997</v>
      </c>
      <c r="Q3585">
        <v>-0.354940863</v>
      </c>
      <c r="S3585" s="13">
        <v>-1.913462137</v>
      </c>
      <c r="T3585">
        <v>-2.4361991299999999</v>
      </c>
      <c r="U3585">
        <v>-0.85097369700000003</v>
      </c>
    </row>
    <row r="3586" spans="1:21" x14ac:dyDescent="0.2">
      <c r="A3586" t="s">
        <v>491</v>
      </c>
      <c r="B3586">
        <v>251640</v>
      </c>
      <c r="C3586" t="s">
        <v>6914</v>
      </c>
      <c r="D3586" t="s">
        <v>491</v>
      </c>
      <c r="E3586" t="s">
        <v>6924</v>
      </c>
      <c r="F3586">
        <v>15</v>
      </c>
      <c r="G3586">
        <v>6</v>
      </c>
      <c r="H3586" t="s">
        <v>14193</v>
      </c>
      <c r="J3586" t="s">
        <v>6619</v>
      </c>
      <c r="M3586" t="s">
        <v>14194</v>
      </c>
      <c r="N3586">
        <v>1.8217074179999999</v>
      </c>
      <c r="O3586">
        <v>4.1700741289999996</v>
      </c>
      <c r="P3586">
        <v>0.189705977</v>
      </c>
      <c r="Q3586">
        <v>-1.7194070999999998E-2</v>
      </c>
      <c r="S3586" s="13">
        <v>-1.914315268</v>
      </c>
      <c r="T3586">
        <v>-2.4399271159999998</v>
      </c>
      <c r="U3586">
        <v>-0.887389188</v>
      </c>
    </row>
    <row r="3587" spans="1:21" x14ac:dyDescent="0.2">
      <c r="A3587" t="s">
        <v>2167</v>
      </c>
      <c r="B3587">
        <v>250760</v>
      </c>
      <c r="C3587" t="s">
        <v>6914</v>
      </c>
      <c r="D3587" t="s">
        <v>2168</v>
      </c>
      <c r="E3587" t="s">
        <v>6956</v>
      </c>
      <c r="F3587">
        <v>8</v>
      </c>
      <c r="G3587">
        <v>7</v>
      </c>
      <c r="H3587" t="s">
        <v>14195</v>
      </c>
      <c r="J3587" t="s">
        <v>6697</v>
      </c>
      <c r="M3587" t="s">
        <v>14196</v>
      </c>
      <c r="N3587">
        <v>1.8217074179999999</v>
      </c>
      <c r="O3587">
        <v>4.1700741289999996</v>
      </c>
      <c r="P3587">
        <v>0.189705977</v>
      </c>
      <c r="Q3587">
        <v>-1.7194070999999998E-2</v>
      </c>
      <c r="S3587" s="13">
        <v>-1.915373698</v>
      </c>
      <c r="T3587">
        <v>-2.4445522139999998</v>
      </c>
      <c r="U3587">
        <v>-0.89059674899999997</v>
      </c>
    </row>
    <row r="3588" spans="1:21" x14ac:dyDescent="0.2">
      <c r="A3588" t="s">
        <v>405</v>
      </c>
      <c r="B3588">
        <v>97680</v>
      </c>
      <c r="C3588" t="s">
        <v>6927</v>
      </c>
      <c r="D3588" t="s">
        <v>405</v>
      </c>
      <c r="E3588" t="s">
        <v>6946</v>
      </c>
      <c r="F3588">
        <v>23</v>
      </c>
      <c r="G3588">
        <v>11</v>
      </c>
      <c r="H3588" t="s">
        <v>14197</v>
      </c>
      <c r="J3588" t="s">
        <v>14198</v>
      </c>
      <c r="M3588" t="s">
        <v>14199</v>
      </c>
      <c r="N3588">
        <v>1.982575982</v>
      </c>
      <c r="O3588">
        <v>3.4571926419999999</v>
      </c>
      <c r="P3588">
        <v>-0.114791479</v>
      </c>
      <c r="Q3588">
        <v>1.868949E-3</v>
      </c>
      <c r="S3588" s="13">
        <v>-1.916377861</v>
      </c>
      <c r="T3588">
        <v>-2.448940178</v>
      </c>
      <c r="U3588">
        <v>-1.3045031410000001</v>
      </c>
    </row>
    <row r="3589" spans="1:21" x14ac:dyDescent="0.2">
      <c r="A3589" t="s">
        <v>259</v>
      </c>
      <c r="B3589">
        <v>88840</v>
      </c>
      <c r="C3589" t="s">
        <v>6910</v>
      </c>
      <c r="D3589" t="s">
        <v>260</v>
      </c>
      <c r="E3589" t="s">
        <v>6956</v>
      </c>
      <c r="F3589">
        <v>1</v>
      </c>
      <c r="G3589">
        <v>7</v>
      </c>
      <c r="H3589" t="s">
        <v>14200</v>
      </c>
      <c r="J3589" t="s">
        <v>6207</v>
      </c>
      <c r="M3589" t="s">
        <v>14201</v>
      </c>
      <c r="N3589">
        <v>1.9874741039999999</v>
      </c>
      <c r="O3589">
        <v>3.7453511220000002</v>
      </c>
      <c r="P3589">
        <v>0.451009722</v>
      </c>
      <c r="Q3589">
        <v>-0.102386592</v>
      </c>
      <c r="S3589" s="13">
        <v>-1.917102404</v>
      </c>
      <c r="T3589">
        <v>-2.452106262</v>
      </c>
      <c r="U3589">
        <v>-0.78201360399999997</v>
      </c>
    </row>
    <row r="3590" spans="1:21" x14ac:dyDescent="0.2">
      <c r="A3590" t="s">
        <v>52</v>
      </c>
      <c r="B3590">
        <v>96400</v>
      </c>
      <c r="C3590" t="s">
        <v>6927</v>
      </c>
      <c r="D3590" t="s">
        <v>53</v>
      </c>
      <c r="E3590" t="s">
        <v>6918</v>
      </c>
      <c r="F3590">
        <v>2</v>
      </c>
      <c r="G3590">
        <v>1</v>
      </c>
      <c r="H3590" t="s">
        <v>14202</v>
      </c>
      <c r="J3590" t="s">
        <v>14203</v>
      </c>
      <c r="M3590" t="s">
        <v>14204</v>
      </c>
      <c r="N3590">
        <v>1.982575982</v>
      </c>
      <c r="O3590">
        <v>3.4571926419999999</v>
      </c>
      <c r="P3590">
        <v>-0.114791479</v>
      </c>
      <c r="Q3590">
        <v>1.868949E-3</v>
      </c>
      <c r="S3590" s="13">
        <v>-1.91770602</v>
      </c>
      <c r="T3590">
        <v>-2.4547439290000002</v>
      </c>
      <c r="U3590">
        <v>-1.3168216479999999</v>
      </c>
    </row>
    <row r="3591" spans="1:21" x14ac:dyDescent="0.2">
      <c r="A3591" t="s">
        <v>772</v>
      </c>
      <c r="B3591">
        <v>87640</v>
      </c>
      <c r="C3591" t="s">
        <v>6910</v>
      </c>
      <c r="D3591" t="s">
        <v>772</v>
      </c>
      <c r="E3591" t="s">
        <v>6928</v>
      </c>
      <c r="F3591">
        <v>18</v>
      </c>
      <c r="G3591">
        <v>16</v>
      </c>
      <c r="H3591" t="s">
        <v>14205</v>
      </c>
      <c r="J3591" t="s">
        <v>5827</v>
      </c>
      <c r="M3591" t="s">
        <v>14206</v>
      </c>
      <c r="N3591">
        <v>1.9874741039999999</v>
      </c>
      <c r="O3591">
        <v>3.7453511220000002</v>
      </c>
      <c r="P3591">
        <v>0.451009722</v>
      </c>
      <c r="Q3591">
        <v>-0.102386592</v>
      </c>
      <c r="S3591" s="13">
        <v>-1.9183934760000001</v>
      </c>
      <c r="T3591">
        <v>-2.4577479530000002</v>
      </c>
      <c r="U3591">
        <v>-0.78544610199999998</v>
      </c>
    </row>
    <row r="3592" spans="1:21" x14ac:dyDescent="0.2">
      <c r="A3592" t="s">
        <v>541</v>
      </c>
      <c r="B3592">
        <v>117080</v>
      </c>
      <c r="C3592" t="s">
        <v>6931</v>
      </c>
      <c r="D3592" t="s">
        <v>542</v>
      </c>
      <c r="E3592" t="s">
        <v>6974</v>
      </c>
      <c r="F3592">
        <v>1</v>
      </c>
      <c r="G3592">
        <v>15</v>
      </c>
      <c r="H3592" t="s">
        <v>14207</v>
      </c>
      <c r="J3592" t="s">
        <v>6615</v>
      </c>
      <c r="M3592" t="s">
        <v>14208</v>
      </c>
      <c r="N3592">
        <v>1.9323965059999999</v>
      </c>
      <c r="O3592">
        <v>3.0528020530000002</v>
      </c>
      <c r="P3592">
        <v>2.6493138999999999E-2</v>
      </c>
      <c r="Q3592">
        <v>-0.38692188</v>
      </c>
      <c r="S3592" s="13">
        <v>-1.918665002</v>
      </c>
      <c r="T3592">
        <v>-2.4589344620000002</v>
      </c>
      <c r="U3592">
        <v>-0.55206944199999997</v>
      </c>
    </row>
    <row r="3593" spans="1:21" x14ac:dyDescent="0.2">
      <c r="A3593" t="s">
        <v>681</v>
      </c>
      <c r="B3593">
        <v>95040</v>
      </c>
      <c r="C3593" t="s">
        <v>6927</v>
      </c>
      <c r="D3593" t="s">
        <v>682</v>
      </c>
      <c r="E3593" t="s">
        <v>6907</v>
      </c>
      <c r="F3593">
        <v>5</v>
      </c>
      <c r="G3593">
        <v>4</v>
      </c>
      <c r="H3593" t="s">
        <v>14209</v>
      </c>
      <c r="J3593" t="s">
        <v>14210</v>
      </c>
      <c r="M3593" t="s">
        <v>14211</v>
      </c>
      <c r="N3593">
        <v>1.982575982</v>
      </c>
      <c r="O3593">
        <v>3.4571926419999999</v>
      </c>
      <c r="P3593">
        <v>-0.114791479</v>
      </c>
      <c r="Q3593">
        <v>1.868949E-3</v>
      </c>
      <c r="S3593" s="13">
        <v>-1.9191171890000001</v>
      </c>
      <c r="T3593">
        <v>-2.4609104149999999</v>
      </c>
      <c r="U3593">
        <v>-1.330304596</v>
      </c>
    </row>
    <row r="3594" spans="1:21" x14ac:dyDescent="0.2">
      <c r="A3594" t="s">
        <v>348</v>
      </c>
      <c r="B3594">
        <v>90760</v>
      </c>
      <c r="C3594" t="s">
        <v>6927</v>
      </c>
      <c r="D3594" t="s">
        <v>349</v>
      </c>
      <c r="E3594" t="s">
        <v>6907</v>
      </c>
      <c r="F3594">
        <v>1</v>
      </c>
      <c r="G3594">
        <v>4</v>
      </c>
      <c r="H3594" t="s">
        <v>14212</v>
      </c>
      <c r="J3594" t="s">
        <v>14213</v>
      </c>
      <c r="M3594" t="s">
        <v>14214</v>
      </c>
      <c r="N3594">
        <v>1.982575982</v>
      </c>
      <c r="O3594">
        <v>3.4571926419999999</v>
      </c>
      <c r="P3594">
        <v>-0.114791479</v>
      </c>
      <c r="Q3594">
        <v>1.868949E-3</v>
      </c>
      <c r="S3594" s="13">
        <v>-1.923558221</v>
      </c>
      <c r="T3594">
        <v>-2.4803167089999998</v>
      </c>
      <c r="U3594">
        <v>-1.375693031</v>
      </c>
    </row>
    <row r="3595" spans="1:21" x14ac:dyDescent="0.2">
      <c r="A3595" t="s">
        <v>637</v>
      </c>
      <c r="B3595">
        <v>90520</v>
      </c>
      <c r="C3595" t="s">
        <v>6927</v>
      </c>
      <c r="D3595" t="s">
        <v>637</v>
      </c>
      <c r="E3595" t="s">
        <v>6977</v>
      </c>
      <c r="F3595">
        <v>19</v>
      </c>
      <c r="G3595">
        <v>5</v>
      </c>
      <c r="H3595" t="s">
        <v>14215</v>
      </c>
      <c r="J3595" t="s">
        <v>14216</v>
      </c>
      <c r="M3595" t="s">
        <v>14217</v>
      </c>
      <c r="N3595">
        <v>1.982575982</v>
      </c>
      <c r="O3595">
        <v>3.4571926419999999</v>
      </c>
      <c r="P3595">
        <v>-0.114791479</v>
      </c>
      <c r="Q3595">
        <v>1.868949E-3</v>
      </c>
      <c r="S3595" s="13">
        <v>-1.9238072509999999</v>
      </c>
      <c r="T3595">
        <v>-2.4814049119999999</v>
      </c>
      <c r="U3595">
        <v>-1.378384252</v>
      </c>
    </row>
    <row r="3596" spans="1:21" x14ac:dyDescent="0.2">
      <c r="A3596" t="s">
        <v>1190</v>
      </c>
      <c r="B3596">
        <v>209080</v>
      </c>
      <c r="C3596" t="s">
        <v>6906</v>
      </c>
      <c r="D3596" t="s">
        <v>1190</v>
      </c>
      <c r="E3596" t="s">
        <v>6921</v>
      </c>
      <c r="F3596">
        <v>17</v>
      </c>
      <c r="G3596">
        <v>8</v>
      </c>
      <c r="H3596" t="s">
        <v>14218</v>
      </c>
      <c r="J3596" t="s">
        <v>4103</v>
      </c>
      <c r="M3596" t="s">
        <v>14219</v>
      </c>
      <c r="N3596">
        <v>1.813871112</v>
      </c>
      <c r="O3596">
        <v>2.6633694910000001</v>
      </c>
      <c r="P3596">
        <v>-0.29586356800000002</v>
      </c>
      <c r="Q3596">
        <v>-0.59018158399999998</v>
      </c>
      <c r="S3596" s="13">
        <v>-1.9253735670000001</v>
      </c>
      <c r="T3596">
        <v>-2.4882493569999999</v>
      </c>
      <c r="U3596">
        <v>-0.59838099700000003</v>
      </c>
    </row>
    <row r="3597" spans="1:21" x14ac:dyDescent="0.2">
      <c r="A3597" t="s">
        <v>709</v>
      </c>
      <c r="B3597">
        <v>88600</v>
      </c>
      <c r="C3597" t="s">
        <v>6927</v>
      </c>
      <c r="D3597" t="s">
        <v>709</v>
      </c>
      <c r="E3597" t="s">
        <v>6928</v>
      </c>
      <c r="F3597">
        <v>20</v>
      </c>
      <c r="G3597">
        <v>16</v>
      </c>
      <c r="H3597" t="s">
        <v>14220</v>
      </c>
      <c r="J3597" t="s">
        <v>14221</v>
      </c>
      <c r="M3597" t="s">
        <v>14222</v>
      </c>
      <c r="N3597">
        <v>1.982575982</v>
      </c>
      <c r="O3597">
        <v>3.4571926419999999</v>
      </c>
      <c r="P3597">
        <v>-0.114791479</v>
      </c>
      <c r="Q3597">
        <v>1.868949E-3</v>
      </c>
      <c r="S3597" s="13">
        <v>-1.9257994890000001</v>
      </c>
      <c r="T3597">
        <v>-2.4901105399999999</v>
      </c>
      <c r="U3597">
        <v>-1.4005363420000001</v>
      </c>
    </row>
    <row r="3598" spans="1:21" x14ac:dyDescent="0.2">
      <c r="A3598" t="s">
        <v>504</v>
      </c>
      <c r="B3598">
        <v>88240</v>
      </c>
      <c r="C3598" t="s">
        <v>6927</v>
      </c>
      <c r="D3598" t="s">
        <v>504</v>
      </c>
      <c r="E3598" t="s">
        <v>6956</v>
      </c>
      <c r="F3598">
        <v>12</v>
      </c>
      <c r="G3598">
        <v>7</v>
      </c>
      <c r="H3598" t="s">
        <v>14223</v>
      </c>
      <c r="J3598" t="s">
        <v>14224</v>
      </c>
      <c r="M3598" t="s">
        <v>14225</v>
      </c>
      <c r="N3598">
        <v>1.982575982</v>
      </c>
      <c r="O3598">
        <v>3.4571926419999999</v>
      </c>
      <c r="P3598">
        <v>-0.114791479</v>
      </c>
      <c r="Q3598">
        <v>1.868949E-3</v>
      </c>
      <c r="S3598" s="13">
        <v>-1.9261730340000001</v>
      </c>
      <c r="T3598">
        <v>-2.4917428450000001</v>
      </c>
      <c r="U3598">
        <v>-1.404818656</v>
      </c>
    </row>
    <row r="3599" spans="1:21" x14ac:dyDescent="0.2">
      <c r="A3599" t="s">
        <v>2871</v>
      </c>
      <c r="B3599">
        <v>86000</v>
      </c>
      <c r="C3599" t="s">
        <v>6927</v>
      </c>
      <c r="D3599" t="s">
        <v>2871</v>
      </c>
      <c r="E3599" t="s">
        <v>6907</v>
      </c>
      <c r="F3599">
        <v>21</v>
      </c>
      <c r="G3599">
        <v>4</v>
      </c>
      <c r="H3599" t="s">
        <v>14226</v>
      </c>
      <c r="J3599" t="s">
        <v>14227</v>
      </c>
      <c r="M3599" t="s">
        <v>14228</v>
      </c>
      <c r="N3599">
        <v>1.982575982</v>
      </c>
      <c r="O3599">
        <v>3.4571926419999999</v>
      </c>
      <c r="P3599">
        <v>-0.114791479</v>
      </c>
      <c r="Q3599">
        <v>1.868949E-3</v>
      </c>
      <c r="S3599" s="13">
        <v>-1.928497313</v>
      </c>
      <c r="T3599">
        <v>-2.50189941</v>
      </c>
      <c r="U3599">
        <v>-1.432457053</v>
      </c>
    </row>
    <row r="3600" spans="1:21" x14ac:dyDescent="0.2">
      <c r="A3600" t="s">
        <v>756</v>
      </c>
      <c r="B3600">
        <v>85280</v>
      </c>
      <c r="C3600" t="s">
        <v>6927</v>
      </c>
      <c r="D3600" t="s">
        <v>756</v>
      </c>
      <c r="E3600" t="s">
        <v>7085</v>
      </c>
      <c r="F3600">
        <v>23</v>
      </c>
      <c r="G3600">
        <v>9</v>
      </c>
      <c r="H3600" t="s">
        <v>14229</v>
      </c>
      <c r="J3600" t="s">
        <v>14230</v>
      </c>
      <c r="M3600" t="s">
        <v>14231</v>
      </c>
      <c r="N3600">
        <v>1.982575982</v>
      </c>
      <c r="O3600">
        <v>3.4571926419999999</v>
      </c>
      <c r="P3600">
        <v>-0.114791479</v>
      </c>
      <c r="Q3600">
        <v>1.868949E-3</v>
      </c>
      <c r="S3600" s="13">
        <v>-1.9292444019999999</v>
      </c>
      <c r="T3600">
        <v>-2.50516402</v>
      </c>
      <c r="U3600">
        <v>-1.4417278469999999</v>
      </c>
    </row>
    <row r="3601" spans="1:21" x14ac:dyDescent="0.2">
      <c r="A3601" t="s">
        <v>263</v>
      </c>
      <c r="B3601">
        <v>84920</v>
      </c>
      <c r="C3601" t="s">
        <v>6927</v>
      </c>
      <c r="D3601" t="s">
        <v>264</v>
      </c>
      <c r="E3601" t="s">
        <v>6974</v>
      </c>
      <c r="F3601">
        <v>5</v>
      </c>
      <c r="G3601">
        <v>15</v>
      </c>
      <c r="H3601" t="s">
        <v>14232</v>
      </c>
      <c r="J3601" t="s">
        <v>14233</v>
      </c>
      <c r="M3601" t="s">
        <v>14234</v>
      </c>
      <c r="N3601">
        <v>1.982575982</v>
      </c>
      <c r="O3601">
        <v>3.4571926419999999</v>
      </c>
      <c r="P3601">
        <v>-0.114791479</v>
      </c>
      <c r="Q3601">
        <v>1.868949E-3</v>
      </c>
      <c r="S3601" s="13">
        <v>-1.9296179469999999</v>
      </c>
      <c r="T3601">
        <v>-2.5067963249999998</v>
      </c>
      <c r="U3601">
        <v>-1.44643853</v>
      </c>
    </row>
    <row r="3602" spans="1:21" x14ac:dyDescent="0.2">
      <c r="A3602" t="s">
        <v>2031</v>
      </c>
      <c r="B3602">
        <v>77080</v>
      </c>
      <c r="C3602" t="s">
        <v>6910</v>
      </c>
      <c r="D3602" t="s">
        <v>2032</v>
      </c>
      <c r="E3602" t="s">
        <v>6924</v>
      </c>
      <c r="F3602">
        <v>3</v>
      </c>
      <c r="G3602">
        <v>6</v>
      </c>
      <c r="H3602" t="s">
        <v>14235</v>
      </c>
      <c r="J3602" t="s">
        <v>6327</v>
      </c>
      <c r="M3602" t="s">
        <v>14236</v>
      </c>
      <c r="N3602">
        <v>1.9874741039999999</v>
      </c>
      <c r="O3602">
        <v>3.7453511220000002</v>
      </c>
      <c r="P3602">
        <v>0.451009722</v>
      </c>
      <c r="Q3602">
        <v>-0.102386592</v>
      </c>
      <c r="S3602" s="13">
        <v>-1.9297549110000001</v>
      </c>
      <c r="T3602">
        <v>-2.5073948289999999</v>
      </c>
      <c r="U3602">
        <v>-0.81688256599999998</v>
      </c>
    </row>
    <row r="3603" spans="1:21" x14ac:dyDescent="0.2">
      <c r="A3603" t="s">
        <v>753</v>
      </c>
      <c r="B3603">
        <v>77080</v>
      </c>
      <c r="C3603" t="s">
        <v>6910</v>
      </c>
      <c r="D3603" t="s">
        <v>753</v>
      </c>
      <c r="E3603" t="s">
        <v>6911</v>
      </c>
      <c r="F3603">
        <v>10</v>
      </c>
      <c r="G3603">
        <v>12</v>
      </c>
      <c r="H3603" t="s">
        <v>14237</v>
      </c>
      <c r="J3603" t="s">
        <v>6225</v>
      </c>
      <c r="M3603" t="s">
        <v>14238</v>
      </c>
      <c r="N3603">
        <v>1.9874741039999999</v>
      </c>
      <c r="O3603">
        <v>3.7453511220000002</v>
      </c>
      <c r="P3603">
        <v>0.451009722</v>
      </c>
      <c r="Q3603">
        <v>-0.102386592</v>
      </c>
      <c r="S3603" s="13">
        <v>-1.9297549110000001</v>
      </c>
      <c r="T3603">
        <v>-2.5073948289999999</v>
      </c>
      <c r="U3603">
        <v>-0.81688256599999998</v>
      </c>
    </row>
    <row r="3604" spans="1:21" x14ac:dyDescent="0.2">
      <c r="A3604" t="s">
        <v>909</v>
      </c>
      <c r="B3604">
        <v>76880</v>
      </c>
      <c r="C3604" t="s">
        <v>6910</v>
      </c>
      <c r="D3604" t="s">
        <v>909</v>
      </c>
      <c r="E3604" t="s">
        <v>6974</v>
      </c>
      <c r="F3604">
        <v>10</v>
      </c>
      <c r="G3604">
        <v>15</v>
      </c>
      <c r="H3604" t="s">
        <v>14239</v>
      </c>
      <c r="J3604" t="s">
        <v>6057</v>
      </c>
      <c r="M3604" t="s">
        <v>14240</v>
      </c>
      <c r="N3604">
        <v>1.9874741039999999</v>
      </c>
      <c r="O3604">
        <v>3.7453511220000002</v>
      </c>
      <c r="P3604">
        <v>0.451009722</v>
      </c>
      <c r="Q3604">
        <v>-0.102386592</v>
      </c>
      <c r="S3604" s="13">
        <v>-1.9299700900000001</v>
      </c>
      <c r="T3604">
        <v>-2.5083351110000001</v>
      </c>
      <c r="U3604">
        <v>-0.81750047100000001</v>
      </c>
    </row>
    <row r="3605" spans="1:21" x14ac:dyDescent="0.2">
      <c r="A3605" t="s">
        <v>491</v>
      </c>
      <c r="B3605">
        <v>76680</v>
      </c>
      <c r="C3605" t="s">
        <v>6910</v>
      </c>
      <c r="D3605" t="s">
        <v>491</v>
      </c>
      <c r="E3605" t="s">
        <v>6924</v>
      </c>
      <c r="F3605">
        <v>15</v>
      </c>
      <c r="G3605">
        <v>6</v>
      </c>
      <c r="H3605" t="s">
        <v>14241</v>
      </c>
      <c r="J3605" t="s">
        <v>6373</v>
      </c>
      <c r="M3605" t="s">
        <v>14242</v>
      </c>
      <c r="N3605">
        <v>1.9874741039999999</v>
      </c>
      <c r="O3605">
        <v>3.7453511220000002</v>
      </c>
      <c r="P3605">
        <v>0.451009722</v>
      </c>
      <c r="Q3605">
        <v>-0.102386592</v>
      </c>
      <c r="S3605" s="13">
        <v>-1.9301852690000001</v>
      </c>
      <c r="T3605">
        <v>-2.5092753929999998</v>
      </c>
      <c r="U3605">
        <v>-0.81811925699999999</v>
      </c>
    </row>
    <row r="3606" spans="1:21" x14ac:dyDescent="0.2">
      <c r="A3606" t="s">
        <v>392</v>
      </c>
      <c r="B3606">
        <v>76520</v>
      </c>
      <c r="C3606" t="s">
        <v>6910</v>
      </c>
      <c r="D3606" t="s">
        <v>392</v>
      </c>
      <c r="E3606" t="s">
        <v>7006</v>
      </c>
      <c r="F3606">
        <v>21</v>
      </c>
      <c r="G3606">
        <v>3</v>
      </c>
      <c r="H3606" t="s">
        <v>14243</v>
      </c>
      <c r="J3606" t="s">
        <v>6381</v>
      </c>
      <c r="M3606" t="s">
        <v>14244</v>
      </c>
      <c r="N3606">
        <v>1.9874741039999999</v>
      </c>
      <c r="O3606">
        <v>3.7453511220000002</v>
      </c>
      <c r="P3606">
        <v>0.451009722</v>
      </c>
      <c r="Q3606">
        <v>-0.102386592</v>
      </c>
      <c r="S3606" s="13">
        <v>-1.930357412</v>
      </c>
      <c r="T3606">
        <v>-2.5100276180000001</v>
      </c>
      <c r="U3606">
        <v>-0.818614921</v>
      </c>
    </row>
    <row r="3607" spans="1:21" x14ac:dyDescent="0.2">
      <c r="A3607" t="s">
        <v>2252</v>
      </c>
      <c r="B3607">
        <v>75920</v>
      </c>
      <c r="C3607" t="s">
        <v>6910</v>
      </c>
      <c r="D3607" t="s">
        <v>2253</v>
      </c>
      <c r="E3607" t="s">
        <v>6924</v>
      </c>
      <c r="F3607">
        <v>4</v>
      </c>
      <c r="G3607">
        <v>6</v>
      </c>
      <c r="H3607" t="s">
        <v>14245</v>
      </c>
      <c r="J3607" t="s">
        <v>6297</v>
      </c>
      <c r="M3607" t="s">
        <v>14246</v>
      </c>
      <c r="N3607">
        <v>1.9874741039999999</v>
      </c>
      <c r="O3607">
        <v>3.7453511220000002</v>
      </c>
      <c r="P3607">
        <v>0.451009722</v>
      </c>
      <c r="Q3607">
        <v>-0.102386592</v>
      </c>
      <c r="S3607" s="13">
        <v>-1.9310029479999999</v>
      </c>
      <c r="T3607">
        <v>-2.5128484640000002</v>
      </c>
      <c r="U3607">
        <v>-0.82047871500000003</v>
      </c>
    </row>
    <row r="3608" spans="1:21" x14ac:dyDescent="0.2">
      <c r="A3608" t="s">
        <v>592</v>
      </c>
      <c r="B3608">
        <v>82440</v>
      </c>
      <c r="C3608" t="s">
        <v>6927</v>
      </c>
      <c r="D3608" t="s">
        <v>593</v>
      </c>
      <c r="E3608" t="s">
        <v>6946</v>
      </c>
      <c r="F3608">
        <v>9</v>
      </c>
      <c r="G3608">
        <v>11</v>
      </c>
      <c r="H3608" t="s">
        <v>14247</v>
      </c>
      <c r="J3608" t="s">
        <v>14248</v>
      </c>
      <c r="M3608" t="s">
        <v>14249</v>
      </c>
      <c r="N3608">
        <v>1.982575982</v>
      </c>
      <c r="O3608">
        <v>3.4571926419999999</v>
      </c>
      <c r="P3608">
        <v>-0.114791479</v>
      </c>
      <c r="Q3608">
        <v>1.868949E-3</v>
      </c>
      <c r="S3608" s="13">
        <v>-1.932191255</v>
      </c>
      <c r="T3608">
        <v>-2.5180410929999999</v>
      </c>
      <c r="U3608">
        <v>-1.48035725</v>
      </c>
    </row>
    <row r="3609" spans="1:21" x14ac:dyDescent="0.2">
      <c r="A3609" t="s">
        <v>563</v>
      </c>
      <c r="B3609">
        <v>73600</v>
      </c>
      <c r="C3609" t="s">
        <v>6910</v>
      </c>
      <c r="D3609" t="s">
        <v>564</v>
      </c>
      <c r="E3609" t="s">
        <v>6928</v>
      </c>
      <c r="F3609">
        <v>9</v>
      </c>
      <c r="G3609">
        <v>16</v>
      </c>
      <c r="H3609" t="s">
        <v>14250</v>
      </c>
      <c r="J3609" t="s">
        <v>6049</v>
      </c>
      <c r="M3609" t="s">
        <v>14251</v>
      </c>
      <c r="N3609">
        <v>1.9874741039999999</v>
      </c>
      <c r="O3609">
        <v>3.7453511220000002</v>
      </c>
      <c r="P3609">
        <v>0.451009722</v>
      </c>
      <c r="Q3609">
        <v>-0.102386592</v>
      </c>
      <c r="S3609" s="13">
        <v>-1.933499021</v>
      </c>
      <c r="T3609">
        <v>-2.5237557320000001</v>
      </c>
      <c r="U3609">
        <v>-0.82776159800000004</v>
      </c>
    </row>
    <row r="3610" spans="1:21" x14ac:dyDescent="0.2">
      <c r="A3610" t="s">
        <v>607</v>
      </c>
      <c r="B3610">
        <v>80760</v>
      </c>
      <c r="C3610" t="s">
        <v>6927</v>
      </c>
      <c r="D3610" t="s">
        <v>607</v>
      </c>
      <c r="E3610" t="s">
        <v>6915</v>
      </c>
      <c r="F3610">
        <v>18</v>
      </c>
      <c r="G3610">
        <v>13</v>
      </c>
      <c r="H3610" t="s">
        <v>14252</v>
      </c>
      <c r="J3610" t="s">
        <v>14253</v>
      </c>
      <c r="M3610" t="s">
        <v>14254</v>
      </c>
      <c r="N3610">
        <v>1.982575982</v>
      </c>
      <c r="O3610">
        <v>3.4571926419999999</v>
      </c>
      <c r="P3610">
        <v>-0.114791479</v>
      </c>
      <c r="Q3610">
        <v>1.868949E-3</v>
      </c>
      <c r="S3610" s="13">
        <v>-1.933934464</v>
      </c>
      <c r="T3610">
        <v>-2.5256585170000001</v>
      </c>
      <c r="U3610">
        <v>-1.5049382360000001</v>
      </c>
    </row>
    <row r="3611" spans="1:21" x14ac:dyDescent="0.2">
      <c r="A3611" t="s">
        <v>988</v>
      </c>
      <c r="B3611">
        <v>72400</v>
      </c>
      <c r="C3611" t="s">
        <v>6910</v>
      </c>
      <c r="D3611" t="s">
        <v>988</v>
      </c>
      <c r="E3611" t="s">
        <v>6974</v>
      </c>
      <c r="F3611">
        <v>16</v>
      </c>
      <c r="G3611">
        <v>15</v>
      </c>
      <c r="H3611" t="s">
        <v>14255</v>
      </c>
      <c r="J3611" t="s">
        <v>5957</v>
      </c>
      <c r="M3611" t="s">
        <v>14256</v>
      </c>
      <c r="N3611">
        <v>1.9874741039999999</v>
      </c>
      <c r="O3611">
        <v>3.7453511220000002</v>
      </c>
      <c r="P3611">
        <v>0.451009722</v>
      </c>
      <c r="Q3611">
        <v>-0.102386592</v>
      </c>
      <c r="S3611" s="13">
        <v>-1.9347900929999999</v>
      </c>
      <c r="T3611">
        <v>-2.5293974229999998</v>
      </c>
      <c r="U3611">
        <v>-0.83157707999999997</v>
      </c>
    </row>
    <row r="3612" spans="1:21" x14ac:dyDescent="0.2">
      <c r="A3612" t="s">
        <v>1330</v>
      </c>
      <c r="B3612">
        <v>143800</v>
      </c>
      <c r="C3612" t="s">
        <v>6953</v>
      </c>
      <c r="D3612" t="s">
        <v>1330</v>
      </c>
      <c r="E3612" t="s">
        <v>6915</v>
      </c>
      <c r="F3612">
        <v>23</v>
      </c>
      <c r="G3612">
        <v>13</v>
      </c>
      <c r="H3612" t="s">
        <v>14257</v>
      </c>
      <c r="J3612" t="s">
        <v>5193</v>
      </c>
      <c r="M3612" t="s">
        <v>14258</v>
      </c>
      <c r="N3612">
        <v>1.921480887</v>
      </c>
      <c r="O3612">
        <v>3.0856645180000002</v>
      </c>
      <c r="P3612">
        <v>0.44706724399999997</v>
      </c>
      <c r="Q3612">
        <v>-0.354940863</v>
      </c>
      <c r="S3612" s="13">
        <v>-1.9359993360000001</v>
      </c>
      <c r="T3612">
        <v>-2.534681537</v>
      </c>
      <c r="U3612">
        <v>-0.930335311</v>
      </c>
    </row>
    <row r="3613" spans="1:21" x14ac:dyDescent="0.2">
      <c r="A3613" t="s">
        <v>280</v>
      </c>
      <c r="B3613">
        <v>78240</v>
      </c>
      <c r="C3613" t="s">
        <v>6927</v>
      </c>
      <c r="D3613" t="s">
        <v>280</v>
      </c>
      <c r="E3613" t="s">
        <v>6921</v>
      </c>
      <c r="F3613">
        <v>24</v>
      </c>
      <c r="G3613">
        <v>8</v>
      </c>
      <c r="H3613" t="s">
        <v>14259</v>
      </c>
      <c r="J3613" t="s">
        <v>14260</v>
      </c>
      <c r="M3613" t="s">
        <v>14261</v>
      </c>
      <c r="N3613">
        <v>1.982575982</v>
      </c>
      <c r="O3613">
        <v>3.4571926419999999</v>
      </c>
      <c r="P3613">
        <v>-0.114791479</v>
      </c>
      <c r="Q3613">
        <v>1.868949E-3</v>
      </c>
      <c r="S3613" s="13">
        <v>-1.9365492769999999</v>
      </c>
      <c r="T3613">
        <v>-2.537084653</v>
      </c>
      <c r="U3613">
        <v>-1.5446331950000001</v>
      </c>
    </row>
    <row r="3614" spans="1:21" x14ac:dyDescent="0.2">
      <c r="A3614" t="s">
        <v>547</v>
      </c>
      <c r="B3614">
        <v>200640</v>
      </c>
      <c r="C3614" t="s">
        <v>6906</v>
      </c>
      <c r="D3614" t="s">
        <v>548</v>
      </c>
      <c r="E3614" t="s">
        <v>6970</v>
      </c>
      <c r="F3614">
        <v>5</v>
      </c>
      <c r="G3614">
        <v>14</v>
      </c>
      <c r="H3614" t="s">
        <v>14262</v>
      </c>
      <c r="J3614" t="s">
        <v>2702</v>
      </c>
      <c r="M3614" t="s">
        <v>14263</v>
      </c>
      <c r="N3614">
        <v>1.813871112</v>
      </c>
      <c r="O3614">
        <v>2.6633694910000001</v>
      </c>
      <c r="P3614">
        <v>-0.29586356800000002</v>
      </c>
      <c r="Q3614">
        <v>-0.59018158399999998</v>
      </c>
      <c r="S3614" s="13">
        <v>-1.937617873</v>
      </c>
      <c r="T3614">
        <v>-2.5417541749999999</v>
      </c>
      <c r="U3614">
        <v>-0.61442907499999999</v>
      </c>
    </row>
    <row r="3615" spans="1:21" x14ac:dyDescent="0.2">
      <c r="A3615" t="s">
        <v>1112</v>
      </c>
      <c r="B3615">
        <v>69040</v>
      </c>
      <c r="C3615" t="s">
        <v>6910</v>
      </c>
      <c r="D3615" t="s">
        <v>1112</v>
      </c>
      <c r="E3615" t="s">
        <v>6924</v>
      </c>
      <c r="F3615">
        <v>23</v>
      </c>
      <c r="G3615">
        <v>6</v>
      </c>
      <c r="H3615" t="s">
        <v>14264</v>
      </c>
      <c r="J3615" t="s">
        <v>6251</v>
      </c>
      <c r="M3615" t="s">
        <v>14265</v>
      </c>
      <c r="N3615">
        <v>1.9874741039999999</v>
      </c>
      <c r="O3615">
        <v>3.7453511220000002</v>
      </c>
      <c r="P3615">
        <v>0.451009722</v>
      </c>
      <c r="Q3615">
        <v>-0.102386592</v>
      </c>
      <c r="S3615" s="13">
        <v>-1.938405095</v>
      </c>
      <c r="T3615">
        <v>-2.545194156</v>
      </c>
      <c r="U3615">
        <v>-0.84244228399999999</v>
      </c>
    </row>
    <row r="3616" spans="1:21" x14ac:dyDescent="0.2">
      <c r="A3616" t="s">
        <v>572</v>
      </c>
      <c r="B3616">
        <v>229120</v>
      </c>
      <c r="C3616" t="s">
        <v>6914</v>
      </c>
      <c r="D3616" t="s">
        <v>572</v>
      </c>
      <c r="E3616" t="s">
        <v>7006</v>
      </c>
      <c r="F3616">
        <v>13</v>
      </c>
      <c r="G3616">
        <v>3</v>
      </c>
      <c r="H3616" t="s">
        <v>14266</v>
      </c>
      <c r="J3616" t="s">
        <v>6837</v>
      </c>
      <c r="M3616" t="s">
        <v>14267</v>
      </c>
      <c r="N3616">
        <v>1.8217074179999999</v>
      </c>
      <c r="O3616">
        <v>4.1700741289999996</v>
      </c>
      <c r="P3616">
        <v>0.189705977</v>
      </c>
      <c r="Q3616">
        <v>-1.7194070999999998E-2</v>
      </c>
      <c r="S3616" s="13">
        <v>-1.9414014580000001</v>
      </c>
      <c r="T3616">
        <v>-2.558287574</v>
      </c>
      <c r="U3616">
        <v>-0.97799902400000005</v>
      </c>
    </row>
    <row r="3617" spans="1:21" x14ac:dyDescent="0.2">
      <c r="A3617" t="s">
        <v>207</v>
      </c>
      <c r="B3617">
        <v>65160</v>
      </c>
      <c r="C3617" t="s">
        <v>6910</v>
      </c>
      <c r="D3617" t="s">
        <v>207</v>
      </c>
      <c r="E3617" t="s">
        <v>6939</v>
      </c>
      <c r="F3617">
        <v>21</v>
      </c>
      <c r="G3617">
        <v>2</v>
      </c>
      <c r="H3617" t="s">
        <v>14268</v>
      </c>
      <c r="J3617" t="s">
        <v>6571</v>
      </c>
      <c r="M3617" t="s">
        <v>14269</v>
      </c>
      <c r="N3617">
        <v>1.9874741039999999</v>
      </c>
      <c r="O3617">
        <v>3.7453511220000002</v>
      </c>
      <c r="P3617">
        <v>0.451009722</v>
      </c>
      <c r="Q3617">
        <v>-0.102386592</v>
      </c>
      <c r="S3617" s="13">
        <v>-1.9425795619999999</v>
      </c>
      <c r="T3617">
        <v>-2.5634356220000001</v>
      </c>
      <c r="U3617">
        <v>-0.855336816</v>
      </c>
    </row>
    <row r="3618" spans="1:21" x14ac:dyDescent="0.2">
      <c r="A3618" t="s">
        <v>500</v>
      </c>
      <c r="B3618">
        <v>63840</v>
      </c>
      <c r="C3618" t="s">
        <v>6910</v>
      </c>
      <c r="D3618" t="s">
        <v>501</v>
      </c>
      <c r="E3618" t="s">
        <v>7115</v>
      </c>
      <c r="F3618">
        <v>9</v>
      </c>
      <c r="G3618">
        <v>10</v>
      </c>
      <c r="H3618" t="s">
        <v>14270</v>
      </c>
      <c r="J3618" t="s">
        <v>6101</v>
      </c>
      <c r="M3618" t="s">
        <v>14271</v>
      </c>
      <c r="N3618">
        <v>1.9874741039999999</v>
      </c>
      <c r="O3618">
        <v>3.7453511220000002</v>
      </c>
      <c r="P3618">
        <v>0.451009722</v>
      </c>
      <c r="Q3618">
        <v>-0.102386592</v>
      </c>
      <c r="S3618" s="13">
        <v>-1.9439997419999999</v>
      </c>
      <c r="T3618">
        <v>-2.5696414820000002</v>
      </c>
      <c r="U3618">
        <v>-0.85981237099999996</v>
      </c>
    </row>
    <row r="3619" spans="1:21" x14ac:dyDescent="0.2">
      <c r="A3619" t="s">
        <v>148</v>
      </c>
      <c r="B3619">
        <v>62560</v>
      </c>
      <c r="C3619" t="s">
        <v>6910</v>
      </c>
      <c r="D3619" t="s">
        <v>148</v>
      </c>
      <c r="E3619" t="s">
        <v>6915</v>
      </c>
      <c r="F3619">
        <v>17</v>
      </c>
      <c r="G3619">
        <v>13</v>
      </c>
      <c r="H3619" t="s">
        <v>14272</v>
      </c>
      <c r="J3619" t="s">
        <v>6119</v>
      </c>
      <c r="M3619" t="s">
        <v>14273</v>
      </c>
      <c r="N3619">
        <v>1.9874741039999999</v>
      </c>
      <c r="O3619">
        <v>3.7453511220000002</v>
      </c>
      <c r="P3619">
        <v>0.451009722</v>
      </c>
      <c r="Q3619">
        <v>-0.102386592</v>
      </c>
      <c r="S3619" s="13">
        <v>-1.945376886</v>
      </c>
      <c r="T3619">
        <v>-2.575659285</v>
      </c>
      <c r="U3619">
        <v>-0.86419679900000002</v>
      </c>
    </row>
    <row r="3620" spans="1:21" x14ac:dyDescent="0.2">
      <c r="A3620" t="s">
        <v>392</v>
      </c>
      <c r="B3620">
        <v>69560</v>
      </c>
      <c r="C3620" t="s">
        <v>6927</v>
      </c>
      <c r="D3620" t="s">
        <v>392</v>
      </c>
      <c r="E3620" t="s">
        <v>7006</v>
      </c>
      <c r="F3620">
        <v>21</v>
      </c>
      <c r="G3620">
        <v>3</v>
      </c>
      <c r="H3620" t="s">
        <v>14274</v>
      </c>
      <c r="J3620" t="s">
        <v>14275</v>
      </c>
      <c r="M3620" t="s">
        <v>14276</v>
      </c>
      <c r="N3620">
        <v>1.982575982</v>
      </c>
      <c r="O3620">
        <v>3.4571926419999999</v>
      </c>
      <c r="P3620">
        <v>-0.114791479</v>
      </c>
      <c r="Q3620">
        <v>1.868949E-3</v>
      </c>
      <c r="S3620" s="13">
        <v>-1.9455558550000001</v>
      </c>
      <c r="T3620">
        <v>-2.5764413419999999</v>
      </c>
      <c r="U3620">
        <v>-1.7183393440000001</v>
      </c>
    </row>
    <row r="3621" spans="1:21" x14ac:dyDescent="0.2">
      <c r="A3621" t="s">
        <v>438</v>
      </c>
      <c r="B3621">
        <v>61520</v>
      </c>
      <c r="C3621" t="s">
        <v>6910</v>
      </c>
      <c r="D3621" t="s">
        <v>438</v>
      </c>
      <c r="E3621" t="s">
        <v>6956</v>
      </c>
      <c r="F3621">
        <v>11</v>
      </c>
      <c r="G3621">
        <v>7</v>
      </c>
      <c r="H3621" t="s">
        <v>14277</v>
      </c>
      <c r="J3621" t="s">
        <v>6369</v>
      </c>
      <c r="M3621" t="s">
        <v>14278</v>
      </c>
      <c r="N3621">
        <v>1.9874741039999999</v>
      </c>
      <c r="O3621">
        <v>3.7453511220000002</v>
      </c>
      <c r="P3621">
        <v>0.451009722</v>
      </c>
      <c r="Q3621">
        <v>-0.102386592</v>
      </c>
      <c r="S3621" s="13">
        <v>-1.946495815</v>
      </c>
      <c r="T3621">
        <v>-2.5805487500000002</v>
      </c>
      <c r="U3621">
        <v>-0.86779203000000005</v>
      </c>
    </row>
    <row r="3622" spans="1:21" x14ac:dyDescent="0.2">
      <c r="A3622" t="s">
        <v>2791</v>
      </c>
      <c r="B3622">
        <v>68600</v>
      </c>
      <c r="C3622" t="s">
        <v>6927</v>
      </c>
      <c r="D3622" t="s">
        <v>2792</v>
      </c>
      <c r="E3622" t="s">
        <v>6921</v>
      </c>
      <c r="F3622">
        <v>6</v>
      </c>
      <c r="G3622">
        <v>8</v>
      </c>
      <c r="H3622" t="s">
        <v>14279</v>
      </c>
      <c r="J3622" t="s">
        <v>14280</v>
      </c>
      <c r="M3622" t="s">
        <v>14281</v>
      </c>
      <c r="N3622">
        <v>1.982575982</v>
      </c>
      <c r="O3622">
        <v>3.4571926419999999</v>
      </c>
      <c r="P3622">
        <v>-0.114791479</v>
      </c>
      <c r="Q3622">
        <v>1.868949E-3</v>
      </c>
      <c r="S3622" s="13">
        <v>-1.946551975</v>
      </c>
      <c r="T3622">
        <v>-2.5807941560000001</v>
      </c>
      <c r="U3622">
        <v>-1.742627717</v>
      </c>
    </row>
    <row r="3623" spans="1:21" x14ac:dyDescent="0.2">
      <c r="A3623" t="s">
        <v>622</v>
      </c>
      <c r="B3623">
        <v>66760</v>
      </c>
      <c r="C3623" t="s">
        <v>6927</v>
      </c>
      <c r="D3623" t="s">
        <v>622</v>
      </c>
      <c r="E3623" t="s">
        <v>6928</v>
      </c>
      <c r="F3623">
        <v>10</v>
      </c>
      <c r="G3623">
        <v>16</v>
      </c>
      <c r="H3623" t="s">
        <v>14282</v>
      </c>
      <c r="J3623" t="s">
        <v>14283</v>
      </c>
      <c r="M3623" t="s">
        <v>14284</v>
      </c>
      <c r="N3623">
        <v>1.982575982</v>
      </c>
      <c r="O3623">
        <v>3.4571926419999999</v>
      </c>
      <c r="P3623">
        <v>-0.114791479</v>
      </c>
      <c r="Q3623">
        <v>1.868949E-3</v>
      </c>
      <c r="S3623" s="13">
        <v>-1.9484612029999999</v>
      </c>
      <c r="T3623">
        <v>-2.589137048</v>
      </c>
      <c r="U3623">
        <v>-1.7933576</v>
      </c>
    </row>
    <row r="3624" spans="1:21" x14ac:dyDescent="0.2">
      <c r="A3624" t="s">
        <v>325</v>
      </c>
      <c r="B3624">
        <v>131760</v>
      </c>
      <c r="C3624" t="s">
        <v>6953</v>
      </c>
      <c r="D3624" t="s">
        <v>326</v>
      </c>
      <c r="E3624" t="s">
        <v>6921</v>
      </c>
      <c r="F3624">
        <v>2</v>
      </c>
      <c r="G3624">
        <v>8</v>
      </c>
      <c r="H3624" t="s">
        <v>14285</v>
      </c>
      <c r="J3624" t="s">
        <v>5485</v>
      </c>
      <c r="M3624" t="s">
        <v>14286</v>
      </c>
      <c r="N3624">
        <v>1.921480887</v>
      </c>
      <c r="O3624">
        <v>3.0856645180000002</v>
      </c>
      <c r="P3624">
        <v>0.44706724399999997</v>
      </c>
      <c r="Q3624">
        <v>-0.354940863</v>
      </c>
      <c r="S3624" s="13">
        <v>-1.948492332</v>
      </c>
      <c r="T3624">
        <v>-2.5892730739999998</v>
      </c>
      <c r="U3624">
        <v>-0.981502867</v>
      </c>
    </row>
    <row r="3625" spans="1:21" x14ac:dyDescent="0.2">
      <c r="A3625" t="s">
        <v>1598</v>
      </c>
      <c r="B3625">
        <v>131520</v>
      </c>
      <c r="C3625" t="s">
        <v>6953</v>
      </c>
      <c r="D3625" t="s">
        <v>1598</v>
      </c>
      <c r="E3625" t="s">
        <v>6970</v>
      </c>
      <c r="F3625">
        <v>17</v>
      </c>
      <c r="G3625">
        <v>14</v>
      </c>
      <c r="H3625" t="s">
        <v>14287</v>
      </c>
      <c r="J3625" t="s">
        <v>5367</v>
      </c>
      <c r="M3625" t="s">
        <v>14288</v>
      </c>
      <c r="N3625">
        <v>1.921480887</v>
      </c>
      <c r="O3625">
        <v>3.0856645180000002</v>
      </c>
      <c r="P3625">
        <v>0.44706724399999997</v>
      </c>
      <c r="Q3625">
        <v>-0.354940863</v>
      </c>
      <c r="S3625" s="13">
        <v>-1.948741362</v>
      </c>
      <c r="T3625">
        <v>-2.590361277</v>
      </c>
      <c r="U3625">
        <v>-0.98258668500000002</v>
      </c>
    </row>
    <row r="3626" spans="1:21" x14ac:dyDescent="0.2">
      <c r="A3626" t="s">
        <v>342</v>
      </c>
      <c r="B3626">
        <v>66040</v>
      </c>
      <c r="C3626" t="s">
        <v>6927</v>
      </c>
      <c r="D3626" t="s">
        <v>342</v>
      </c>
      <c r="E3626" t="s">
        <v>6956</v>
      </c>
      <c r="F3626">
        <v>15</v>
      </c>
      <c r="G3626">
        <v>7</v>
      </c>
      <c r="H3626" t="s">
        <v>14289</v>
      </c>
      <c r="J3626" t="s">
        <v>14290</v>
      </c>
      <c r="M3626" t="s">
        <v>14291</v>
      </c>
      <c r="N3626">
        <v>1.982575982</v>
      </c>
      <c r="O3626">
        <v>3.4571926419999999</v>
      </c>
      <c r="P3626">
        <v>-0.114791479</v>
      </c>
      <c r="Q3626">
        <v>1.868949E-3</v>
      </c>
      <c r="S3626" s="13">
        <v>-1.9492082930000001</v>
      </c>
      <c r="T3626">
        <v>-2.5924016590000001</v>
      </c>
      <c r="U3626">
        <v>-1.814941892</v>
      </c>
    </row>
    <row r="3627" spans="1:21" x14ac:dyDescent="0.2">
      <c r="A3627" t="s">
        <v>1269</v>
      </c>
      <c r="B3627">
        <v>65160</v>
      </c>
      <c r="C3627" t="s">
        <v>6927</v>
      </c>
      <c r="D3627" t="s">
        <v>1269</v>
      </c>
      <c r="E3627" t="s">
        <v>6924</v>
      </c>
      <c r="F3627">
        <v>11</v>
      </c>
      <c r="G3627">
        <v>6</v>
      </c>
      <c r="H3627" t="s">
        <v>14292</v>
      </c>
      <c r="J3627" t="s">
        <v>14293</v>
      </c>
      <c r="M3627" t="s">
        <v>14294</v>
      </c>
      <c r="N3627">
        <v>1.982575982</v>
      </c>
      <c r="O3627">
        <v>3.4571926419999999</v>
      </c>
      <c r="P3627">
        <v>-0.114791479</v>
      </c>
      <c r="Q3627">
        <v>1.868949E-3</v>
      </c>
      <c r="S3627" s="13">
        <v>-1.9501214019999999</v>
      </c>
      <c r="T3627">
        <v>-2.5963917379999999</v>
      </c>
      <c r="U3627">
        <v>-1.8428681760000001</v>
      </c>
    </row>
    <row r="3628" spans="1:21" x14ac:dyDescent="0.2">
      <c r="A3628" t="s">
        <v>1133</v>
      </c>
      <c r="B3628">
        <v>63840</v>
      </c>
      <c r="C3628" t="s">
        <v>6927</v>
      </c>
      <c r="D3628" t="s">
        <v>1134</v>
      </c>
      <c r="E3628" t="s">
        <v>6907</v>
      </c>
      <c r="F3628">
        <v>8</v>
      </c>
      <c r="G3628">
        <v>4</v>
      </c>
      <c r="H3628" t="s">
        <v>14295</v>
      </c>
      <c r="J3628" t="s">
        <v>14296</v>
      </c>
      <c r="M3628" t="s">
        <v>14297</v>
      </c>
      <c r="N3628">
        <v>1.982575982</v>
      </c>
      <c r="O3628">
        <v>3.4571926419999999</v>
      </c>
      <c r="P3628">
        <v>-0.114791479</v>
      </c>
      <c r="Q3628">
        <v>1.868949E-3</v>
      </c>
      <c r="S3628" s="13">
        <v>-1.951491066</v>
      </c>
      <c r="T3628">
        <v>-2.6023768559999998</v>
      </c>
      <c r="U3628">
        <v>-1.8884436099999999</v>
      </c>
    </row>
    <row r="3629" spans="1:21" x14ac:dyDescent="0.2">
      <c r="A3629" t="s">
        <v>3235</v>
      </c>
      <c r="B3629">
        <v>56680</v>
      </c>
      <c r="C3629" t="s">
        <v>6910</v>
      </c>
      <c r="D3629" t="s">
        <v>3236</v>
      </c>
      <c r="E3629" t="s">
        <v>6946</v>
      </c>
      <c r="F3629">
        <v>2</v>
      </c>
      <c r="G3629">
        <v>11</v>
      </c>
      <c r="H3629" t="s">
        <v>14298</v>
      </c>
      <c r="J3629" t="s">
        <v>4262</v>
      </c>
      <c r="M3629" t="s">
        <v>14299</v>
      </c>
      <c r="N3629">
        <v>1.9874741039999999</v>
      </c>
      <c r="O3629">
        <v>3.7453511220000002</v>
      </c>
      <c r="P3629">
        <v>0.451009722</v>
      </c>
      <c r="Q3629">
        <v>-0.102386592</v>
      </c>
      <c r="S3629" s="13">
        <v>-1.9517031389999999</v>
      </c>
      <c r="T3629">
        <v>-2.6033035689999999</v>
      </c>
      <c r="U3629">
        <v>-0.88492674299999996</v>
      </c>
    </row>
    <row r="3630" spans="1:21" x14ac:dyDescent="0.2">
      <c r="A3630" t="s">
        <v>880</v>
      </c>
      <c r="B3630">
        <v>63040</v>
      </c>
      <c r="C3630" t="s">
        <v>6927</v>
      </c>
      <c r="D3630" t="s">
        <v>880</v>
      </c>
      <c r="E3630" t="s">
        <v>6939</v>
      </c>
      <c r="F3630">
        <v>19</v>
      </c>
      <c r="G3630">
        <v>2</v>
      </c>
      <c r="H3630" t="s">
        <v>14300</v>
      </c>
      <c r="J3630" t="s">
        <v>14301</v>
      </c>
      <c r="M3630" t="s">
        <v>14302</v>
      </c>
      <c r="N3630">
        <v>1.982575982</v>
      </c>
      <c r="O3630">
        <v>3.4571926419999999</v>
      </c>
      <c r="P3630">
        <v>-0.114791479</v>
      </c>
      <c r="Q3630">
        <v>1.868949E-3</v>
      </c>
      <c r="S3630" s="13">
        <v>-1.9523211650000001</v>
      </c>
      <c r="T3630">
        <v>-2.6060042010000002</v>
      </c>
      <c r="U3630">
        <v>-1.9185888900000001</v>
      </c>
    </row>
    <row r="3631" spans="1:21" x14ac:dyDescent="0.2">
      <c r="A3631" t="s">
        <v>1368</v>
      </c>
      <c r="B3631">
        <v>54920</v>
      </c>
      <c r="C3631" t="s">
        <v>6910</v>
      </c>
      <c r="D3631" t="s">
        <v>1368</v>
      </c>
      <c r="E3631" t="s">
        <v>6956</v>
      </c>
      <c r="F3631">
        <v>16</v>
      </c>
      <c r="G3631">
        <v>7</v>
      </c>
      <c r="H3631" t="s">
        <v>14303</v>
      </c>
      <c r="J3631" t="s">
        <v>6019</v>
      </c>
      <c r="M3631" t="s">
        <v>14304</v>
      </c>
      <c r="N3631">
        <v>1.9874741039999999</v>
      </c>
      <c r="O3631">
        <v>3.7453511220000002</v>
      </c>
      <c r="P3631">
        <v>0.451009722</v>
      </c>
      <c r="Q3631">
        <v>-0.102386592</v>
      </c>
      <c r="S3631" s="13">
        <v>-1.953596712</v>
      </c>
      <c r="T3631">
        <v>-2.6115780480000002</v>
      </c>
      <c r="U3631">
        <v>-0.89132905600000001</v>
      </c>
    </row>
    <row r="3632" spans="1:21" x14ac:dyDescent="0.2">
      <c r="A3632" t="s">
        <v>191</v>
      </c>
      <c r="B3632">
        <v>54200</v>
      </c>
      <c r="C3632" t="s">
        <v>6910</v>
      </c>
      <c r="D3632" t="s">
        <v>192</v>
      </c>
      <c r="E3632" t="s">
        <v>6911</v>
      </c>
      <c r="F3632">
        <v>1</v>
      </c>
      <c r="G3632">
        <v>12</v>
      </c>
      <c r="H3632" t="s">
        <v>14305</v>
      </c>
      <c r="J3632" t="s">
        <v>6415</v>
      </c>
      <c r="M3632" t="s">
        <v>14306</v>
      </c>
      <c r="N3632">
        <v>1.9874741039999999</v>
      </c>
      <c r="O3632">
        <v>3.7453511220000002</v>
      </c>
      <c r="P3632">
        <v>0.451009722</v>
      </c>
      <c r="Q3632">
        <v>-0.102386592</v>
      </c>
      <c r="S3632" s="13">
        <v>-1.9543713549999999</v>
      </c>
      <c r="T3632">
        <v>-2.6149630620000002</v>
      </c>
      <c r="U3632">
        <v>-0.89397563199999996</v>
      </c>
    </row>
    <row r="3633" spans="1:21" x14ac:dyDescent="0.2">
      <c r="A3633" t="s">
        <v>507</v>
      </c>
      <c r="B3633">
        <v>53920</v>
      </c>
      <c r="C3633" t="s">
        <v>6910</v>
      </c>
      <c r="D3633" t="s">
        <v>508</v>
      </c>
      <c r="E3633" t="s">
        <v>6918</v>
      </c>
      <c r="F3633">
        <v>5</v>
      </c>
      <c r="G3633">
        <v>1</v>
      </c>
      <c r="H3633" t="s">
        <v>14307</v>
      </c>
      <c r="J3633" t="s">
        <v>6489</v>
      </c>
      <c r="M3633" t="s">
        <v>14308</v>
      </c>
      <c r="N3633">
        <v>1.9874741039999999</v>
      </c>
      <c r="O3633">
        <v>3.7453511220000002</v>
      </c>
      <c r="P3633">
        <v>0.451009722</v>
      </c>
      <c r="Q3633">
        <v>-0.102386592</v>
      </c>
      <c r="S3633" s="13">
        <v>-1.9546726059999999</v>
      </c>
      <c r="T3633">
        <v>-2.6162794570000001</v>
      </c>
      <c r="U3633">
        <v>-0.89500922800000005</v>
      </c>
    </row>
    <row r="3634" spans="1:21" x14ac:dyDescent="0.2">
      <c r="A3634" t="s">
        <v>1275</v>
      </c>
      <c r="B3634">
        <v>52960</v>
      </c>
      <c r="C3634" t="s">
        <v>6910</v>
      </c>
      <c r="D3634" t="s">
        <v>1276</v>
      </c>
      <c r="E3634" t="s">
        <v>7085</v>
      </c>
      <c r="F3634">
        <v>5</v>
      </c>
      <c r="G3634">
        <v>9</v>
      </c>
      <c r="H3634" t="s">
        <v>14309</v>
      </c>
      <c r="J3634" t="s">
        <v>6259</v>
      </c>
      <c r="M3634" t="s">
        <v>14310</v>
      </c>
      <c r="N3634">
        <v>1.9874741039999999</v>
      </c>
      <c r="O3634">
        <v>3.7453511220000002</v>
      </c>
      <c r="P3634">
        <v>0.451009722</v>
      </c>
      <c r="Q3634">
        <v>-0.102386592</v>
      </c>
      <c r="S3634" s="13">
        <v>-1.9557054629999999</v>
      </c>
      <c r="T3634">
        <v>-2.6207928090000001</v>
      </c>
      <c r="U3634">
        <v>-0.89857177600000004</v>
      </c>
    </row>
    <row r="3635" spans="1:21" x14ac:dyDescent="0.2">
      <c r="A3635" t="s">
        <v>1190</v>
      </c>
      <c r="B3635">
        <v>124640</v>
      </c>
      <c r="C3635" t="s">
        <v>6953</v>
      </c>
      <c r="D3635" t="s">
        <v>1190</v>
      </c>
      <c r="E3635" t="s">
        <v>6921</v>
      </c>
      <c r="F3635">
        <v>17</v>
      </c>
      <c r="G3635">
        <v>8</v>
      </c>
      <c r="H3635" t="s">
        <v>14311</v>
      </c>
      <c r="J3635" t="s">
        <v>5263</v>
      </c>
      <c r="M3635" t="s">
        <v>14312</v>
      </c>
      <c r="N3635">
        <v>1.921480887</v>
      </c>
      <c r="O3635">
        <v>3.0856645180000002</v>
      </c>
      <c r="P3635">
        <v>0.44706724399999997</v>
      </c>
      <c r="Q3635">
        <v>-0.354940863</v>
      </c>
      <c r="S3635" s="13">
        <v>-1.955880217</v>
      </c>
      <c r="T3635">
        <v>-2.6215564410000001</v>
      </c>
      <c r="U3635">
        <v>-1.0148652869999999</v>
      </c>
    </row>
    <row r="3636" spans="1:21" x14ac:dyDescent="0.2">
      <c r="A3636" t="s">
        <v>342</v>
      </c>
      <c r="B3636">
        <v>122640</v>
      </c>
      <c r="C3636" t="s">
        <v>6953</v>
      </c>
      <c r="D3636" t="s">
        <v>342</v>
      </c>
      <c r="E3636" t="s">
        <v>6956</v>
      </c>
      <c r="F3636">
        <v>15</v>
      </c>
      <c r="G3636">
        <v>7</v>
      </c>
      <c r="H3636" t="s">
        <v>14313</v>
      </c>
      <c r="J3636" t="s">
        <v>344</v>
      </c>
      <c r="M3636" t="s">
        <v>14314</v>
      </c>
      <c r="N3636">
        <v>1.921480887</v>
      </c>
      <c r="O3636">
        <v>3.0856645180000002</v>
      </c>
      <c r="P3636">
        <v>0.44706724399999997</v>
      </c>
      <c r="Q3636">
        <v>-0.354940863</v>
      </c>
      <c r="S3636" s="13">
        <v>-1.957955465</v>
      </c>
      <c r="T3636">
        <v>-2.6306248029999999</v>
      </c>
      <c r="U3636">
        <v>-1.0247170080000001</v>
      </c>
    </row>
    <row r="3637" spans="1:21" x14ac:dyDescent="0.2">
      <c r="A3637" t="s">
        <v>963</v>
      </c>
      <c r="B3637">
        <v>214840</v>
      </c>
      <c r="C3637" t="s">
        <v>6914</v>
      </c>
      <c r="D3637" t="s">
        <v>963</v>
      </c>
      <c r="E3637" t="s">
        <v>6939</v>
      </c>
      <c r="F3637">
        <v>20</v>
      </c>
      <c r="G3637">
        <v>2</v>
      </c>
      <c r="H3637" t="s">
        <v>14315</v>
      </c>
      <c r="J3637" t="s">
        <v>6845</v>
      </c>
      <c r="M3637" t="s">
        <v>14316</v>
      </c>
      <c r="N3637">
        <v>1.8217074179999999</v>
      </c>
      <c r="O3637">
        <v>4.1700741289999996</v>
      </c>
      <c r="P3637">
        <v>0.189705977</v>
      </c>
      <c r="Q3637">
        <v>-1.7194070999999998E-2</v>
      </c>
      <c r="S3637" s="13">
        <v>-1.958576893</v>
      </c>
      <c r="T3637">
        <v>-2.6333402979999998</v>
      </c>
      <c r="U3637">
        <v>-1.047106171</v>
      </c>
    </row>
    <row r="3638" spans="1:21" x14ac:dyDescent="0.2">
      <c r="A3638" t="s">
        <v>807</v>
      </c>
      <c r="B3638">
        <v>56880</v>
      </c>
      <c r="C3638" t="s">
        <v>6927</v>
      </c>
      <c r="D3638" t="s">
        <v>807</v>
      </c>
      <c r="E3638" t="s">
        <v>6977</v>
      </c>
      <c r="F3638">
        <v>14</v>
      </c>
      <c r="G3638">
        <v>5</v>
      </c>
      <c r="H3638" t="s">
        <v>14317</v>
      </c>
      <c r="J3638" t="s">
        <v>14318</v>
      </c>
      <c r="M3638" t="s">
        <v>14319</v>
      </c>
      <c r="N3638">
        <v>1.982575982</v>
      </c>
      <c r="O3638">
        <v>3.4571926419999999</v>
      </c>
      <c r="P3638">
        <v>-0.114791479</v>
      </c>
      <c r="Q3638">
        <v>1.868949E-3</v>
      </c>
      <c r="S3638" s="13">
        <v>-1.958712931</v>
      </c>
      <c r="T3638">
        <v>-2.6339347549999998</v>
      </c>
      <c r="U3638">
        <v>-2.2687276650000001</v>
      </c>
    </row>
    <row r="3639" spans="1:21" x14ac:dyDescent="0.2">
      <c r="A3639" t="s">
        <v>243</v>
      </c>
      <c r="B3639">
        <v>56640</v>
      </c>
      <c r="C3639" t="s">
        <v>6927</v>
      </c>
      <c r="D3639" t="s">
        <v>243</v>
      </c>
      <c r="E3639" t="s">
        <v>6918</v>
      </c>
      <c r="F3639">
        <v>14</v>
      </c>
      <c r="G3639">
        <v>1</v>
      </c>
      <c r="H3639" t="s">
        <v>14320</v>
      </c>
      <c r="J3639" t="s">
        <v>14321</v>
      </c>
      <c r="M3639" t="s">
        <v>14322</v>
      </c>
      <c r="N3639">
        <v>1.982575982</v>
      </c>
      <c r="O3639">
        <v>3.4571926419999999</v>
      </c>
      <c r="P3639">
        <v>-0.114791479</v>
      </c>
      <c r="Q3639">
        <v>1.868949E-3</v>
      </c>
      <c r="S3639" s="13">
        <v>-1.958961961</v>
      </c>
      <c r="T3639">
        <v>-2.635022958</v>
      </c>
      <c r="U3639">
        <v>-2.290222913</v>
      </c>
    </row>
    <row r="3640" spans="1:21" x14ac:dyDescent="0.2">
      <c r="A3640" t="s">
        <v>333</v>
      </c>
      <c r="B3640">
        <v>56080</v>
      </c>
      <c r="C3640" t="s">
        <v>6927</v>
      </c>
      <c r="D3640" t="s">
        <v>334</v>
      </c>
      <c r="E3640" t="s">
        <v>6915</v>
      </c>
      <c r="F3640">
        <v>2</v>
      </c>
      <c r="G3640">
        <v>13</v>
      </c>
      <c r="H3640" t="s">
        <v>14323</v>
      </c>
      <c r="J3640" t="s">
        <v>14324</v>
      </c>
      <c r="M3640" t="s">
        <v>14325</v>
      </c>
      <c r="N3640">
        <v>1.982575982</v>
      </c>
      <c r="O3640">
        <v>3.4571926419999999</v>
      </c>
      <c r="P3640">
        <v>-0.114791479</v>
      </c>
      <c r="Q3640">
        <v>1.868949E-3</v>
      </c>
      <c r="S3640" s="13">
        <v>-1.9595430300000001</v>
      </c>
      <c r="T3640">
        <v>-2.6375620990000002</v>
      </c>
      <c r="U3640">
        <v>-2.3449479989999999</v>
      </c>
    </row>
    <row r="3641" spans="1:21" x14ac:dyDescent="0.2">
      <c r="A3641" t="s">
        <v>1144</v>
      </c>
      <c r="B3641">
        <v>55920</v>
      </c>
      <c r="C3641" t="s">
        <v>6927</v>
      </c>
      <c r="D3641" t="s">
        <v>1145</v>
      </c>
      <c r="E3641" t="s">
        <v>6974</v>
      </c>
      <c r="F3641">
        <v>7</v>
      </c>
      <c r="G3641">
        <v>15</v>
      </c>
      <c r="H3641" t="s">
        <v>14326</v>
      </c>
      <c r="J3641" t="s">
        <v>14327</v>
      </c>
      <c r="M3641" t="s">
        <v>14328</v>
      </c>
      <c r="N3641">
        <v>1.982575982</v>
      </c>
      <c r="O3641">
        <v>3.4571926419999999</v>
      </c>
      <c r="P3641">
        <v>-0.114791479</v>
      </c>
      <c r="Q3641">
        <v>1.868949E-3</v>
      </c>
      <c r="S3641" s="13">
        <v>-1.9597090500000001</v>
      </c>
      <c r="T3641">
        <v>-2.638287568</v>
      </c>
      <c r="U3641">
        <v>-2.361939681</v>
      </c>
    </row>
    <row r="3642" spans="1:21" x14ac:dyDescent="0.2">
      <c r="A3642" t="s">
        <v>259</v>
      </c>
      <c r="B3642">
        <v>55200</v>
      </c>
      <c r="C3642" t="s">
        <v>6927</v>
      </c>
      <c r="D3642" t="s">
        <v>260</v>
      </c>
      <c r="E3642" t="s">
        <v>6956</v>
      </c>
      <c r="F3642">
        <v>1</v>
      </c>
      <c r="G3642">
        <v>7</v>
      </c>
      <c r="H3642" t="s">
        <v>14329</v>
      </c>
      <c r="J3642" t="s">
        <v>14330</v>
      </c>
      <c r="M3642" t="s">
        <v>14331</v>
      </c>
      <c r="N3642">
        <v>1.982575982</v>
      </c>
      <c r="O3642">
        <v>3.4571926419999999</v>
      </c>
      <c r="P3642">
        <v>-0.114791479</v>
      </c>
      <c r="Q3642">
        <v>1.868949E-3</v>
      </c>
      <c r="S3642" s="13">
        <v>-1.96045614</v>
      </c>
      <c r="T3642">
        <v>-2.641552178</v>
      </c>
      <c r="U3642">
        <v>-2.4478881559999999</v>
      </c>
    </row>
    <row r="3643" spans="1:21" x14ac:dyDescent="0.2">
      <c r="A3643" t="s">
        <v>2902</v>
      </c>
      <c r="B3643">
        <v>48280</v>
      </c>
      <c r="C3643" t="s">
        <v>6910</v>
      </c>
      <c r="D3643" t="s">
        <v>2903</v>
      </c>
      <c r="E3643" t="s">
        <v>6977</v>
      </c>
      <c r="F3643">
        <v>6</v>
      </c>
      <c r="G3643">
        <v>5</v>
      </c>
      <c r="H3643" t="s">
        <v>14332</v>
      </c>
      <c r="J3643" t="s">
        <v>6361</v>
      </c>
      <c r="M3643" t="s">
        <v>14333</v>
      </c>
      <c r="N3643">
        <v>1.9874741039999999</v>
      </c>
      <c r="O3643">
        <v>3.7453511220000002</v>
      </c>
      <c r="P3643">
        <v>0.451009722</v>
      </c>
      <c r="Q3643">
        <v>-0.102386592</v>
      </c>
      <c r="S3643" s="13">
        <v>-1.960740645</v>
      </c>
      <c r="T3643">
        <v>-2.642795402</v>
      </c>
      <c r="U3643">
        <v>-0.91637041600000002</v>
      </c>
    </row>
    <row r="3644" spans="1:21" x14ac:dyDescent="0.2">
      <c r="A3644" t="s">
        <v>143</v>
      </c>
      <c r="B3644">
        <v>212560</v>
      </c>
      <c r="C3644" t="s">
        <v>6914</v>
      </c>
      <c r="D3644" t="s">
        <v>144</v>
      </c>
      <c r="E3644" t="s">
        <v>7115</v>
      </c>
      <c r="F3644">
        <v>8</v>
      </c>
      <c r="G3644">
        <v>10</v>
      </c>
      <c r="H3644" t="s">
        <v>14334</v>
      </c>
      <c r="J3644" t="s">
        <v>6687</v>
      </c>
      <c r="M3644" t="s">
        <v>14335</v>
      </c>
      <c r="N3644">
        <v>1.8217074179999999</v>
      </c>
      <c r="O3644">
        <v>4.1700741289999996</v>
      </c>
      <c r="P3644">
        <v>0.189705977</v>
      </c>
      <c r="Q3644">
        <v>-1.7194070999999998E-2</v>
      </c>
      <c r="S3644" s="13">
        <v>-1.9613191889999999</v>
      </c>
      <c r="T3644">
        <v>-2.645323506</v>
      </c>
      <c r="U3644">
        <v>-1.0592342269999999</v>
      </c>
    </row>
    <row r="3645" spans="1:21" x14ac:dyDescent="0.2">
      <c r="A3645" t="s">
        <v>935</v>
      </c>
      <c r="B3645">
        <v>47280</v>
      </c>
      <c r="C3645" t="s">
        <v>6910</v>
      </c>
      <c r="D3645" t="s">
        <v>935</v>
      </c>
      <c r="E3645" t="s">
        <v>6921</v>
      </c>
      <c r="F3645">
        <v>18</v>
      </c>
      <c r="G3645">
        <v>8</v>
      </c>
      <c r="H3645" t="s">
        <v>14336</v>
      </c>
      <c r="J3645" t="s">
        <v>6365</v>
      </c>
      <c r="M3645" t="s">
        <v>14337</v>
      </c>
      <c r="N3645">
        <v>1.9874741039999999</v>
      </c>
      <c r="O3645">
        <v>3.7453511220000002</v>
      </c>
      <c r="P3645">
        <v>0.451009722</v>
      </c>
      <c r="Q3645">
        <v>-0.102386592</v>
      </c>
      <c r="S3645" s="13">
        <v>-1.961816539</v>
      </c>
      <c r="T3645">
        <v>-2.6474968109999999</v>
      </c>
      <c r="U3645">
        <v>-0.92027000599999997</v>
      </c>
    </row>
    <row r="3646" spans="1:21" x14ac:dyDescent="0.2">
      <c r="A3646" t="s">
        <v>703</v>
      </c>
      <c r="B3646">
        <v>212120</v>
      </c>
      <c r="C3646" t="s">
        <v>6914</v>
      </c>
      <c r="D3646" t="s">
        <v>704</v>
      </c>
      <c r="E3646" t="s">
        <v>6924</v>
      </c>
      <c r="F3646">
        <v>8</v>
      </c>
      <c r="G3646">
        <v>6</v>
      </c>
      <c r="H3646" t="s">
        <v>14338</v>
      </c>
      <c r="J3646" t="s">
        <v>6767</v>
      </c>
      <c r="M3646" t="s">
        <v>14339</v>
      </c>
      <c r="N3646">
        <v>1.8217074179999999</v>
      </c>
      <c r="O3646">
        <v>4.1700741289999996</v>
      </c>
      <c r="P3646">
        <v>0.189705977</v>
      </c>
      <c r="Q3646">
        <v>-1.7194070999999998E-2</v>
      </c>
      <c r="S3646" s="13">
        <v>-1.9618484039999999</v>
      </c>
      <c r="T3646">
        <v>-2.647636055</v>
      </c>
      <c r="U3646">
        <v>-1.061614225</v>
      </c>
    </row>
    <row r="3647" spans="1:21" x14ac:dyDescent="0.2">
      <c r="A3647" t="s">
        <v>625</v>
      </c>
      <c r="B3647">
        <v>53440</v>
      </c>
      <c r="C3647" t="s">
        <v>6927</v>
      </c>
      <c r="D3647" t="s">
        <v>625</v>
      </c>
      <c r="E3647" t="s">
        <v>6918</v>
      </c>
      <c r="F3647">
        <v>11</v>
      </c>
      <c r="G3647">
        <v>1</v>
      </c>
      <c r="H3647" t="s">
        <v>14340</v>
      </c>
      <c r="J3647" t="s">
        <v>14341</v>
      </c>
      <c r="M3647" t="s">
        <v>14342</v>
      </c>
      <c r="N3647">
        <v>1.982575982</v>
      </c>
      <c r="O3647">
        <v>3.4571926419999999</v>
      </c>
      <c r="P3647">
        <v>-0.114791479</v>
      </c>
      <c r="Q3647">
        <v>1.868949E-3</v>
      </c>
      <c r="S3647" s="13">
        <v>-1.9622823579999999</v>
      </c>
      <c r="T3647">
        <v>-2.6495323370000001</v>
      </c>
      <c r="U3647">
        <v>-2.780392623</v>
      </c>
    </row>
    <row r="3648" spans="1:21" x14ac:dyDescent="0.2">
      <c r="A3648" t="s">
        <v>57</v>
      </c>
      <c r="B3648">
        <v>46400</v>
      </c>
      <c r="C3648" t="s">
        <v>6910</v>
      </c>
      <c r="D3648" t="s">
        <v>59</v>
      </c>
      <c r="E3648" t="s">
        <v>6928</v>
      </c>
      <c r="F3648">
        <v>4</v>
      </c>
      <c r="G3648">
        <v>16</v>
      </c>
      <c r="H3648" t="s">
        <v>14343</v>
      </c>
      <c r="J3648" t="s">
        <v>6157</v>
      </c>
      <c r="M3648" t="s">
        <v>14344</v>
      </c>
      <c r="N3648">
        <v>1.9874741039999999</v>
      </c>
      <c r="O3648">
        <v>3.7453511220000002</v>
      </c>
      <c r="P3648">
        <v>0.451009722</v>
      </c>
      <c r="Q3648">
        <v>-0.102386592</v>
      </c>
      <c r="S3648" s="13">
        <v>-1.9627633250000001</v>
      </c>
      <c r="T3648">
        <v>-2.6516340509999998</v>
      </c>
      <c r="U3648">
        <v>-0.92373085200000005</v>
      </c>
    </row>
    <row r="3649" spans="1:21" x14ac:dyDescent="0.2">
      <c r="A3649" t="s">
        <v>214</v>
      </c>
      <c r="B3649">
        <v>46360</v>
      </c>
      <c r="C3649" t="s">
        <v>6910</v>
      </c>
      <c r="D3649" t="s">
        <v>215</v>
      </c>
      <c r="E3649" t="s">
        <v>6939</v>
      </c>
      <c r="F3649">
        <v>9</v>
      </c>
      <c r="G3649">
        <v>2</v>
      </c>
      <c r="H3649" t="s">
        <v>14345</v>
      </c>
      <c r="J3649" t="s">
        <v>6541</v>
      </c>
      <c r="M3649" t="s">
        <v>14346</v>
      </c>
      <c r="N3649">
        <v>1.9874741039999999</v>
      </c>
      <c r="O3649">
        <v>3.7453511220000002</v>
      </c>
      <c r="P3649">
        <v>0.451009722</v>
      </c>
      <c r="Q3649">
        <v>-0.102386592</v>
      </c>
      <c r="S3649" s="13">
        <v>-1.9628063609999999</v>
      </c>
      <c r="T3649">
        <v>-2.6518221070000001</v>
      </c>
      <c r="U3649">
        <v>-0.92388882000000006</v>
      </c>
    </row>
    <row r="3650" spans="1:21" x14ac:dyDescent="0.2">
      <c r="A3650" t="s">
        <v>1764</v>
      </c>
      <c r="B3650">
        <v>46040</v>
      </c>
      <c r="C3650" t="s">
        <v>6910</v>
      </c>
      <c r="D3650" t="s">
        <v>1764</v>
      </c>
      <c r="E3650" t="s">
        <v>7115</v>
      </c>
      <c r="F3650">
        <v>20</v>
      </c>
      <c r="G3650">
        <v>10</v>
      </c>
      <c r="H3650" t="s">
        <v>14347</v>
      </c>
      <c r="J3650" t="s">
        <v>6033</v>
      </c>
      <c r="M3650" t="s">
        <v>14348</v>
      </c>
      <c r="N3650">
        <v>1.9874741039999999</v>
      </c>
      <c r="O3650">
        <v>3.7453511220000002</v>
      </c>
      <c r="P3650">
        <v>0.451009722</v>
      </c>
      <c r="Q3650">
        <v>-0.102386592</v>
      </c>
      <c r="S3650" s="13">
        <v>-1.963150647</v>
      </c>
      <c r="T3650">
        <v>-2.6533265579999998</v>
      </c>
      <c r="U3650">
        <v>-0.92515464000000003</v>
      </c>
    </row>
    <row r="3651" spans="1:21" x14ac:dyDescent="0.2">
      <c r="A3651" t="s">
        <v>644</v>
      </c>
      <c r="B3651">
        <v>51120</v>
      </c>
      <c r="C3651" t="s">
        <v>6927</v>
      </c>
      <c r="D3651" t="s">
        <v>644</v>
      </c>
      <c r="E3651" t="s">
        <v>6946</v>
      </c>
      <c r="F3651">
        <v>11</v>
      </c>
      <c r="G3651">
        <v>11</v>
      </c>
      <c r="H3651" t="s">
        <v>14349</v>
      </c>
      <c r="J3651" t="s">
        <v>14350</v>
      </c>
      <c r="M3651" t="s">
        <v>14351</v>
      </c>
      <c r="N3651">
        <v>1.982575982</v>
      </c>
      <c r="O3651">
        <v>3.4571926419999999</v>
      </c>
      <c r="P3651">
        <v>-0.114791479</v>
      </c>
      <c r="Q3651">
        <v>1.868949E-3</v>
      </c>
      <c r="S3651" s="13">
        <v>-1.9646896469999999</v>
      </c>
      <c r="T3651">
        <v>-2.6600516359999999</v>
      </c>
    </row>
    <row r="3652" spans="1:21" x14ac:dyDescent="0.2">
      <c r="A3652" t="s">
        <v>671</v>
      </c>
      <c r="B3652">
        <v>49880</v>
      </c>
      <c r="C3652" t="s">
        <v>6927</v>
      </c>
      <c r="D3652" t="s">
        <v>672</v>
      </c>
      <c r="E3652" t="s">
        <v>6970</v>
      </c>
      <c r="F3652">
        <v>6</v>
      </c>
      <c r="G3652">
        <v>14</v>
      </c>
      <c r="H3652" t="s">
        <v>14352</v>
      </c>
      <c r="J3652" t="s">
        <v>14353</v>
      </c>
      <c r="M3652" t="s">
        <v>14354</v>
      </c>
      <c r="N3652">
        <v>1.982575982</v>
      </c>
      <c r="O3652">
        <v>3.4571926419999999</v>
      </c>
      <c r="P3652">
        <v>-0.114791479</v>
      </c>
      <c r="Q3652">
        <v>1.868949E-3</v>
      </c>
      <c r="S3652" s="13">
        <v>-1.965976301</v>
      </c>
      <c r="T3652">
        <v>-2.66567402</v>
      </c>
    </row>
    <row r="3653" spans="1:21" x14ac:dyDescent="0.2">
      <c r="A3653" t="s">
        <v>1544</v>
      </c>
      <c r="B3653">
        <v>42880</v>
      </c>
      <c r="C3653" t="s">
        <v>6910</v>
      </c>
      <c r="D3653" t="s">
        <v>1545</v>
      </c>
      <c r="E3653" t="s">
        <v>6924</v>
      </c>
      <c r="F3653">
        <v>6</v>
      </c>
      <c r="G3653">
        <v>6</v>
      </c>
      <c r="H3653" t="s">
        <v>14355</v>
      </c>
      <c r="J3653" t="s">
        <v>6337</v>
      </c>
      <c r="M3653" t="s">
        <v>14356</v>
      </c>
      <c r="N3653">
        <v>1.9874741039999999</v>
      </c>
      <c r="O3653">
        <v>3.7453511220000002</v>
      </c>
      <c r="P3653">
        <v>0.451009722</v>
      </c>
      <c r="Q3653">
        <v>-0.102386592</v>
      </c>
      <c r="S3653" s="13">
        <v>-1.9665504700000001</v>
      </c>
      <c r="T3653">
        <v>-2.6681830099999999</v>
      </c>
      <c r="U3653">
        <v>-0.93785680000000005</v>
      </c>
    </row>
    <row r="3654" spans="1:21" x14ac:dyDescent="0.2">
      <c r="A3654" t="s">
        <v>18</v>
      </c>
      <c r="B3654">
        <v>41640</v>
      </c>
      <c r="C3654" t="s">
        <v>6910</v>
      </c>
      <c r="D3654" t="s">
        <v>19</v>
      </c>
      <c r="E3654" t="s">
        <v>6928</v>
      </c>
      <c r="F3654">
        <v>1</v>
      </c>
      <c r="G3654">
        <v>16</v>
      </c>
      <c r="H3654" t="s">
        <v>14357</v>
      </c>
      <c r="J3654" t="s">
        <v>6115</v>
      </c>
      <c r="M3654" t="s">
        <v>14358</v>
      </c>
      <c r="N3654">
        <v>1.9874741039999999</v>
      </c>
      <c r="O3654">
        <v>3.7453511220000002</v>
      </c>
      <c r="P3654">
        <v>0.451009722</v>
      </c>
      <c r="Q3654">
        <v>-0.102386592</v>
      </c>
      <c r="S3654" s="13">
        <v>-1.9678845780000001</v>
      </c>
      <c r="T3654">
        <v>-2.6740127569999999</v>
      </c>
      <c r="U3654">
        <v>-0.942944483</v>
      </c>
    </row>
    <row r="3655" spans="1:21" x14ac:dyDescent="0.2">
      <c r="A3655" t="s">
        <v>2412</v>
      </c>
      <c r="B3655">
        <v>41280</v>
      </c>
      <c r="C3655" t="s">
        <v>6910</v>
      </c>
      <c r="D3655" t="s">
        <v>2412</v>
      </c>
      <c r="E3655" t="s">
        <v>6956</v>
      </c>
      <c r="F3655">
        <v>14</v>
      </c>
      <c r="G3655">
        <v>7</v>
      </c>
      <c r="H3655" t="s">
        <v>14359</v>
      </c>
      <c r="J3655" t="s">
        <v>6255</v>
      </c>
      <c r="M3655" t="s">
        <v>14360</v>
      </c>
      <c r="N3655">
        <v>1.9874741039999999</v>
      </c>
      <c r="O3655">
        <v>3.7453511220000002</v>
      </c>
      <c r="P3655">
        <v>0.451009722</v>
      </c>
      <c r="Q3655">
        <v>-0.102386592</v>
      </c>
      <c r="S3655" s="13">
        <v>-1.9682719</v>
      </c>
      <c r="T3655">
        <v>-2.6757052639999999</v>
      </c>
      <c r="U3655">
        <v>-0.94443278600000002</v>
      </c>
    </row>
    <row r="3656" spans="1:21" x14ac:dyDescent="0.2">
      <c r="A3656" t="s">
        <v>901</v>
      </c>
      <c r="B3656">
        <v>79000</v>
      </c>
      <c r="C3656" t="s">
        <v>6931</v>
      </c>
      <c r="D3656" t="s">
        <v>902</v>
      </c>
      <c r="E3656" t="s">
        <v>6977</v>
      </c>
      <c r="F3656">
        <v>2</v>
      </c>
      <c r="G3656">
        <v>5</v>
      </c>
      <c r="H3656" t="s">
        <v>14361</v>
      </c>
      <c r="J3656" t="s">
        <v>6623</v>
      </c>
      <c r="M3656" t="s">
        <v>14362</v>
      </c>
      <c r="N3656">
        <v>1.9323965059999999</v>
      </c>
      <c r="O3656">
        <v>3.0528020530000002</v>
      </c>
      <c r="P3656">
        <v>2.6493138999999999E-2</v>
      </c>
      <c r="Q3656">
        <v>-0.38692188</v>
      </c>
      <c r="S3656" s="13">
        <v>-1.968701137</v>
      </c>
      <c r="T3656">
        <v>-2.67758093</v>
      </c>
      <c r="U3656">
        <v>-0.62118334200000003</v>
      </c>
    </row>
    <row r="3657" spans="1:21" x14ac:dyDescent="0.2">
      <c r="A3657" t="s">
        <v>134</v>
      </c>
      <c r="B3657">
        <v>40760</v>
      </c>
      <c r="C3657" t="s">
        <v>6910</v>
      </c>
      <c r="D3657" t="s">
        <v>135</v>
      </c>
      <c r="E3657" t="s">
        <v>6970</v>
      </c>
      <c r="F3657">
        <v>1</v>
      </c>
      <c r="G3657">
        <v>14</v>
      </c>
      <c r="H3657" t="s">
        <v>14363</v>
      </c>
      <c r="J3657" t="s">
        <v>6291</v>
      </c>
      <c r="M3657" t="s">
        <v>14364</v>
      </c>
      <c r="N3657">
        <v>1.9874741039999999</v>
      </c>
      <c r="O3657">
        <v>3.7453511220000002</v>
      </c>
      <c r="P3657">
        <v>0.451009722</v>
      </c>
      <c r="Q3657">
        <v>-0.102386592</v>
      </c>
      <c r="S3657" s="13">
        <v>-1.9688313639999999</v>
      </c>
      <c r="T3657">
        <v>-2.6781499960000001</v>
      </c>
      <c r="U3657">
        <v>-0.94659159999999998</v>
      </c>
    </row>
    <row r="3658" spans="1:21" x14ac:dyDescent="0.2">
      <c r="A3658" t="s">
        <v>222</v>
      </c>
      <c r="B3658">
        <v>46280</v>
      </c>
      <c r="C3658" t="s">
        <v>6927</v>
      </c>
      <c r="D3658" t="s">
        <v>222</v>
      </c>
      <c r="E3658" t="s">
        <v>6924</v>
      </c>
      <c r="F3658">
        <v>20</v>
      </c>
      <c r="G3658">
        <v>6</v>
      </c>
      <c r="H3658" t="s">
        <v>14365</v>
      </c>
      <c r="J3658" t="s">
        <v>14366</v>
      </c>
      <c r="M3658" t="s">
        <v>14367</v>
      </c>
      <c r="N3658">
        <v>1.982575982</v>
      </c>
      <c r="O3658">
        <v>3.4571926419999999</v>
      </c>
      <c r="P3658">
        <v>-0.114791479</v>
      </c>
      <c r="Q3658">
        <v>1.868949E-3</v>
      </c>
      <c r="S3658" s="13">
        <v>-1.9697117479999999</v>
      </c>
      <c r="T3658">
        <v>-2.6819970710000001</v>
      </c>
    </row>
    <row r="3659" spans="1:21" x14ac:dyDescent="0.2">
      <c r="A3659" t="s">
        <v>462</v>
      </c>
      <c r="B3659">
        <v>45360</v>
      </c>
      <c r="C3659" t="s">
        <v>6927</v>
      </c>
      <c r="D3659" t="s">
        <v>462</v>
      </c>
      <c r="E3659" t="s">
        <v>6956</v>
      </c>
      <c r="F3659">
        <v>20</v>
      </c>
      <c r="G3659">
        <v>7</v>
      </c>
      <c r="H3659" t="s">
        <v>14368</v>
      </c>
      <c r="J3659" t="s">
        <v>14369</v>
      </c>
      <c r="M3659" t="s">
        <v>14370</v>
      </c>
      <c r="N3659">
        <v>1.982575982</v>
      </c>
      <c r="O3659">
        <v>3.4571926419999999</v>
      </c>
      <c r="P3659">
        <v>-0.114791479</v>
      </c>
      <c r="Q3659">
        <v>1.868949E-3</v>
      </c>
      <c r="S3659" s="13">
        <v>-1.970666362</v>
      </c>
      <c r="T3659">
        <v>-2.686168517</v>
      </c>
    </row>
    <row r="3660" spans="1:21" x14ac:dyDescent="0.2">
      <c r="A3660" t="s">
        <v>1668</v>
      </c>
      <c r="B3660">
        <v>44600</v>
      </c>
      <c r="C3660" t="s">
        <v>6927</v>
      </c>
      <c r="D3660" t="s">
        <v>1668</v>
      </c>
      <c r="E3660" t="s">
        <v>6915</v>
      </c>
      <c r="F3660">
        <v>10</v>
      </c>
      <c r="G3660">
        <v>13</v>
      </c>
      <c r="H3660" t="s">
        <v>14371</v>
      </c>
      <c r="J3660" t="s">
        <v>14372</v>
      </c>
      <c r="M3660" t="s">
        <v>14373</v>
      </c>
      <c r="N3660">
        <v>1.982575982</v>
      </c>
      <c r="O3660">
        <v>3.4571926419999999</v>
      </c>
      <c r="P3660">
        <v>-0.114791479</v>
      </c>
      <c r="Q3660">
        <v>1.868949E-3</v>
      </c>
      <c r="S3660" s="13">
        <v>-1.971454957</v>
      </c>
      <c r="T3660">
        <v>-2.6896144949999998</v>
      </c>
    </row>
    <row r="3661" spans="1:21" x14ac:dyDescent="0.2">
      <c r="A3661" t="s">
        <v>148</v>
      </c>
      <c r="B3661">
        <v>42360</v>
      </c>
      <c r="C3661" t="s">
        <v>6927</v>
      </c>
      <c r="D3661" t="s">
        <v>148</v>
      </c>
      <c r="E3661" t="s">
        <v>6915</v>
      </c>
      <c r="F3661">
        <v>17</v>
      </c>
      <c r="G3661">
        <v>13</v>
      </c>
      <c r="H3661" t="s">
        <v>14374</v>
      </c>
      <c r="J3661" t="s">
        <v>14375</v>
      </c>
      <c r="M3661" t="s">
        <v>14376</v>
      </c>
      <c r="N3661">
        <v>1.982575982</v>
      </c>
      <c r="O3661">
        <v>3.4571926419999999</v>
      </c>
      <c r="P3661">
        <v>-0.114791479</v>
      </c>
      <c r="Q3661">
        <v>1.868949E-3</v>
      </c>
      <c r="S3661" s="13">
        <v>-1.9737792350000001</v>
      </c>
      <c r="T3661">
        <v>-2.6997710599999998</v>
      </c>
    </row>
    <row r="3662" spans="1:21" x14ac:dyDescent="0.2">
      <c r="A3662" t="s">
        <v>435</v>
      </c>
      <c r="B3662">
        <v>35960</v>
      </c>
      <c r="C3662" t="s">
        <v>6910</v>
      </c>
      <c r="D3662" t="s">
        <v>435</v>
      </c>
      <c r="E3662" t="s">
        <v>6915</v>
      </c>
      <c r="F3662">
        <v>14</v>
      </c>
      <c r="G3662">
        <v>13</v>
      </c>
      <c r="H3662" t="s">
        <v>14377</v>
      </c>
      <c r="J3662" t="s">
        <v>6155</v>
      </c>
      <c r="M3662" t="s">
        <v>14378</v>
      </c>
      <c r="N3662">
        <v>1.9874741039999999</v>
      </c>
      <c r="O3662">
        <v>3.7453511220000002</v>
      </c>
      <c r="P3662">
        <v>0.451009722</v>
      </c>
      <c r="Q3662">
        <v>-0.102386592</v>
      </c>
      <c r="S3662" s="13">
        <v>-1.973995653</v>
      </c>
      <c r="T3662">
        <v>-2.700716758</v>
      </c>
      <c r="U3662">
        <v>-0.96704279000000004</v>
      </c>
    </row>
    <row r="3663" spans="1:21" x14ac:dyDescent="0.2">
      <c r="A3663" t="s">
        <v>172</v>
      </c>
      <c r="B3663">
        <v>35880</v>
      </c>
      <c r="C3663" t="s">
        <v>6910</v>
      </c>
      <c r="D3663" t="s">
        <v>172</v>
      </c>
      <c r="E3663" t="s">
        <v>7006</v>
      </c>
      <c r="F3663">
        <v>11</v>
      </c>
      <c r="G3663">
        <v>3</v>
      </c>
      <c r="H3663" t="s">
        <v>14379</v>
      </c>
      <c r="J3663" t="s">
        <v>6515</v>
      </c>
      <c r="M3663" t="s">
        <v>14380</v>
      </c>
      <c r="N3663">
        <v>1.9874741039999999</v>
      </c>
      <c r="O3663">
        <v>3.7453511220000002</v>
      </c>
      <c r="P3663">
        <v>0.451009722</v>
      </c>
      <c r="Q3663">
        <v>-0.102386592</v>
      </c>
      <c r="S3663" s="13">
        <v>-1.974081725</v>
      </c>
      <c r="T3663">
        <v>-2.7010928710000002</v>
      </c>
      <c r="U3663">
        <v>-0.96739193599999995</v>
      </c>
    </row>
    <row r="3664" spans="1:21" x14ac:dyDescent="0.2">
      <c r="A3664" t="s">
        <v>191</v>
      </c>
      <c r="B3664">
        <v>41440</v>
      </c>
      <c r="C3664" t="s">
        <v>6927</v>
      </c>
      <c r="D3664" t="s">
        <v>192</v>
      </c>
      <c r="E3664" t="s">
        <v>6911</v>
      </c>
      <c r="F3664">
        <v>1</v>
      </c>
      <c r="G3664">
        <v>12</v>
      </c>
      <c r="H3664" t="s">
        <v>14381</v>
      </c>
      <c r="J3664" t="s">
        <v>14382</v>
      </c>
      <c r="M3664" t="s">
        <v>14383</v>
      </c>
      <c r="N3664">
        <v>1.982575982</v>
      </c>
      <c r="O3664">
        <v>3.4571926419999999</v>
      </c>
      <c r="P3664">
        <v>-0.114791479</v>
      </c>
      <c r="Q3664">
        <v>1.868949E-3</v>
      </c>
      <c r="S3664" s="13">
        <v>-1.9747338489999999</v>
      </c>
      <c r="T3664">
        <v>-2.7039425060000002</v>
      </c>
    </row>
    <row r="3665" spans="1:21" x14ac:dyDescent="0.2">
      <c r="A3665" t="s">
        <v>169</v>
      </c>
      <c r="B3665">
        <v>200280</v>
      </c>
      <c r="C3665" t="s">
        <v>6914</v>
      </c>
      <c r="D3665" t="s">
        <v>169</v>
      </c>
      <c r="E3665" t="s">
        <v>6918</v>
      </c>
      <c r="F3665">
        <v>16</v>
      </c>
      <c r="G3665">
        <v>1</v>
      </c>
      <c r="H3665" t="s">
        <v>14384</v>
      </c>
      <c r="J3665" t="s">
        <v>6753</v>
      </c>
      <c r="M3665" t="s">
        <v>14385</v>
      </c>
      <c r="N3665">
        <v>1.8217074179999999</v>
      </c>
      <c r="O3665">
        <v>4.1700741289999996</v>
      </c>
      <c r="P3665">
        <v>0.189705977</v>
      </c>
      <c r="Q3665">
        <v>-1.7194070999999998E-2</v>
      </c>
      <c r="S3665" s="13">
        <v>-1.9760891009999999</v>
      </c>
      <c r="T3665">
        <v>-2.709864644</v>
      </c>
      <c r="U3665">
        <v>-1.1311086829999999</v>
      </c>
    </row>
    <row r="3666" spans="1:21" x14ac:dyDescent="0.2">
      <c r="A3666" t="s">
        <v>1484</v>
      </c>
      <c r="B3666">
        <v>39160</v>
      </c>
      <c r="C3666" t="s">
        <v>6927</v>
      </c>
      <c r="D3666" t="s">
        <v>1484</v>
      </c>
      <c r="E3666" t="s">
        <v>6977</v>
      </c>
      <c r="F3666">
        <v>16</v>
      </c>
      <c r="G3666">
        <v>5</v>
      </c>
      <c r="H3666" t="s">
        <v>14386</v>
      </c>
      <c r="J3666" t="s">
        <v>14387</v>
      </c>
      <c r="M3666" t="s">
        <v>14388</v>
      </c>
      <c r="N3666">
        <v>1.982575982</v>
      </c>
      <c r="O3666">
        <v>3.4571926419999999</v>
      </c>
      <c r="P3666">
        <v>-0.114791479</v>
      </c>
      <c r="Q3666">
        <v>1.868949E-3</v>
      </c>
      <c r="S3666" s="13">
        <v>-1.9770996329999999</v>
      </c>
      <c r="T3666">
        <v>-2.7142804379999999</v>
      </c>
    </row>
    <row r="3667" spans="1:21" x14ac:dyDescent="0.2">
      <c r="A3667" t="s">
        <v>2224</v>
      </c>
      <c r="B3667">
        <v>173320</v>
      </c>
      <c r="C3667" t="s">
        <v>6906</v>
      </c>
      <c r="D3667" t="s">
        <v>2224</v>
      </c>
      <c r="E3667" t="s">
        <v>6974</v>
      </c>
      <c r="F3667">
        <v>18</v>
      </c>
      <c r="G3667">
        <v>15</v>
      </c>
      <c r="H3667" t="s">
        <v>14389</v>
      </c>
      <c r="J3667" t="s">
        <v>4099</v>
      </c>
      <c r="M3667" t="s">
        <v>14390</v>
      </c>
      <c r="N3667">
        <v>1.813871112</v>
      </c>
      <c r="O3667">
        <v>2.6633694910000001</v>
      </c>
      <c r="P3667">
        <v>-0.29586356800000002</v>
      </c>
      <c r="Q3667">
        <v>-0.59018158399999998</v>
      </c>
      <c r="S3667" s="13">
        <v>-1.9772522850000001</v>
      </c>
      <c r="T3667">
        <v>-2.714947494</v>
      </c>
      <c r="U3667">
        <v>-0.67086039500000005</v>
      </c>
    </row>
    <row r="3668" spans="1:21" x14ac:dyDescent="0.2">
      <c r="A3668" t="s">
        <v>741</v>
      </c>
      <c r="B3668">
        <v>102720</v>
      </c>
      <c r="C3668" t="s">
        <v>6953</v>
      </c>
      <c r="D3668" t="s">
        <v>741</v>
      </c>
      <c r="E3668" t="s">
        <v>6946</v>
      </c>
      <c r="F3668">
        <v>17</v>
      </c>
      <c r="G3668">
        <v>11</v>
      </c>
      <c r="H3668" t="s">
        <v>14391</v>
      </c>
      <c r="J3668" t="s">
        <v>5315</v>
      </c>
      <c r="M3668" t="s">
        <v>14392</v>
      </c>
      <c r="N3668">
        <v>1.921480887</v>
      </c>
      <c r="O3668">
        <v>3.0856645180000002</v>
      </c>
      <c r="P3668">
        <v>0.44706724399999997</v>
      </c>
      <c r="Q3668">
        <v>-0.354940863</v>
      </c>
      <c r="S3668" s="13">
        <v>-1.97862494</v>
      </c>
      <c r="T3668">
        <v>-2.7209456840000001</v>
      </c>
      <c r="U3668">
        <v>-1.1373917650000001</v>
      </c>
    </row>
    <row r="3669" spans="1:21" x14ac:dyDescent="0.2">
      <c r="A3669" t="s">
        <v>79</v>
      </c>
      <c r="B3669">
        <v>34600</v>
      </c>
      <c r="C3669" t="s">
        <v>6927</v>
      </c>
      <c r="D3669" t="s">
        <v>80</v>
      </c>
      <c r="E3669" t="s">
        <v>6946</v>
      </c>
      <c r="F3669">
        <v>1</v>
      </c>
      <c r="G3669">
        <v>11</v>
      </c>
      <c r="H3669" t="s">
        <v>14393</v>
      </c>
      <c r="J3669" t="s">
        <v>14394</v>
      </c>
      <c r="M3669" t="s">
        <v>14395</v>
      </c>
      <c r="N3669">
        <v>1.982575982</v>
      </c>
      <c r="O3669">
        <v>3.4571926419999999</v>
      </c>
      <c r="P3669">
        <v>-0.114791479</v>
      </c>
      <c r="Q3669">
        <v>1.868949E-3</v>
      </c>
      <c r="S3669" s="13">
        <v>-1.9818311989999999</v>
      </c>
      <c r="T3669">
        <v>-2.7349563030000001</v>
      </c>
    </row>
    <row r="3670" spans="1:21" x14ac:dyDescent="0.2">
      <c r="A3670" t="s">
        <v>2443</v>
      </c>
      <c r="B3670">
        <v>34160</v>
      </c>
      <c r="C3670" t="s">
        <v>6927</v>
      </c>
      <c r="D3670" t="s">
        <v>2444</v>
      </c>
      <c r="E3670" t="s">
        <v>7006</v>
      </c>
      <c r="F3670">
        <v>1</v>
      </c>
      <c r="G3670">
        <v>3</v>
      </c>
      <c r="H3670" t="s">
        <v>14396</v>
      </c>
      <c r="J3670" t="s">
        <v>14397</v>
      </c>
      <c r="M3670" t="s">
        <v>14398</v>
      </c>
      <c r="N3670">
        <v>1.982575982</v>
      </c>
      <c r="O3670">
        <v>3.4571926419999999</v>
      </c>
      <c r="P3670">
        <v>-0.114791479</v>
      </c>
      <c r="Q3670">
        <v>1.868949E-3</v>
      </c>
      <c r="S3670" s="13">
        <v>-1.9822877539999999</v>
      </c>
      <c r="T3670">
        <v>-2.7369513419999998</v>
      </c>
    </row>
    <row r="3671" spans="1:21" x14ac:dyDescent="0.2">
      <c r="A3671" t="s">
        <v>1954</v>
      </c>
      <c r="B3671">
        <v>65880</v>
      </c>
      <c r="C3671" t="s">
        <v>6931</v>
      </c>
      <c r="D3671" t="s">
        <v>1955</v>
      </c>
      <c r="E3671" t="s">
        <v>6918</v>
      </c>
      <c r="F3671">
        <v>1</v>
      </c>
      <c r="G3671">
        <v>1</v>
      </c>
      <c r="H3671" t="s">
        <v>14399</v>
      </c>
      <c r="J3671" t="s">
        <v>6835</v>
      </c>
      <c r="M3671" t="s">
        <v>14400</v>
      </c>
      <c r="N3671">
        <v>1.9323965059999999</v>
      </c>
      <c r="O3671">
        <v>3.0528020530000002</v>
      </c>
      <c r="P3671">
        <v>2.6493138999999999E-2</v>
      </c>
      <c r="Q3671">
        <v>-0.38692188</v>
      </c>
      <c r="S3671" s="13">
        <v>-1.985940477</v>
      </c>
      <c r="T3671">
        <v>-2.7529129069999998</v>
      </c>
      <c r="U3671">
        <v>-0.64779394999999995</v>
      </c>
    </row>
    <row r="3672" spans="1:21" x14ac:dyDescent="0.2">
      <c r="A3672" t="s">
        <v>1511</v>
      </c>
      <c r="B3672">
        <v>94720</v>
      </c>
      <c r="C3672" t="s">
        <v>6953</v>
      </c>
      <c r="D3672" t="s">
        <v>1512</v>
      </c>
      <c r="E3672" t="s">
        <v>6970</v>
      </c>
      <c r="F3672">
        <v>4</v>
      </c>
      <c r="G3672">
        <v>14</v>
      </c>
      <c r="H3672" t="s">
        <v>14401</v>
      </c>
      <c r="J3672" t="s">
        <v>5443</v>
      </c>
      <c r="M3672" t="s">
        <v>14402</v>
      </c>
      <c r="N3672">
        <v>1.921480887</v>
      </c>
      <c r="O3672">
        <v>3.0856645180000002</v>
      </c>
      <c r="P3672">
        <v>0.44706724399999997</v>
      </c>
      <c r="Q3672">
        <v>-0.354940863</v>
      </c>
      <c r="S3672" s="13">
        <v>-1.9869259340000001</v>
      </c>
      <c r="T3672">
        <v>-2.7572191309999998</v>
      </c>
      <c r="U3672">
        <v>-1.192395699</v>
      </c>
    </row>
    <row r="3673" spans="1:21" x14ac:dyDescent="0.2">
      <c r="A3673" t="s">
        <v>1198</v>
      </c>
      <c r="B3673">
        <v>63000</v>
      </c>
      <c r="C3673" t="s">
        <v>6931</v>
      </c>
      <c r="D3673" t="s">
        <v>1199</v>
      </c>
      <c r="E3673" t="s">
        <v>6924</v>
      </c>
      <c r="F3673">
        <v>2</v>
      </c>
      <c r="G3673">
        <v>6</v>
      </c>
      <c r="H3673" t="s">
        <v>14403</v>
      </c>
      <c r="J3673" t="s">
        <v>6661</v>
      </c>
      <c r="M3673" t="s">
        <v>14404</v>
      </c>
      <c r="N3673">
        <v>1.9323965059999999</v>
      </c>
      <c r="O3673">
        <v>3.0528020530000002</v>
      </c>
      <c r="P3673">
        <v>2.6493138999999999E-2</v>
      </c>
      <c r="Q3673">
        <v>-0.38692188</v>
      </c>
      <c r="S3673" s="13">
        <v>-1.9897247220000001</v>
      </c>
      <c r="T3673">
        <v>-2.769449195</v>
      </c>
      <c r="U3673">
        <v>-0.65386014299999995</v>
      </c>
    </row>
    <row r="3674" spans="1:21" x14ac:dyDescent="0.2">
      <c r="A3674" t="s">
        <v>1383</v>
      </c>
      <c r="B3674">
        <v>91840</v>
      </c>
      <c r="C3674" t="s">
        <v>6953</v>
      </c>
      <c r="D3674" t="s">
        <v>1384</v>
      </c>
      <c r="E3674" t="s">
        <v>6956</v>
      </c>
      <c r="F3674">
        <v>6</v>
      </c>
      <c r="G3674">
        <v>7</v>
      </c>
      <c r="H3674" t="s">
        <v>14405</v>
      </c>
      <c r="J3674" t="s">
        <v>5495</v>
      </c>
      <c r="M3674" t="s">
        <v>14406</v>
      </c>
      <c r="N3674">
        <v>1.921480887</v>
      </c>
      <c r="O3674">
        <v>3.0856645180000002</v>
      </c>
      <c r="P3674">
        <v>0.44706724399999997</v>
      </c>
      <c r="Q3674">
        <v>-0.354940863</v>
      </c>
      <c r="S3674" s="13">
        <v>-1.9899142919999999</v>
      </c>
      <c r="T3674">
        <v>-2.7702775709999998</v>
      </c>
      <c r="U3674">
        <v>-1.2140360189999999</v>
      </c>
    </row>
    <row r="3675" spans="1:21" x14ac:dyDescent="0.2">
      <c r="A3675" t="s">
        <v>2412</v>
      </c>
      <c r="B3675">
        <v>183760</v>
      </c>
      <c r="C3675" t="s">
        <v>6914</v>
      </c>
      <c r="D3675" t="s">
        <v>2412</v>
      </c>
      <c r="E3675" t="s">
        <v>6956</v>
      </c>
      <c r="F3675">
        <v>14</v>
      </c>
      <c r="G3675">
        <v>7</v>
      </c>
      <c r="H3675" t="s">
        <v>14407</v>
      </c>
      <c r="J3675" t="s">
        <v>6355</v>
      </c>
      <c r="M3675" t="s">
        <v>14408</v>
      </c>
      <c r="N3675">
        <v>1.8217074179999999</v>
      </c>
      <c r="O3675">
        <v>4.1700741289999996</v>
      </c>
      <c r="P3675">
        <v>0.189705977</v>
      </c>
      <c r="Q3675">
        <v>-1.7194070999999998E-2</v>
      </c>
      <c r="S3675" s="13">
        <v>-1.995958721</v>
      </c>
      <c r="T3675">
        <v>-2.7966903439999999</v>
      </c>
      <c r="U3675">
        <v>-1.251509516</v>
      </c>
    </row>
    <row r="3676" spans="1:21" x14ac:dyDescent="0.2">
      <c r="A3676" t="s">
        <v>1198</v>
      </c>
      <c r="B3676">
        <v>83480</v>
      </c>
      <c r="C3676" t="s">
        <v>6953</v>
      </c>
      <c r="D3676" t="s">
        <v>1199</v>
      </c>
      <c r="E3676" t="s">
        <v>6924</v>
      </c>
      <c r="F3676">
        <v>2</v>
      </c>
      <c r="G3676">
        <v>6</v>
      </c>
      <c r="H3676" t="s">
        <v>14409</v>
      </c>
      <c r="J3676" t="s">
        <v>5489</v>
      </c>
      <c r="M3676" t="s">
        <v>14410</v>
      </c>
      <c r="N3676">
        <v>1.921480887</v>
      </c>
      <c r="O3676">
        <v>3.0856645180000002</v>
      </c>
      <c r="P3676">
        <v>0.44706724399999997</v>
      </c>
      <c r="Q3676">
        <v>-0.354940863</v>
      </c>
      <c r="S3676" s="13">
        <v>-1.998588831</v>
      </c>
      <c r="T3676">
        <v>-2.8081833230000002</v>
      </c>
      <c r="U3676">
        <v>-1.2837523479999999</v>
      </c>
    </row>
    <row r="3677" spans="1:21" x14ac:dyDescent="0.2">
      <c r="A3677" t="s">
        <v>1362</v>
      </c>
      <c r="B3677">
        <v>157920</v>
      </c>
      <c r="C3677" t="s">
        <v>6906</v>
      </c>
      <c r="D3677" t="s">
        <v>1362</v>
      </c>
      <c r="E3677" t="s">
        <v>7115</v>
      </c>
      <c r="F3677">
        <v>22</v>
      </c>
      <c r="G3677">
        <v>10</v>
      </c>
      <c r="H3677" t="s">
        <v>14411</v>
      </c>
      <c r="J3677" t="s">
        <v>4252</v>
      </c>
      <c r="M3677" t="s">
        <v>14412</v>
      </c>
      <c r="N3677">
        <v>1.813871112</v>
      </c>
      <c r="O3677">
        <v>2.6633694910000001</v>
      </c>
      <c r="P3677">
        <v>-0.29586356800000002</v>
      </c>
      <c r="Q3677">
        <v>-0.59018158399999998</v>
      </c>
      <c r="S3677" s="13">
        <v>-1.9995937909999999</v>
      </c>
      <c r="T3677">
        <v>-2.8125747670000001</v>
      </c>
      <c r="U3677">
        <v>-0.70623135299999995</v>
      </c>
    </row>
    <row r="3678" spans="1:21" x14ac:dyDescent="0.2">
      <c r="A3678" t="s">
        <v>1356</v>
      </c>
      <c r="B3678">
        <v>51520</v>
      </c>
      <c r="C3678" t="s">
        <v>6931</v>
      </c>
      <c r="D3678" t="s">
        <v>1356</v>
      </c>
      <c r="E3678" t="s">
        <v>6921</v>
      </c>
      <c r="F3678">
        <v>19</v>
      </c>
      <c r="G3678">
        <v>8</v>
      </c>
      <c r="H3678" t="s">
        <v>14413</v>
      </c>
      <c r="N3678">
        <v>1.9323965059999999</v>
      </c>
      <c r="O3678">
        <v>3.0528020530000002</v>
      </c>
      <c r="P3678">
        <v>2.6493138999999999E-2</v>
      </c>
      <c r="Q3678">
        <v>-0.38692188</v>
      </c>
      <c r="S3678" s="13">
        <v>-2.0048091449999998</v>
      </c>
      <c r="T3678">
        <v>-2.835364674</v>
      </c>
      <c r="U3678">
        <v>-0.67891960699999998</v>
      </c>
    </row>
    <row r="3679" spans="1:21" x14ac:dyDescent="0.2">
      <c r="A3679" t="s">
        <v>1343</v>
      </c>
      <c r="B3679">
        <v>75680</v>
      </c>
      <c r="C3679" t="s">
        <v>6953</v>
      </c>
      <c r="D3679" t="s">
        <v>1344</v>
      </c>
      <c r="E3679" t="s">
        <v>7085</v>
      </c>
      <c r="F3679">
        <v>7</v>
      </c>
      <c r="G3679">
        <v>9</v>
      </c>
      <c r="H3679" t="s">
        <v>14414</v>
      </c>
      <c r="J3679" t="s">
        <v>5429</v>
      </c>
      <c r="M3679" t="s">
        <v>14415</v>
      </c>
      <c r="N3679">
        <v>1.921480887</v>
      </c>
      <c r="O3679">
        <v>3.0856645180000002</v>
      </c>
      <c r="P3679">
        <v>0.44706724399999997</v>
      </c>
      <c r="Q3679">
        <v>-0.354940863</v>
      </c>
      <c r="S3679" s="13">
        <v>-2.0066823</v>
      </c>
      <c r="T3679">
        <v>-2.8435499329999998</v>
      </c>
      <c r="U3679">
        <v>-1.3607499810000001</v>
      </c>
    </row>
    <row r="3680" spans="1:21" x14ac:dyDescent="0.2">
      <c r="A3680" t="s">
        <v>13</v>
      </c>
      <c r="B3680">
        <v>75160</v>
      </c>
      <c r="C3680" t="s">
        <v>6953</v>
      </c>
      <c r="D3680" t="s">
        <v>13</v>
      </c>
      <c r="E3680" t="s">
        <v>6921</v>
      </c>
      <c r="F3680">
        <v>22</v>
      </c>
      <c r="G3680">
        <v>8</v>
      </c>
      <c r="H3680" t="s">
        <v>14416</v>
      </c>
      <c r="J3680" t="s">
        <v>5453</v>
      </c>
      <c r="M3680" t="s">
        <v>14417</v>
      </c>
      <c r="N3680">
        <v>1.921480887</v>
      </c>
      <c r="O3680">
        <v>3.0856645180000002</v>
      </c>
      <c r="P3680">
        <v>0.44706724399999997</v>
      </c>
      <c r="Q3680">
        <v>-0.354940863</v>
      </c>
      <c r="S3680" s="13">
        <v>-2.007221865</v>
      </c>
      <c r="T3680">
        <v>-2.8459077069999998</v>
      </c>
      <c r="U3680">
        <v>-1.3664029550000001</v>
      </c>
    </row>
    <row r="3681" spans="1:21" x14ac:dyDescent="0.2">
      <c r="A3681" t="s">
        <v>951</v>
      </c>
      <c r="B3681">
        <v>73120</v>
      </c>
      <c r="C3681" t="s">
        <v>6953</v>
      </c>
      <c r="D3681" t="s">
        <v>951</v>
      </c>
      <c r="E3681" t="s">
        <v>6970</v>
      </c>
      <c r="F3681">
        <v>16</v>
      </c>
      <c r="G3681">
        <v>14</v>
      </c>
      <c r="H3681" t="s">
        <v>14418</v>
      </c>
      <c r="J3681" t="s">
        <v>5321</v>
      </c>
      <c r="M3681" t="s">
        <v>14419</v>
      </c>
      <c r="N3681">
        <v>1.921480887</v>
      </c>
      <c r="O3681">
        <v>3.0856645180000002</v>
      </c>
      <c r="P3681">
        <v>0.44706724399999997</v>
      </c>
      <c r="Q3681">
        <v>-0.354940863</v>
      </c>
      <c r="S3681" s="13">
        <v>-2.0093386180000001</v>
      </c>
      <c r="T3681">
        <v>-2.8551574359999998</v>
      </c>
      <c r="U3681">
        <v>-1.389319073</v>
      </c>
    </row>
    <row r="3682" spans="1:21" x14ac:dyDescent="0.2">
      <c r="A3682" t="s">
        <v>1263</v>
      </c>
      <c r="B3682">
        <v>72560</v>
      </c>
      <c r="C3682" t="s">
        <v>6953</v>
      </c>
      <c r="D3682" t="s">
        <v>1264</v>
      </c>
      <c r="E3682" t="s">
        <v>6911</v>
      </c>
      <c r="F3682">
        <v>7</v>
      </c>
      <c r="G3682">
        <v>12</v>
      </c>
      <c r="H3682" t="s">
        <v>14420</v>
      </c>
      <c r="J3682" t="s">
        <v>5423</v>
      </c>
      <c r="M3682" t="s">
        <v>14421</v>
      </c>
      <c r="N3682">
        <v>1.921480887</v>
      </c>
      <c r="O3682">
        <v>3.0856645180000002</v>
      </c>
      <c r="P3682">
        <v>0.44706724399999997</v>
      </c>
      <c r="Q3682">
        <v>-0.354940863</v>
      </c>
      <c r="S3682" s="13">
        <v>-2.0099196880000001</v>
      </c>
      <c r="T3682">
        <v>-2.857696577</v>
      </c>
      <c r="U3682">
        <v>-1.395827221</v>
      </c>
    </row>
    <row r="3683" spans="1:21" x14ac:dyDescent="0.2">
      <c r="A3683" t="s">
        <v>756</v>
      </c>
      <c r="B3683">
        <v>150080</v>
      </c>
      <c r="C3683" t="s">
        <v>6906</v>
      </c>
      <c r="D3683" t="s">
        <v>756</v>
      </c>
      <c r="E3683" t="s">
        <v>7085</v>
      </c>
      <c r="F3683">
        <v>23</v>
      </c>
      <c r="G3683">
        <v>9</v>
      </c>
      <c r="H3683" t="s">
        <v>14422</v>
      </c>
      <c r="J3683" t="s">
        <v>4288</v>
      </c>
      <c r="M3683" t="s">
        <v>14423</v>
      </c>
      <c r="N3683">
        <v>1.813871112</v>
      </c>
      <c r="O3683">
        <v>2.6633694910000001</v>
      </c>
      <c r="P3683">
        <v>-0.29586356800000002</v>
      </c>
      <c r="Q3683">
        <v>-0.59018158399999998</v>
      </c>
      <c r="S3683" s="13">
        <v>-2.0109676479999998</v>
      </c>
      <c r="T3683">
        <v>-2.8622759250000001</v>
      </c>
      <c r="U3683">
        <v>-0.725409266</v>
      </c>
    </row>
    <row r="3684" spans="1:21" x14ac:dyDescent="0.2">
      <c r="A3684" t="s">
        <v>1269</v>
      </c>
      <c r="B3684">
        <v>68520</v>
      </c>
      <c r="C3684" t="s">
        <v>6953</v>
      </c>
      <c r="D3684" t="s">
        <v>1269</v>
      </c>
      <c r="E3684" t="s">
        <v>6924</v>
      </c>
      <c r="F3684">
        <v>11</v>
      </c>
      <c r="G3684">
        <v>6</v>
      </c>
      <c r="H3684" t="s">
        <v>14424</v>
      </c>
      <c r="J3684" t="s">
        <v>5479</v>
      </c>
      <c r="M3684" t="s">
        <v>14425</v>
      </c>
      <c r="N3684">
        <v>1.921480887</v>
      </c>
      <c r="O3684">
        <v>3.0856645180000002</v>
      </c>
      <c r="P3684">
        <v>0.44706724399999997</v>
      </c>
      <c r="Q3684">
        <v>-0.354940863</v>
      </c>
      <c r="S3684" s="13">
        <v>-2.01411169</v>
      </c>
      <c r="T3684">
        <v>-2.8760146679999998</v>
      </c>
      <c r="U3684">
        <v>-1.4459125900000001</v>
      </c>
    </row>
    <row r="3685" spans="1:21" x14ac:dyDescent="0.2">
      <c r="A3685" t="s">
        <v>972</v>
      </c>
      <c r="B3685">
        <v>66160</v>
      </c>
      <c r="C3685" t="s">
        <v>6953</v>
      </c>
      <c r="D3685" t="s">
        <v>972</v>
      </c>
      <c r="E3685" t="s">
        <v>7085</v>
      </c>
      <c r="F3685">
        <v>17</v>
      </c>
      <c r="G3685">
        <v>9</v>
      </c>
      <c r="H3685" t="s">
        <v>14426</v>
      </c>
      <c r="J3685" t="s">
        <v>5373</v>
      </c>
      <c r="M3685" t="s">
        <v>14427</v>
      </c>
      <c r="N3685">
        <v>1.921480887</v>
      </c>
      <c r="O3685">
        <v>3.0856645180000002</v>
      </c>
      <c r="P3685">
        <v>0.44706724399999997</v>
      </c>
      <c r="Q3685">
        <v>-0.354940863</v>
      </c>
      <c r="S3685" s="13">
        <v>-2.0165604830000001</v>
      </c>
      <c r="T3685">
        <v>-2.8867153339999998</v>
      </c>
      <c r="U3685">
        <v>-1.478087165</v>
      </c>
    </row>
    <row r="3686" spans="1:21" x14ac:dyDescent="0.2">
      <c r="A3686" t="s">
        <v>116</v>
      </c>
      <c r="B3686">
        <v>165920</v>
      </c>
      <c r="C3686" t="s">
        <v>6914</v>
      </c>
      <c r="D3686" t="s">
        <v>117</v>
      </c>
      <c r="E3686" t="s">
        <v>6921</v>
      </c>
      <c r="F3686">
        <v>3</v>
      </c>
      <c r="G3686">
        <v>8</v>
      </c>
      <c r="H3686" t="s">
        <v>14428</v>
      </c>
      <c r="J3686" t="s">
        <v>6695</v>
      </c>
      <c r="M3686" t="s">
        <v>14429</v>
      </c>
      <c r="N3686">
        <v>1.8217074179999999</v>
      </c>
      <c r="O3686">
        <v>4.1700741289999996</v>
      </c>
      <c r="P3686">
        <v>0.189705977</v>
      </c>
      <c r="Q3686">
        <v>-1.7194070999999998E-2</v>
      </c>
      <c r="S3686" s="13">
        <v>-2.0174159870000001</v>
      </c>
      <c r="T3686">
        <v>-2.8904536909999998</v>
      </c>
      <c r="U3686">
        <v>-1.4352688570000001</v>
      </c>
    </row>
    <row r="3687" spans="1:21" x14ac:dyDescent="0.2">
      <c r="A3687" t="s">
        <v>1010</v>
      </c>
      <c r="B3687">
        <v>165360</v>
      </c>
      <c r="C3687" t="s">
        <v>6914</v>
      </c>
      <c r="D3687" t="s">
        <v>1010</v>
      </c>
      <c r="E3687" t="s">
        <v>6970</v>
      </c>
      <c r="F3687">
        <v>19</v>
      </c>
      <c r="G3687">
        <v>14</v>
      </c>
      <c r="H3687" t="s">
        <v>14430</v>
      </c>
      <c r="J3687" t="s">
        <v>6805</v>
      </c>
      <c r="M3687" t="s">
        <v>14431</v>
      </c>
      <c r="N3687">
        <v>1.8217074179999999</v>
      </c>
      <c r="O3687">
        <v>4.1700741289999996</v>
      </c>
      <c r="P3687">
        <v>0.189705977</v>
      </c>
      <c r="Q3687">
        <v>-1.7194070999999998E-2</v>
      </c>
      <c r="S3687" s="13">
        <v>-2.018089534</v>
      </c>
      <c r="T3687">
        <v>-2.8933969350000002</v>
      </c>
      <c r="U3687">
        <v>-1.442509421</v>
      </c>
    </row>
    <row r="3688" spans="1:21" x14ac:dyDescent="0.2">
      <c r="A3688" t="s">
        <v>804</v>
      </c>
      <c r="B3688">
        <v>62600</v>
      </c>
      <c r="C3688" t="s">
        <v>6953</v>
      </c>
      <c r="D3688" t="s">
        <v>804</v>
      </c>
      <c r="E3688" t="s">
        <v>6918</v>
      </c>
      <c r="F3688">
        <v>18</v>
      </c>
      <c r="G3688">
        <v>1</v>
      </c>
      <c r="H3688" t="s">
        <v>14432</v>
      </c>
      <c r="J3688" t="s">
        <v>5523</v>
      </c>
      <c r="M3688" t="s">
        <v>14433</v>
      </c>
      <c r="N3688">
        <v>1.921480887</v>
      </c>
      <c r="O3688">
        <v>3.0856645180000002</v>
      </c>
      <c r="P3688">
        <v>0.44706724399999997</v>
      </c>
      <c r="Q3688">
        <v>-0.354940863</v>
      </c>
      <c r="S3688" s="13">
        <v>-2.0202544250000001</v>
      </c>
      <c r="T3688">
        <v>-2.9028570180000002</v>
      </c>
      <c r="U3688">
        <v>-1.5316342599999999</v>
      </c>
    </row>
    <row r="3689" spans="1:21" x14ac:dyDescent="0.2">
      <c r="A3689" t="s">
        <v>477</v>
      </c>
      <c r="B3689">
        <v>61960</v>
      </c>
      <c r="C3689" t="s">
        <v>6953</v>
      </c>
      <c r="D3689" t="s">
        <v>477</v>
      </c>
      <c r="E3689" t="s">
        <v>6918</v>
      </c>
      <c r="F3689">
        <v>12</v>
      </c>
      <c r="G3689">
        <v>1</v>
      </c>
      <c r="H3689" t="s">
        <v>14434</v>
      </c>
      <c r="J3689" t="s">
        <v>5539</v>
      </c>
      <c r="M3689" t="s">
        <v>14435</v>
      </c>
      <c r="N3689">
        <v>1.921480887</v>
      </c>
      <c r="O3689">
        <v>3.0856645180000002</v>
      </c>
      <c r="P3689">
        <v>0.44706724399999997</v>
      </c>
      <c r="Q3689">
        <v>-0.354940863</v>
      </c>
      <c r="S3689" s="13">
        <v>-2.020918505</v>
      </c>
      <c r="T3689">
        <v>-2.9057588939999999</v>
      </c>
      <c r="U3689">
        <v>-1.542002096</v>
      </c>
    </row>
    <row r="3690" spans="1:21" x14ac:dyDescent="0.2">
      <c r="A3690" t="s">
        <v>1714</v>
      </c>
      <c r="B3690">
        <v>57160</v>
      </c>
      <c r="C3690" t="s">
        <v>6953</v>
      </c>
      <c r="D3690" t="s">
        <v>1715</v>
      </c>
      <c r="E3690" t="s">
        <v>6915</v>
      </c>
      <c r="F3690">
        <v>7</v>
      </c>
      <c r="G3690">
        <v>13</v>
      </c>
      <c r="H3690" t="s">
        <v>14436</v>
      </c>
      <c r="J3690" t="s">
        <v>5411</v>
      </c>
      <c r="M3690" t="s">
        <v>14437</v>
      </c>
      <c r="N3690">
        <v>1.921480887</v>
      </c>
      <c r="O3690">
        <v>3.0856645180000002</v>
      </c>
      <c r="P3690">
        <v>0.44706724399999997</v>
      </c>
      <c r="Q3690">
        <v>-0.354940863</v>
      </c>
      <c r="S3690" s="13">
        <v>-2.0258991009999998</v>
      </c>
      <c r="T3690">
        <v>-2.9275229619999998</v>
      </c>
      <c r="U3690">
        <v>-1.6288245020000001</v>
      </c>
    </row>
    <row r="3691" spans="1:21" x14ac:dyDescent="0.2">
      <c r="A3691" t="s">
        <v>671</v>
      </c>
      <c r="B3691">
        <v>55680</v>
      </c>
      <c r="C3691" t="s">
        <v>6953</v>
      </c>
      <c r="D3691" t="s">
        <v>672</v>
      </c>
      <c r="E3691" t="s">
        <v>6970</v>
      </c>
      <c r="F3691">
        <v>6</v>
      </c>
      <c r="G3691">
        <v>14</v>
      </c>
      <c r="H3691" t="s">
        <v>14438</v>
      </c>
      <c r="J3691" t="s">
        <v>5243</v>
      </c>
      <c r="M3691" t="s">
        <v>14439</v>
      </c>
      <c r="N3691">
        <v>1.921480887</v>
      </c>
      <c r="O3691">
        <v>3.0856645180000002</v>
      </c>
      <c r="P3691">
        <v>0.44706724399999997</v>
      </c>
      <c r="Q3691">
        <v>-0.354940863</v>
      </c>
      <c r="S3691" s="13">
        <v>-2.0274347850000001</v>
      </c>
      <c r="T3691">
        <v>-2.934233549</v>
      </c>
      <c r="U3691">
        <v>-1.6595177400000001</v>
      </c>
    </row>
    <row r="3692" spans="1:21" x14ac:dyDescent="0.2">
      <c r="A3692" t="s">
        <v>1231</v>
      </c>
      <c r="B3692">
        <v>156840</v>
      </c>
      <c r="C3692" t="s">
        <v>6914</v>
      </c>
      <c r="D3692" t="s">
        <v>1231</v>
      </c>
      <c r="E3692" t="s">
        <v>7085</v>
      </c>
      <c r="F3692">
        <v>21</v>
      </c>
      <c r="G3692">
        <v>9</v>
      </c>
      <c r="H3692" t="s">
        <v>14440</v>
      </c>
      <c r="J3692" t="s">
        <v>6679</v>
      </c>
      <c r="M3692" t="s">
        <v>14441</v>
      </c>
      <c r="N3692">
        <v>1.8217074179999999</v>
      </c>
      <c r="O3692">
        <v>4.1700741289999996</v>
      </c>
      <c r="P3692">
        <v>0.189705977</v>
      </c>
      <c r="Q3692">
        <v>-1.7194070999999998E-2</v>
      </c>
      <c r="S3692" s="13">
        <v>-2.0283370619999999</v>
      </c>
      <c r="T3692">
        <v>-2.938176291</v>
      </c>
      <c r="U3692">
        <v>-1.5708075269999999</v>
      </c>
    </row>
    <row r="3693" spans="1:21" x14ac:dyDescent="0.2">
      <c r="A3693" t="s">
        <v>1001</v>
      </c>
      <c r="B3693">
        <v>156040</v>
      </c>
      <c r="C3693" t="s">
        <v>6914</v>
      </c>
      <c r="D3693" t="s">
        <v>1001</v>
      </c>
      <c r="E3693" t="s">
        <v>7006</v>
      </c>
      <c r="F3693">
        <v>14</v>
      </c>
      <c r="G3693">
        <v>3</v>
      </c>
      <c r="H3693" t="s">
        <v>14442</v>
      </c>
      <c r="J3693" t="s">
        <v>6829</v>
      </c>
      <c r="M3693" t="s">
        <v>14443</v>
      </c>
      <c r="N3693">
        <v>1.8217074179999999</v>
      </c>
      <c r="O3693">
        <v>4.1700741289999996</v>
      </c>
      <c r="P3693">
        <v>0.189705977</v>
      </c>
      <c r="Q3693">
        <v>-1.7194070999999998E-2</v>
      </c>
      <c r="S3693" s="13">
        <v>-2.0292992710000002</v>
      </c>
      <c r="T3693">
        <v>-2.9423809259999998</v>
      </c>
      <c r="U3693">
        <v>-1.5850538059999999</v>
      </c>
    </row>
    <row r="3694" spans="1:21" x14ac:dyDescent="0.2">
      <c r="A3694" t="s">
        <v>709</v>
      </c>
      <c r="B3694">
        <v>52480</v>
      </c>
      <c r="C3694" t="s">
        <v>6953</v>
      </c>
      <c r="D3694" t="s">
        <v>709</v>
      </c>
      <c r="E3694" t="s">
        <v>6928</v>
      </c>
      <c r="F3694">
        <v>20</v>
      </c>
      <c r="G3694">
        <v>16</v>
      </c>
      <c r="H3694" t="s">
        <v>14444</v>
      </c>
      <c r="J3694" t="s">
        <v>5319</v>
      </c>
      <c r="M3694" t="s">
        <v>14445</v>
      </c>
      <c r="N3694">
        <v>1.921480887</v>
      </c>
      <c r="O3694">
        <v>3.0856645180000002</v>
      </c>
      <c r="P3694">
        <v>0.44706724399999997</v>
      </c>
      <c r="Q3694">
        <v>-0.354940863</v>
      </c>
      <c r="S3694" s="13">
        <v>-2.0307551830000001</v>
      </c>
      <c r="T3694">
        <v>-2.9487429280000002</v>
      </c>
      <c r="U3694">
        <v>-1.7343797400000001</v>
      </c>
    </row>
    <row r="3695" spans="1:21" x14ac:dyDescent="0.2">
      <c r="A3695" t="s">
        <v>263</v>
      </c>
      <c r="B3695">
        <v>153320</v>
      </c>
      <c r="C3695" t="s">
        <v>6914</v>
      </c>
      <c r="D3695" t="s">
        <v>264</v>
      </c>
      <c r="E3695" t="s">
        <v>6974</v>
      </c>
      <c r="F3695">
        <v>5</v>
      </c>
      <c r="G3695">
        <v>15</v>
      </c>
      <c r="H3695" t="s">
        <v>14446</v>
      </c>
      <c r="J3695" t="s">
        <v>6791</v>
      </c>
      <c r="M3695" t="s">
        <v>14447</v>
      </c>
      <c r="N3695">
        <v>1.8217074179999999</v>
      </c>
      <c r="O3695">
        <v>4.1700741289999996</v>
      </c>
      <c r="P3695">
        <v>0.189705977</v>
      </c>
      <c r="Q3695">
        <v>-1.7194070999999998E-2</v>
      </c>
      <c r="S3695" s="13">
        <v>-2.0325707830000002</v>
      </c>
      <c r="T3695">
        <v>-2.956676683</v>
      </c>
      <c r="U3695">
        <v>-1.637316564</v>
      </c>
    </row>
    <row r="3696" spans="1:21" x14ac:dyDescent="0.2">
      <c r="A3696" t="s">
        <v>807</v>
      </c>
      <c r="B3696">
        <v>50200</v>
      </c>
      <c r="C3696" t="s">
        <v>6953</v>
      </c>
      <c r="D3696" t="s">
        <v>807</v>
      </c>
      <c r="E3696" t="s">
        <v>6977</v>
      </c>
      <c r="F3696">
        <v>14</v>
      </c>
      <c r="G3696">
        <v>5</v>
      </c>
      <c r="H3696" t="s">
        <v>14448</v>
      </c>
      <c r="J3696" t="s">
        <v>5473</v>
      </c>
      <c r="M3696" t="s">
        <v>14449</v>
      </c>
      <c r="N3696">
        <v>1.921480887</v>
      </c>
      <c r="O3696">
        <v>3.0856645180000002</v>
      </c>
      <c r="P3696">
        <v>0.44706724399999997</v>
      </c>
      <c r="Q3696">
        <v>-0.354940863</v>
      </c>
      <c r="S3696" s="13">
        <v>-2.0331209659999998</v>
      </c>
      <c r="T3696">
        <v>-2.9590808599999998</v>
      </c>
      <c r="U3696">
        <v>-1.796881307</v>
      </c>
    </row>
    <row r="3697" spans="1:21" x14ac:dyDescent="0.2">
      <c r="A3697" t="s">
        <v>759</v>
      </c>
      <c r="B3697">
        <v>49200</v>
      </c>
      <c r="C3697" t="s">
        <v>6953</v>
      </c>
      <c r="D3697" t="s">
        <v>760</v>
      </c>
      <c r="E3697" t="s">
        <v>6907</v>
      </c>
      <c r="F3697">
        <v>4</v>
      </c>
      <c r="G3697">
        <v>4</v>
      </c>
      <c r="H3697" t="s">
        <v>14450</v>
      </c>
      <c r="J3697" t="s">
        <v>5513</v>
      </c>
      <c r="M3697" t="s">
        <v>14451</v>
      </c>
      <c r="N3697">
        <v>1.921480887</v>
      </c>
      <c r="O3697">
        <v>3.0856645180000002</v>
      </c>
      <c r="P3697">
        <v>0.44706724399999997</v>
      </c>
      <c r="Q3697">
        <v>-0.354940863</v>
      </c>
      <c r="S3697" s="13">
        <v>-2.0341585900000001</v>
      </c>
      <c r="T3697">
        <v>-2.9636150410000002</v>
      </c>
      <c r="U3697">
        <v>-1.8274135170000001</v>
      </c>
    </row>
    <row r="3698" spans="1:21" x14ac:dyDescent="0.2">
      <c r="A3698" t="s">
        <v>293</v>
      </c>
      <c r="B3698">
        <v>45320</v>
      </c>
      <c r="C3698" t="s">
        <v>6953</v>
      </c>
      <c r="D3698" t="s">
        <v>293</v>
      </c>
      <c r="E3698" t="s">
        <v>6977</v>
      </c>
      <c r="F3698">
        <v>24</v>
      </c>
      <c r="G3698">
        <v>5</v>
      </c>
      <c r="H3698" t="s">
        <v>14452</v>
      </c>
      <c r="J3698" t="s">
        <v>5515</v>
      </c>
      <c r="M3698" t="s">
        <v>14453</v>
      </c>
      <c r="N3698">
        <v>1.921480887</v>
      </c>
      <c r="O3698">
        <v>3.0856645180000002</v>
      </c>
      <c r="P3698">
        <v>0.44706724399999997</v>
      </c>
      <c r="Q3698">
        <v>-0.354940863</v>
      </c>
      <c r="S3698" s="13">
        <v>-2.0381845730000001</v>
      </c>
      <c r="T3698">
        <v>-2.9812076620000001</v>
      </c>
      <c r="U3698">
        <v>-1.9716478230000001</v>
      </c>
    </row>
    <row r="3699" spans="1:21" x14ac:dyDescent="0.2">
      <c r="A3699" t="s">
        <v>2188</v>
      </c>
      <c r="B3699">
        <v>44800</v>
      </c>
      <c r="C3699" t="s">
        <v>6953</v>
      </c>
      <c r="D3699" t="s">
        <v>2188</v>
      </c>
      <c r="E3699" t="s">
        <v>6907</v>
      </c>
      <c r="F3699">
        <v>11</v>
      </c>
      <c r="G3699">
        <v>4</v>
      </c>
      <c r="H3699" t="s">
        <v>14454</v>
      </c>
      <c r="J3699" t="s">
        <v>5307</v>
      </c>
      <c r="M3699" t="s">
        <v>14455</v>
      </c>
      <c r="N3699">
        <v>1.921480887</v>
      </c>
      <c r="O3699">
        <v>3.0856645180000002</v>
      </c>
      <c r="P3699">
        <v>0.44706724399999997</v>
      </c>
      <c r="Q3699">
        <v>-0.354940863</v>
      </c>
      <c r="S3699" s="13">
        <v>-2.038724137</v>
      </c>
      <c r="T3699">
        <v>-2.9835654360000001</v>
      </c>
      <c r="U3699">
        <v>-1.9952024100000001</v>
      </c>
    </row>
    <row r="3700" spans="1:21" x14ac:dyDescent="0.2">
      <c r="A3700" t="s">
        <v>1365</v>
      </c>
      <c r="B3700">
        <v>129760</v>
      </c>
      <c r="C3700" t="s">
        <v>6906</v>
      </c>
      <c r="D3700" t="s">
        <v>1365</v>
      </c>
      <c r="E3700" t="s">
        <v>6970</v>
      </c>
      <c r="F3700">
        <v>21</v>
      </c>
      <c r="G3700">
        <v>14</v>
      </c>
      <c r="H3700" t="s">
        <v>14456</v>
      </c>
      <c r="J3700" t="s">
        <v>3970</v>
      </c>
      <c r="M3700" t="s">
        <v>14457</v>
      </c>
      <c r="N3700">
        <v>1.813871112</v>
      </c>
      <c r="O3700">
        <v>2.6633694910000001</v>
      </c>
      <c r="P3700">
        <v>-0.29586356800000002</v>
      </c>
      <c r="Q3700">
        <v>-0.59018158399999998</v>
      </c>
      <c r="S3700" s="13">
        <v>-2.04044683</v>
      </c>
      <c r="T3700">
        <v>-2.9910932099999998</v>
      </c>
      <c r="U3700">
        <v>-0.77945691800000005</v>
      </c>
    </row>
    <row r="3701" spans="1:21" x14ac:dyDescent="0.2">
      <c r="A3701" t="s">
        <v>79</v>
      </c>
      <c r="B3701">
        <v>42520</v>
      </c>
      <c r="C3701" t="s">
        <v>6953</v>
      </c>
      <c r="D3701" t="s">
        <v>80</v>
      </c>
      <c r="E3701" t="s">
        <v>6946</v>
      </c>
      <c r="F3701">
        <v>1</v>
      </c>
      <c r="G3701">
        <v>11</v>
      </c>
      <c r="H3701" t="s">
        <v>14458</v>
      </c>
      <c r="J3701" t="s">
        <v>5277</v>
      </c>
      <c r="M3701" t="s">
        <v>14459</v>
      </c>
      <c r="N3701">
        <v>1.921480887</v>
      </c>
      <c r="O3701">
        <v>3.0856645180000002</v>
      </c>
      <c r="P3701">
        <v>0.44706724399999997</v>
      </c>
      <c r="Q3701">
        <v>-0.354940863</v>
      </c>
      <c r="S3701" s="13">
        <v>-2.0410899210000002</v>
      </c>
      <c r="T3701">
        <v>-2.9939033679999998</v>
      </c>
      <c r="U3701">
        <v>-2.1168949370000001</v>
      </c>
    </row>
    <row r="3702" spans="1:21" x14ac:dyDescent="0.2">
      <c r="A3702" t="s">
        <v>529</v>
      </c>
      <c r="B3702">
        <v>140760</v>
      </c>
      <c r="C3702" t="s">
        <v>6914</v>
      </c>
      <c r="D3702" t="s">
        <v>529</v>
      </c>
      <c r="E3702" t="s">
        <v>6956</v>
      </c>
      <c r="F3702">
        <v>22</v>
      </c>
      <c r="G3702">
        <v>7</v>
      </c>
      <c r="H3702" t="s">
        <v>14460</v>
      </c>
      <c r="J3702" t="s">
        <v>6749</v>
      </c>
      <c r="M3702" t="s">
        <v>14461</v>
      </c>
      <c r="N3702">
        <v>1.8217074179999999</v>
      </c>
      <c r="O3702">
        <v>4.1700741289999996</v>
      </c>
      <c r="P3702">
        <v>0.189705977</v>
      </c>
      <c r="Q3702">
        <v>-1.7194070999999998E-2</v>
      </c>
      <c r="S3702" s="13">
        <v>-2.0476774670000002</v>
      </c>
      <c r="T3702">
        <v>-3.022689443</v>
      </c>
      <c r="U3702">
        <v>-2.0250658989999999</v>
      </c>
    </row>
    <row r="3703" spans="1:21" x14ac:dyDescent="0.2">
      <c r="A3703" t="s">
        <v>239</v>
      </c>
      <c r="B3703">
        <v>122760</v>
      </c>
      <c r="C3703" t="s">
        <v>6906</v>
      </c>
      <c r="D3703" t="s">
        <v>240</v>
      </c>
      <c r="E3703" t="s">
        <v>6977</v>
      </c>
      <c r="F3703">
        <v>1</v>
      </c>
      <c r="G3703">
        <v>5</v>
      </c>
      <c r="H3703" t="s">
        <v>14462</v>
      </c>
      <c r="J3703" t="s">
        <v>4359</v>
      </c>
      <c r="M3703" t="s">
        <v>14463</v>
      </c>
      <c r="N3703">
        <v>1.813871112</v>
      </c>
      <c r="O3703">
        <v>2.6633694910000001</v>
      </c>
      <c r="P3703">
        <v>-0.29586356800000002</v>
      </c>
      <c r="Q3703">
        <v>-0.59018158399999998</v>
      </c>
      <c r="S3703" s="13">
        <v>-2.0506020600000001</v>
      </c>
      <c r="T3703">
        <v>-3.0354692440000002</v>
      </c>
      <c r="U3703">
        <v>-0.79975068100000002</v>
      </c>
    </row>
    <row r="3704" spans="1:21" x14ac:dyDescent="0.2">
      <c r="A3704" t="s">
        <v>1089</v>
      </c>
      <c r="B3704">
        <v>110120</v>
      </c>
      <c r="C3704" t="s">
        <v>6906</v>
      </c>
      <c r="D3704" t="s">
        <v>1089</v>
      </c>
      <c r="E3704" t="s">
        <v>6946</v>
      </c>
      <c r="F3704">
        <v>21</v>
      </c>
      <c r="G3704">
        <v>11</v>
      </c>
      <c r="H3704" t="s">
        <v>14464</v>
      </c>
      <c r="J3704" t="s">
        <v>4142</v>
      </c>
      <c r="M3704" t="s">
        <v>14465</v>
      </c>
      <c r="N3704">
        <v>1.813871112</v>
      </c>
      <c r="O3704">
        <v>2.6633694910000001</v>
      </c>
      <c r="P3704">
        <v>-0.29586356800000002</v>
      </c>
      <c r="Q3704">
        <v>-0.59018158399999998</v>
      </c>
      <c r="S3704" s="13">
        <v>-2.0689395039999998</v>
      </c>
      <c r="T3704">
        <v>-3.115599681</v>
      </c>
      <c r="U3704">
        <v>-0.83898513100000005</v>
      </c>
    </row>
    <row r="3705" spans="1:21" x14ac:dyDescent="0.2">
      <c r="A3705" t="s">
        <v>1160</v>
      </c>
      <c r="B3705">
        <v>122160</v>
      </c>
      <c r="C3705" t="s">
        <v>6914</v>
      </c>
      <c r="D3705" t="s">
        <v>1160</v>
      </c>
      <c r="E3705" t="s">
        <v>6907</v>
      </c>
      <c r="F3705">
        <v>22</v>
      </c>
      <c r="G3705">
        <v>4</v>
      </c>
      <c r="H3705" t="s">
        <v>14466</v>
      </c>
      <c r="J3705" t="s">
        <v>6825</v>
      </c>
      <c r="M3705" t="s">
        <v>14467</v>
      </c>
      <c r="N3705">
        <v>1.8217074179999999</v>
      </c>
      <c r="O3705">
        <v>4.1700741289999996</v>
      </c>
      <c r="P3705">
        <v>0.189705977</v>
      </c>
      <c r="Q3705">
        <v>-1.7194070999999998E-2</v>
      </c>
      <c r="S3705" s="13">
        <v>-2.0700488319999999</v>
      </c>
      <c r="T3705">
        <v>-3.1204471919999999</v>
      </c>
    </row>
    <row r="3706" spans="1:21" x14ac:dyDescent="0.2">
      <c r="A3706" t="s">
        <v>232</v>
      </c>
      <c r="B3706">
        <v>105800</v>
      </c>
      <c r="C3706" t="s">
        <v>6906</v>
      </c>
      <c r="D3706" t="s">
        <v>233</v>
      </c>
      <c r="E3706" t="s">
        <v>7085</v>
      </c>
      <c r="F3706">
        <v>1</v>
      </c>
      <c r="G3706">
        <v>9</v>
      </c>
      <c r="H3706" t="s">
        <v>14468</v>
      </c>
      <c r="J3706" t="s">
        <v>4353</v>
      </c>
      <c r="M3706" t="s">
        <v>14469</v>
      </c>
      <c r="N3706">
        <v>1.813871112</v>
      </c>
      <c r="O3706">
        <v>2.6633694910000001</v>
      </c>
      <c r="P3706">
        <v>-0.29586356800000002</v>
      </c>
      <c r="Q3706">
        <v>-0.59018158399999998</v>
      </c>
      <c r="S3706" s="13">
        <v>-2.0752067310000002</v>
      </c>
      <c r="T3706">
        <v>-3.1429860330000001</v>
      </c>
      <c r="U3706">
        <v>-0.85325047600000004</v>
      </c>
    </row>
    <row r="3707" spans="1:21" x14ac:dyDescent="0.2">
      <c r="A3707" t="s">
        <v>1986</v>
      </c>
      <c r="B3707">
        <v>100560</v>
      </c>
      <c r="C3707" t="s">
        <v>6906</v>
      </c>
      <c r="D3707" t="s">
        <v>1986</v>
      </c>
      <c r="E3707" t="s">
        <v>6977</v>
      </c>
      <c r="F3707">
        <v>11</v>
      </c>
      <c r="G3707">
        <v>5</v>
      </c>
      <c r="H3707" t="s">
        <v>14470</v>
      </c>
      <c r="J3707" t="s">
        <v>14471</v>
      </c>
      <c r="M3707" t="s">
        <v>14472</v>
      </c>
      <c r="N3707">
        <v>1.813871112</v>
      </c>
      <c r="O3707">
        <v>2.6633694910000001</v>
      </c>
      <c r="P3707">
        <v>-0.29586356800000002</v>
      </c>
      <c r="Q3707">
        <v>-0.59018158399999998</v>
      </c>
      <c r="S3707" s="13">
        <v>-2.0828086460000002</v>
      </c>
      <c r="T3707">
        <v>-3.1762046640000001</v>
      </c>
      <c r="U3707">
        <v>-0.87120729799999996</v>
      </c>
    </row>
    <row r="3708" spans="1:21" x14ac:dyDescent="0.2">
      <c r="A3708" t="s">
        <v>560</v>
      </c>
      <c r="B3708">
        <v>96960</v>
      </c>
      <c r="C3708" t="s">
        <v>6906</v>
      </c>
      <c r="D3708" t="s">
        <v>560</v>
      </c>
      <c r="E3708" t="s">
        <v>6928</v>
      </c>
      <c r="F3708">
        <v>13</v>
      </c>
      <c r="G3708">
        <v>16</v>
      </c>
      <c r="H3708" t="s">
        <v>14473</v>
      </c>
      <c r="J3708" t="s">
        <v>14474</v>
      </c>
      <c r="M3708" t="s">
        <v>14475</v>
      </c>
      <c r="N3708">
        <v>1.813871112</v>
      </c>
      <c r="O3708">
        <v>2.6633694910000001</v>
      </c>
      <c r="P3708">
        <v>-0.29586356800000002</v>
      </c>
      <c r="Q3708">
        <v>-0.59018158399999998</v>
      </c>
      <c r="S3708" s="13">
        <v>-2.0880313359999998</v>
      </c>
      <c r="T3708">
        <v>-3.199026624</v>
      </c>
      <c r="U3708">
        <v>-0.88398889700000005</v>
      </c>
    </row>
    <row r="3709" spans="1:21" x14ac:dyDescent="0.2">
      <c r="A3709" t="s">
        <v>2028</v>
      </c>
      <c r="B3709">
        <v>96920</v>
      </c>
      <c r="C3709" t="s">
        <v>6906</v>
      </c>
      <c r="D3709" t="s">
        <v>2028</v>
      </c>
      <c r="E3709" t="s">
        <v>6924</v>
      </c>
      <c r="F3709">
        <v>10</v>
      </c>
      <c r="G3709">
        <v>6</v>
      </c>
      <c r="H3709" t="s">
        <v>14476</v>
      </c>
      <c r="J3709" t="s">
        <v>14477</v>
      </c>
      <c r="M3709" t="s">
        <v>14478</v>
      </c>
      <c r="N3709">
        <v>1.813871112</v>
      </c>
      <c r="O3709">
        <v>2.6633694910000001</v>
      </c>
      <c r="P3709">
        <v>-0.29586356800000002</v>
      </c>
      <c r="Q3709">
        <v>-0.59018158399999998</v>
      </c>
      <c r="S3709" s="13">
        <v>-2.0880893660000002</v>
      </c>
      <c r="T3709">
        <v>-3.1992802010000001</v>
      </c>
      <c r="U3709">
        <v>-0.884133049</v>
      </c>
    </row>
    <row r="3710" spans="1:21" x14ac:dyDescent="0.2">
      <c r="A3710" t="s">
        <v>1617</v>
      </c>
      <c r="B3710">
        <v>102920</v>
      </c>
      <c r="C3710" t="s">
        <v>6914</v>
      </c>
      <c r="D3710" t="s">
        <v>1617</v>
      </c>
      <c r="E3710" t="s">
        <v>7115</v>
      </c>
      <c r="F3710">
        <v>16</v>
      </c>
      <c r="G3710">
        <v>10</v>
      </c>
      <c r="H3710" t="s">
        <v>14479</v>
      </c>
      <c r="J3710" t="s">
        <v>6721</v>
      </c>
      <c r="M3710" t="s">
        <v>14480</v>
      </c>
      <c r="N3710">
        <v>1.8217074179999999</v>
      </c>
      <c r="O3710">
        <v>4.1700741289999996</v>
      </c>
      <c r="P3710">
        <v>0.189705977</v>
      </c>
      <c r="Q3710">
        <v>-1.7194070999999998E-2</v>
      </c>
      <c r="S3710" s="13">
        <v>-2.093189964</v>
      </c>
      <c r="T3710">
        <v>-3.221568649</v>
      </c>
    </row>
    <row r="3711" spans="1:21" x14ac:dyDescent="0.2">
      <c r="A3711" t="s">
        <v>153</v>
      </c>
      <c r="B3711">
        <v>90880</v>
      </c>
      <c r="C3711" t="s">
        <v>6906</v>
      </c>
      <c r="D3711" t="s">
        <v>153</v>
      </c>
      <c r="E3711" t="s">
        <v>6928</v>
      </c>
      <c r="F3711">
        <v>14</v>
      </c>
      <c r="G3711">
        <v>16</v>
      </c>
      <c r="H3711" t="s">
        <v>14481</v>
      </c>
      <c r="J3711" t="s">
        <v>4016</v>
      </c>
      <c r="M3711" t="s">
        <v>14482</v>
      </c>
      <c r="N3711">
        <v>1.813871112</v>
      </c>
      <c r="O3711">
        <v>2.6633694910000001</v>
      </c>
      <c r="P3711">
        <v>-0.29586356800000002</v>
      </c>
      <c r="Q3711">
        <v>-0.59018158399999998</v>
      </c>
      <c r="S3711" s="13">
        <v>-2.0968518789999999</v>
      </c>
      <c r="T3711">
        <v>-3.2375703790000001</v>
      </c>
      <c r="U3711">
        <v>-0.906468257</v>
      </c>
    </row>
    <row r="3712" spans="1:21" x14ac:dyDescent="0.2">
      <c r="A3712" t="s">
        <v>2239</v>
      </c>
      <c r="B3712">
        <v>90840</v>
      </c>
      <c r="C3712" t="s">
        <v>6906</v>
      </c>
      <c r="D3712" t="s">
        <v>2240</v>
      </c>
      <c r="E3712" t="s">
        <v>6924</v>
      </c>
      <c r="F3712">
        <v>9</v>
      </c>
      <c r="G3712">
        <v>6</v>
      </c>
      <c r="H3712" t="s">
        <v>14483</v>
      </c>
      <c r="J3712" t="s">
        <v>3955</v>
      </c>
      <c r="M3712" t="s">
        <v>14484</v>
      </c>
      <c r="N3712">
        <v>1.813871112</v>
      </c>
      <c r="O3712">
        <v>2.6633694910000001</v>
      </c>
      <c r="P3712">
        <v>-0.29586356800000002</v>
      </c>
      <c r="Q3712">
        <v>-0.59018158399999998</v>
      </c>
      <c r="S3712" s="13">
        <v>-2.0969099089999998</v>
      </c>
      <c r="T3712">
        <v>-3.2378239560000002</v>
      </c>
      <c r="U3712">
        <v>-0.90662006799999995</v>
      </c>
    </row>
    <row r="3713" spans="1:21" x14ac:dyDescent="0.2">
      <c r="A3713" t="s">
        <v>1939</v>
      </c>
      <c r="B3713">
        <v>99560</v>
      </c>
      <c r="C3713" t="s">
        <v>6914</v>
      </c>
      <c r="D3713" t="s">
        <v>1939</v>
      </c>
      <c r="E3713" t="s">
        <v>6928</v>
      </c>
      <c r="F3713">
        <v>19</v>
      </c>
      <c r="G3713">
        <v>16</v>
      </c>
      <c r="H3713" t="s">
        <v>14485</v>
      </c>
      <c r="J3713" t="s">
        <v>6755</v>
      </c>
      <c r="M3713" t="s">
        <v>14486</v>
      </c>
      <c r="N3713">
        <v>1.8217074179999999</v>
      </c>
      <c r="O3713">
        <v>4.1700741289999996</v>
      </c>
      <c r="P3713">
        <v>0.189705977</v>
      </c>
      <c r="Q3713">
        <v>-1.7194070999999998E-2</v>
      </c>
      <c r="S3713" s="13">
        <v>-2.097231243</v>
      </c>
      <c r="T3713">
        <v>-3.2392281139999999</v>
      </c>
    </row>
    <row r="3714" spans="1:21" x14ac:dyDescent="0.2">
      <c r="A3714" t="s">
        <v>1231</v>
      </c>
      <c r="B3714">
        <v>88440</v>
      </c>
      <c r="C3714" t="s">
        <v>6906</v>
      </c>
      <c r="D3714" t="s">
        <v>1231</v>
      </c>
      <c r="E3714" t="s">
        <v>7085</v>
      </c>
      <c r="F3714">
        <v>21</v>
      </c>
      <c r="G3714">
        <v>9</v>
      </c>
      <c r="H3714" t="s">
        <v>14487</v>
      </c>
      <c r="J3714" t="s">
        <v>4140</v>
      </c>
      <c r="M3714" t="s">
        <v>14488</v>
      </c>
      <c r="N3714">
        <v>1.813871112</v>
      </c>
      <c r="O3714">
        <v>2.6633694910000001</v>
      </c>
      <c r="P3714">
        <v>-0.29586356800000002</v>
      </c>
      <c r="Q3714">
        <v>-0.59018158399999998</v>
      </c>
      <c r="S3714" s="13">
        <v>-2.100391702</v>
      </c>
      <c r="T3714">
        <v>-3.2530385960000001</v>
      </c>
      <c r="U3714">
        <v>-0.91582725700000001</v>
      </c>
    </row>
    <row r="3715" spans="1:21" x14ac:dyDescent="0.2">
      <c r="A3715" t="s">
        <v>2960</v>
      </c>
      <c r="B3715">
        <v>95480</v>
      </c>
      <c r="C3715" t="s">
        <v>6914</v>
      </c>
      <c r="D3715" t="s">
        <v>2961</v>
      </c>
      <c r="E3715" t="s">
        <v>6939</v>
      </c>
      <c r="F3715">
        <v>7</v>
      </c>
      <c r="G3715">
        <v>2</v>
      </c>
      <c r="H3715" t="s">
        <v>14489</v>
      </c>
      <c r="J3715" t="s">
        <v>6625</v>
      </c>
      <c r="M3715" t="s">
        <v>14490</v>
      </c>
      <c r="N3715">
        <v>1.8217074179999999</v>
      </c>
      <c r="O3715">
        <v>4.1700741289999996</v>
      </c>
      <c r="P3715">
        <v>0.189705977</v>
      </c>
      <c r="Q3715">
        <v>-1.7194070999999998E-2</v>
      </c>
      <c r="S3715" s="13">
        <v>-2.1021385100000001</v>
      </c>
      <c r="T3715">
        <v>-3.2606717490000001</v>
      </c>
    </row>
    <row r="3716" spans="1:21" x14ac:dyDescent="0.2">
      <c r="A3716" t="s">
        <v>500</v>
      </c>
      <c r="B3716">
        <v>86640</v>
      </c>
      <c r="C3716" t="s">
        <v>6906</v>
      </c>
      <c r="D3716" t="s">
        <v>501</v>
      </c>
      <c r="E3716" t="s">
        <v>7115</v>
      </c>
      <c r="F3716">
        <v>9</v>
      </c>
      <c r="G3716">
        <v>10</v>
      </c>
      <c r="H3716" t="s">
        <v>14491</v>
      </c>
      <c r="J3716" t="s">
        <v>4357</v>
      </c>
      <c r="M3716" t="s">
        <v>14492</v>
      </c>
      <c r="N3716">
        <v>1.813871112</v>
      </c>
      <c r="O3716">
        <v>2.6633694910000001</v>
      </c>
      <c r="P3716">
        <v>-0.29586356800000002</v>
      </c>
      <c r="Q3716">
        <v>-0.59018158399999998</v>
      </c>
      <c r="S3716" s="13">
        <v>-2.1030030470000001</v>
      </c>
      <c r="T3716">
        <v>-3.2644495760000001</v>
      </c>
      <c r="U3716">
        <v>-0.92286305099999999</v>
      </c>
    </row>
    <row r="3717" spans="1:21" x14ac:dyDescent="0.2">
      <c r="A3717" t="s">
        <v>1330</v>
      </c>
      <c r="B3717">
        <v>93600</v>
      </c>
      <c r="C3717" t="s">
        <v>6914</v>
      </c>
      <c r="D3717" t="s">
        <v>1330</v>
      </c>
      <c r="E3717" t="s">
        <v>6915</v>
      </c>
      <c r="F3717">
        <v>23</v>
      </c>
      <c r="G3717">
        <v>13</v>
      </c>
      <c r="H3717" t="s">
        <v>14493</v>
      </c>
      <c r="J3717" t="s">
        <v>6737</v>
      </c>
      <c r="M3717" t="s">
        <v>14494</v>
      </c>
      <c r="N3717">
        <v>1.8217074179999999</v>
      </c>
      <c r="O3717">
        <v>4.1700741289999996</v>
      </c>
      <c r="P3717">
        <v>0.189705977</v>
      </c>
      <c r="Q3717">
        <v>-1.7194070999999998E-2</v>
      </c>
      <c r="S3717" s="13">
        <v>-2.1043997019999998</v>
      </c>
      <c r="T3717">
        <v>-3.27055264</v>
      </c>
    </row>
    <row r="3718" spans="1:21" x14ac:dyDescent="0.2">
      <c r="A3718" t="s">
        <v>619</v>
      </c>
      <c r="B3718">
        <v>84200</v>
      </c>
      <c r="C3718" t="s">
        <v>6906</v>
      </c>
      <c r="D3718" t="s">
        <v>619</v>
      </c>
      <c r="E3718" t="s">
        <v>6939</v>
      </c>
      <c r="F3718">
        <v>22</v>
      </c>
      <c r="G3718">
        <v>2</v>
      </c>
      <c r="H3718" t="s">
        <v>14495</v>
      </c>
      <c r="J3718" t="s">
        <v>4424</v>
      </c>
      <c r="M3718" t="s">
        <v>14496</v>
      </c>
      <c r="N3718">
        <v>1.813871112</v>
      </c>
      <c r="O3718">
        <v>2.6633694910000001</v>
      </c>
      <c r="P3718">
        <v>-0.29586356800000002</v>
      </c>
      <c r="Q3718">
        <v>-0.59018158399999998</v>
      </c>
      <c r="S3718" s="13">
        <v>-2.1065428700000002</v>
      </c>
      <c r="T3718">
        <v>-3.2799177940000002</v>
      </c>
      <c r="U3718">
        <v>-0.93258617099999996</v>
      </c>
    </row>
    <row r="3719" spans="1:21" x14ac:dyDescent="0.2">
      <c r="A3719" t="s">
        <v>2412</v>
      </c>
      <c r="B3719">
        <v>83280</v>
      </c>
      <c r="C3719" t="s">
        <v>6906</v>
      </c>
      <c r="D3719" t="s">
        <v>2412</v>
      </c>
      <c r="E3719" t="s">
        <v>6956</v>
      </c>
      <c r="F3719">
        <v>14</v>
      </c>
      <c r="G3719">
        <v>7</v>
      </c>
      <c r="H3719" t="s">
        <v>14497</v>
      </c>
      <c r="J3719" t="s">
        <v>14498</v>
      </c>
      <c r="M3719" t="s">
        <v>14499</v>
      </c>
      <c r="N3719">
        <v>1.813871112</v>
      </c>
      <c r="O3719">
        <v>2.6633694910000001</v>
      </c>
      <c r="P3719">
        <v>-0.29586356800000002</v>
      </c>
      <c r="Q3719">
        <v>-0.59018158399999998</v>
      </c>
      <c r="S3719" s="13">
        <v>-2.1078775570000001</v>
      </c>
      <c r="T3719">
        <v>-3.2857500719999999</v>
      </c>
      <c r="U3719">
        <v>-0.93630952700000003</v>
      </c>
    </row>
    <row r="3720" spans="1:21" x14ac:dyDescent="0.2">
      <c r="A3720" t="s">
        <v>1683</v>
      </c>
      <c r="B3720">
        <v>79280</v>
      </c>
      <c r="C3720" t="s">
        <v>6906</v>
      </c>
      <c r="D3720" t="s">
        <v>1683</v>
      </c>
      <c r="E3720" t="s">
        <v>6915</v>
      </c>
      <c r="F3720">
        <v>16</v>
      </c>
      <c r="G3720">
        <v>13</v>
      </c>
      <c r="H3720" t="s">
        <v>14500</v>
      </c>
      <c r="J3720" t="s">
        <v>4270</v>
      </c>
      <c r="M3720" t="s">
        <v>14501</v>
      </c>
      <c r="N3720">
        <v>1.813871112</v>
      </c>
      <c r="O3720">
        <v>2.6633694910000001</v>
      </c>
      <c r="P3720">
        <v>-0.29586356800000002</v>
      </c>
      <c r="Q3720">
        <v>-0.59018158399999998</v>
      </c>
      <c r="S3720" s="13">
        <v>-2.1136805449999998</v>
      </c>
      <c r="T3720">
        <v>-3.3111078059999999</v>
      </c>
      <c r="U3720">
        <v>-0.95287975800000002</v>
      </c>
    </row>
    <row r="3721" spans="1:21" x14ac:dyDescent="0.2">
      <c r="A3721" t="s">
        <v>909</v>
      </c>
      <c r="B3721">
        <v>84320</v>
      </c>
      <c r="C3721" t="s">
        <v>6914</v>
      </c>
      <c r="D3721" t="s">
        <v>909</v>
      </c>
      <c r="E3721" t="s">
        <v>6974</v>
      </c>
      <c r="F3721">
        <v>10</v>
      </c>
      <c r="G3721">
        <v>15</v>
      </c>
      <c r="H3721" t="s">
        <v>14502</v>
      </c>
      <c r="J3721" t="s">
        <v>6723</v>
      </c>
      <c r="M3721" t="s">
        <v>14503</v>
      </c>
      <c r="N3721">
        <v>1.8217074179999999</v>
      </c>
      <c r="O3721">
        <v>4.1700741289999996</v>
      </c>
      <c r="P3721">
        <v>0.189705977</v>
      </c>
      <c r="Q3721">
        <v>-1.7194070999999998E-2</v>
      </c>
      <c r="S3721" s="13">
        <v>-2.1155613290000002</v>
      </c>
      <c r="T3721">
        <v>-3.3193263989999999</v>
      </c>
    </row>
    <row r="3722" spans="1:21" x14ac:dyDescent="0.2">
      <c r="A3722" t="s">
        <v>2385</v>
      </c>
      <c r="B3722">
        <v>77840</v>
      </c>
      <c r="C3722" t="s">
        <v>6906</v>
      </c>
      <c r="D3722" t="s">
        <v>2385</v>
      </c>
      <c r="E3722" t="s">
        <v>6911</v>
      </c>
      <c r="F3722">
        <v>19</v>
      </c>
      <c r="G3722">
        <v>12</v>
      </c>
      <c r="H3722" t="s">
        <v>14504</v>
      </c>
      <c r="J3722" t="s">
        <v>4096</v>
      </c>
      <c r="M3722" t="s">
        <v>14505</v>
      </c>
      <c r="N3722">
        <v>1.813871112</v>
      </c>
      <c r="O3722">
        <v>2.6633694910000001</v>
      </c>
      <c r="P3722">
        <v>-0.29586356800000002</v>
      </c>
      <c r="Q3722">
        <v>-0.59018158399999998</v>
      </c>
      <c r="S3722" s="13">
        <v>-2.1157696210000001</v>
      </c>
      <c r="T3722">
        <v>-3.3202365899999999</v>
      </c>
      <c r="U3722">
        <v>-0.95900327100000005</v>
      </c>
    </row>
    <row r="3723" spans="1:21" x14ac:dyDescent="0.2">
      <c r="A3723" t="s">
        <v>709</v>
      </c>
      <c r="B3723">
        <v>75000</v>
      </c>
      <c r="C3723" t="s">
        <v>6906</v>
      </c>
      <c r="D3723" t="s">
        <v>709</v>
      </c>
      <c r="E3723" t="s">
        <v>6928</v>
      </c>
      <c r="F3723">
        <v>20</v>
      </c>
      <c r="G3723">
        <v>16</v>
      </c>
      <c r="H3723" t="s">
        <v>14506</v>
      </c>
      <c r="J3723" t="s">
        <v>4107</v>
      </c>
      <c r="M3723" t="s">
        <v>14507</v>
      </c>
      <c r="N3723">
        <v>1.813871112</v>
      </c>
      <c r="O3723">
        <v>2.6633694910000001</v>
      </c>
      <c r="P3723">
        <v>-0.29586356800000002</v>
      </c>
      <c r="Q3723">
        <v>-0.59018158399999998</v>
      </c>
      <c r="S3723" s="13">
        <v>-2.1198897429999999</v>
      </c>
      <c r="T3723">
        <v>-3.3382405799999999</v>
      </c>
      <c r="U3723">
        <v>-0.97133929699999999</v>
      </c>
    </row>
    <row r="3724" spans="1:21" x14ac:dyDescent="0.2">
      <c r="A3724" t="s">
        <v>1882</v>
      </c>
      <c r="B3724">
        <v>79200</v>
      </c>
      <c r="C3724" t="s">
        <v>6914</v>
      </c>
      <c r="D3724" t="s">
        <v>1882</v>
      </c>
      <c r="E3724" t="s">
        <v>7006</v>
      </c>
      <c r="F3724">
        <v>20</v>
      </c>
      <c r="G3724">
        <v>3</v>
      </c>
      <c r="H3724" t="s">
        <v>14508</v>
      </c>
      <c r="J3724" t="s">
        <v>6823</v>
      </c>
      <c r="M3724" t="s">
        <v>14509</v>
      </c>
      <c r="N3724">
        <v>1.8217074179999999</v>
      </c>
      <c r="O3724">
        <v>4.1700741289999996</v>
      </c>
      <c r="P3724">
        <v>0.189705977</v>
      </c>
      <c r="Q3724">
        <v>-1.7194070999999998E-2</v>
      </c>
      <c r="S3724" s="13">
        <v>-2.1217194680000002</v>
      </c>
      <c r="T3724">
        <v>-3.3462360590000002</v>
      </c>
    </row>
    <row r="3725" spans="1:21" x14ac:dyDescent="0.2">
      <c r="A3725" t="s">
        <v>1595</v>
      </c>
      <c r="B3725">
        <v>77840</v>
      </c>
      <c r="C3725" t="s">
        <v>6914</v>
      </c>
      <c r="D3725" t="s">
        <v>1595</v>
      </c>
      <c r="E3725" t="s">
        <v>6974</v>
      </c>
      <c r="F3725">
        <v>23</v>
      </c>
      <c r="G3725">
        <v>15</v>
      </c>
      <c r="H3725" t="s">
        <v>14510</v>
      </c>
      <c r="J3725" t="s">
        <v>6677</v>
      </c>
      <c r="M3725" t="s">
        <v>14511</v>
      </c>
      <c r="N3725">
        <v>1.8217074179999999</v>
      </c>
      <c r="O3725">
        <v>4.1700741289999996</v>
      </c>
      <c r="P3725">
        <v>0.189705977</v>
      </c>
      <c r="Q3725">
        <v>-1.7194070999999998E-2</v>
      </c>
      <c r="S3725" s="13">
        <v>-2.123355224</v>
      </c>
      <c r="T3725">
        <v>-3.3533839369999998</v>
      </c>
    </row>
    <row r="3726" spans="1:21" x14ac:dyDescent="0.2">
      <c r="A3726" t="s">
        <v>259</v>
      </c>
      <c r="B3726">
        <v>76480</v>
      </c>
      <c r="C3726" t="s">
        <v>6914</v>
      </c>
      <c r="D3726" t="s">
        <v>260</v>
      </c>
      <c r="E3726" t="s">
        <v>6956</v>
      </c>
      <c r="F3726">
        <v>1</v>
      </c>
      <c r="G3726">
        <v>7</v>
      </c>
      <c r="H3726" t="s">
        <v>14512</v>
      </c>
      <c r="J3726" t="s">
        <v>6775</v>
      </c>
      <c r="M3726" t="s">
        <v>14513</v>
      </c>
      <c r="N3726">
        <v>1.8217074179999999</v>
      </c>
      <c r="O3726">
        <v>4.1700741289999996</v>
      </c>
      <c r="P3726">
        <v>0.189705977</v>
      </c>
      <c r="Q3726">
        <v>-1.7194070999999998E-2</v>
      </c>
      <c r="S3726" s="13">
        <v>-2.1249909790000001</v>
      </c>
      <c r="T3726">
        <v>-3.3605318159999999</v>
      </c>
    </row>
    <row r="3727" spans="1:21" x14ac:dyDescent="0.2">
      <c r="A3727" t="s">
        <v>998</v>
      </c>
      <c r="B3727">
        <v>74760</v>
      </c>
      <c r="C3727" t="s">
        <v>6914</v>
      </c>
      <c r="D3727" t="s">
        <v>998</v>
      </c>
      <c r="E3727" t="s">
        <v>6970</v>
      </c>
      <c r="F3727">
        <v>13</v>
      </c>
      <c r="G3727">
        <v>14</v>
      </c>
      <c r="H3727" t="s">
        <v>14514</v>
      </c>
      <c r="J3727" t="s">
        <v>6653</v>
      </c>
      <c r="M3727" t="s">
        <v>14515</v>
      </c>
      <c r="N3727">
        <v>1.8217074179999999</v>
      </c>
      <c r="O3727">
        <v>4.1700741289999996</v>
      </c>
      <c r="P3727">
        <v>0.189705977</v>
      </c>
      <c r="Q3727">
        <v>-1.7194070999999998E-2</v>
      </c>
      <c r="S3727" s="13">
        <v>-2.127059729</v>
      </c>
      <c r="T3727">
        <v>-3.3695717799999998</v>
      </c>
    </row>
    <row r="3728" spans="1:21" x14ac:dyDescent="0.2">
      <c r="A3728" t="s">
        <v>1747</v>
      </c>
      <c r="B3728">
        <v>69800</v>
      </c>
      <c r="C3728" t="s">
        <v>6906</v>
      </c>
      <c r="D3728" t="s">
        <v>1747</v>
      </c>
      <c r="E3728" t="s">
        <v>6911</v>
      </c>
      <c r="F3728">
        <v>13</v>
      </c>
      <c r="G3728">
        <v>12</v>
      </c>
      <c r="H3728" t="s">
        <v>14516</v>
      </c>
      <c r="J3728" t="s">
        <v>14517</v>
      </c>
      <c r="M3728" t="s">
        <v>14518</v>
      </c>
      <c r="N3728">
        <v>1.813871112</v>
      </c>
      <c r="O3728">
        <v>2.6633694910000001</v>
      </c>
      <c r="P3728">
        <v>-0.29586356800000002</v>
      </c>
      <c r="Q3728">
        <v>-0.59018158399999998</v>
      </c>
      <c r="S3728" s="13">
        <v>-2.1274336279999999</v>
      </c>
      <c r="T3728">
        <v>-3.3712056339999998</v>
      </c>
      <c r="U3728">
        <v>-0.99487669499999998</v>
      </c>
    </row>
    <row r="3729" spans="1:21" x14ac:dyDescent="0.2">
      <c r="A3729" t="s">
        <v>1825</v>
      </c>
      <c r="B3729">
        <v>72960</v>
      </c>
      <c r="C3729" t="s">
        <v>6914</v>
      </c>
      <c r="D3729" t="s">
        <v>1826</v>
      </c>
      <c r="E3729" t="s">
        <v>6956</v>
      </c>
      <c r="F3729">
        <v>9</v>
      </c>
      <c r="G3729">
        <v>7</v>
      </c>
      <c r="H3729" t="s">
        <v>14519</v>
      </c>
      <c r="J3729" t="s">
        <v>6703</v>
      </c>
      <c r="M3729" t="s">
        <v>14520</v>
      </c>
      <c r="N3729">
        <v>1.8217074179999999</v>
      </c>
      <c r="O3729">
        <v>4.1700741289999996</v>
      </c>
      <c r="P3729">
        <v>0.189705977</v>
      </c>
      <c r="Q3729">
        <v>-1.7194070999999998E-2</v>
      </c>
      <c r="S3729" s="13">
        <v>-2.1292247</v>
      </c>
      <c r="T3729">
        <v>-3.3790322069999998</v>
      </c>
    </row>
    <row r="3730" spans="1:21" x14ac:dyDescent="0.2">
      <c r="A3730" t="s">
        <v>894</v>
      </c>
      <c r="B3730">
        <v>71160</v>
      </c>
      <c r="C3730" t="s">
        <v>6914</v>
      </c>
      <c r="D3730" t="s">
        <v>894</v>
      </c>
      <c r="E3730" t="s">
        <v>6939</v>
      </c>
      <c r="F3730">
        <v>18</v>
      </c>
      <c r="G3730">
        <v>2</v>
      </c>
      <c r="H3730" t="s">
        <v>14521</v>
      </c>
      <c r="J3730" t="s">
        <v>6843</v>
      </c>
      <c r="M3730" t="s">
        <v>14522</v>
      </c>
      <c r="N3730">
        <v>1.8217074179999999</v>
      </c>
      <c r="O3730">
        <v>4.1700741289999996</v>
      </c>
      <c r="P3730">
        <v>0.189705977</v>
      </c>
      <c r="Q3730">
        <v>-1.7194070999999998E-2</v>
      </c>
      <c r="S3730" s="13">
        <v>-2.131389671</v>
      </c>
      <c r="T3730">
        <v>-3.388492635</v>
      </c>
    </row>
    <row r="3731" spans="1:21" x14ac:dyDescent="0.2">
      <c r="A3731" t="s">
        <v>2054</v>
      </c>
      <c r="B3731">
        <v>70440</v>
      </c>
      <c r="C3731" t="s">
        <v>6914</v>
      </c>
      <c r="D3731" t="s">
        <v>2054</v>
      </c>
      <c r="E3731" t="s">
        <v>6911</v>
      </c>
      <c r="F3731">
        <v>15</v>
      </c>
      <c r="G3731">
        <v>12</v>
      </c>
      <c r="H3731" t="s">
        <v>14523</v>
      </c>
      <c r="J3731" t="s">
        <v>6669</v>
      </c>
      <c r="M3731" t="s">
        <v>14524</v>
      </c>
      <c r="N3731">
        <v>1.8217074179999999</v>
      </c>
      <c r="O3731">
        <v>4.1700741289999996</v>
      </c>
      <c r="P3731">
        <v>0.189705977</v>
      </c>
      <c r="Q3731">
        <v>-1.7194070999999998E-2</v>
      </c>
      <c r="S3731" s="13">
        <v>-2.1322556590000001</v>
      </c>
      <c r="T3731">
        <v>-3.3922768059999999</v>
      </c>
    </row>
    <row r="3732" spans="1:21" x14ac:dyDescent="0.2">
      <c r="A3732" t="s">
        <v>668</v>
      </c>
      <c r="B3732">
        <v>68800</v>
      </c>
      <c r="C3732" t="s">
        <v>6914</v>
      </c>
      <c r="D3732" t="s">
        <v>668</v>
      </c>
      <c r="E3732" t="s">
        <v>6956</v>
      </c>
      <c r="F3732">
        <v>21</v>
      </c>
      <c r="G3732">
        <v>7</v>
      </c>
      <c r="H3732" t="s">
        <v>14525</v>
      </c>
      <c r="J3732" t="s">
        <v>6781</v>
      </c>
      <c r="M3732" t="s">
        <v>14526</v>
      </c>
      <c r="N3732">
        <v>1.8217074179999999</v>
      </c>
      <c r="O3732">
        <v>4.1700741289999996</v>
      </c>
      <c r="P3732">
        <v>0.189705977</v>
      </c>
      <c r="Q3732">
        <v>-1.7194070999999998E-2</v>
      </c>
      <c r="S3732" s="13">
        <v>-2.1342281879999998</v>
      </c>
      <c r="T3732">
        <v>-3.4008963059999999</v>
      </c>
    </row>
    <row r="3733" spans="1:21" x14ac:dyDescent="0.2">
      <c r="A3733" t="s">
        <v>1668</v>
      </c>
      <c r="B3733">
        <v>68720</v>
      </c>
      <c r="C3733" t="s">
        <v>6914</v>
      </c>
      <c r="D3733" t="s">
        <v>1668</v>
      </c>
      <c r="E3733" t="s">
        <v>6915</v>
      </c>
      <c r="F3733">
        <v>10</v>
      </c>
      <c r="G3733">
        <v>13</v>
      </c>
      <c r="H3733" t="s">
        <v>14527</v>
      </c>
      <c r="J3733" t="s">
        <v>6711</v>
      </c>
      <c r="M3733" t="s">
        <v>14528</v>
      </c>
      <c r="N3733">
        <v>1.8217074179999999</v>
      </c>
      <c r="O3733">
        <v>4.1700741289999996</v>
      </c>
      <c r="P3733">
        <v>0.189705977</v>
      </c>
      <c r="Q3733">
        <v>-1.7194070999999998E-2</v>
      </c>
      <c r="S3733" s="13">
        <v>-2.134324409</v>
      </c>
      <c r="T3733">
        <v>-3.4013167700000002</v>
      </c>
    </row>
    <row r="3734" spans="1:21" x14ac:dyDescent="0.2">
      <c r="A3734" t="s">
        <v>2031</v>
      </c>
      <c r="B3734">
        <v>67840</v>
      </c>
      <c r="C3734" t="s">
        <v>6914</v>
      </c>
      <c r="D3734" t="s">
        <v>2032</v>
      </c>
      <c r="E3734" t="s">
        <v>6924</v>
      </c>
      <c r="F3734">
        <v>3</v>
      </c>
      <c r="G3734">
        <v>6</v>
      </c>
      <c r="H3734" t="s">
        <v>14529</v>
      </c>
      <c r="J3734" t="s">
        <v>6735</v>
      </c>
      <c r="M3734" t="s">
        <v>14530</v>
      </c>
      <c r="N3734">
        <v>1.8217074179999999</v>
      </c>
      <c r="O3734">
        <v>4.1700741289999996</v>
      </c>
      <c r="P3734">
        <v>0.189705977</v>
      </c>
      <c r="Q3734">
        <v>-1.7194070999999998E-2</v>
      </c>
      <c r="S3734" s="13">
        <v>-2.135382839</v>
      </c>
      <c r="T3734">
        <v>-3.4059418670000001</v>
      </c>
    </row>
    <row r="3735" spans="1:21" x14ac:dyDescent="0.2">
      <c r="A3735" t="s">
        <v>956</v>
      </c>
      <c r="B3735">
        <v>65720</v>
      </c>
      <c r="C3735" t="s">
        <v>6914</v>
      </c>
      <c r="D3735" t="s">
        <v>956</v>
      </c>
      <c r="E3735" t="s">
        <v>6974</v>
      </c>
      <c r="F3735">
        <v>15</v>
      </c>
      <c r="G3735">
        <v>15</v>
      </c>
      <c r="H3735" t="s">
        <v>14531</v>
      </c>
      <c r="J3735" t="s">
        <v>6705</v>
      </c>
      <c r="M3735" t="s">
        <v>14532</v>
      </c>
      <c r="N3735">
        <v>1.8217074179999999</v>
      </c>
      <c r="O3735">
        <v>4.1700741289999996</v>
      </c>
      <c r="P3735">
        <v>0.189705977</v>
      </c>
      <c r="Q3735">
        <v>-1.7194070999999998E-2</v>
      </c>
      <c r="S3735" s="13">
        <v>-2.1379326930000002</v>
      </c>
      <c r="T3735">
        <v>-3.4170841479999998</v>
      </c>
    </row>
    <row r="3736" spans="1:21" x14ac:dyDescent="0.2">
      <c r="A3736" t="s">
        <v>2791</v>
      </c>
      <c r="B3736">
        <v>58880</v>
      </c>
      <c r="C3736" t="s">
        <v>6914</v>
      </c>
      <c r="D3736" t="s">
        <v>2792</v>
      </c>
      <c r="E3736" t="s">
        <v>6921</v>
      </c>
      <c r="F3736">
        <v>6</v>
      </c>
      <c r="G3736">
        <v>8</v>
      </c>
      <c r="H3736" t="s">
        <v>14533</v>
      </c>
      <c r="J3736" t="s">
        <v>6699</v>
      </c>
      <c r="M3736" t="s">
        <v>14534</v>
      </c>
      <c r="N3736">
        <v>1.8217074179999999</v>
      </c>
      <c r="O3736">
        <v>4.1700741289999996</v>
      </c>
      <c r="P3736">
        <v>0.189705977</v>
      </c>
      <c r="Q3736">
        <v>-1.7194070999999998E-2</v>
      </c>
      <c r="S3736" s="13">
        <v>-2.1461595820000001</v>
      </c>
      <c r="T3736">
        <v>-3.453033773</v>
      </c>
    </row>
    <row r="3737" spans="1:21" x14ac:dyDescent="0.2">
      <c r="A3737" t="s">
        <v>868</v>
      </c>
      <c r="B3737">
        <v>56360</v>
      </c>
      <c r="C3737" t="s">
        <v>6906</v>
      </c>
      <c r="D3737" t="s">
        <v>869</v>
      </c>
      <c r="E3737" t="s">
        <v>7115</v>
      </c>
      <c r="F3737">
        <v>4</v>
      </c>
      <c r="G3737">
        <v>10</v>
      </c>
      <c r="H3737" t="s">
        <v>14535</v>
      </c>
      <c r="J3737" t="s">
        <v>4177</v>
      </c>
      <c r="M3737" t="s">
        <v>14536</v>
      </c>
      <c r="N3737">
        <v>1.813871112</v>
      </c>
      <c r="O3737">
        <v>2.6633694910000001</v>
      </c>
      <c r="P3737">
        <v>-0.29586356800000002</v>
      </c>
      <c r="Q3737">
        <v>-0.59018158399999998</v>
      </c>
      <c r="S3737" s="13">
        <v>-2.1469316699999998</v>
      </c>
      <c r="T3737">
        <v>-3.4564076180000001</v>
      </c>
      <c r="U3737">
        <v>-1.0623742410000001</v>
      </c>
    </row>
    <row r="3738" spans="1:21" x14ac:dyDescent="0.2">
      <c r="A3738" t="s">
        <v>1456</v>
      </c>
      <c r="B3738">
        <v>58200</v>
      </c>
      <c r="C3738" t="s">
        <v>6914</v>
      </c>
      <c r="D3738" t="s">
        <v>1457</v>
      </c>
      <c r="E3738" t="s">
        <v>7006</v>
      </c>
      <c r="F3738">
        <v>7</v>
      </c>
      <c r="G3738">
        <v>3</v>
      </c>
      <c r="H3738" t="s">
        <v>14537</v>
      </c>
      <c r="J3738" t="s">
        <v>6757</v>
      </c>
      <c r="M3738" t="s">
        <v>14538</v>
      </c>
      <c r="N3738">
        <v>1.8217074179999999</v>
      </c>
      <c r="O3738">
        <v>4.1700741289999996</v>
      </c>
      <c r="P3738">
        <v>0.189705977</v>
      </c>
      <c r="Q3738">
        <v>-1.7194070999999998E-2</v>
      </c>
      <c r="S3738" s="13">
        <v>-2.14697746</v>
      </c>
      <c r="T3738">
        <v>-3.4566077119999998</v>
      </c>
    </row>
    <row r="3739" spans="1:21" x14ac:dyDescent="0.2">
      <c r="A3739" t="s">
        <v>462</v>
      </c>
      <c r="B3739">
        <v>57440</v>
      </c>
      <c r="C3739" t="s">
        <v>6914</v>
      </c>
      <c r="D3739" t="s">
        <v>462</v>
      </c>
      <c r="E3739" t="s">
        <v>6956</v>
      </c>
      <c r="F3739">
        <v>20</v>
      </c>
      <c r="G3739">
        <v>7</v>
      </c>
      <c r="H3739" t="s">
        <v>14539</v>
      </c>
      <c r="J3739" t="s">
        <v>6715</v>
      </c>
      <c r="M3739" t="s">
        <v>14540</v>
      </c>
      <c r="N3739">
        <v>1.8217074179999999</v>
      </c>
      <c r="O3739">
        <v>4.1700741289999996</v>
      </c>
      <c r="P3739">
        <v>0.189705977</v>
      </c>
      <c r="Q3739">
        <v>-1.7194070999999998E-2</v>
      </c>
      <c r="S3739" s="13">
        <v>-2.1478915590000001</v>
      </c>
      <c r="T3739">
        <v>-3.4606021139999998</v>
      </c>
    </row>
    <row r="3740" spans="1:21" x14ac:dyDescent="0.2">
      <c r="A3740" t="s">
        <v>1413</v>
      </c>
      <c r="B3740">
        <v>54920</v>
      </c>
      <c r="C3740" t="s">
        <v>6906</v>
      </c>
      <c r="D3740" t="s">
        <v>1413</v>
      </c>
      <c r="E3740" t="s">
        <v>6977</v>
      </c>
      <c r="F3740">
        <v>18</v>
      </c>
      <c r="G3740">
        <v>5</v>
      </c>
      <c r="H3740" t="s">
        <v>14541</v>
      </c>
      <c r="J3740" t="s">
        <v>4361</v>
      </c>
      <c r="M3740" t="s">
        <v>14542</v>
      </c>
      <c r="N3740">
        <v>1.813871112</v>
      </c>
      <c r="O3740">
        <v>2.6633694910000001</v>
      </c>
      <c r="P3740">
        <v>-0.29586356800000002</v>
      </c>
      <c r="Q3740">
        <v>-0.59018158399999998</v>
      </c>
      <c r="S3740" s="13">
        <v>-2.1490207460000001</v>
      </c>
      <c r="T3740">
        <v>-3.4655364020000001</v>
      </c>
      <c r="U3740">
        <v>-1.0702697249999999</v>
      </c>
    </row>
    <row r="3741" spans="1:21" x14ac:dyDescent="0.2">
      <c r="A3741" t="s">
        <v>134</v>
      </c>
      <c r="B3741">
        <v>54880</v>
      </c>
      <c r="C3741" t="s">
        <v>6906</v>
      </c>
      <c r="D3741" t="s">
        <v>135</v>
      </c>
      <c r="E3741" t="s">
        <v>6970</v>
      </c>
      <c r="F3741">
        <v>1</v>
      </c>
      <c r="G3741">
        <v>14</v>
      </c>
      <c r="H3741" t="s">
        <v>14543</v>
      </c>
      <c r="J3741" t="s">
        <v>4162</v>
      </c>
      <c r="M3741" t="s">
        <v>14544</v>
      </c>
      <c r="N3741">
        <v>1.813871112</v>
      </c>
      <c r="O3741">
        <v>2.6633694910000001</v>
      </c>
      <c r="P3741">
        <v>-0.29586356800000002</v>
      </c>
      <c r="Q3741">
        <v>-0.59018158399999998</v>
      </c>
      <c r="S3741" s="13">
        <v>-2.1490787760000001</v>
      </c>
      <c r="T3741">
        <v>-3.4657899790000002</v>
      </c>
      <c r="U3741">
        <v>-1.070491106</v>
      </c>
    </row>
    <row r="3742" spans="1:21" x14ac:dyDescent="0.2">
      <c r="A3742" t="s">
        <v>198</v>
      </c>
      <c r="B3742">
        <v>56040</v>
      </c>
      <c r="C3742" t="s">
        <v>6914</v>
      </c>
      <c r="D3742" t="s">
        <v>199</v>
      </c>
      <c r="E3742" t="s">
        <v>6918</v>
      </c>
      <c r="F3742">
        <v>3</v>
      </c>
      <c r="G3742">
        <v>1</v>
      </c>
      <c r="H3742" t="s">
        <v>14545</v>
      </c>
      <c r="J3742" t="s">
        <v>6849</v>
      </c>
      <c r="M3742" t="s">
        <v>14546</v>
      </c>
      <c r="N3742">
        <v>1.8217074179999999</v>
      </c>
      <c r="O3742">
        <v>4.1700741289999996</v>
      </c>
      <c r="P3742">
        <v>0.189705977</v>
      </c>
      <c r="Q3742">
        <v>-1.7194070999999998E-2</v>
      </c>
      <c r="S3742" s="13">
        <v>-2.1495754250000001</v>
      </c>
      <c r="T3742">
        <v>-3.4679602250000001</v>
      </c>
    </row>
    <row r="3743" spans="1:21" x14ac:dyDescent="0.2">
      <c r="A3743" t="s">
        <v>2118</v>
      </c>
      <c r="B3743">
        <v>54880</v>
      </c>
      <c r="C3743" t="s">
        <v>6914</v>
      </c>
      <c r="D3743" t="s">
        <v>2119</v>
      </c>
      <c r="E3743" t="s">
        <v>6974</v>
      </c>
      <c r="F3743">
        <v>4</v>
      </c>
      <c r="G3743">
        <v>15</v>
      </c>
      <c r="H3743" t="s">
        <v>14547</v>
      </c>
      <c r="J3743" t="s">
        <v>6807</v>
      </c>
      <c r="M3743" t="s">
        <v>14548</v>
      </c>
      <c r="N3743">
        <v>1.8217074179999999</v>
      </c>
      <c r="O3743">
        <v>4.1700741289999996</v>
      </c>
      <c r="P3743">
        <v>0.189705977</v>
      </c>
      <c r="Q3743">
        <v>-1.7194070999999998E-2</v>
      </c>
      <c r="S3743" s="13">
        <v>-2.1509706290000001</v>
      </c>
      <c r="T3743">
        <v>-3.474056944</v>
      </c>
    </row>
    <row r="3744" spans="1:21" x14ac:dyDescent="0.2">
      <c r="A3744" t="s">
        <v>185</v>
      </c>
      <c r="B3744">
        <v>52560</v>
      </c>
      <c r="C3744" t="s">
        <v>6906</v>
      </c>
      <c r="D3744" t="s">
        <v>185</v>
      </c>
      <c r="E3744" t="s">
        <v>6977</v>
      </c>
      <c r="F3744">
        <v>23</v>
      </c>
      <c r="G3744">
        <v>5</v>
      </c>
      <c r="H3744" t="s">
        <v>14549</v>
      </c>
      <c r="J3744" t="s">
        <v>4278</v>
      </c>
      <c r="M3744" t="s">
        <v>14550</v>
      </c>
      <c r="N3744">
        <v>1.813871112</v>
      </c>
      <c r="O3744">
        <v>2.6633694910000001</v>
      </c>
      <c r="P3744">
        <v>-0.29586356800000002</v>
      </c>
      <c r="Q3744">
        <v>-0.59018158399999998</v>
      </c>
      <c r="S3744" s="13">
        <v>-2.152444509</v>
      </c>
      <c r="T3744">
        <v>-3.480497465</v>
      </c>
      <c r="U3744">
        <v>-1.0835282239999999</v>
      </c>
    </row>
    <row r="3745" spans="1:21" x14ac:dyDescent="0.2">
      <c r="A3745" t="s">
        <v>1794</v>
      </c>
      <c r="B3745">
        <v>52560</v>
      </c>
      <c r="C3745" t="s">
        <v>6906</v>
      </c>
      <c r="D3745" t="s">
        <v>1794</v>
      </c>
      <c r="E3745" t="s">
        <v>7115</v>
      </c>
      <c r="F3745">
        <v>13</v>
      </c>
      <c r="G3745">
        <v>10</v>
      </c>
      <c r="H3745" t="s">
        <v>14551</v>
      </c>
      <c r="J3745" t="s">
        <v>14552</v>
      </c>
      <c r="M3745" t="s">
        <v>14553</v>
      </c>
      <c r="N3745">
        <v>1.813871112</v>
      </c>
      <c r="O3745">
        <v>2.6633694910000001</v>
      </c>
      <c r="P3745">
        <v>-0.29586356800000002</v>
      </c>
      <c r="Q3745">
        <v>-0.59018158399999998</v>
      </c>
      <c r="S3745" s="13">
        <v>-2.152444509</v>
      </c>
      <c r="T3745">
        <v>-3.480497465</v>
      </c>
      <c r="U3745">
        <v>-1.0835282239999999</v>
      </c>
    </row>
    <row r="3746" spans="1:21" x14ac:dyDescent="0.2">
      <c r="A3746" t="s">
        <v>2040</v>
      </c>
      <c r="B3746">
        <v>49320</v>
      </c>
      <c r="C3746" t="s">
        <v>6906</v>
      </c>
      <c r="D3746" t="s">
        <v>2040</v>
      </c>
      <c r="E3746" t="s">
        <v>6946</v>
      </c>
      <c r="F3746">
        <v>18</v>
      </c>
      <c r="G3746">
        <v>11</v>
      </c>
      <c r="H3746" t="s">
        <v>14554</v>
      </c>
      <c r="J3746" t="s">
        <v>4074</v>
      </c>
      <c r="M3746" t="s">
        <v>14555</v>
      </c>
      <c r="N3746">
        <v>1.813871112</v>
      </c>
      <c r="O3746">
        <v>2.6633694910000001</v>
      </c>
      <c r="P3746">
        <v>-0.29586356800000002</v>
      </c>
      <c r="Q3746">
        <v>-0.59018158399999998</v>
      </c>
      <c r="S3746" s="13">
        <v>-2.1571449299999998</v>
      </c>
      <c r="T3746">
        <v>-3.501037229</v>
      </c>
      <c r="U3746">
        <v>-1.102416104</v>
      </c>
    </row>
    <row r="3747" spans="1:21" x14ac:dyDescent="0.2">
      <c r="A3747" t="s">
        <v>1764</v>
      </c>
      <c r="B3747">
        <v>49240</v>
      </c>
      <c r="C3747" t="s">
        <v>6914</v>
      </c>
      <c r="D3747" t="s">
        <v>1764</v>
      </c>
      <c r="E3747" t="s">
        <v>7115</v>
      </c>
      <c r="F3747">
        <v>20</v>
      </c>
      <c r="G3747">
        <v>10</v>
      </c>
      <c r="H3747" t="s">
        <v>14556</v>
      </c>
      <c r="J3747" t="s">
        <v>6717</v>
      </c>
      <c r="M3747" t="s">
        <v>14557</v>
      </c>
      <c r="N3747">
        <v>1.8217074179999999</v>
      </c>
      <c r="O3747">
        <v>4.1700741289999996</v>
      </c>
      <c r="P3747">
        <v>0.189705977</v>
      </c>
      <c r="Q3747">
        <v>-1.7194070999999998E-2</v>
      </c>
      <c r="S3747" s="13">
        <v>-2.1577542040000002</v>
      </c>
      <c r="T3747">
        <v>-3.5036996170000001</v>
      </c>
    </row>
    <row r="3748" spans="1:21" x14ac:dyDescent="0.2">
      <c r="A3748" t="s">
        <v>1971</v>
      </c>
      <c r="B3748">
        <v>48520</v>
      </c>
      <c r="C3748" t="s">
        <v>6906</v>
      </c>
      <c r="D3748" t="s">
        <v>1971</v>
      </c>
      <c r="E3748" t="s">
        <v>7115</v>
      </c>
      <c r="F3748">
        <v>10</v>
      </c>
      <c r="G3748">
        <v>10</v>
      </c>
      <c r="H3748" t="s">
        <v>14558</v>
      </c>
      <c r="J3748" t="s">
        <v>14559</v>
      </c>
      <c r="M3748" t="s">
        <v>14560</v>
      </c>
      <c r="N3748">
        <v>1.813871112</v>
      </c>
      <c r="O3748">
        <v>2.6633694910000001</v>
      </c>
      <c r="P3748">
        <v>-0.29586356800000002</v>
      </c>
      <c r="Q3748">
        <v>-0.59018158399999998</v>
      </c>
      <c r="S3748" s="13">
        <v>-2.158305527</v>
      </c>
      <c r="T3748">
        <v>-3.506108775</v>
      </c>
      <c r="U3748">
        <v>-1.107209028</v>
      </c>
    </row>
    <row r="3749" spans="1:21" x14ac:dyDescent="0.2">
      <c r="A3749" t="s">
        <v>765</v>
      </c>
      <c r="B3749">
        <v>47920</v>
      </c>
      <c r="C3749" t="s">
        <v>6906</v>
      </c>
      <c r="D3749" t="s">
        <v>766</v>
      </c>
      <c r="E3749" t="s">
        <v>7006</v>
      </c>
      <c r="F3749">
        <v>4</v>
      </c>
      <c r="G3749">
        <v>3</v>
      </c>
      <c r="H3749" t="s">
        <v>14561</v>
      </c>
      <c r="J3749" t="s">
        <v>4422</v>
      </c>
      <c r="M3749" t="s">
        <v>14562</v>
      </c>
      <c r="N3749">
        <v>1.813871112</v>
      </c>
      <c r="O3749">
        <v>2.6633694910000001</v>
      </c>
      <c r="P3749">
        <v>-0.29586356800000002</v>
      </c>
      <c r="Q3749">
        <v>-0.59018158399999998</v>
      </c>
      <c r="S3749" s="13">
        <v>-2.1591759760000002</v>
      </c>
      <c r="T3749">
        <v>-3.5099124349999999</v>
      </c>
      <c r="U3749">
        <v>-1.110838757</v>
      </c>
    </row>
    <row r="3750" spans="1:21" x14ac:dyDescent="0.2">
      <c r="A3750" t="s">
        <v>1688</v>
      </c>
      <c r="B3750">
        <v>47560</v>
      </c>
      <c r="C3750" t="s">
        <v>6914</v>
      </c>
      <c r="D3750" t="s">
        <v>1688</v>
      </c>
      <c r="E3750" t="s">
        <v>6915</v>
      </c>
      <c r="F3750">
        <v>22</v>
      </c>
      <c r="G3750">
        <v>13</v>
      </c>
      <c r="H3750" t="s">
        <v>14563</v>
      </c>
      <c r="J3750" t="s">
        <v>6769</v>
      </c>
      <c r="M3750" t="s">
        <v>14564</v>
      </c>
      <c r="N3750">
        <v>1.8217074179999999</v>
      </c>
      <c r="O3750">
        <v>4.1700741289999996</v>
      </c>
      <c r="P3750">
        <v>0.189705977</v>
      </c>
      <c r="Q3750">
        <v>-1.7194070999999998E-2</v>
      </c>
      <c r="S3750" s="13">
        <v>-2.1597748430000001</v>
      </c>
      <c r="T3750">
        <v>-3.5125293489999998</v>
      </c>
    </row>
    <row r="3751" spans="1:21" x14ac:dyDescent="0.2">
      <c r="A3751" t="s">
        <v>2319</v>
      </c>
      <c r="B3751">
        <v>45640</v>
      </c>
      <c r="C3751" t="s">
        <v>6906</v>
      </c>
      <c r="D3751" t="s">
        <v>2320</v>
      </c>
      <c r="E3751" t="s">
        <v>6915</v>
      </c>
      <c r="F3751">
        <v>8</v>
      </c>
      <c r="G3751">
        <v>13</v>
      </c>
      <c r="H3751" t="s">
        <v>14565</v>
      </c>
      <c r="J3751" t="s">
        <v>4274</v>
      </c>
      <c r="M3751" t="s">
        <v>14566</v>
      </c>
      <c r="N3751">
        <v>1.813871112</v>
      </c>
      <c r="O3751">
        <v>2.6633694910000001</v>
      </c>
      <c r="P3751">
        <v>-0.29586356800000002</v>
      </c>
      <c r="Q3751">
        <v>-0.59018158399999998</v>
      </c>
      <c r="S3751" s="13">
        <v>-2.1624836790000002</v>
      </c>
      <c r="T3751">
        <v>-3.5243663430000001</v>
      </c>
      <c r="U3751">
        <v>-1.124915205</v>
      </c>
    </row>
    <row r="3752" spans="1:21" x14ac:dyDescent="0.2">
      <c r="A3752" t="s">
        <v>1058</v>
      </c>
      <c r="B3752">
        <v>41160</v>
      </c>
      <c r="C3752" t="s">
        <v>6914</v>
      </c>
      <c r="D3752" t="s">
        <v>1059</v>
      </c>
      <c r="E3752" t="s">
        <v>6911</v>
      </c>
      <c r="F3752">
        <v>6</v>
      </c>
      <c r="G3752">
        <v>12</v>
      </c>
      <c r="H3752" t="s">
        <v>14567</v>
      </c>
      <c r="J3752" t="s">
        <v>6783</v>
      </c>
      <c r="M3752" t="s">
        <v>14568</v>
      </c>
      <c r="N3752">
        <v>1.8217074179999999</v>
      </c>
      <c r="O3752">
        <v>4.1700741289999996</v>
      </c>
      <c r="P3752">
        <v>0.189705977</v>
      </c>
      <c r="Q3752">
        <v>-1.7194070999999998E-2</v>
      </c>
      <c r="S3752" s="13">
        <v>-2.1674725170000002</v>
      </c>
      <c r="T3752">
        <v>-3.5461664239999999</v>
      </c>
    </row>
    <row r="3753" spans="1:21" x14ac:dyDescent="0.2">
      <c r="A3753" t="s">
        <v>1263</v>
      </c>
      <c r="B3753">
        <v>39480</v>
      </c>
      <c r="C3753" t="s">
        <v>6914</v>
      </c>
      <c r="D3753" t="s">
        <v>1264</v>
      </c>
      <c r="E3753" t="s">
        <v>6911</v>
      </c>
      <c r="F3753">
        <v>7</v>
      </c>
      <c r="G3753">
        <v>12</v>
      </c>
      <c r="H3753" t="s">
        <v>14569</v>
      </c>
      <c r="J3753" t="s">
        <v>6759</v>
      </c>
      <c r="M3753" t="s">
        <v>14570</v>
      </c>
      <c r="N3753">
        <v>1.8217074179999999</v>
      </c>
      <c r="O3753">
        <v>4.1700741289999996</v>
      </c>
      <c r="P3753">
        <v>0.189705977</v>
      </c>
      <c r="Q3753">
        <v>-1.7194070999999998E-2</v>
      </c>
      <c r="S3753" s="13">
        <v>-2.1694931560000001</v>
      </c>
      <c r="T3753">
        <v>-3.5549961560000001</v>
      </c>
    </row>
    <row r="3754" spans="1:21" x14ac:dyDescent="0.2">
      <c r="A3754" t="s">
        <v>1251</v>
      </c>
      <c r="B3754">
        <v>38880</v>
      </c>
      <c r="C3754" t="s">
        <v>6906</v>
      </c>
      <c r="D3754" t="s">
        <v>1251</v>
      </c>
      <c r="E3754" t="s">
        <v>6907</v>
      </c>
      <c r="F3754">
        <v>17</v>
      </c>
      <c r="G3754">
        <v>4</v>
      </c>
      <c r="H3754" t="s">
        <v>14571</v>
      </c>
      <c r="J3754" t="s">
        <v>4378</v>
      </c>
      <c r="M3754" t="s">
        <v>14572</v>
      </c>
      <c r="N3754">
        <v>1.813871112</v>
      </c>
      <c r="O3754">
        <v>2.6633694910000001</v>
      </c>
      <c r="P3754">
        <v>-0.29586356800000002</v>
      </c>
      <c r="Q3754">
        <v>-0.59018158399999998</v>
      </c>
      <c r="S3754" s="13">
        <v>-2.1722907299999998</v>
      </c>
      <c r="T3754">
        <v>-3.5672209129999999</v>
      </c>
      <c r="U3754">
        <v>-1.1695516109999999</v>
      </c>
    </row>
    <row r="3755" spans="1:21" x14ac:dyDescent="0.2">
      <c r="A3755" t="s">
        <v>1215</v>
      </c>
      <c r="B3755">
        <v>35480</v>
      </c>
      <c r="C3755" t="s">
        <v>6914</v>
      </c>
      <c r="D3755" t="s">
        <v>1215</v>
      </c>
      <c r="E3755" t="s">
        <v>6970</v>
      </c>
      <c r="F3755">
        <v>18</v>
      </c>
      <c r="G3755">
        <v>14</v>
      </c>
      <c r="H3755" t="s">
        <v>14573</v>
      </c>
      <c r="J3755" t="s">
        <v>6833</v>
      </c>
      <c r="M3755" t="s">
        <v>14574</v>
      </c>
      <c r="N3755">
        <v>1.8217074179999999</v>
      </c>
      <c r="O3755">
        <v>4.1700741289999996</v>
      </c>
      <c r="P3755">
        <v>0.189705977</v>
      </c>
      <c r="Q3755">
        <v>-1.7194070999999998E-2</v>
      </c>
      <c r="S3755" s="13">
        <v>-2.1743042020000001</v>
      </c>
      <c r="T3755">
        <v>-3.5760193280000001</v>
      </c>
    </row>
    <row r="3756" spans="1:21" x14ac:dyDescent="0.2">
      <c r="A3756" t="s">
        <v>2294</v>
      </c>
      <c r="B3756">
        <v>33640</v>
      </c>
      <c r="C3756" t="s">
        <v>6914</v>
      </c>
      <c r="D3756" t="s">
        <v>2294</v>
      </c>
      <c r="E3756" t="s">
        <v>7085</v>
      </c>
      <c r="F3756">
        <v>20</v>
      </c>
      <c r="G3756">
        <v>9</v>
      </c>
      <c r="H3756" t="s">
        <v>14575</v>
      </c>
      <c r="J3756" t="s">
        <v>6657</v>
      </c>
      <c r="M3756" t="s">
        <v>14576</v>
      </c>
      <c r="N3756">
        <v>1.8217074179999999</v>
      </c>
      <c r="O3756">
        <v>4.1700741289999996</v>
      </c>
      <c r="P3756">
        <v>0.189705977</v>
      </c>
      <c r="Q3756">
        <v>-1.7194070999999998E-2</v>
      </c>
      <c r="S3756" s="13">
        <v>-2.176517284</v>
      </c>
      <c r="T3756">
        <v>-3.5856899869999999</v>
      </c>
    </row>
    <row r="3757" spans="1:21" x14ac:dyDescent="0.2">
      <c r="A3757" t="s">
        <v>796</v>
      </c>
      <c r="B3757">
        <v>34680</v>
      </c>
      <c r="C3757" t="s">
        <v>6906</v>
      </c>
      <c r="D3757" t="s">
        <v>796</v>
      </c>
      <c r="E3757" t="s">
        <v>6918</v>
      </c>
      <c r="F3757">
        <v>13</v>
      </c>
      <c r="G3757">
        <v>1</v>
      </c>
      <c r="H3757" t="s">
        <v>14577</v>
      </c>
      <c r="J3757" t="s">
        <v>14578</v>
      </c>
      <c r="M3757" t="s">
        <v>14579</v>
      </c>
      <c r="N3757">
        <v>1.813871112</v>
      </c>
      <c r="O3757">
        <v>2.6633694910000001</v>
      </c>
      <c r="P3757">
        <v>-0.29586356800000002</v>
      </c>
      <c r="Q3757">
        <v>-0.59018158399999998</v>
      </c>
      <c r="S3757" s="13">
        <v>-2.1783838680000001</v>
      </c>
      <c r="T3757">
        <v>-3.5938465329999998</v>
      </c>
      <c r="U3757">
        <v>-1.1997881239999999</v>
      </c>
    </row>
    <row r="3758" spans="1:21" x14ac:dyDescent="0.2">
      <c r="A3758" t="s">
        <v>772</v>
      </c>
      <c r="B3758">
        <v>27120</v>
      </c>
      <c r="C3758" t="s">
        <v>6914</v>
      </c>
      <c r="D3758" t="s">
        <v>772</v>
      </c>
      <c r="E3758" t="s">
        <v>6928</v>
      </c>
      <c r="F3758">
        <v>18</v>
      </c>
      <c r="G3758">
        <v>16</v>
      </c>
      <c r="H3758" t="s">
        <v>14580</v>
      </c>
      <c r="J3758" t="s">
        <v>6731</v>
      </c>
      <c r="M3758" t="s">
        <v>14581</v>
      </c>
      <c r="N3758">
        <v>1.8217074179999999</v>
      </c>
      <c r="O3758">
        <v>4.1700741289999996</v>
      </c>
      <c r="P3758">
        <v>0.189705977</v>
      </c>
      <c r="Q3758">
        <v>-1.7194070999999998E-2</v>
      </c>
      <c r="S3758" s="13">
        <v>-2.1843592890000001</v>
      </c>
      <c r="T3758">
        <v>-3.619957758</v>
      </c>
    </row>
    <row r="3759" spans="1:21" x14ac:dyDescent="0.2">
      <c r="A3759" t="s">
        <v>1431</v>
      </c>
      <c r="B3759">
        <v>28840</v>
      </c>
      <c r="C3759" t="s">
        <v>6906</v>
      </c>
      <c r="D3759" t="s">
        <v>1431</v>
      </c>
      <c r="E3759" t="s">
        <v>7115</v>
      </c>
      <c r="F3759">
        <v>11</v>
      </c>
      <c r="G3759">
        <v>10</v>
      </c>
      <c r="H3759" t="s">
        <v>14582</v>
      </c>
      <c r="J3759" t="s">
        <v>14583</v>
      </c>
      <c r="M3759" t="s">
        <v>14584</v>
      </c>
      <c r="N3759">
        <v>1.813871112</v>
      </c>
      <c r="O3759">
        <v>2.6633694910000001</v>
      </c>
      <c r="P3759">
        <v>-0.29586356800000002</v>
      </c>
      <c r="Q3759">
        <v>-0.59018158399999998</v>
      </c>
      <c r="S3759" s="13">
        <v>-2.1868562310000002</v>
      </c>
      <c r="T3759">
        <v>-3.6308688240000002</v>
      </c>
      <c r="U3759">
        <v>-1.2456698939999999</v>
      </c>
    </row>
    <row r="3760" spans="1:21" x14ac:dyDescent="0.2">
      <c r="A3760" t="s">
        <v>1494</v>
      </c>
      <c r="B3760">
        <v>26520</v>
      </c>
      <c r="C3760" t="s">
        <v>6906</v>
      </c>
      <c r="D3760" t="s">
        <v>1494</v>
      </c>
      <c r="E3760" t="s">
        <v>7115</v>
      </c>
      <c r="F3760">
        <v>12</v>
      </c>
      <c r="G3760">
        <v>10</v>
      </c>
      <c r="H3760" t="s">
        <v>14585</v>
      </c>
      <c r="J3760" t="s">
        <v>14586</v>
      </c>
      <c r="M3760" t="s">
        <v>14587</v>
      </c>
      <c r="N3760">
        <v>1.813871112</v>
      </c>
      <c r="O3760">
        <v>2.6633694910000001</v>
      </c>
      <c r="P3760">
        <v>-0.29586356800000002</v>
      </c>
      <c r="Q3760">
        <v>-0.59018158399999998</v>
      </c>
      <c r="S3760" s="13">
        <v>-2.190221964</v>
      </c>
      <c r="T3760">
        <v>-3.645576309</v>
      </c>
      <c r="U3760">
        <v>-1.2653330220000001</v>
      </c>
    </row>
    <row r="3761" spans="18:19" x14ac:dyDescent="0.2">
      <c r="R3761" t="s">
        <v>6854</v>
      </c>
      <c r="S3761" s="13">
        <f>AVERAGE(S3760,S2)</f>
        <v>-0.61172203650000001</v>
      </c>
    </row>
    <row r="3762" spans="18:19" x14ac:dyDescent="0.2">
      <c r="R3762" t="s">
        <v>14588</v>
      </c>
      <c r="S3762" s="13">
        <f>STDEV(S3761,S2)</f>
        <v>1.1161680028377237</v>
      </c>
    </row>
    <row r="3763" spans="18:19" x14ac:dyDescent="0.2">
      <c r="R3763" t="s">
        <v>14589</v>
      </c>
      <c r="S3763" s="13">
        <f>S3762*1</f>
        <v>1.1161680028377237</v>
      </c>
    </row>
    <row r="3764" spans="18:19" x14ac:dyDescent="0.2">
      <c r="R3764" t="s">
        <v>14590</v>
      </c>
      <c r="S3764" s="13">
        <f>S3763*2</f>
        <v>2.2323360056754473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J29"/>
  <sheetViews>
    <sheetView topLeftCell="B19" workbookViewId="0">
      <selection activeCell="D24" sqref="D24"/>
    </sheetView>
  </sheetViews>
  <sheetFormatPr baseColWidth="10" defaultColWidth="8.83203125" defaultRowHeight="15" x14ac:dyDescent="0.2"/>
  <cols>
    <col min="3" max="4" width="15.33203125" customWidth="1"/>
    <col min="5" max="5" width="23.1640625" customWidth="1"/>
    <col min="6" max="6" width="25.5" customWidth="1"/>
    <col min="7" max="7" width="30.33203125" customWidth="1"/>
    <col min="8" max="8" width="27.5" customWidth="1"/>
    <col min="9" max="9" width="21" customWidth="1"/>
  </cols>
  <sheetData>
    <row r="5" spans="2:8" x14ac:dyDescent="0.2">
      <c r="C5" s="2"/>
      <c r="D5" s="2"/>
      <c r="E5" s="2"/>
      <c r="F5" s="2"/>
      <c r="G5" s="2"/>
      <c r="H5" s="2"/>
    </row>
    <row r="6" spans="2:8" x14ac:dyDescent="0.2">
      <c r="B6" s="20">
        <v>1569480</v>
      </c>
      <c r="C6" s="3" t="s">
        <v>438</v>
      </c>
      <c r="D6" s="3"/>
      <c r="E6" s="4" t="s">
        <v>14591</v>
      </c>
      <c r="F6" s="4" t="s">
        <v>6860</v>
      </c>
      <c r="G6" s="2" t="s">
        <v>6861</v>
      </c>
      <c r="H6" s="2"/>
    </row>
    <row r="7" spans="2:8" x14ac:dyDescent="0.2">
      <c r="B7" s="20">
        <v>817880</v>
      </c>
      <c r="C7" s="2" t="s">
        <v>14592</v>
      </c>
      <c r="D7" s="2"/>
      <c r="E7" s="4" t="s">
        <v>14593</v>
      </c>
      <c r="F7" s="4" t="s">
        <v>6893</v>
      </c>
      <c r="G7" s="2" t="s">
        <v>6894</v>
      </c>
      <c r="H7" s="2"/>
    </row>
    <row r="8" spans="2:8" x14ac:dyDescent="0.2">
      <c r="B8" s="20">
        <v>843720</v>
      </c>
      <c r="C8" s="2" t="s">
        <v>14594</v>
      </c>
      <c r="D8" s="2"/>
      <c r="E8" s="4" t="s">
        <v>14595</v>
      </c>
      <c r="F8" s="4" t="s">
        <v>6895</v>
      </c>
      <c r="G8" s="2" t="s">
        <v>6896</v>
      </c>
      <c r="H8" s="2" t="s">
        <v>6897</v>
      </c>
    </row>
    <row r="9" spans="2:8" x14ac:dyDescent="0.2">
      <c r="B9" s="20">
        <v>747600</v>
      </c>
      <c r="C9" s="2" t="s">
        <v>14596</v>
      </c>
      <c r="D9" s="2"/>
      <c r="E9" s="4" t="s">
        <v>14597</v>
      </c>
      <c r="F9" s="4" t="s">
        <v>6898</v>
      </c>
      <c r="G9" s="2" t="s">
        <v>6899</v>
      </c>
      <c r="H9" s="2"/>
    </row>
    <row r="11" spans="2:8" x14ac:dyDescent="0.2">
      <c r="C11" t="s">
        <v>14598</v>
      </c>
    </row>
    <row r="12" spans="2:8" x14ac:dyDescent="0.2">
      <c r="C12" s="11"/>
      <c r="D12" s="11"/>
      <c r="E12" s="12" t="s">
        <v>14599</v>
      </c>
      <c r="F12" s="12" t="s">
        <v>6</v>
      </c>
      <c r="G12" s="11" t="s">
        <v>7</v>
      </c>
    </row>
    <row r="13" spans="2:8" ht="16" x14ac:dyDescent="0.2">
      <c r="C13" t="s">
        <v>14600</v>
      </c>
      <c r="D13">
        <v>1</v>
      </c>
      <c r="E13" s="7" t="s">
        <v>6860</v>
      </c>
      <c r="F13" s="5" t="s">
        <v>6861</v>
      </c>
      <c r="G13" s="9" t="s">
        <v>6862</v>
      </c>
      <c r="H13" s="2" t="s">
        <v>14601</v>
      </c>
    </row>
    <row r="14" spans="2:8" ht="32" x14ac:dyDescent="0.2">
      <c r="D14">
        <v>2</v>
      </c>
      <c r="E14" s="5" t="s">
        <v>16</v>
      </c>
      <c r="F14" s="5" t="s">
        <v>17</v>
      </c>
      <c r="G14" s="9" t="s">
        <v>6855</v>
      </c>
      <c r="H14" t="s">
        <v>14601</v>
      </c>
    </row>
    <row r="15" spans="2:8" ht="16" x14ac:dyDescent="0.2">
      <c r="D15">
        <v>3</v>
      </c>
      <c r="E15" s="5" t="s">
        <v>21</v>
      </c>
      <c r="F15" s="5" t="s">
        <v>22</v>
      </c>
      <c r="G15" s="9" t="s">
        <v>6857</v>
      </c>
      <c r="H15" t="s">
        <v>14601</v>
      </c>
    </row>
    <row r="16" spans="2:8" ht="32" x14ac:dyDescent="0.2">
      <c r="D16">
        <v>4</v>
      </c>
      <c r="E16" s="5" t="s">
        <v>25</v>
      </c>
      <c r="F16" s="5" t="s">
        <v>32</v>
      </c>
      <c r="G16" s="9" t="s">
        <v>14602</v>
      </c>
      <c r="H16" t="s">
        <v>14601</v>
      </c>
    </row>
    <row r="17" spans="3:10" ht="16" x14ac:dyDescent="0.2">
      <c r="D17">
        <v>5</v>
      </c>
      <c r="E17" s="5" t="s">
        <v>3001</v>
      </c>
      <c r="F17" s="5" t="s">
        <v>6856</v>
      </c>
      <c r="G17" s="9" t="s">
        <v>14603</v>
      </c>
      <c r="H17" t="s">
        <v>14601</v>
      </c>
    </row>
    <row r="18" spans="3:10" ht="48" x14ac:dyDescent="0.2">
      <c r="D18">
        <v>6</v>
      </c>
      <c r="E18" s="5" t="s">
        <v>31</v>
      </c>
      <c r="F18" s="5" t="s">
        <v>26</v>
      </c>
      <c r="G18" s="9" t="s">
        <v>6865</v>
      </c>
      <c r="H18" t="s">
        <v>14601</v>
      </c>
    </row>
    <row r="19" spans="3:10" ht="16" x14ac:dyDescent="0.2">
      <c r="C19" t="s">
        <v>14604</v>
      </c>
      <c r="D19">
        <v>7</v>
      </c>
      <c r="E19" s="6" t="s">
        <v>4355</v>
      </c>
      <c r="F19" s="6" t="s">
        <v>6858</v>
      </c>
      <c r="G19" s="10" t="s">
        <v>6859</v>
      </c>
      <c r="H19" s="8" t="s">
        <v>14601</v>
      </c>
    </row>
    <row r="20" spans="3:10" ht="48" x14ac:dyDescent="0.2">
      <c r="D20">
        <v>8</v>
      </c>
      <c r="E20" s="6" t="s">
        <v>6719</v>
      </c>
      <c r="F20" s="6" t="s">
        <v>6863</v>
      </c>
      <c r="G20" s="10" t="s">
        <v>6864</v>
      </c>
      <c r="H20" t="s">
        <v>14601</v>
      </c>
    </row>
    <row r="21" spans="3:10" ht="16" x14ac:dyDescent="0.2">
      <c r="D21">
        <v>9</v>
      </c>
      <c r="E21" s="6" t="s">
        <v>65</v>
      </c>
      <c r="F21" s="6" t="s">
        <v>66</v>
      </c>
      <c r="G21" s="10" t="s">
        <v>6866</v>
      </c>
    </row>
    <row r="22" spans="3:10" ht="18" customHeight="1" x14ac:dyDescent="0.2">
      <c r="D22">
        <v>10</v>
      </c>
      <c r="E22" s="6" t="s">
        <v>6643</v>
      </c>
      <c r="F22" s="6" t="s">
        <v>6869</v>
      </c>
      <c r="G22" s="10" t="s">
        <v>6870</v>
      </c>
    </row>
    <row r="23" spans="3:10" ht="60" customHeight="1" x14ac:dyDescent="0.2">
      <c r="D23">
        <v>11</v>
      </c>
      <c r="E23" s="6" t="s">
        <v>6871</v>
      </c>
      <c r="F23" s="6" t="s">
        <v>14605</v>
      </c>
      <c r="G23" s="10" t="s">
        <v>6873</v>
      </c>
    </row>
    <row r="26" spans="3:10" ht="25" x14ac:dyDescent="0.2">
      <c r="C26" s="24"/>
      <c r="D26" s="24"/>
      <c r="E26" s="25" t="s">
        <v>14606</v>
      </c>
      <c r="F26" s="25" t="s">
        <v>14607</v>
      </c>
      <c r="G26" s="32" t="s">
        <v>14608</v>
      </c>
      <c r="H26" s="32" t="s">
        <v>14609</v>
      </c>
      <c r="I26" s="32" t="s">
        <v>14610</v>
      </c>
      <c r="J26" s="32" t="s">
        <v>14611</v>
      </c>
    </row>
    <row r="27" spans="3:10" ht="17" x14ac:dyDescent="0.2">
      <c r="C27" s="26" t="s">
        <v>14612</v>
      </c>
      <c r="D27" s="26"/>
      <c r="E27" s="27">
        <v>0</v>
      </c>
      <c r="F27" s="28">
        <v>-1</v>
      </c>
      <c r="G27" s="2"/>
      <c r="H27" s="2"/>
      <c r="I27" s="2"/>
      <c r="J27" s="2"/>
    </row>
    <row r="28" spans="3:10" ht="17" x14ac:dyDescent="0.2">
      <c r="C28" s="29" t="s">
        <v>14613</v>
      </c>
      <c r="D28" s="29"/>
      <c r="E28" s="30">
        <v>0.13533999999999999</v>
      </c>
      <c r="F28" s="30">
        <v>9.8599999999999993E-2</v>
      </c>
      <c r="G28" s="22">
        <f>-E28*2</f>
        <v>-0.27067999999999998</v>
      </c>
      <c r="H28" s="22">
        <f>-E28*3</f>
        <v>-0.40601999999999994</v>
      </c>
      <c r="I28" s="22">
        <f>-1+F28*2</f>
        <v>-0.80279999999999996</v>
      </c>
      <c r="J28" s="22">
        <f>-1+F28*3</f>
        <v>-0.70420000000000005</v>
      </c>
    </row>
    <row r="29" spans="3:10" ht="17" x14ac:dyDescent="0.2">
      <c r="C29" s="26" t="s">
        <v>14614</v>
      </c>
      <c r="D29" s="26"/>
      <c r="E29" s="31">
        <v>0.14504</v>
      </c>
      <c r="F29" s="31">
        <v>0.18093000000000001</v>
      </c>
      <c r="G29" s="22">
        <f>-E29*2</f>
        <v>-0.29008</v>
      </c>
      <c r="H29" s="22">
        <f>-E29*3</f>
        <v>-0.43512000000000001</v>
      </c>
      <c r="I29" s="22">
        <f>-1+F29*2</f>
        <v>-0.63813999999999993</v>
      </c>
      <c r="J29" s="22">
        <f>-1+F29*3</f>
        <v>-0.45721000000000001</v>
      </c>
    </row>
  </sheetData>
  <phoneticPr fontId="18" type="noConversion"/>
  <conditionalFormatting sqref="B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0115C-B153-43B7-96A2-D3BF3020A26D}">
  <dimension ref="C4:BE77"/>
  <sheetViews>
    <sheetView topLeftCell="AA66" workbookViewId="0">
      <selection activeCell="AP63" sqref="AP63"/>
    </sheetView>
  </sheetViews>
  <sheetFormatPr baseColWidth="10" defaultColWidth="8.83203125" defaultRowHeight="15" x14ac:dyDescent="0.2"/>
  <cols>
    <col min="3" max="3" width="17.83203125" customWidth="1"/>
    <col min="4" max="4" width="20.1640625" customWidth="1"/>
    <col min="6" max="7" width="16.5" customWidth="1"/>
    <col min="8" max="8" width="21.1640625" customWidth="1"/>
    <col min="9" max="9" width="18.5" customWidth="1"/>
    <col min="10" max="10" width="16.5" customWidth="1"/>
    <col min="11" max="11" width="16.1640625" customWidth="1"/>
    <col min="12" max="12" width="16.33203125" customWidth="1"/>
    <col min="13" max="14" width="10.5" bestFit="1" customWidth="1"/>
    <col min="16" max="16" width="15.83203125" customWidth="1"/>
    <col min="19" max="19" width="22.5" customWidth="1"/>
  </cols>
  <sheetData>
    <row r="4" spans="4:14" x14ac:dyDescent="0.2">
      <c r="E4" t="s">
        <v>14615</v>
      </c>
    </row>
    <row r="6" spans="4:14" x14ac:dyDescent="0.2">
      <c r="F6" s="33">
        <v>1</v>
      </c>
      <c r="G6" s="33"/>
      <c r="H6" s="33">
        <v>2</v>
      </c>
      <c r="I6" s="33">
        <v>3</v>
      </c>
      <c r="J6" s="33">
        <v>4</v>
      </c>
      <c r="K6" s="33">
        <v>5</v>
      </c>
      <c r="L6" s="33">
        <v>6</v>
      </c>
    </row>
    <row r="7" spans="4:14" x14ac:dyDescent="0.2">
      <c r="F7" s="2" t="s">
        <v>6861</v>
      </c>
      <c r="G7" s="2"/>
      <c r="H7" s="2" t="s">
        <v>17</v>
      </c>
      <c r="I7" s="2" t="s">
        <v>22</v>
      </c>
      <c r="J7" s="2" t="s">
        <v>32</v>
      </c>
      <c r="K7" s="2" t="s">
        <v>6856</v>
      </c>
      <c r="L7" s="2" t="s">
        <v>6863</v>
      </c>
    </row>
    <row r="8" spans="4:14" x14ac:dyDescent="0.2">
      <c r="F8" s="2" t="s">
        <v>66</v>
      </c>
      <c r="G8" s="2"/>
      <c r="H8" s="2" t="s">
        <v>6869</v>
      </c>
      <c r="I8" s="2" t="s">
        <v>14605</v>
      </c>
      <c r="J8" s="2" t="s">
        <v>14616</v>
      </c>
      <c r="K8" s="2" t="s">
        <v>14617</v>
      </c>
      <c r="L8" s="2" t="s">
        <v>26</v>
      </c>
    </row>
    <row r="9" spans="4:14" x14ac:dyDescent="0.2">
      <c r="F9" s="2" t="s">
        <v>6858</v>
      </c>
      <c r="G9" s="2"/>
      <c r="H9" s="2" t="s">
        <v>14618</v>
      </c>
      <c r="I9" t="s">
        <v>14619</v>
      </c>
      <c r="J9" t="s">
        <v>14620</v>
      </c>
      <c r="K9" s="2"/>
      <c r="L9" s="2"/>
    </row>
    <row r="11" spans="4:14" x14ac:dyDescent="0.2">
      <c r="E11" t="s">
        <v>14621</v>
      </c>
    </row>
    <row r="12" spans="4:14" x14ac:dyDescent="0.2">
      <c r="E12" s="2">
        <v>0</v>
      </c>
      <c r="F12" s="16"/>
      <c r="G12" s="16"/>
      <c r="H12" s="16"/>
      <c r="I12" s="16"/>
      <c r="J12" s="16">
        <v>1</v>
      </c>
      <c r="K12" s="16">
        <v>2</v>
      </c>
      <c r="L12" s="16">
        <v>3</v>
      </c>
      <c r="M12" s="16">
        <v>4</v>
      </c>
      <c r="N12" s="36"/>
    </row>
    <row r="13" spans="4:14" x14ac:dyDescent="0.2">
      <c r="D13" t="s">
        <v>14622</v>
      </c>
      <c r="E13" s="2">
        <v>400</v>
      </c>
      <c r="F13" s="16"/>
      <c r="G13" s="16"/>
      <c r="H13" s="16"/>
      <c r="I13" s="16"/>
      <c r="J13" s="16">
        <v>250</v>
      </c>
      <c r="K13" s="16">
        <v>250</v>
      </c>
      <c r="L13" s="16">
        <v>250</v>
      </c>
      <c r="M13" s="16">
        <v>500</v>
      </c>
      <c r="N13" s="36"/>
    </row>
    <row r="14" spans="4:14" x14ac:dyDescent="0.2">
      <c r="D14" t="s">
        <v>14623</v>
      </c>
      <c r="E14" s="2">
        <v>0</v>
      </c>
      <c r="F14" s="16"/>
      <c r="G14" s="16"/>
      <c r="H14" s="16"/>
      <c r="I14" s="16"/>
      <c r="J14" s="16">
        <v>250</v>
      </c>
      <c r="K14" s="16">
        <v>250</v>
      </c>
      <c r="L14" s="16">
        <v>250</v>
      </c>
      <c r="M14" s="16">
        <v>1</v>
      </c>
      <c r="N14" s="36"/>
    </row>
    <row r="15" spans="4:14" x14ac:dyDescent="0.2">
      <c r="D15" t="s">
        <v>14624</v>
      </c>
      <c r="E15" s="2">
        <v>0</v>
      </c>
      <c r="F15" s="34"/>
      <c r="G15" s="34"/>
      <c r="H15" s="35"/>
      <c r="I15" s="35"/>
      <c r="J15" s="35">
        <f t="shared" ref="J15" si="0">K15/3</f>
        <v>0.74074074074074081</v>
      </c>
      <c r="K15" s="35">
        <f>L15/3</f>
        <v>2.2222222222222223</v>
      </c>
      <c r="L15" s="35">
        <f>M15/3</f>
        <v>6.666666666666667</v>
      </c>
      <c r="M15" s="35">
        <v>20</v>
      </c>
      <c r="N15" s="37"/>
    </row>
    <row r="16" spans="4:14" x14ac:dyDescent="0.2">
      <c r="D16" t="s">
        <v>14625</v>
      </c>
      <c r="E16" s="2">
        <v>0</v>
      </c>
      <c r="F16" s="34"/>
      <c r="G16" s="34"/>
      <c r="H16" s="35"/>
      <c r="I16" s="35"/>
      <c r="J16" s="35">
        <f t="shared" ref="J16:M16" si="1">J15/2</f>
        <v>0.37037037037037041</v>
      </c>
      <c r="K16" s="35">
        <f t="shared" si="1"/>
        <v>1.1111111111111112</v>
      </c>
      <c r="L16" s="35">
        <f t="shared" si="1"/>
        <v>3.3333333333333335</v>
      </c>
      <c r="M16" s="35">
        <f t="shared" si="1"/>
        <v>10</v>
      </c>
      <c r="N16" s="37"/>
    </row>
    <row r="19" spans="3:19" x14ac:dyDescent="0.2">
      <c r="D19" t="s">
        <v>14626</v>
      </c>
      <c r="E19">
        <f>10000*400*2</f>
        <v>8000000</v>
      </c>
    </row>
    <row r="20" spans="3:19" x14ac:dyDescent="0.2">
      <c r="D20" t="s">
        <v>14627</v>
      </c>
      <c r="E20">
        <f>400*2*25</f>
        <v>20000</v>
      </c>
    </row>
    <row r="21" spans="3:19" x14ac:dyDescent="0.2">
      <c r="D21" t="s">
        <v>14628</v>
      </c>
      <c r="E21">
        <f>E19/20</f>
        <v>400000</v>
      </c>
    </row>
    <row r="23" spans="3:19" x14ac:dyDescent="0.2">
      <c r="H23" s="33">
        <v>1</v>
      </c>
      <c r="I23" s="33">
        <v>2</v>
      </c>
      <c r="J23" s="33">
        <v>3</v>
      </c>
      <c r="K23" s="33">
        <v>4</v>
      </c>
      <c r="L23" s="33">
        <v>5</v>
      </c>
      <c r="M23" s="33">
        <v>6</v>
      </c>
      <c r="N23" s="33">
        <v>7</v>
      </c>
      <c r="O23" s="33">
        <v>8</v>
      </c>
      <c r="P23" s="33">
        <v>9</v>
      </c>
      <c r="Q23" s="33">
        <v>10</v>
      </c>
      <c r="R23">
        <v>11</v>
      </c>
      <c r="S23">
        <v>12</v>
      </c>
    </row>
    <row r="24" spans="3:19" x14ac:dyDescent="0.2">
      <c r="C24">
        <v>1</v>
      </c>
      <c r="D24" s="2" t="s">
        <v>6861</v>
      </c>
      <c r="E24">
        <v>1</v>
      </c>
      <c r="G24" t="s">
        <v>6918</v>
      </c>
      <c r="H24" s="2"/>
      <c r="I24" s="38">
        <v>1</v>
      </c>
      <c r="J24" s="38">
        <v>2</v>
      </c>
      <c r="K24" s="38">
        <v>3</v>
      </c>
      <c r="L24" s="2" t="s">
        <v>26</v>
      </c>
      <c r="M24" s="38">
        <v>5</v>
      </c>
      <c r="N24" s="38">
        <v>6</v>
      </c>
      <c r="O24" s="38">
        <v>7</v>
      </c>
      <c r="P24" s="2" t="s">
        <v>6858</v>
      </c>
      <c r="Q24" s="38">
        <v>9</v>
      </c>
      <c r="R24" s="38">
        <v>9</v>
      </c>
    </row>
    <row r="25" spans="3:19" x14ac:dyDescent="0.2">
      <c r="C25">
        <v>2</v>
      </c>
      <c r="D25" s="2" t="s">
        <v>17</v>
      </c>
      <c r="E25">
        <v>2</v>
      </c>
      <c r="G25" t="s">
        <v>6939</v>
      </c>
      <c r="H25" s="2"/>
      <c r="I25" s="6"/>
      <c r="J25" s="6"/>
      <c r="K25" s="6"/>
      <c r="L25" s="2" t="s">
        <v>17</v>
      </c>
      <c r="M25" s="6"/>
      <c r="N25" s="6"/>
      <c r="O25" s="6"/>
      <c r="P25" s="2" t="s">
        <v>14605</v>
      </c>
      <c r="Q25" s="6" t="s">
        <v>14618</v>
      </c>
      <c r="R25" s="2"/>
      <c r="S25" s="39" t="s">
        <v>6861</v>
      </c>
    </row>
    <row r="26" spans="3:19" x14ac:dyDescent="0.2">
      <c r="C26">
        <v>3</v>
      </c>
      <c r="D26" s="2" t="s">
        <v>22</v>
      </c>
      <c r="E26">
        <v>3</v>
      </c>
      <c r="G26" t="s">
        <v>7006</v>
      </c>
      <c r="H26" s="2"/>
      <c r="I26" s="6"/>
      <c r="J26" s="6"/>
      <c r="K26" s="6"/>
      <c r="L26" s="2" t="s">
        <v>22</v>
      </c>
      <c r="M26" s="6"/>
      <c r="N26" s="6"/>
      <c r="O26" s="6"/>
      <c r="P26" s="2" t="s">
        <v>14616</v>
      </c>
      <c r="Q26" s="6"/>
      <c r="R26" s="2"/>
      <c r="S26" s="39" t="s">
        <v>17</v>
      </c>
    </row>
    <row r="27" spans="3:19" x14ac:dyDescent="0.2">
      <c r="C27">
        <v>4</v>
      </c>
      <c r="D27" s="2" t="s">
        <v>32</v>
      </c>
      <c r="E27">
        <v>4</v>
      </c>
      <c r="G27" t="s">
        <v>6907</v>
      </c>
      <c r="H27" s="2"/>
      <c r="I27" s="6"/>
      <c r="J27" s="6"/>
      <c r="K27" s="6"/>
      <c r="L27" s="2" t="s">
        <v>32</v>
      </c>
      <c r="M27" s="6"/>
      <c r="N27" s="6"/>
      <c r="O27" s="6"/>
      <c r="P27" s="2" t="s">
        <v>14617</v>
      </c>
      <c r="Q27" s="6"/>
      <c r="R27" s="2"/>
      <c r="S27" s="39" t="s">
        <v>22</v>
      </c>
    </row>
    <row r="28" spans="3:19" x14ac:dyDescent="0.2">
      <c r="C28">
        <v>5</v>
      </c>
      <c r="D28" s="2" t="s">
        <v>6856</v>
      </c>
      <c r="E28">
        <v>5</v>
      </c>
      <c r="G28" t="s">
        <v>6977</v>
      </c>
      <c r="H28" s="2"/>
      <c r="I28" s="6"/>
      <c r="J28" s="6"/>
      <c r="K28" s="6"/>
      <c r="L28" s="2" t="s">
        <v>6856</v>
      </c>
      <c r="M28" s="6"/>
      <c r="N28" s="6"/>
      <c r="O28" s="6"/>
      <c r="P28" s="2" t="s">
        <v>14629</v>
      </c>
      <c r="Q28" s="6"/>
      <c r="R28" s="2"/>
      <c r="S28" s="39" t="s">
        <v>32</v>
      </c>
    </row>
    <row r="29" spans="3:19" x14ac:dyDescent="0.2">
      <c r="C29">
        <v>6</v>
      </c>
      <c r="D29" s="2" t="s">
        <v>6863</v>
      </c>
      <c r="E29">
        <v>6</v>
      </c>
      <c r="G29" t="s">
        <v>6924</v>
      </c>
      <c r="H29" s="2"/>
      <c r="I29" s="6"/>
      <c r="J29" s="6"/>
      <c r="K29" s="6"/>
      <c r="L29" s="2" t="s">
        <v>6863</v>
      </c>
      <c r="M29" s="6"/>
      <c r="N29" s="6"/>
      <c r="O29" s="6"/>
      <c r="P29" t="s">
        <v>14619</v>
      </c>
      <c r="Q29" s="6"/>
      <c r="R29" s="2"/>
      <c r="S29" s="39" t="s">
        <v>6856</v>
      </c>
    </row>
    <row r="30" spans="3:19" x14ac:dyDescent="0.2">
      <c r="C30">
        <v>7</v>
      </c>
      <c r="D30" s="2" t="s">
        <v>66</v>
      </c>
      <c r="E30">
        <v>7</v>
      </c>
      <c r="G30" t="s">
        <v>6956</v>
      </c>
      <c r="H30" s="2"/>
      <c r="I30" s="6"/>
      <c r="J30" s="6"/>
      <c r="K30" s="6"/>
      <c r="L30" s="2" t="s">
        <v>6869</v>
      </c>
      <c r="M30" s="6"/>
      <c r="N30" s="6"/>
      <c r="O30" s="6"/>
      <c r="P30" t="s">
        <v>14620</v>
      </c>
      <c r="Q30" s="6"/>
      <c r="R30" s="2"/>
      <c r="S30" s="39" t="s">
        <v>6863</v>
      </c>
    </row>
    <row r="31" spans="3:19" x14ac:dyDescent="0.2">
      <c r="C31">
        <v>8</v>
      </c>
      <c r="D31" s="2" t="s">
        <v>6869</v>
      </c>
      <c r="E31">
        <v>8</v>
      </c>
      <c r="G31" t="s">
        <v>6921</v>
      </c>
      <c r="H31" s="2"/>
      <c r="I31" s="2"/>
      <c r="J31" s="2"/>
      <c r="K31" s="2"/>
      <c r="L31" s="2" t="s">
        <v>6861</v>
      </c>
      <c r="M31" s="2"/>
      <c r="N31" s="2"/>
      <c r="O31" s="2"/>
      <c r="P31" s="2" t="s">
        <v>14618</v>
      </c>
      <c r="Q31" s="2"/>
      <c r="R31" s="2"/>
    </row>
    <row r="32" spans="3:19" x14ac:dyDescent="0.2">
      <c r="D32" s="2"/>
    </row>
    <row r="33" spans="3:57" x14ac:dyDescent="0.2">
      <c r="C33">
        <v>9</v>
      </c>
      <c r="D33" s="2" t="s">
        <v>14605</v>
      </c>
      <c r="E33">
        <v>1</v>
      </c>
      <c r="H33" s="2" t="s">
        <v>6918</v>
      </c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3:57" x14ac:dyDescent="0.2">
      <c r="C34">
        <v>10</v>
      </c>
      <c r="D34" s="2" t="s">
        <v>14616</v>
      </c>
      <c r="E34">
        <v>2</v>
      </c>
      <c r="H34" s="2" t="s">
        <v>6939</v>
      </c>
      <c r="I34" s="14"/>
      <c r="J34" s="14"/>
      <c r="K34" s="14"/>
      <c r="L34" s="14"/>
      <c r="M34" s="14"/>
      <c r="N34" s="14"/>
      <c r="O34" s="14"/>
      <c r="P34" s="14"/>
      <c r="Q34" s="14"/>
      <c r="R34" s="2"/>
      <c r="S34" s="39" t="s">
        <v>66</v>
      </c>
    </row>
    <row r="35" spans="3:57" x14ac:dyDescent="0.2">
      <c r="C35">
        <v>11</v>
      </c>
      <c r="D35" s="2" t="s">
        <v>14617</v>
      </c>
      <c r="E35">
        <v>3</v>
      </c>
      <c r="H35" s="2" t="s">
        <v>7006</v>
      </c>
      <c r="I35" s="14"/>
      <c r="J35" s="14"/>
      <c r="K35" s="14"/>
      <c r="L35" s="14"/>
      <c r="M35" s="14"/>
      <c r="N35" s="14"/>
      <c r="O35" s="14"/>
      <c r="P35" s="14"/>
      <c r="Q35" s="14"/>
      <c r="R35" s="2"/>
      <c r="S35" s="39" t="s">
        <v>6869</v>
      </c>
    </row>
    <row r="36" spans="3:57" x14ac:dyDescent="0.2">
      <c r="C36">
        <v>12</v>
      </c>
      <c r="D36" s="2" t="s">
        <v>26</v>
      </c>
      <c r="E36">
        <v>4</v>
      </c>
      <c r="H36" s="2" t="s">
        <v>6907</v>
      </c>
      <c r="I36" s="14"/>
      <c r="J36" s="14"/>
      <c r="K36" s="14"/>
      <c r="L36" s="14"/>
      <c r="M36" s="14"/>
      <c r="N36" s="14"/>
      <c r="O36" s="14"/>
      <c r="P36" s="14"/>
      <c r="Q36" s="14"/>
      <c r="R36" s="2"/>
      <c r="S36" s="39" t="s">
        <v>14605</v>
      </c>
    </row>
    <row r="37" spans="3:57" x14ac:dyDescent="0.2">
      <c r="C37">
        <v>13</v>
      </c>
      <c r="D37" s="2" t="s">
        <v>6858</v>
      </c>
      <c r="E37">
        <v>5</v>
      </c>
      <c r="H37" s="2" t="s">
        <v>6977</v>
      </c>
      <c r="I37" s="14"/>
      <c r="J37" s="14"/>
      <c r="K37" s="14"/>
      <c r="L37" s="14"/>
      <c r="M37" s="14"/>
      <c r="N37" s="14"/>
      <c r="O37" s="14"/>
      <c r="P37" s="14"/>
      <c r="Q37" s="14"/>
      <c r="R37" s="2"/>
      <c r="S37" s="39" t="s">
        <v>14616</v>
      </c>
    </row>
    <row r="38" spans="3:57" x14ac:dyDescent="0.2">
      <c r="E38">
        <v>6</v>
      </c>
      <c r="H38" s="2" t="s">
        <v>6924</v>
      </c>
      <c r="I38" s="14"/>
      <c r="J38" s="14"/>
      <c r="K38" s="14"/>
      <c r="L38" s="14"/>
      <c r="M38" s="14"/>
      <c r="N38" s="14"/>
      <c r="O38" s="14"/>
      <c r="P38" s="14"/>
      <c r="Q38" s="14"/>
      <c r="R38" s="2"/>
      <c r="S38" s="39" t="s">
        <v>14617</v>
      </c>
    </row>
    <row r="39" spans="3:57" x14ac:dyDescent="0.2">
      <c r="E39">
        <v>7</v>
      </c>
      <c r="H39" s="2" t="s">
        <v>6956</v>
      </c>
      <c r="I39" s="14"/>
      <c r="J39" s="14"/>
      <c r="K39" s="14"/>
      <c r="L39" s="14"/>
      <c r="M39" s="14"/>
      <c r="N39" s="14"/>
      <c r="O39" s="14"/>
      <c r="P39" s="14"/>
      <c r="Q39" s="14"/>
      <c r="R39" s="2"/>
      <c r="S39" s="39" t="s">
        <v>26</v>
      </c>
      <c r="AS39" t="s">
        <v>14630</v>
      </c>
      <c r="AY39" t="s">
        <v>14631</v>
      </c>
    </row>
    <row r="40" spans="3:57" x14ac:dyDescent="0.2">
      <c r="E40">
        <v>8</v>
      </c>
      <c r="H40" s="2" t="s">
        <v>6921</v>
      </c>
      <c r="I40" s="14"/>
      <c r="J40" s="14"/>
      <c r="K40" s="14"/>
      <c r="L40" s="14"/>
      <c r="M40" s="14"/>
      <c r="N40" s="14"/>
      <c r="O40" s="14"/>
      <c r="P40" s="14"/>
      <c r="Q40" s="14"/>
      <c r="R40" s="2"/>
      <c r="S40" s="39" t="s">
        <v>6858</v>
      </c>
      <c r="AH40" t="s">
        <v>14632</v>
      </c>
      <c r="AS40">
        <v>0.1234567901234568</v>
      </c>
      <c r="AT40">
        <v>0.37037037037037041</v>
      </c>
      <c r="AU40">
        <v>1.1111111111111112</v>
      </c>
      <c r="AV40">
        <v>3.3333333333333335</v>
      </c>
      <c r="AW40">
        <v>10</v>
      </c>
    </row>
    <row r="41" spans="3:57" x14ac:dyDescent="0.2">
      <c r="W41">
        <v>0.1234567901234568</v>
      </c>
      <c r="X41">
        <v>0.37037037037037041</v>
      </c>
      <c r="Y41">
        <v>1.1111111111111112</v>
      </c>
      <c r="Z41">
        <v>3.3333333333333335</v>
      </c>
      <c r="AA41">
        <v>10</v>
      </c>
      <c r="AB41">
        <v>0.1234567901234568</v>
      </c>
      <c r="AC41">
        <v>0.37037037037037041</v>
      </c>
      <c r="AD41">
        <v>1.1111111111111112</v>
      </c>
      <c r="AE41">
        <v>3.3333333333333335</v>
      </c>
      <c r="AF41">
        <v>10</v>
      </c>
      <c r="AH41">
        <f>AVERAGE(W42,W51)</f>
        <v>2.8311858307167901</v>
      </c>
      <c r="AI41">
        <f t="shared" ref="AI41:AQ48" si="2">AVERAGE(X42,X51)</f>
        <v>3.2442980190717314</v>
      </c>
      <c r="AJ41">
        <f t="shared" si="2"/>
        <v>4.1022651862964059</v>
      </c>
      <c r="AK41">
        <f t="shared" si="2"/>
        <v>4.9260185708375106</v>
      </c>
      <c r="AL41">
        <f t="shared" si="2"/>
        <v>5.6152200945187776</v>
      </c>
      <c r="AM41">
        <f>AVERAGE(AB42,AB51)</f>
        <v>3.6824490973175275</v>
      </c>
      <c r="AN41">
        <f t="shared" si="2"/>
        <v>2.1564808531839268</v>
      </c>
      <c r="AO41">
        <f t="shared" si="2"/>
        <v>1.2131948541785214</v>
      </c>
      <c r="AP41">
        <f t="shared" si="2"/>
        <v>0.80804061751729606</v>
      </c>
      <c r="AQ41">
        <f t="shared" si="2"/>
        <v>0.72909022376624111</v>
      </c>
      <c r="AR41">
        <v>1</v>
      </c>
      <c r="AS41" s="44">
        <v>2.8311858307167901</v>
      </c>
      <c r="AT41" s="44">
        <v>3.2442980190717314</v>
      </c>
      <c r="AU41" s="44">
        <v>4.1022651862964059</v>
      </c>
      <c r="AV41" s="44">
        <v>4.9260185708375106</v>
      </c>
      <c r="AW41" s="44">
        <v>5.6152200945187802</v>
      </c>
      <c r="AY41">
        <v>66.417901901484399</v>
      </c>
      <c r="AZ41">
        <v>67.346070002469133</v>
      </c>
      <c r="BA41">
        <v>67.87718302821898</v>
      </c>
      <c r="BB41">
        <v>63.161133452740629</v>
      </c>
      <c r="BC41">
        <v>65.539501986244048</v>
      </c>
      <c r="BE41" s="43" t="s">
        <v>26</v>
      </c>
    </row>
    <row r="42" spans="3:57" x14ac:dyDescent="0.2">
      <c r="H42" t="s">
        <v>14633</v>
      </c>
      <c r="I42" s="20">
        <v>824</v>
      </c>
      <c r="J42" s="40">
        <v>273032</v>
      </c>
      <c r="K42" s="40">
        <v>343148</v>
      </c>
      <c r="L42" s="40">
        <v>415208</v>
      </c>
      <c r="M42" s="40">
        <v>451624</v>
      </c>
      <c r="N42" s="40">
        <v>424300</v>
      </c>
      <c r="O42" s="20">
        <v>221628</v>
      </c>
      <c r="P42" s="20">
        <v>155176</v>
      </c>
      <c r="Q42" s="20">
        <v>57028</v>
      </c>
      <c r="R42" s="20">
        <v>41968</v>
      </c>
      <c r="S42" s="20">
        <v>57916</v>
      </c>
      <c r="T42" s="20">
        <v>208</v>
      </c>
      <c r="V42" s="2"/>
      <c r="W42" s="42">
        <f>J42/81741.6</f>
        <v>3.340184190179786</v>
      </c>
      <c r="X42" s="42">
        <f t="shared" ref="X42:AF49" si="3">K42/81741.6</f>
        <v>4.1979604020474275</v>
      </c>
      <c r="Y42" s="42">
        <f>L42/81741.6</f>
        <v>5.0795188741106116</v>
      </c>
      <c r="Z42" s="42">
        <f t="shared" si="3"/>
        <v>5.5250203078970799</v>
      </c>
      <c r="AA42" s="42">
        <f t="shared" si="3"/>
        <v>5.1907474284819477</v>
      </c>
      <c r="AB42">
        <f t="shared" si="3"/>
        <v>2.711324466367186</v>
      </c>
      <c r="AC42">
        <f t="shared" si="3"/>
        <v>1.8983724321520496</v>
      </c>
      <c r="AD42">
        <f t="shared" si="3"/>
        <v>0.69766190042768916</v>
      </c>
      <c r="AE42">
        <f t="shared" si="3"/>
        <v>0.51342278594987123</v>
      </c>
      <c r="AF42">
        <f t="shared" si="3"/>
        <v>0.70852540199849279</v>
      </c>
      <c r="AH42">
        <f>AVERAGE(W43,W52)</f>
        <v>3.6998465920145369</v>
      </c>
      <c r="AI42">
        <f t="shared" si="2"/>
        <v>4.9815055831638411</v>
      </c>
      <c r="AJ42">
        <f t="shared" si="2"/>
        <v>6.0966800886545185</v>
      </c>
      <c r="AK42">
        <f t="shared" si="2"/>
        <v>5.4617763486038911</v>
      </c>
      <c r="AL42">
        <f t="shared" si="2"/>
        <v>6.1721411138821622</v>
      </c>
      <c r="AM42">
        <f t="shared" si="2"/>
        <v>0.72721764512476361</v>
      </c>
      <c r="AN42">
        <f t="shared" si="2"/>
        <v>0.5058408001996697</v>
      </c>
      <c r="AO42">
        <f t="shared" si="2"/>
        <v>0.32587072734454292</v>
      </c>
      <c r="AP42">
        <f t="shared" si="2"/>
        <v>0.15293759865662165</v>
      </c>
      <c r="AQ42">
        <f t="shared" si="2"/>
        <v>9.1443313649289426E-2</v>
      </c>
      <c r="AR42">
        <v>2</v>
      </c>
      <c r="AS42" s="44">
        <v>3.6998465920145369</v>
      </c>
      <c r="AT42" s="44">
        <v>4.9815055831638411</v>
      </c>
      <c r="AU42" s="44">
        <v>6.0966800886545185</v>
      </c>
      <c r="AV42" s="44">
        <v>5.4617763486038911</v>
      </c>
      <c r="AW42" s="44">
        <v>6.1721411138821622</v>
      </c>
      <c r="AY42">
        <v>67.154358565704001</v>
      </c>
      <c r="AZ42">
        <v>63.906476651633859</v>
      </c>
      <c r="BA42">
        <v>62.520683602856387</v>
      </c>
      <c r="BB42">
        <v>60.994702739496056</v>
      </c>
      <c r="BC42">
        <v>61.172592389147475</v>
      </c>
      <c r="BE42" s="43" t="s">
        <v>17</v>
      </c>
    </row>
    <row r="43" spans="3:57" x14ac:dyDescent="0.2">
      <c r="I43" s="20">
        <v>812</v>
      </c>
      <c r="J43" s="40">
        <v>176116</v>
      </c>
      <c r="K43" s="40">
        <v>308160</v>
      </c>
      <c r="L43" s="40">
        <v>474524</v>
      </c>
      <c r="M43" s="40">
        <v>350144</v>
      </c>
      <c r="N43" s="40">
        <v>441764</v>
      </c>
      <c r="O43" s="20">
        <v>58640</v>
      </c>
      <c r="P43" s="20">
        <v>42540</v>
      </c>
      <c r="Q43" s="20">
        <v>25660</v>
      </c>
      <c r="R43" s="20">
        <v>11720</v>
      </c>
      <c r="S43" s="20">
        <v>8716</v>
      </c>
      <c r="T43" s="20">
        <v>284</v>
      </c>
      <c r="V43" s="2"/>
      <c r="W43" s="42">
        <f t="shared" ref="W43:W49" si="4">J43/81741.6</f>
        <v>2.1545455435176213</v>
      </c>
      <c r="X43" s="42">
        <f t="shared" si="3"/>
        <v>3.769928653219413</v>
      </c>
      <c r="Y43" s="42">
        <f t="shared" si="3"/>
        <v>5.8051714182252363</v>
      </c>
      <c r="Z43" s="42">
        <f t="shared" si="3"/>
        <v>4.2835471779363257</v>
      </c>
      <c r="AA43" s="42">
        <f t="shared" si="3"/>
        <v>5.4043962927077516</v>
      </c>
      <c r="AB43">
        <f t="shared" si="3"/>
        <v>0.71738258120712095</v>
      </c>
      <c r="AC43">
        <f t="shared" si="3"/>
        <v>0.52042044687160516</v>
      </c>
      <c r="AD43">
        <f t="shared" si="3"/>
        <v>0.31391604764281589</v>
      </c>
      <c r="AE43">
        <f t="shared" si="3"/>
        <v>0.14337864685790344</v>
      </c>
      <c r="AF43">
        <f t="shared" si="3"/>
        <v>0.1066286933458606</v>
      </c>
      <c r="AH43">
        <f t="shared" ref="AH43:AH46" si="5">AVERAGE(W44,W53)</f>
        <v>0.75706910935287786</v>
      </c>
      <c r="AI43">
        <f t="shared" si="2"/>
        <v>0.65361198271895149</v>
      </c>
      <c r="AJ43">
        <f t="shared" si="2"/>
        <v>0.12059118222134325</v>
      </c>
      <c r="AK43">
        <f t="shared" si="2"/>
        <v>3.0064791530511212E-2</v>
      </c>
      <c r="AL43">
        <f t="shared" si="2"/>
        <v>2.5379526391354337E-2</v>
      </c>
      <c r="AM43">
        <f>AVERAGE(AB44,AB53)</f>
        <v>4.2184504366975375</v>
      </c>
      <c r="AN43">
        <f t="shared" si="2"/>
        <v>3.4940967008225412</v>
      </c>
      <c r="AO43">
        <f t="shared" si="2"/>
        <v>3.7377690506304377</v>
      </c>
      <c r="AP43">
        <f t="shared" si="2"/>
        <v>2.6675944825568312</v>
      </c>
      <c r="AQ43">
        <f t="shared" si="2"/>
        <v>1.7809027930628356</v>
      </c>
      <c r="AR43">
        <v>3</v>
      </c>
      <c r="AS43">
        <v>0.75706910935287786</v>
      </c>
      <c r="AT43">
        <v>0.65361198271895149</v>
      </c>
      <c r="AU43">
        <v>0.12059118222134325</v>
      </c>
      <c r="AV43">
        <v>3.0064791530511212E-2</v>
      </c>
      <c r="AW43">
        <v>2.5379526391354337E-2</v>
      </c>
      <c r="AY43">
        <v>79.814682046091548</v>
      </c>
      <c r="AZ43">
        <v>63.325694408465544</v>
      </c>
      <c r="BA43">
        <v>8.2538293740973803</v>
      </c>
      <c r="BB43">
        <v>0.56622620281133373</v>
      </c>
      <c r="BC43">
        <v>0.50713155672831611</v>
      </c>
      <c r="BE43" s="2" t="s">
        <v>22</v>
      </c>
    </row>
    <row r="44" spans="3:57" x14ac:dyDescent="0.2">
      <c r="I44" s="20">
        <v>508</v>
      </c>
      <c r="J44" s="40">
        <v>60896</v>
      </c>
      <c r="K44" s="40">
        <v>48088</v>
      </c>
      <c r="L44" s="40">
        <v>5492</v>
      </c>
      <c r="M44" s="40">
        <v>1460</v>
      </c>
      <c r="N44" s="40">
        <v>1852</v>
      </c>
      <c r="O44" s="20">
        <v>322756</v>
      </c>
      <c r="P44" s="20">
        <v>247696</v>
      </c>
      <c r="Q44" s="20">
        <v>308120</v>
      </c>
      <c r="R44" s="20">
        <v>217628</v>
      </c>
      <c r="S44" s="20">
        <v>133240</v>
      </c>
      <c r="T44" s="20">
        <v>444</v>
      </c>
      <c r="V44" s="2"/>
      <c r="W44">
        <f t="shared" si="4"/>
        <v>0.74498174735997336</v>
      </c>
      <c r="X44">
        <f t="shared" si="3"/>
        <v>0.58829286434324746</v>
      </c>
      <c r="Y44">
        <f t="shared" si="3"/>
        <v>6.7187331786997068E-2</v>
      </c>
      <c r="Z44">
        <f t="shared" si="3"/>
        <v>1.7861162492537459E-2</v>
      </c>
      <c r="AA44">
        <f t="shared" si="3"/>
        <v>2.2656762285054366E-2</v>
      </c>
      <c r="AB44" s="21">
        <f t="shared" si="3"/>
        <v>3.9484913434530271</v>
      </c>
      <c r="AC44" s="21">
        <f t="shared" si="3"/>
        <v>3.0302318525695604</v>
      </c>
      <c r="AD44" s="21">
        <f t="shared" si="3"/>
        <v>3.7694393063018095</v>
      </c>
      <c r="AE44" s="21">
        <f t="shared" si="3"/>
        <v>2.6623897746068095</v>
      </c>
      <c r="AF44" s="21">
        <f t="shared" si="3"/>
        <v>1.6300145825381445</v>
      </c>
      <c r="AH44">
        <f t="shared" si="5"/>
        <v>0.63622846013458023</v>
      </c>
      <c r="AI44">
        <f t="shared" si="2"/>
        <v>0.54055041316360142</v>
      </c>
      <c r="AJ44">
        <f t="shared" si="2"/>
        <v>0.38541280894091184</v>
      </c>
      <c r="AK44">
        <f t="shared" si="2"/>
        <v>0.22844174119502147</v>
      </c>
      <c r="AL44">
        <f t="shared" si="2"/>
        <v>0.15188909467387476</v>
      </c>
      <c r="AM44">
        <f>AVERAGE(AB45,AB54)</f>
        <v>2.5940324686266756</v>
      </c>
      <c r="AN44">
        <f t="shared" si="2"/>
        <v>2.0591336414462469</v>
      </c>
      <c r="AO44">
        <f t="shared" si="2"/>
        <v>1.111844978665073</v>
      </c>
      <c r="AP44">
        <f t="shared" si="2"/>
        <v>0.36153684157900712</v>
      </c>
      <c r="AQ44">
        <f t="shared" si="2"/>
        <v>9.378218620157161E-2</v>
      </c>
      <c r="AR44">
        <v>4</v>
      </c>
      <c r="AS44">
        <v>0.63622846013458023</v>
      </c>
      <c r="AT44">
        <v>0.54055041316360142</v>
      </c>
      <c r="AU44">
        <v>0.38541280894091184</v>
      </c>
      <c r="AV44">
        <v>0.22844174119502147</v>
      </c>
      <c r="AW44">
        <v>0.15188909467387476</v>
      </c>
      <c r="AY44">
        <v>11.300779009065199</v>
      </c>
      <c r="AZ44">
        <v>7.1212470170109903</v>
      </c>
      <c r="BA44">
        <v>3.5873483386740008</v>
      </c>
      <c r="BB44">
        <v>2.1215579437030598</v>
      </c>
      <c r="BC44">
        <v>1.5354977615029295</v>
      </c>
      <c r="BE44" s="2" t="s">
        <v>32</v>
      </c>
    </row>
    <row r="45" spans="3:57" x14ac:dyDescent="0.2">
      <c r="I45" s="20">
        <v>352</v>
      </c>
      <c r="J45" s="40">
        <v>46092</v>
      </c>
      <c r="K45" s="40">
        <v>36804</v>
      </c>
      <c r="L45" s="40">
        <v>25668</v>
      </c>
      <c r="M45" s="40">
        <v>14424</v>
      </c>
      <c r="N45" s="40">
        <v>10244</v>
      </c>
      <c r="O45" s="20">
        <v>149076</v>
      </c>
      <c r="P45" s="20">
        <v>118888</v>
      </c>
      <c r="Q45" s="20">
        <v>62840</v>
      </c>
      <c r="R45" s="20">
        <v>26092</v>
      </c>
      <c r="S45" s="20">
        <v>7196</v>
      </c>
      <c r="T45" s="20">
        <v>536</v>
      </c>
      <c r="V45" s="2"/>
      <c r="W45">
        <f t="shared" si="4"/>
        <v>0.56387445315481954</v>
      </c>
      <c r="X45">
        <f t="shared" si="3"/>
        <v>0.45024809888722506</v>
      </c>
      <c r="Y45">
        <f t="shared" si="3"/>
        <v>0.31401391702633663</v>
      </c>
      <c r="Z45">
        <f t="shared" si="3"/>
        <v>0.176458498487918</v>
      </c>
      <c r="AA45">
        <f t="shared" si="3"/>
        <v>0.12532174559832446</v>
      </c>
      <c r="AB45">
        <f t="shared" si="3"/>
        <v>1.8237470272174754</v>
      </c>
      <c r="AC45">
        <f t="shared" si="3"/>
        <v>1.4544369085019133</v>
      </c>
      <c r="AD45">
        <f t="shared" si="3"/>
        <v>0.76876400755551633</v>
      </c>
      <c r="AE45">
        <f t="shared" si="3"/>
        <v>0.31920099435293653</v>
      </c>
      <c r="AF45">
        <f t="shared" si="3"/>
        <v>8.8033510476917501E-2</v>
      </c>
      <c r="AH45">
        <f t="shared" si="5"/>
        <v>0.13776131650938195</v>
      </c>
      <c r="AI45">
        <f t="shared" si="2"/>
        <v>0.14412094890535138</v>
      </c>
      <c r="AJ45">
        <f t="shared" si="2"/>
        <v>0.17978957199368856</v>
      </c>
      <c r="AK45">
        <f t="shared" si="2"/>
        <v>8.6628186794601922E-2</v>
      </c>
      <c r="AL45">
        <f t="shared" si="2"/>
        <v>4.2973847618100885E-2</v>
      </c>
      <c r="AM45">
        <f>AVERAGE(AB46,AB55)</f>
        <v>11.115518515563501</v>
      </c>
      <c r="AN45">
        <f t="shared" si="2"/>
        <v>7.1034802712441634</v>
      </c>
      <c r="AO45">
        <f t="shared" si="2"/>
        <v>4.5738678618305446</v>
      </c>
      <c r="AP45">
        <f t="shared" si="2"/>
        <v>3.7349357391797477</v>
      </c>
      <c r="AQ45">
        <f t="shared" si="2"/>
        <v>3.6796873677644162</v>
      </c>
      <c r="AR45">
        <v>5</v>
      </c>
      <c r="AS45">
        <v>0.13776131650938195</v>
      </c>
      <c r="AT45">
        <v>0.14412094890535138</v>
      </c>
      <c r="AU45">
        <v>0.17978957199368856</v>
      </c>
      <c r="AV45">
        <v>8.6628186794601922E-2</v>
      </c>
      <c r="AW45">
        <v>4.2973847618100885E-2</v>
      </c>
      <c r="AY45">
        <v>14.072274150717641</v>
      </c>
      <c r="AZ45">
        <v>9.8184048225717682</v>
      </c>
      <c r="BA45">
        <v>4.1342080176677101</v>
      </c>
      <c r="BB45">
        <v>2.9991660196117067</v>
      </c>
      <c r="BC45">
        <v>1.3454246658003899</v>
      </c>
      <c r="BE45" s="2" t="s">
        <v>6856</v>
      </c>
    </row>
    <row r="46" spans="3:57" x14ac:dyDescent="0.2">
      <c r="I46" s="20">
        <v>276</v>
      </c>
      <c r="J46" s="40">
        <v>8972</v>
      </c>
      <c r="K46" s="40">
        <v>8568</v>
      </c>
      <c r="L46" s="40">
        <v>15388</v>
      </c>
      <c r="M46" s="40">
        <v>8004</v>
      </c>
      <c r="N46" s="40">
        <v>2920</v>
      </c>
      <c r="O46" s="20">
        <v>947680</v>
      </c>
      <c r="P46" s="20">
        <v>597812</v>
      </c>
      <c r="Q46" s="20">
        <v>401080</v>
      </c>
      <c r="R46" s="20">
        <v>320244</v>
      </c>
      <c r="S46" s="20">
        <v>307080</v>
      </c>
      <c r="T46" s="20">
        <v>832</v>
      </c>
      <c r="V46" s="2"/>
      <c r="W46">
        <f t="shared" si="4"/>
        <v>0.10976051361852471</v>
      </c>
      <c r="X46">
        <f t="shared" si="3"/>
        <v>0.10481810975072667</v>
      </c>
      <c r="Y46">
        <f t="shared" si="3"/>
        <v>0.18825175920216877</v>
      </c>
      <c r="Z46">
        <f t="shared" si="3"/>
        <v>9.7918318212513566E-2</v>
      </c>
      <c r="AA46">
        <f t="shared" si="3"/>
        <v>3.5722324985074917E-2</v>
      </c>
      <c r="AB46" s="42">
        <f t="shared" si="3"/>
        <v>11.593607171868424</v>
      </c>
      <c r="AC46" s="42">
        <f t="shared" si="3"/>
        <v>7.313436487663564</v>
      </c>
      <c r="AD46" s="42">
        <f t="shared" si="3"/>
        <v>4.9066815428129615</v>
      </c>
      <c r="AE46" s="42">
        <f t="shared" si="3"/>
        <v>3.917760357027511</v>
      </c>
      <c r="AF46" s="42">
        <f t="shared" si="3"/>
        <v>3.7567162864441115</v>
      </c>
      <c r="AH46">
        <f t="shared" si="5"/>
        <v>0.32336336095840051</v>
      </c>
      <c r="AI46">
        <f t="shared" si="2"/>
        <v>0.17539757379916668</v>
      </c>
      <c r="AJ46">
        <f t="shared" si="2"/>
        <v>3.5340442854882165E-2</v>
      </c>
      <c r="AK46">
        <f t="shared" si="2"/>
        <v>1.2999751593982426E-2</v>
      </c>
      <c r="AL46">
        <f t="shared" si="2"/>
        <v>1.5849609731586289E-2</v>
      </c>
      <c r="AM46">
        <f t="shared" si="2"/>
        <v>0.88563569023434252</v>
      </c>
      <c r="AN46">
        <f t="shared" si="2"/>
        <v>0.82415974054420404</v>
      </c>
      <c r="AO46">
        <f t="shared" si="2"/>
        <v>0.78252961385886355</v>
      </c>
      <c r="AP46">
        <f t="shared" si="2"/>
        <v>0.81561480302091338</v>
      </c>
      <c r="AQ46">
        <f t="shared" si="2"/>
        <v>0.58115658716313789</v>
      </c>
      <c r="AR46">
        <v>6</v>
      </c>
      <c r="AS46">
        <v>0.32336336095840051</v>
      </c>
      <c r="AT46">
        <v>0.17539757379916668</v>
      </c>
      <c r="AU46">
        <v>3.5340442854882165E-2</v>
      </c>
      <c r="AV46">
        <v>1.2999751593982426E-2</v>
      </c>
      <c r="AW46">
        <v>1.5849609731586289E-2</v>
      </c>
      <c r="AY46">
        <v>82.525703296980723</v>
      </c>
      <c r="AZ46">
        <v>51.355499144672308</v>
      </c>
      <c r="BA46">
        <v>1.8576075623824884</v>
      </c>
      <c r="BB46">
        <v>0.27824539784872987</v>
      </c>
      <c r="BC46">
        <v>0.46141377286215207</v>
      </c>
      <c r="BE46" s="2" t="s">
        <v>6863</v>
      </c>
    </row>
    <row r="47" spans="3:57" x14ac:dyDescent="0.2">
      <c r="I47" s="20">
        <v>416</v>
      </c>
      <c r="J47" s="40">
        <v>22968</v>
      </c>
      <c r="K47" s="40">
        <v>12136</v>
      </c>
      <c r="L47" s="40">
        <v>3112</v>
      </c>
      <c r="M47" s="40">
        <v>956</v>
      </c>
      <c r="N47" s="40">
        <v>1264</v>
      </c>
      <c r="O47" s="20">
        <v>72444</v>
      </c>
      <c r="P47" s="20">
        <v>55664</v>
      </c>
      <c r="Q47" s="20">
        <v>66284</v>
      </c>
      <c r="R47" s="20">
        <v>76336</v>
      </c>
      <c r="S47" s="20">
        <v>53928</v>
      </c>
      <c r="T47" s="20">
        <v>520</v>
      </c>
      <c r="V47" s="2"/>
      <c r="W47">
        <f t="shared" si="4"/>
        <v>0.28098300008808241</v>
      </c>
      <c r="X47">
        <f t="shared" si="3"/>
        <v>0.1484678548009826</v>
      </c>
      <c r="Y47">
        <f t="shared" si="3"/>
        <v>3.8071190189572994E-2</v>
      </c>
      <c r="Z47">
        <f t="shared" si="3"/>
        <v>1.1695391330730007E-2</v>
      </c>
      <c r="AA47">
        <f t="shared" si="3"/>
        <v>1.5463362596279005E-2</v>
      </c>
      <c r="AB47">
        <f t="shared" si="3"/>
        <v>0.88625620247218051</v>
      </c>
      <c r="AC47">
        <f t="shared" si="3"/>
        <v>0.68097517053740075</v>
      </c>
      <c r="AD47">
        <f t="shared" si="3"/>
        <v>0.81089677716120057</v>
      </c>
      <c r="AE47">
        <f t="shared" si="3"/>
        <v>0.93386965755502704</v>
      </c>
      <c r="AF47">
        <f t="shared" si="3"/>
        <v>0.65973751431339733</v>
      </c>
      <c r="AH47">
        <f>AVERAGE(W48,W57)</f>
        <v>2.5764160255071937</v>
      </c>
      <c r="AI47">
        <f t="shared" si="2"/>
        <v>2.9497657818020304</v>
      </c>
      <c r="AJ47">
        <f t="shared" si="2"/>
        <v>2.8244058524245634</v>
      </c>
      <c r="AK47">
        <f t="shared" si="2"/>
        <v>1.896019492732713</v>
      </c>
      <c r="AL47">
        <f t="shared" si="2"/>
        <v>0.8098129991026275</v>
      </c>
      <c r="AM47">
        <f t="shared" si="2"/>
        <v>0.75692242231393059</v>
      </c>
      <c r="AN47">
        <f t="shared" si="2"/>
        <v>0.59088368168671446</v>
      </c>
      <c r="AO47">
        <f t="shared" si="2"/>
        <v>0.25524053682308456</v>
      </c>
      <c r="AP47">
        <f t="shared" si="2"/>
        <v>8.3723044293984149E-3</v>
      </c>
      <c r="AQ47">
        <f t="shared" si="2"/>
        <v>6.5931279846048818E-3</v>
      </c>
      <c r="AR47">
        <v>7</v>
      </c>
      <c r="AS47" s="44">
        <v>2.5764160255071902</v>
      </c>
      <c r="AT47" s="44">
        <v>2.9497657818020304</v>
      </c>
      <c r="AU47" s="44">
        <v>2.8244058524245634</v>
      </c>
      <c r="AV47" s="44">
        <v>1.896019492732713</v>
      </c>
      <c r="AW47" s="44">
        <v>0.8098129991026275</v>
      </c>
      <c r="AY47">
        <v>75.635470925972271</v>
      </c>
      <c r="AZ47">
        <v>70.007993976892337</v>
      </c>
      <c r="BA47">
        <v>52.494374242816122</v>
      </c>
      <c r="BB47">
        <v>27.440693177809965</v>
      </c>
      <c r="BC47">
        <v>9.1016954256484315</v>
      </c>
      <c r="BE47" s="43" t="s">
        <v>6869</v>
      </c>
    </row>
    <row r="48" spans="3:57" x14ac:dyDescent="0.2">
      <c r="I48" s="20">
        <v>728</v>
      </c>
      <c r="J48" s="40">
        <v>206004</v>
      </c>
      <c r="K48" s="40">
        <v>231012</v>
      </c>
      <c r="L48" s="40">
        <v>214424</v>
      </c>
      <c r="M48" s="40">
        <v>147800</v>
      </c>
      <c r="N48" s="40">
        <v>70500</v>
      </c>
      <c r="O48" s="20">
        <v>61060</v>
      </c>
      <c r="P48" s="20">
        <v>45856</v>
      </c>
      <c r="Q48" s="20">
        <v>20700</v>
      </c>
      <c r="R48" s="20">
        <v>692</v>
      </c>
      <c r="S48" s="20">
        <v>544</v>
      </c>
      <c r="T48" s="20">
        <v>356</v>
      </c>
      <c r="V48" s="2"/>
      <c r="W48" s="42">
        <f t="shared" si="4"/>
        <v>2.5201855603511554</v>
      </c>
      <c r="X48" s="42">
        <f t="shared" si="3"/>
        <v>2.8261252532370298</v>
      </c>
      <c r="Y48" s="42">
        <f t="shared" si="3"/>
        <v>2.6231930865067481</v>
      </c>
      <c r="Z48" s="42">
        <f t="shared" si="3"/>
        <v>1.8081368605459154</v>
      </c>
      <c r="AA48" s="42">
        <f t="shared" si="3"/>
        <v>0.86247394227663754</v>
      </c>
      <c r="AB48">
        <f t="shared" si="3"/>
        <v>0.74698806972214882</v>
      </c>
      <c r="AC48">
        <f t="shared" si="3"/>
        <v>0.56098730634095728</v>
      </c>
      <c r="AD48">
        <f t="shared" si="3"/>
        <v>0.25323702985994889</v>
      </c>
      <c r="AE48">
        <f t="shared" si="3"/>
        <v>8.4657016745451515E-3</v>
      </c>
      <c r="AF48">
        <f t="shared" si="3"/>
        <v>6.655118079411217E-3</v>
      </c>
      <c r="AH48">
        <f>AVERAGE(W49,W58)</f>
        <v>1.1594569287056795</v>
      </c>
      <c r="AI48">
        <f t="shared" si="2"/>
        <v>1.3761504420668946</v>
      </c>
      <c r="AJ48">
        <f t="shared" si="2"/>
        <v>1.9625135082548837</v>
      </c>
      <c r="AK48">
        <f t="shared" si="2"/>
        <v>1.9399496552634916</v>
      </c>
      <c r="AL48">
        <f t="shared" si="2"/>
        <v>1.8766205236785898</v>
      </c>
      <c r="AM48">
        <f t="shared" si="2"/>
        <v>0.98214108392986366</v>
      </c>
      <c r="AN48">
        <f>AVERAGE(AC49,AC58)</f>
        <v>1.1578717519130199</v>
      </c>
      <c r="AO48">
        <f t="shared" si="2"/>
        <v>0.96583854561173355</v>
      </c>
      <c r="AP48">
        <f t="shared" si="2"/>
        <v>0.93411051855525229</v>
      </c>
      <c r="AQ48">
        <f t="shared" si="2"/>
        <v>0.95166720494827595</v>
      </c>
      <c r="AR48">
        <v>8</v>
      </c>
      <c r="AS48" s="44">
        <v>1.15945692870568</v>
      </c>
      <c r="AT48" s="44">
        <v>1.3761504420668946</v>
      </c>
      <c r="AU48" s="44">
        <v>1.9625135082548837</v>
      </c>
      <c r="AV48" s="44">
        <v>1.9399496552634916</v>
      </c>
      <c r="AW48" s="44">
        <v>1.8766205236785898</v>
      </c>
      <c r="AY48">
        <v>97.162091161573215</v>
      </c>
      <c r="AZ48">
        <v>94.721022146996702</v>
      </c>
      <c r="BA48">
        <v>85.111443862601547</v>
      </c>
      <c r="BB48">
        <v>76.138254782679724</v>
      </c>
      <c r="BC48">
        <v>75.408285767010966</v>
      </c>
      <c r="BE48" s="43" t="s">
        <v>6861</v>
      </c>
    </row>
    <row r="49" spans="8:57" x14ac:dyDescent="0.2">
      <c r="I49" s="20">
        <v>484</v>
      </c>
      <c r="J49" s="40">
        <v>81568</v>
      </c>
      <c r="K49" s="40">
        <v>100380</v>
      </c>
      <c r="L49" s="40">
        <v>176104</v>
      </c>
      <c r="M49" s="40">
        <v>178596</v>
      </c>
      <c r="N49" s="40">
        <v>185052</v>
      </c>
      <c r="O49" s="20">
        <v>86360</v>
      </c>
      <c r="P49" s="20">
        <v>92020</v>
      </c>
      <c r="Q49" s="20">
        <v>81424</v>
      </c>
      <c r="R49" s="20">
        <v>75064</v>
      </c>
      <c r="S49" s="20">
        <v>73840</v>
      </c>
      <c r="T49" s="20">
        <v>292</v>
      </c>
      <c r="V49" s="2"/>
      <c r="W49" s="42">
        <f t="shared" si="4"/>
        <v>0.99787623437759954</v>
      </c>
      <c r="X49" s="42">
        <f t="shared" si="3"/>
        <v>1.2280160897266508</v>
      </c>
      <c r="Y49" s="42">
        <f t="shared" si="3"/>
        <v>2.1543987394423403</v>
      </c>
      <c r="Z49" s="42">
        <f t="shared" si="3"/>
        <v>2.1848850524090548</v>
      </c>
      <c r="AA49" s="42">
        <f t="shared" si="3"/>
        <v>2.2638656449103025</v>
      </c>
      <c r="AB49">
        <f t="shared" si="3"/>
        <v>1.0564999951065308</v>
      </c>
      <c r="AC49">
        <f t="shared" si="3"/>
        <v>1.1257425839474637</v>
      </c>
      <c r="AD49">
        <f t="shared" si="3"/>
        <v>0.99611458547422604</v>
      </c>
      <c r="AE49">
        <f t="shared" si="3"/>
        <v>0.91830842557522718</v>
      </c>
      <c r="AF49">
        <f t="shared" si="3"/>
        <v>0.903334409896552</v>
      </c>
      <c r="AR49">
        <v>9</v>
      </c>
      <c r="AS49" s="44">
        <v>3.6824490973175275</v>
      </c>
      <c r="AT49" s="44">
        <v>2.1564808531839268</v>
      </c>
      <c r="AU49" s="44">
        <v>1.2131948541785214</v>
      </c>
      <c r="AV49" s="44">
        <v>0.80804061751729606</v>
      </c>
      <c r="AW49" s="44">
        <v>0.72909022376624111</v>
      </c>
      <c r="AY49">
        <v>8.9377944154036193</v>
      </c>
      <c r="AZ49">
        <v>4.1546010819206254</v>
      </c>
      <c r="BA49">
        <v>2.2910518003482072</v>
      </c>
      <c r="BB49">
        <v>2.1128060986891493</v>
      </c>
      <c r="BC49">
        <v>1.4867394840213595</v>
      </c>
      <c r="BE49" s="43" t="s">
        <v>6858</v>
      </c>
    </row>
    <row r="50" spans="8:57" x14ac:dyDescent="0.2">
      <c r="S50">
        <f>AVERAGE(O49:S49)</f>
        <v>81741.600000000006</v>
      </c>
      <c r="V50" s="2"/>
      <c r="AR50">
        <v>10</v>
      </c>
      <c r="AS50">
        <v>0.72721764512476361</v>
      </c>
      <c r="AT50">
        <v>0.5058408001996697</v>
      </c>
      <c r="AU50">
        <v>0.32587072734454292</v>
      </c>
      <c r="AV50">
        <v>0.15293759865662165</v>
      </c>
      <c r="AW50">
        <v>9.1443313649289426E-2</v>
      </c>
      <c r="AY50">
        <v>86.332697824656748</v>
      </c>
      <c r="AZ50">
        <v>84.261948148330944</v>
      </c>
      <c r="BA50">
        <v>60.411798297649</v>
      </c>
      <c r="BB50">
        <v>26.715971593231707</v>
      </c>
      <c r="BC50">
        <v>13.973790623199982</v>
      </c>
      <c r="BE50" s="2" t="s">
        <v>14634</v>
      </c>
    </row>
    <row r="51" spans="8:57" x14ac:dyDescent="0.2">
      <c r="H51" t="s">
        <v>14635</v>
      </c>
      <c r="I51" s="20">
        <v>1008</v>
      </c>
      <c r="J51" s="40">
        <v>201956</v>
      </c>
      <c r="K51" s="40">
        <v>199212</v>
      </c>
      <c r="L51" s="40">
        <v>271776</v>
      </c>
      <c r="M51" s="40">
        <v>376312</v>
      </c>
      <c r="N51" s="40">
        <v>525260</v>
      </c>
      <c r="O51" s="20">
        <v>404712</v>
      </c>
      <c r="P51" s="20">
        <v>209992</v>
      </c>
      <c r="Q51" s="20">
        <v>150344</v>
      </c>
      <c r="R51" s="20">
        <v>95896</v>
      </c>
      <c r="S51" s="20">
        <v>65196</v>
      </c>
      <c r="T51" s="20">
        <v>236</v>
      </c>
      <c r="V51" s="2"/>
      <c r="W51">
        <f>J51/86968</f>
        <v>2.3221874712537947</v>
      </c>
      <c r="X51">
        <f t="shared" ref="X51:AF58" si="6">K51/86968</f>
        <v>2.2906356360960354</v>
      </c>
      <c r="Y51">
        <f t="shared" si="6"/>
        <v>3.1250114984822002</v>
      </c>
      <c r="Z51">
        <f t="shared" si="6"/>
        <v>4.3270168337779413</v>
      </c>
      <c r="AA51">
        <f t="shared" si="6"/>
        <v>6.0396927605556066</v>
      </c>
      <c r="AB51">
        <f t="shared" si="6"/>
        <v>4.6535737282678689</v>
      </c>
      <c r="AC51">
        <f t="shared" si="6"/>
        <v>2.4145892742158037</v>
      </c>
      <c r="AD51">
        <f t="shared" si="6"/>
        <v>1.7287278079293533</v>
      </c>
      <c r="AE51">
        <f t="shared" si="6"/>
        <v>1.1026584490847209</v>
      </c>
      <c r="AF51">
        <f t="shared" si="6"/>
        <v>0.74965504553398954</v>
      </c>
      <c r="AH51">
        <f>AVERAGE(W60,W69)</f>
        <v>66.417901901484413</v>
      </c>
      <c r="AI51">
        <f>AVERAGE(X60,X69)</f>
        <v>67.346070002469133</v>
      </c>
      <c r="AJ51">
        <f t="shared" ref="AI51:AQ58" si="7">AVERAGE(Y60,Y69)</f>
        <v>67.87718302821898</v>
      </c>
      <c r="AK51">
        <f t="shared" si="7"/>
        <v>63.161133452740629</v>
      </c>
      <c r="AL51">
        <f t="shared" si="7"/>
        <v>65.539501986244048</v>
      </c>
      <c r="AM51">
        <f>AVERAGE(AB60,AB69)</f>
        <v>8.9377944154036193</v>
      </c>
      <c r="AN51">
        <f t="shared" si="7"/>
        <v>4.1546010819206254</v>
      </c>
      <c r="AO51">
        <f t="shared" si="7"/>
        <v>2.2910518003482072</v>
      </c>
      <c r="AP51">
        <f t="shared" si="7"/>
        <v>2.1128060986891493</v>
      </c>
      <c r="AQ51">
        <f t="shared" si="7"/>
        <v>1.4867394840213595</v>
      </c>
      <c r="AR51">
        <v>11</v>
      </c>
      <c r="AS51" s="11">
        <v>4.2184504366975375</v>
      </c>
      <c r="AT51" s="11">
        <v>3.4940967008225412</v>
      </c>
      <c r="AU51" s="11">
        <v>3.7377690506304377</v>
      </c>
      <c r="AV51" s="11">
        <v>2.6675944825568312</v>
      </c>
      <c r="AW51" s="11">
        <v>1.7809027930628356</v>
      </c>
      <c r="AY51">
        <v>56.634040880702202</v>
      </c>
      <c r="AZ51">
        <v>49.287006314057905</v>
      </c>
      <c r="BA51">
        <v>36.610801845552828</v>
      </c>
      <c r="BB51">
        <v>25.711876138949865</v>
      </c>
      <c r="BC51">
        <v>18.255321430991337</v>
      </c>
      <c r="BE51" s="2" t="s">
        <v>14616</v>
      </c>
    </row>
    <row r="52" spans="8:57" x14ac:dyDescent="0.2">
      <c r="I52" s="20">
        <v>1456</v>
      </c>
      <c r="J52" s="40">
        <v>456160</v>
      </c>
      <c r="K52" s="40">
        <v>538600</v>
      </c>
      <c r="L52" s="40">
        <v>555568</v>
      </c>
      <c r="M52" s="40">
        <v>577468</v>
      </c>
      <c r="N52" s="40">
        <v>603548</v>
      </c>
      <c r="O52" s="20">
        <v>64100</v>
      </c>
      <c r="P52" s="20">
        <v>42724</v>
      </c>
      <c r="Q52" s="20">
        <v>29380</v>
      </c>
      <c r="R52" s="20">
        <v>14132</v>
      </c>
      <c r="S52" s="20">
        <v>6632</v>
      </c>
      <c r="T52" s="20">
        <v>368</v>
      </c>
      <c r="V52" s="2"/>
      <c r="W52">
        <f t="shared" ref="W52:W58" si="8">J52/86968</f>
        <v>5.2451476405114521</v>
      </c>
      <c r="X52">
        <f t="shared" si="6"/>
        <v>6.1930825131082701</v>
      </c>
      <c r="Y52">
        <f t="shared" si="6"/>
        <v>6.3881887590838007</v>
      </c>
      <c r="Z52">
        <f t="shared" si="6"/>
        <v>6.6400055192714564</v>
      </c>
      <c r="AA52">
        <f t="shared" si="6"/>
        <v>6.9398859350565729</v>
      </c>
      <c r="AB52">
        <f t="shared" si="6"/>
        <v>0.73705270904240638</v>
      </c>
      <c r="AC52">
        <f t="shared" si="6"/>
        <v>0.49126115352773436</v>
      </c>
      <c r="AD52">
        <f t="shared" si="6"/>
        <v>0.3378254070462699</v>
      </c>
      <c r="AE52">
        <f t="shared" si="6"/>
        <v>0.16249655045533989</v>
      </c>
      <c r="AF52">
        <f t="shared" si="6"/>
        <v>7.6257933952718238E-2</v>
      </c>
      <c r="AH52">
        <f t="shared" ref="AH52:AH58" si="9">AVERAGE(W61,W70)</f>
        <v>67.154358565704001</v>
      </c>
      <c r="AI52">
        <f t="shared" si="7"/>
        <v>63.906476651633859</v>
      </c>
      <c r="AJ52">
        <f t="shared" si="7"/>
        <v>62.520683602856387</v>
      </c>
      <c r="AK52">
        <f t="shared" si="7"/>
        <v>60.994702739496056</v>
      </c>
      <c r="AL52">
        <f t="shared" si="7"/>
        <v>61.172592389147475</v>
      </c>
      <c r="AM52">
        <f t="shared" si="7"/>
        <v>86.332697824656748</v>
      </c>
      <c r="AN52">
        <f t="shared" si="7"/>
        <v>84.261948148330944</v>
      </c>
      <c r="AO52">
        <f t="shared" si="7"/>
        <v>60.411798297649</v>
      </c>
      <c r="AP52">
        <f t="shared" si="7"/>
        <v>26.715971593231707</v>
      </c>
      <c r="AQ52">
        <f t="shared" si="7"/>
        <v>13.973790623199982</v>
      </c>
      <c r="AR52">
        <v>12</v>
      </c>
      <c r="AS52" s="11">
        <v>2.5940324686266756</v>
      </c>
      <c r="AT52" s="11">
        <v>2.0591336414462469</v>
      </c>
      <c r="AU52" s="11">
        <v>1.111844978665073</v>
      </c>
      <c r="AV52" s="11">
        <v>0.36153684157900712</v>
      </c>
      <c r="AW52" s="11">
        <v>9.378218620157161E-2</v>
      </c>
      <c r="AY52">
        <v>70.177278426982653</v>
      </c>
      <c r="AZ52">
        <v>58.393363961401349</v>
      </c>
      <c r="BA52">
        <v>39.878207690249724</v>
      </c>
      <c r="BB52">
        <v>15.204905088448967</v>
      </c>
      <c r="BC52">
        <v>3.6893622682691323</v>
      </c>
      <c r="BE52" s="2" t="s">
        <v>14617</v>
      </c>
    </row>
    <row r="53" spans="8:57" x14ac:dyDescent="0.2">
      <c r="I53" s="20">
        <v>836</v>
      </c>
      <c r="J53" s="40">
        <v>66892</v>
      </c>
      <c r="K53" s="40">
        <v>62524</v>
      </c>
      <c r="L53" s="40">
        <v>15132</v>
      </c>
      <c r="M53" s="40">
        <v>3676</v>
      </c>
      <c r="N53" s="40">
        <v>2444</v>
      </c>
      <c r="O53" s="20">
        <v>390348</v>
      </c>
      <c r="P53" s="20">
        <v>344216</v>
      </c>
      <c r="Q53" s="20">
        <v>322312</v>
      </c>
      <c r="R53" s="20">
        <v>232448</v>
      </c>
      <c r="S53" s="20">
        <v>168004</v>
      </c>
      <c r="T53" s="20">
        <v>572</v>
      </c>
      <c r="V53" s="2"/>
      <c r="W53">
        <f t="shared" si="8"/>
        <v>0.76915647134578236</v>
      </c>
      <c r="X53">
        <f t="shared" si="6"/>
        <v>0.71893110109465552</v>
      </c>
      <c r="Y53">
        <f t="shared" si="6"/>
        <v>0.17399503265568944</v>
      </c>
      <c r="Z53">
        <f t="shared" si="6"/>
        <v>4.2268420568484961E-2</v>
      </c>
      <c r="AA53">
        <f t="shared" si="6"/>
        <v>2.8102290497654309E-2</v>
      </c>
      <c r="AB53">
        <f t="shared" si="6"/>
        <v>4.4884095299420474</v>
      </c>
      <c r="AC53">
        <f t="shared" si="6"/>
        <v>3.957961549075522</v>
      </c>
      <c r="AD53">
        <f t="shared" si="6"/>
        <v>3.7060987949590656</v>
      </c>
      <c r="AE53">
        <f t="shared" si="6"/>
        <v>2.6727991905068529</v>
      </c>
      <c r="AF53">
        <f t="shared" si="6"/>
        <v>1.9317910035875265</v>
      </c>
      <c r="AH53">
        <f t="shared" si="9"/>
        <v>79.814682046091548</v>
      </c>
      <c r="AI53">
        <f t="shared" si="7"/>
        <v>63.325694408465544</v>
      </c>
      <c r="AJ53">
        <f t="shared" si="7"/>
        <v>8.2538293740973803</v>
      </c>
      <c r="AK53">
        <f t="shared" si="7"/>
        <v>0.56622620281133373</v>
      </c>
      <c r="AL53">
        <f t="shared" si="7"/>
        <v>0.50713155672831611</v>
      </c>
      <c r="AM53">
        <f>AVERAGE(AB62,AB71)</f>
        <v>56.634040880702202</v>
      </c>
      <c r="AN53">
        <f t="shared" si="7"/>
        <v>49.287006314057905</v>
      </c>
      <c r="AO53">
        <f t="shared" si="7"/>
        <v>36.610801845552828</v>
      </c>
      <c r="AP53">
        <f t="shared" si="7"/>
        <v>25.711876138949865</v>
      </c>
      <c r="AQ53">
        <f t="shared" si="7"/>
        <v>18.255321430991337</v>
      </c>
      <c r="AR53">
        <v>13</v>
      </c>
      <c r="AS53" s="44">
        <v>11.115518515563501</v>
      </c>
      <c r="AT53" s="44">
        <v>7.1034802712441634</v>
      </c>
      <c r="AU53" s="44">
        <v>4.5738678618305446</v>
      </c>
      <c r="AV53" s="44">
        <v>3.7349357391797477</v>
      </c>
      <c r="AW53" s="44">
        <v>3.6796873677644162</v>
      </c>
      <c r="AY53">
        <v>48.677656424659538</v>
      </c>
      <c r="AZ53">
        <v>39.975544759488422</v>
      </c>
      <c r="BA53">
        <v>35.06889871305853</v>
      </c>
      <c r="BB53">
        <v>33.830565978251556</v>
      </c>
      <c r="BC53">
        <v>31.06934782804295</v>
      </c>
      <c r="BE53" s="43" t="s">
        <v>14629</v>
      </c>
    </row>
    <row r="54" spans="8:57" x14ac:dyDescent="0.2">
      <c r="I54" s="20">
        <v>520</v>
      </c>
      <c r="J54" s="40">
        <v>61624</v>
      </c>
      <c r="K54" s="40">
        <v>54864</v>
      </c>
      <c r="L54" s="40">
        <v>39728</v>
      </c>
      <c r="M54" s="40">
        <v>24388</v>
      </c>
      <c r="N54" s="40">
        <v>15520</v>
      </c>
      <c r="O54" s="20">
        <v>292588</v>
      </c>
      <c r="P54" s="20">
        <v>231668</v>
      </c>
      <c r="Q54" s="20">
        <v>126532</v>
      </c>
      <c r="R54" s="20">
        <v>35124</v>
      </c>
      <c r="S54" s="20">
        <v>8656</v>
      </c>
      <c r="T54" s="20">
        <v>620</v>
      </c>
      <c r="V54" s="2"/>
      <c r="W54">
        <f t="shared" si="8"/>
        <v>0.70858246711434092</v>
      </c>
      <c r="X54">
        <f t="shared" si="6"/>
        <v>0.63085272743997789</v>
      </c>
      <c r="Y54">
        <f t="shared" si="6"/>
        <v>0.45681170085548706</v>
      </c>
      <c r="Z54">
        <f t="shared" si="6"/>
        <v>0.28042498390212495</v>
      </c>
      <c r="AA54">
        <f t="shared" si="6"/>
        <v>0.17845644374942507</v>
      </c>
      <c r="AB54">
        <f t="shared" si="6"/>
        <v>3.3643179100358753</v>
      </c>
      <c r="AC54">
        <f t="shared" si="6"/>
        <v>2.6638303743905802</v>
      </c>
      <c r="AD54">
        <f t="shared" si="6"/>
        <v>1.4549259497746299</v>
      </c>
      <c r="AE54">
        <f t="shared" si="6"/>
        <v>0.40387268880507771</v>
      </c>
      <c r="AF54">
        <f t="shared" si="6"/>
        <v>9.9530861926225733E-2</v>
      </c>
      <c r="AH54">
        <f>AVERAGE(W63,W72)</f>
        <v>11.300779009065199</v>
      </c>
      <c r="AI54">
        <f t="shared" si="7"/>
        <v>7.1212470170109903</v>
      </c>
      <c r="AJ54">
        <f t="shared" si="7"/>
        <v>3.5873483386740008</v>
      </c>
      <c r="AK54">
        <f t="shared" si="7"/>
        <v>2.1215579437030598</v>
      </c>
      <c r="AL54">
        <f t="shared" si="7"/>
        <v>1.5354977615029295</v>
      </c>
      <c r="AM54">
        <f>AVERAGE(AB63,AB72)</f>
        <v>70.177278426982653</v>
      </c>
      <c r="AN54">
        <f t="shared" si="7"/>
        <v>58.393363961401349</v>
      </c>
      <c r="AO54">
        <f t="shared" si="7"/>
        <v>39.878207690249724</v>
      </c>
      <c r="AP54">
        <f t="shared" si="7"/>
        <v>15.204905088448967</v>
      </c>
      <c r="AQ54">
        <f t="shared" si="7"/>
        <v>3.6893622682691323</v>
      </c>
      <c r="AR54">
        <v>14</v>
      </c>
      <c r="AS54">
        <v>0.88563569023434252</v>
      </c>
      <c r="AT54">
        <v>0.82415974054420404</v>
      </c>
      <c r="AU54">
        <v>0.78252961385886355</v>
      </c>
      <c r="AV54">
        <v>0.81561480302091338</v>
      </c>
      <c r="AW54">
        <v>0.58115658716313789</v>
      </c>
      <c r="AY54">
        <v>91.394206207587089</v>
      </c>
      <c r="AZ54">
        <v>90.679437351102592</v>
      </c>
      <c r="BA54">
        <v>82.811555296216028</v>
      </c>
      <c r="BB54">
        <v>85.336009368699138</v>
      </c>
      <c r="BC54">
        <v>86.278139922742525</v>
      </c>
      <c r="BE54" t="s">
        <v>14636</v>
      </c>
    </row>
    <row r="55" spans="8:57" x14ac:dyDescent="0.2">
      <c r="I55" s="20">
        <v>400</v>
      </c>
      <c r="J55" s="40">
        <v>14416</v>
      </c>
      <c r="K55" s="40">
        <v>15952</v>
      </c>
      <c r="L55" s="40">
        <v>14900</v>
      </c>
      <c r="M55" s="40">
        <v>6552</v>
      </c>
      <c r="N55" s="40">
        <v>4368</v>
      </c>
      <c r="O55" s="20">
        <v>925116</v>
      </c>
      <c r="P55" s="20">
        <v>599516</v>
      </c>
      <c r="Q55" s="20">
        <v>368836</v>
      </c>
      <c r="R55" s="20">
        <v>308920</v>
      </c>
      <c r="S55" s="20">
        <v>313316</v>
      </c>
      <c r="T55" s="20">
        <v>872</v>
      </c>
      <c r="W55">
        <f t="shared" si="8"/>
        <v>0.16576211940023916</v>
      </c>
      <c r="X55">
        <f t="shared" si="6"/>
        <v>0.18342378805997608</v>
      </c>
      <c r="Y55">
        <f t="shared" si="6"/>
        <v>0.17132738478520834</v>
      </c>
      <c r="Z55">
        <f t="shared" si="6"/>
        <v>7.5338055376690277E-2</v>
      </c>
      <c r="AA55">
        <f t="shared" si="6"/>
        <v>5.0225370251126854E-2</v>
      </c>
      <c r="AB55">
        <f t="shared" si="6"/>
        <v>10.637429859258578</v>
      </c>
      <c r="AC55">
        <f t="shared" si="6"/>
        <v>6.8935240548247627</v>
      </c>
      <c r="AD55">
        <f t="shared" si="6"/>
        <v>4.2410541808481277</v>
      </c>
      <c r="AE55">
        <f t="shared" si="6"/>
        <v>3.552111121331984</v>
      </c>
      <c r="AF55">
        <f t="shared" si="6"/>
        <v>3.6026584490847209</v>
      </c>
      <c r="AH55">
        <f t="shared" si="9"/>
        <v>14.072274150717641</v>
      </c>
      <c r="AI55">
        <f t="shared" si="7"/>
        <v>9.8184048225717682</v>
      </c>
      <c r="AJ55">
        <f t="shared" si="7"/>
        <v>4.1342080176677101</v>
      </c>
      <c r="AK55">
        <f t="shared" si="7"/>
        <v>2.9991660196117067</v>
      </c>
      <c r="AL55">
        <f t="shared" si="7"/>
        <v>1.3454246658003899</v>
      </c>
      <c r="AM55">
        <f>AVERAGE(AB64,AB73)</f>
        <v>48.677656424659538</v>
      </c>
      <c r="AN55">
        <f t="shared" si="7"/>
        <v>39.975544759488422</v>
      </c>
      <c r="AO55">
        <f t="shared" si="7"/>
        <v>35.06889871305853</v>
      </c>
      <c r="AP55">
        <f t="shared" si="7"/>
        <v>33.830565978251556</v>
      </c>
      <c r="AQ55">
        <f t="shared" si="7"/>
        <v>31.06934782804295</v>
      </c>
      <c r="AR55">
        <v>15</v>
      </c>
      <c r="AS55">
        <v>0.75692242231393059</v>
      </c>
      <c r="AT55">
        <v>0.59088368168671446</v>
      </c>
      <c r="AU55">
        <v>0.25524053682308456</v>
      </c>
      <c r="AV55">
        <v>8.3723044293984149E-3</v>
      </c>
      <c r="AW55">
        <v>6.5931279846048818E-3</v>
      </c>
      <c r="AY55">
        <v>80.023955253359034</v>
      </c>
      <c r="AZ55">
        <v>65.426806190706174</v>
      </c>
      <c r="BA55">
        <v>29.928374529086049</v>
      </c>
      <c r="BB55">
        <v>0.59614846831527357</v>
      </c>
      <c r="BC55">
        <v>0.43293235180931866</v>
      </c>
      <c r="BE55" t="s">
        <v>14637</v>
      </c>
    </row>
    <row r="56" spans="8:57" x14ac:dyDescent="0.2">
      <c r="I56" s="20">
        <v>564</v>
      </c>
      <c r="J56" s="40">
        <v>31808</v>
      </c>
      <c r="K56" s="40">
        <v>17596</v>
      </c>
      <c r="L56" s="40">
        <v>2836</v>
      </c>
      <c r="M56" s="40">
        <v>1244</v>
      </c>
      <c r="N56" s="40">
        <v>1412</v>
      </c>
      <c r="O56" s="20">
        <v>76968</v>
      </c>
      <c r="P56" s="20">
        <v>84128</v>
      </c>
      <c r="Q56" s="20">
        <v>65588</v>
      </c>
      <c r="R56" s="20">
        <v>60648</v>
      </c>
      <c r="S56" s="20">
        <v>43708</v>
      </c>
      <c r="T56" s="20">
        <v>520</v>
      </c>
      <c r="W56">
        <f t="shared" si="8"/>
        <v>0.36574372182871862</v>
      </c>
      <c r="X56">
        <f t="shared" si="6"/>
        <v>0.20232729279735076</v>
      </c>
      <c r="Y56">
        <f t="shared" si="6"/>
        <v>3.2609695520191335E-2</v>
      </c>
      <c r="Z56">
        <f t="shared" si="6"/>
        <v>1.4304111857234845E-2</v>
      </c>
      <c r="AA56">
        <f t="shared" si="6"/>
        <v>1.6235856866893571E-2</v>
      </c>
      <c r="AB56">
        <f t="shared" si="6"/>
        <v>0.88501517799650442</v>
      </c>
      <c r="AC56">
        <f t="shared" si="6"/>
        <v>0.96734431055100722</v>
      </c>
      <c r="AD56">
        <f t="shared" si="6"/>
        <v>0.75416245055652653</v>
      </c>
      <c r="AE56">
        <f t="shared" si="6"/>
        <v>0.69735994848679972</v>
      </c>
      <c r="AF56">
        <f t="shared" si="6"/>
        <v>0.50257566001287834</v>
      </c>
      <c r="AH56">
        <f t="shared" si="9"/>
        <v>82.525703296980723</v>
      </c>
      <c r="AI56">
        <f t="shared" si="7"/>
        <v>51.355499144672308</v>
      </c>
      <c r="AJ56">
        <f t="shared" si="7"/>
        <v>1.8576075623824884</v>
      </c>
      <c r="AK56">
        <f t="shared" si="7"/>
        <v>0.27824539784872987</v>
      </c>
      <c r="AL56">
        <f t="shared" si="7"/>
        <v>0.46141377286215207</v>
      </c>
      <c r="AM56">
        <f t="shared" si="7"/>
        <v>91.394206207587089</v>
      </c>
      <c r="AN56">
        <f t="shared" si="7"/>
        <v>90.679437351102592</v>
      </c>
      <c r="AO56">
        <f t="shared" si="7"/>
        <v>82.811555296216028</v>
      </c>
      <c r="AP56">
        <f t="shared" si="7"/>
        <v>85.336009368699138</v>
      </c>
      <c r="AQ56">
        <f t="shared" si="7"/>
        <v>86.278139922742525</v>
      </c>
      <c r="AR56">
        <v>16</v>
      </c>
      <c r="AS56">
        <v>0.98214108392986366</v>
      </c>
      <c r="AT56">
        <v>1.1578717519130199</v>
      </c>
      <c r="AU56">
        <v>0.96583854561173355</v>
      </c>
      <c r="AV56">
        <v>0.93411051855525229</v>
      </c>
      <c r="AW56">
        <v>0.95166720494827595</v>
      </c>
      <c r="AY56">
        <v>104.8468404775261</v>
      </c>
      <c r="AZ56">
        <v>101.86132255233645</v>
      </c>
      <c r="BA56">
        <v>104.05541306709711</v>
      </c>
      <c r="BB56">
        <v>98.882995748244952</v>
      </c>
      <c r="BC56">
        <v>90.353428154795409</v>
      </c>
      <c r="BE56" s="2" t="s">
        <v>14618</v>
      </c>
    </row>
    <row r="57" spans="8:57" x14ac:dyDescent="0.2">
      <c r="I57" s="20">
        <v>840</v>
      </c>
      <c r="J57" s="40">
        <v>228956</v>
      </c>
      <c r="K57" s="40">
        <v>267288</v>
      </c>
      <c r="L57" s="40">
        <v>263132</v>
      </c>
      <c r="M57" s="40">
        <v>172536</v>
      </c>
      <c r="N57" s="40">
        <v>65848</v>
      </c>
      <c r="O57" s="20">
        <v>66692</v>
      </c>
      <c r="P57" s="20">
        <v>53988</v>
      </c>
      <c r="Q57" s="20">
        <v>22372</v>
      </c>
      <c r="R57" s="20">
        <v>720</v>
      </c>
      <c r="S57" s="20">
        <v>568</v>
      </c>
      <c r="T57" s="20">
        <v>348</v>
      </c>
      <c r="V57" s="2"/>
      <c r="W57">
        <f t="shared" si="8"/>
        <v>2.6326464906632325</v>
      </c>
      <c r="X57">
        <f t="shared" si="6"/>
        <v>3.0734063103670315</v>
      </c>
      <c r="Y57">
        <f t="shared" si="6"/>
        <v>3.0256186183423788</v>
      </c>
      <c r="Z57">
        <f t="shared" si="6"/>
        <v>1.9839021249195106</v>
      </c>
      <c r="AA57">
        <f t="shared" si="6"/>
        <v>0.75715205592861745</v>
      </c>
      <c r="AB57">
        <f t="shared" si="6"/>
        <v>0.76685677490571247</v>
      </c>
      <c r="AC57">
        <f t="shared" si="6"/>
        <v>0.62078005703247174</v>
      </c>
      <c r="AD57">
        <f t="shared" si="6"/>
        <v>0.25724404378622023</v>
      </c>
      <c r="AE57">
        <f t="shared" si="6"/>
        <v>8.2789071842516784E-3</v>
      </c>
      <c r="AF57">
        <f t="shared" si="6"/>
        <v>6.5311378897985467E-3</v>
      </c>
      <c r="AH57">
        <f>AVERAGE(W66,W75)</f>
        <v>75.635470925972271</v>
      </c>
      <c r="AI57">
        <f t="shared" si="7"/>
        <v>70.007993976892337</v>
      </c>
      <c r="AJ57">
        <f t="shared" si="7"/>
        <v>52.494374242816122</v>
      </c>
      <c r="AK57">
        <f t="shared" si="7"/>
        <v>27.440693177809965</v>
      </c>
      <c r="AL57">
        <f t="shared" si="7"/>
        <v>9.1016954256484315</v>
      </c>
      <c r="AM57">
        <f t="shared" si="7"/>
        <v>80.023955253359034</v>
      </c>
      <c r="AN57">
        <f t="shared" si="7"/>
        <v>65.426806190706174</v>
      </c>
      <c r="AO57">
        <f t="shared" si="7"/>
        <v>29.928374529086049</v>
      </c>
      <c r="AP57">
        <f t="shared" si="7"/>
        <v>0.59614846831527357</v>
      </c>
      <c r="AQ57">
        <f t="shared" si="7"/>
        <v>0.43293235180931866</v>
      </c>
    </row>
    <row r="58" spans="8:57" x14ac:dyDescent="0.2">
      <c r="I58" s="20">
        <v>596</v>
      </c>
      <c r="J58" s="40">
        <v>114888</v>
      </c>
      <c r="K58" s="40">
        <v>132564</v>
      </c>
      <c r="L58" s="40">
        <v>153988</v>
      </c>
      <c r="M58" s="40">
        <v>147412</v>
      </c>
      <c r="N58" s="40">
        <v>129528</v>
      </c>
      <c r="O58" s="20">
        <v>78948</v>
      </c>
      <c r="P58" s="20">
        <v>103492</v>
      </c>
      <c r="Q58" s="20">
        <v>81364</v>
      </c>
      <c r="R58" s="20">
        <v>82612</v>
      </c>
      <c r="S58" s="20">
        <v>86968</v>
      </c>
      <c r="T58" s="20">
        <v>300</v>
      </c>
      <c r="W58">
        <f t="shared" si="8"/>
        <v>1.3210376230337595</v>
      </c>
      <c r="X58">
        <f t="shared" si="6"/>
        <v>1.5242847944071383</v>
      </c>
      <c r="Y58">
        <f t="shared" si="6"/>
        <v>1.7706282770674271</v>
      </c>
      <c r="Z58">
        <f t="shared" si="6"/>
        <v>1.6950142581179284</v>
      </c>
      <c r="AA58">
        <f t="shared" si="6"/>
        <v>1.4893754024468771</v>
      </c>
      <c r="AB58">
        <f t="shared" si="6"/>
        <v>0.90778217275319661</v>
      </c>
      <c r="AC58">
        <f t="shared" si="6"/>
        <v>1.1900009198785759</v>
      </c>
      <c r="AD58">
        <f t="shared" si="6"/>
        <v>0.93556250574924105</v>
      </c>
      <c r="AE58">
        <f t="shared" si="6"/>
        <v>0.9499126115352774</v>
      </c>
      <c r="AF58">
        <f t="shared" si="6"/>
        <v>1</v>
      </c>
      <c r="AH58">
        <f t="shared" si="9"/>
        <v>97.162091161573215</v>
      </c>
      <c r="AI58">
        <f t="shared" si="7"/>
        <v>94.721022146996702</v>
      </c>
      <c r="AJ58">
        <f t="shared" si="7"/>
        <v>85.111443862601547</v>
      </c>
      <c r="AK58">
        <f t="shared" si="7"/>
        <v>76.138254782679724</v>
      </c>
      <c r="AL58">
        <f t="shared" si="7"/>
        <v>75.408285767010966</v>
      </c>
      <c r="AM58">
        <f t="shared" si="7"/>
        <v>104.8468404775261</v>
      </c>
      <c r="AN58">
        <f t="shared" si="7"/>
        <v>101.86132255233645</v>
      </c>
      <c r="AO58">
        <f t="shared" si="7"/>
        <v>104.05541306709711</v>
      </c>
      <c r="AP58">
        <f t="shared" si="7"/>
        <v>98.882995748244952</v>
      </c>
      <c r="AQ58">
        <f t="shared" si="7"/>
        <v>90.353428154795409</v>
      </c>
    </row>
    <row r="59" spans="8:57" x14ac:dyDescent="0.2">
      <c r="S59">
        <f>AVERAGE(O58:S58)</f>
        <v>86676.800000000003</v>
      </c>
      <c r="W59">
        <v>0.1234567901234568</v>
      </c>
      <c r="X59">
        <v>0.37037037037037041</v>
      </c>
      <c r="Y59">
        <v>1.1111111111111112</v>
      </c>
      <c r="Z59">
        <v>3.3333333333333335</v>
      </c>
      <c r="AA59">
        <v>10</v>
      </c>
      <c r="AB59">
        <v>0.1234567901234568</v>
      </c>
      <c r="AC59">
        <v>0.37037037037037041</v>
      </c>
      <c r="AD59">
        <v>1.1111111111111112</v>
      </c>
      <c r="AE59">
        <v>3.3333333333333335</v>
      </c>
      <c r="AF59">
        <v>10</v>
      </c>
    </row>
    <row r="60" spans="8:57" x14ac:dyDescent="0.2">
      <c r="H60" t="s">
        <v>14638</v>
      </c>
      <c r="I60" s="20">
        <v>2288</v>
      </c>
      <c r="J60" s="20">
        <v>692360</v>
      </c>
      <c r="K60" s="20">
        <v>706316</v>
      </c>
      <c r="L60" s="20">
        <v>708604</v>
      </c>
      <c r="M60" s="20">
        <v>681220</v>
      </c>
      <c r="N60" s="20">
        <v>673524</v>
      </c>
      <c r="O60" s="20">
        <v>107220</v>
      </c>
      <c r="P60" s="20">
        <v>53176</v>
      </c>
      <c r="Q60" s="20">
        <v>27468</v>
      </c>
      <c r="R60" s="20">
        <v>27740</v>
      </c>
      <c r="S60" s="20">
        <v>16808</v>
      </c>
      <c r="T60" s="20">
        <v>404</v>
      </c>
      <c r="W60" s="42">
        <f>(J60/1013315.2)*100</f>
        <v>68.326222679774276</v>
      </c>
      <c r="X60" s="42">
        <f t="shared" ref="X60:AF67" si="10">(K60/1013315.2)*100</f>
        <v>69.703484167611421</v>
      </c>
      <c r="Y60" s="42">
        <f t="shared" si="10"/>
        <v>69.929277681811158</v>
      </c>
      <c r="Z60" s="42">
        <f t="shared" si="10"/>
        <v>67.226860901721395</v>
      </c>
      <c r="AA60" s="42">
        <f t="shared" si="10"/>
        <v>66.467373626685955</v>
      </c>
      <c r="AB60" s="42">
        <f t="shared" si="10"/>
        <v>10.581110398817664</v>
      </c>
      <c r="AC60" s="42">
        <f t="shared" si="10"/>
        <v>5.2477254856139535</v>
      </c>
      <c r="AD60" s="42">
        <f t="shared" si="10"/>
        <v>2.7107064021145644</v>
      </c>
      <c r="AE60" s="42">
        <f t="shared" si="10"/>
        <v>2.7375489877187276</v>
      </c>
      <c r="AF60" s="42">
        <f t="shared" si="10"/>
        <v>1.6587138927749232</v>
      </c>
    </row>
    <row r="61" spans="8:57" x14ac:dyDescent="0.2">
      <c r="I61" s="20">
        <v>3212</v>
      </c>
      <c r="J61" s="20">
        <v>712764</v>
      </c>
      <c r="K61" s="20">
        <v>661396</v>
      </c>
      <c r="L61" s="20">
        <v>653188</v>
      </c>
      <c r="M61" s="20">
        <v>666468</v>
      </c>
      <c r="N61" s="20">
        <v>654028</v>
      </c>
      <c r="O61" s="20">
        <v>896724</v>
      </c>
      <c r="P61" s="20">
        <v>839848</v>
      </c>
      <c r="Q61" s="20">
        <v>566536</v>
      </c>
      <c r="R61" s="20">
        <v>260104</v>
      </c>
      <c r="S61" s="20">
        <v>134188</v>
      </c>
      <c r="T61" s="20">
        <v>700</v>
      </c>
      <c r="W61">
        <f t="shared" ref="W61:W67" si="11">(J61/1013315.2)*100</f>
        <v>70.33981134399248</v>
      </c>
      <c r="X61">
        <f t="shared" si="10"/>
        <v>65.270510103865021</v>
      </c>
      <c r="Y61">
        <f t="shared" si="10"/>
        <v>64.460495608868797</v>
      </c>
      <c r="Z61">
        <f t="shared" si="10"/>
        <v>65.771045376601478</v>
      </c>
      <c r="AA61">
        <f t="shared" si="10"/>
        <v>64.543391829116942</v>
      </c>
      <c r="AB61">
        <f t="shared" si="10"/>
        <v>88.494083578337722</v>
      </c>
      <c r="AC61">
        <f t="shared" si="10"/>
        <v>82.881219979725955</v>
      </c>
      <c r="AD61">
        <f t="shared" si="10"/>
        <v>55.909158374413018</v>
      </c>
      <c r="AE61">
        <f t="shared" si="10"/>
        <v>25.668617227887236</v>
      </c>
      <c r="AF61">
        <f t="shared" si="10"/>
        <v>13.242473812689282</v>
      </c>
    </row>
    <row r="62" spans="8:57" x14ac:dyDescent="0.2">
      <c r="I62" s="20">
        <v>3056</v>
      </c>
      <c r="J62" s="20">
        <v>816268</v>
      </c>
      <c r="K62" s="20">
        <v>648460</v>
      </c>
      <c r="L62" s="20">
        <v>61460</v>
      </c>
      <c r="M62" s="20">
        <v>4876</v>
      </c>
      <c r="N62" s="20">
        <v>5096</v>
      </c>
      <c r="O62" s="20">
        <v>630888</v>
      </c>
      <c r="P62" s="20">
        <v>544280</v>
      </c>
      <c r="Q62" s="20">
        <v>378744</v>
      </c>
      <c r="R62" s="20">
        <v>268912</v>
      </c>
      <c r="S62" s="20">
        <v>178648</v>
      </c>
      <c r="T62" s="20">
        <v>1000</v>
      </c>
      <c r="W62">
        <f t="shared" si="11"/>
        <v>80.554204654188553</v>
      </c>
      <c r="X62">
        <f t="shared" si="10"/>
        <v>63.99390831204348</v>
      </c>
      <c r="Y62">
        <f t="shared" si="10"/>
        <v>6.0652401148231077</v>
      </c>
      <c r="Z62">
        <f t="shared" si="10"/>
        <v>0.48119282134522412</v>
      </c>
      <c r="AA62">
        <f t="shared" si="10"/>
        <v>0.50290373617212103</v>
      </c>
      <c r="AB62">
        <f t="shared" si="10"/>
        <v>62.259798333233327</v>
      </c>
      <c r="AC62">
        <f t="shared" si="10"/>
        <v>53.712803281742936</v>
      </c>
      <c r="AD62">
        <f t="shared" si="10"/>
        <v>37.376721478173828</v>
      </c>
      <c r="AE62">
        <f t="shared" si="10"/>
        <v>26.537843308774999</v>
      </c>
      <c r="AF62">
        <f t="shared" si="10"/>
        <v>17.630052327252173</v>
      </c>
    </row>
    <row r="63" spans="8:57" x14ac:dyDescent="0.2">
      <c r="I63" s="20">
        <v>1936</v>
      </c>
      <c r="J63" s="20">
        <v>121052</v>
      </c>
      <c r="K63" s="20">
        <v>82536</v>
      </c>
      <c r="L63" s="20">
        <v>35968</v>
      </c>
      <c r="M63" s="20">
        <v>22668</v>
      </c>
      <c r="N63" s="20">
        <v>17924</v>
      </c>
      <c r="O63" s="20">
        <v>816624</v>
      </c>
      <c r="P63" s="20">
        <v>671484</v>
      </c>
      <c r="Q63" s="20">
        <v>463508</v>
      </c>
      <c r="R63" s="20">
        <v>180004</v>
      </c>
      <c r="S63" s="20">
        <v>45180</v>
      </c>
      <c r="T63" s="20">
        <v>1112</v>
      </c>
      <c r="W63" s="42">
        <f t="shared" si="11"/>
        <v>11.946134825570564</v>
      </c>
      <c r="X63" s="42">
        <f t="shared" si="10"/>
        <v>8.145145755239831</v>
      </c>
      <c r="Y63" s="42">
        <f t="shared" si="10"/>
        <v>3.5495372022446721</v>
      </c>
      <c r="Z63" s="42">
        <f t="shared" si="10"/>
        <v>2.2370137149822682</v>
      </c>
      <c r="AA63" s="42">
        <f t="shared" si="10"/>
        <v>1.7688474425331822</v>
      </c>
      <c r="AB63">
        <f t="shared" si="10"/>
        <v>80.589336861817529</v>
      </c>
      <c r="AC63">
        <f t="shared" si="10"/>
        <v>66.266054234654732</v>
      </c>
      <c r="AD63">
        <f t="shared" si="10"/>
        <v>45.741739589024228</v>
      </c>
      <c r="AE63">
        <f t="shared" si="10"/>
        <v>17.763870511367045</v>
      </c>
      <c r="AF63">
        <f t="shared" si="10"/>
        <v>4.458632417632737</v>
      </c>
    </row>
    <row r="64" spans="8:57" x14ac:dyDescent="0.2">
      <c r="I64" s="20">
        <v>2040</v>
      </c>
      <c r="J64" s="20">
        <v>159148</v>
      </c>
      <c r="K64" s="20">
        <v>120968</v>
      </c>
      <c r="L64" s="20">
        <v>43644</v>
      </c>
      <c r="M64" s="20">
        <v>32828</v>
      </c>
      <c r="N64" s="20">
        <v>12000</v>
      </c>
      <c r="O64" s="20">
        <v>489556</v>
      </c>
      <c r="P64" s="20">
        <v>408516</v>
      </c>
      <c r="Q64" s="20">
        <v>353132</v>
      </c>
      <c r="R64" s="20">
        <v>338696</v>
      </c>
      <c r="S64" s="20">
        <v>318884</v>
      </c>
      <c r="T64" s="20">
        <v>1840</v>
      </c>
      <c r="W64">
        <f t="shared" si="11"/>
        <v>15.70567578577722</v>
      </c>
      <c r="X64">
        <f t="shared" si="10"/>
        <v>11.937845203545749</v>
      </c>
      <c r="Y64">
        <f t="shared" si="10"/>
        <v>4.3070507577504014</v>
      </c>
      <c r="Z64">
        <f t="shared" si="10"/>
        <v>3.2396632360789615</v>
      </c>
      <c r="AA64">
        <f t="shared" si="10"/>
        <v>1.1842317178307402</v>
      </c>
      <c r="AB64" s="42">
        <f t="shared" si="10"/>
        <v>48.312311904528819</v>
      </c>
      <c r="AC64" s="42">
        <f t="shared" si="10"/>
        <v>40.31480037011189</v>
      </c>
      <c r="AD64" s="42">
        <f t="shared" si="10"/>
        <v>34.849176248417081</v>
      </c>
      <c r="AE64" s="42">
        <f t="shared" si="10"/>
        <v>33.424545491866695</v>
      </c>
      <c r="AF64" s="42">
        <f t="shared" si="10"/>
        <v>31.469378925728147</v>
      </c>
    </row>
    <row r="65" spans="8:32" x14ac:dyDescent="0.2">
      <c r="I65" s="20">
        <v>3480</v>
      </c>
      <c r="J65" s="20">
        <v>921948</v>
      </c>
      <c r="K65" s="20">
        <v>586400</v>
      </c>
      <c r="L65" s="20">
        <v>19620</v>
      </c>
      <c r="M65" s="20">
        <v>2988</v>
      </c>
      <c r="N65" s="20">
        <v>4820</v>
      </c>
      <c r="O65" s="20">
        <v>940728</v>
      </c>
      <c r="P65" s="20">
        <v>962860</v>
      </c>
      <c r="Q65" s="20">
        <v>851960</v>
      </c>
      <c r="R65" s="20">
        <v>876412</v>
      </c>
      <c r="S65" s="20">
        <v>854492</v>
      </c>
      <c r="T65" s="20">
        <v>2408</v>
      </c>
      <c r="W65">
        <f t="shared" si="11"/>
        <v>90.983338649217941</v>
      </c>
      <c r="X65">
        <f t="shared" si="10"/>
        <v>57.869456611328843</v>
      </c>
      <c r="Y65">
        <f t="shared" si="10"/>
        <v>1.9362188586532603</v>
      </c>
      <c r="Z65">
        <f t="shared" si="10"/>
        <v>0.29487369773985433</v>
      </c>
      <c r="AA65">
        <f t="shared" si="10"/>
        <v>0.47566640666201399</v>
      </c>
      <c r="AB65">
        <f t="shared" si="10"/>
        <v>92.836661287623045</v>
      </c>
      <c r="AC65">
        <f t="shared" si="10"/>
        <v>95.02077931920887</v>
      </c>
      <c r="AD65">
        <f t="shared" si="10"/>
        <v>84.076504526923117</v>
      </c>
      <c r="AE65">
        <f t="shared" si="10"/>
        <v>86.489574023956223</v>
      </c>
      <c r="AF65">
        <f t="shared" si="10"/>
        <v>84.326377419385395</v>
      </c>
    </row>
    <row r="66" spans="8:32" x14ac:dyDescent="0.2">
      <c r="I66" s="20">
        <v>4008</v>
      </c>
      <c r="J66" s="20">
        <v>792920</v>
      </c>
      <c r="K66" s="20">
        <v>747892</v>
      </c>
      <c r="L66" s="20">
        <v>577680</v>
      </c>
      <c r="M66" s="20">
        <v>302768</v>
      </c>
      <c r="N66" s="20">
        <v>105548</v>
      </c>
      <c r="O66" s="20">
        <v>818520</v>
      </c>
      <c r="P66" s="20">
        <v>677516</v>
      </c>
      <c r="Q66" s="20">
        <v>346660</v>
      </c>
      <c r="R66" s="20">
        <v>6336</v>
      </c>
      <c r="S66" s="20">
        <v>4412</v>
      </c>
      <c r="T66" s="20">
        <v>2100</v>
      </c>
      <c r="W66">
        <f t="shared" si="11"/>
        <v>78.250084475195877</v>
      </c>
      <c r="X66">
        <f t="shared" si="10"/>
        <v>73.806452325988985</v>
      </c>
      <c r="Y66">
        <f t="shared" si="10"/>
        <v>57.008914896371834</v>
      </c>
      <c r="Z66">
        <f t="shared" si="10"/>
        <v>29.878955728681461</v>
      </c>
      <c r="AA66">
        <f t="shared" si="10"/>
        <v>10.416107446133246</v>
      </c>
      <c r="AB66">
        <f t="shared" si="10"/>
        <v>80.776445473234787</v>
      </c>
      <c r="AC66">
        <f t="shared" si="10"/>
        <v>66.861328044817654</v>
      </c>
      <c r="AD66">
        <f t="shared" si="10"/>
        <v>34.210480608600371</v>
      </c>
      <c r="AE66">
        <f t="shared" si="10"/>
        <v>0.6252743470146308</v>
      </c>
      <c r="AF66">
        <f t="shared" si="10"/>
        <v>0.43540252825576881</v>
      </c>
    </row>
    <row r="67" spans="8:32" x14ac:dyDescent="0.2">
      <c r="I67" s="20">
        <v>3716</v>
      </c>
      <c r="J67" s="20">
        <v>1036628</v>
      </c>
      <c r="K67" s="20">
        <v>1023308</v>
      </c>
      <c r="L67" s="20">
        <v>895468</v>
      </c>
      <c r="M67" s="20">
        <v>838524</v>
      </c>
      <c r="N67" s="20">
        <v>828032</v>
      </c>
      <c r="O67" s="20">
        <v>1051900</v>
      </c>
      <c r="P67" s="20">
        <v>1010636</v>
      </c>
      <c r="Q67" s="20">
        <v>1051684</v>
      </c>
      <c r="R67" s="20">
        <v>998660</v>
      </c>
      <c r="S67" s="20">
        <v>953696</v>
      </c>
      <c r="T67" s="20">
        <v>2408</v>
      </c>
      <c r="W67">
        <f t="shared" si="11"/>
        <v>102.30064643262038</v>
      </c>
      <c r="X67">
        <f t="shared" si="10"/>
        <v>100.98614922582824</v>
      </c>
      <c r="Y67">
        <f t="shared" si="10"/>
        <v>88.370133991871441</v>
      </c>
      <c r="Z67">
        <f t="shared" si="10"/>
        <v>82.750559746858627</v>
      </c>
      <c r="AA67">
        <f t="shared" si="10"/>
        <v>81.715146481568624</v>
      </c>
      <c r="AB67">
        <f t="shared" si="10"/>
        <v>103.80777866551296</v>
      </c>
      <c r="AC67">
        <f t="shared" si="10"/>
        <v>99.735600531798994</v>
      </c>
      <c r="AD67">
        <f t="shared" si="10"/>
        <v>103.786462494592</v>
      </c>
      <c r="AE67">
        <f t="shared" si="10"/>
        <v>98.553737277403926</v>
      </c>
      <c r="AF67">
        <f t="shared" si="10"/>
        <v>94.116421030692138</v>
      </c>
    </row>
    <row r="68" spans="8:32" x14ac:dyDescent="0.2">
      <c r="S68">
        <f>AVERAGE(O67:S67)</f>
        <v>1013315.2</v>
      </c>
    </row>
    <row r="69" spans="8:32" x14ac:dyDescent="0.2">
      <c r="H69" t="s">
        <v>14639</v>
      </c>
      <c r="I69" s="20">
        <v>2428</v>
      </c>
      <c r="J69" s="20">
        <v>695356</v>
      </c>
      <c r="K69" s="20">
        <v>700520</v>
      </c>
      <c r="L69" s="20">
        <v>709536</v>
      </c>
      <c r="M69" s="20">
        <v>636996</v>
      </c>
      <c r="N69" s="20">
        <v>696456</v>
      </c>
      <c r="O69" s="20">
        <v>78628</v>
      </c>
      <c r="P69" s="20">
        <v>33000</v>
      </c>
      <c r="Q69" s="20">
        <v>20172</v>
      </c>
      <c r="R69" s="20">
        <v>16040</v>
      </c>
      <c r="S69" s="20">
        <v>14172</v>
      </c>
      <c r="T69" s="20">
        <v>444</v>
      </c>
      <c r="W69" s="42">
        <f>(J69/1077911.2)*100</f>
        <v>64.509581123194565</v>
      </c>
      <c r="X69" s="42">
        <f t="shared" ref="X69:AF76" si="12">(K69/1077911.2)*100</f>
        <v>64.98865583732686</v>
      </c>
      <c r="Y69" s="42">
        <f t="shared" si="12"/>
        <v>65.825088374626787</v>
      </c>
      <c r="Z69" s="42">
        <f t="shared" si="12"/>
        <v>59.095406003759862</v>
      </c>
      <c r="AA69" s="42">
        <f t="shared" si="12"/>
        <v>64.611630345802141</v>
      </c>
      <c r="AB69">
        <f t="shared" si="12"/>
        <v>7.2944784319895746</v>
      </c>
      <c r="AC69">
        <f t="shared" si="12"/>
        <v>3.0614766782272973</v>
      </c>
      <c r="AD69">
        <f t="shared" si="12"/>
        <v>1.8713971985818498</v>
      </c>
      <c r="AE69">
        <f t="shared" si="12"/>
        <v>1.4880632096595714</v>
      </c>
      <c r="AF69">
        <f t="shared" si="12"/>
        <v>1.314765075267796</v>
      </c>
    </row>
    <row r="70" spans="8:32" x14ac:dyDescent="0.2">
      <c r="I70" s="20">
        <v>3224</v>
      </c>
      <c r="J70" s="20">
        <v>689528</v>
      </c>
      <c r="K70" s="20">
        <v>674152</v>
      </c>
      <c r="L70" s="20">
        <v>653008</v>
      </c>
      <c r="M70" s="20">
        <v>605984</v>
      </c>
      <c r="N70" s="20">
        <v>623052</v>
      </c>
      <c r="O70" s="20">
        <v>907292</v>
      </c>
      <c r="P70" s="20">
        <v>923152</v>
      </c>
      <c r="Q70" s="20">
        <v>699720</v>
      </c>
      <c r="R70" s="20">
        <v>299264</v>
      </c>
      <c r="S70" s="20">
        <v>158508</v>
      </c>
      <c r="T70" s="20">
        <v>796</v>
      </c>
      <c r="W70">
        <f t="shared" ref="W70:W76" si="13">(J70/1077911.2)*100</f>
        <v>63.968905787415522</v>
      </c>
      <c r="X70">
        <f t="shared" si="12"/>
        <v>62.542443199402697</v>
      </c>
      <c r="Y70">
        <f t="shared" si="12"/>
        <v>60.580871596843977</v>
      </c>
      <c r="Z70">
        <f t="shared" si="12"/>
        <v>56.218360102390633</v>
      </c>
      <c r="AA70">
        <f t="shared" si="12"/>
        <v>57.801792949178008</v>
      </c>
      <c r="AB70">
        <f t="shared" si="12"/>
        <v>84.171312070975787</v>
      </c>
      <c r="AC70">
        <f t="shared" si="12"/>
        <v>85.642676316935933</v>
      </c>
      <c r="AD70">
        <f t="shared" si="12"/>
        <v>64.914438220884989</v>
      </c>
      <c r="AE70">
        <f t="shared" si="12"/>
        <v>27.763325958576178</v>
      </c>
      <c r="AF70">
        <f t="shared" si="12"/>
        <v>14.705107433710682</v>
      </c>
    </row>
    <row r="71" spans="8:32" x14ac:dyDescent="0.2">
      <c r="I71" s="20">
        <v>3120</v>
      </c>
      <c r="J71" s="20">
        <v>852360</v>
      </c>
      <c r="K71" s="20">
        <v>675392</v>
      </c>
      <c r="L71" s="20">
        <v>112560</v>
      </c>
      <c r="M71" s="20">
        <v>7020</v>
      </c>
      <c r="N71" s="20">
        <v>5512</v>
      </c>
      <c r="O71" s="20">
        <v>549824</v>
      </c>
      <c r="P71" s="20">
        <v>483564</v>
      </c>
      <c r="Q71" s="20">
        <v>386376</v>
      </c>
      <c r="R71" s="20">
        <v>268248</v>
      </c>
      <c r="S71" s="20">
        <v>203516</v>
      </c>
      <c r="T71" s="20">
        <v>1048</v>
      </c>
      <c r="W71">
        <f t="shared" si="13"/>
        <v>79.075159437994529</v>
      </c>
      <c r="X71">
        <f t="shared" si="12"/>
        <v>62.657480504887609</v>
      </c>
      <c r="Y71">
        <f t="shared" si="12"/>
        <v>10.442418633371654</v>
      </c>
      <c r="Z71">
        <f t="shared" si="12"/>
        <v>0.65125958427744335</v>
      </c>
      <c r="AA71">
        <f t="shared" si="12"/>
        <v>0.51135937728451109</v>
      </c>
      <c r="AB71">
        <f t="shared" si="12"/>
        <v>51.008283428171076</v>
      </c>
      <c r="AC71">
        <f t="shared" si="12"/>
        <v>44.861209346372874</v>
      </c>
      <c r="AD71">
        <f t="shared" si="12"/>
        <v>35.844882212931829</v>
      </c>
      <c r="AE71">
        <f t="shared" si="12"/>
        <v>24.885908969124731</v>
      </c>
      <c r="AF71">
        <f t="shared" si="12"/>
        <v>18.880590534730505</v>
      </c>
    </row>
    <row r="72" spans="8:32" x14ac:dyDescent="0.2">
      <c r="I72" s="20">
        <v>1920</v>
      </c>
      <c r="J72" s="20">
        <v>114856</v>
      </c>
      <c r="K72" s="20">
        <v>65724</v>
      </c>
      <c r="L72" s="20">
        <v>39076</v>
      </c>
      <c r="M72" s="20">
        <v>21624</v>
      </c>
      <c r="N72" s="20">
        <v>14036</v>
      </c>
      <c r="O72" s="20">
        <v>644216</v>
      </c>
      <c r="P72" s="20">
        <v>544568</v>
      </c>
      <c r="Q72" s="20">
        <v>366648</v>
      </c>
      <c r="R72" s="20">
        <v>136312</v>
      </c>
      <c r="S72" s="20">
        <v>31476</v>
      </c>
      <c r="T72" s="20">
        <v>1152</v>
      </c>
      <c r="W72">
        <f t="shared" si="13"/>
        <v>10.655423192559834</v>
      </c>
      <c r="X72">
        <f t="shared" si="12"/>
        <v>6.0973482787821487</v>
      </c>
      <c r="Y72">
        <f t="shared" si="12"/>
        <v>3.6251594751033296</v>
      </c>
      <c r="Z72">
        <f t="shared" si="12"/>
        <v>2.006102172423851</v>
      </c>
      <c r="AA72">
        <f t="shared" si="12"/>
        <v>1.302148080472677</v>
      </c>
      <c r="AB72">
        <f t="shared" si="12"/>
        <v>59.765219992147777</v>
      </c>
      <c r="AC72">
        <f t="shared" si="12"/>
        <v>50.520673688147966</v>
      </c>
      <c r="AD72">
        <f t="shared" si="12"/>
        <v>34.01467579147522</v>
      </c>
      <c r="AE72">
        <f t="shared" si="12"/>
        <v>12.645939665530889</v>
      </c>
      <c r="AF72">
        <f t="shared" si="12"/>
        <v>2.9200921189055276</v>
      </c>
    </row>
    <row r="73" spans="8:32" x14ac:dyDescent="0.2">
      <c r="I73" s="20">
        <v>1984</v>
      </c>
      <c r="J73" s="20">
        <v>134080</v>
      </c>
      <c r="K73" s="20">
        <v>82988</v>
      </c>
      <c r="L73" s="20">
        <v>42700</v>
      </c>
      <c r="M73" s="20">
        <v>29736</v>
      </c>
      <c r="N73" s="20">
        <v>16240</v>
      </c>
      <c r="O73" s="20">
        <v>528640</v>
      </c>
      <c r="P73" s="20">
        <v>427244</v>
      </c>
      <c r="Q73" s="20">
        <v>380380</v>
      </c>
      <c r="R73" s="20">
        <v>369040</v>
      </c>
      <c r="S73" s="20">
        <v>330588</v>
      </c>
      <c r="T73" s="20">
        <v>2016</v>
      </c>
      <c r="W73">
        <f t="shared" si="13"/>
        <v>12.438872515658062</v>
      </c>
      <c r="X73">
        <f t="shared" si="12"/>
        <v>7.6989644415977869</v>
      </c>
      <c r="Y73">
        <f t="shared" si="12"/>
        <v>3.9613652775850183</v>
      </c>
      <c r="Z73">
        <f t="shared" si="12"/>
        <v>2.7586688031444524</v>
      </c>
      <c r="AA73">
        <f t="shared" si="12"/>
        <v>1.5066176137700398</v>
      </c>
      <c r="AB73">
        <f t="shared" si="12"/>
        <v>49.043000944790258</v>
      </c>
      <c r="AC73">
        <f t="shared" si="12"/>
        <v>39.636289148864954</v>
      </c>
      <c r="AD73">
        <f t="shared" si="12"/>
        <v>35.28862117769998</v>
      </c>
      <c r="AE73">
        <f t="shared" si="12"/>
        <v>34.236586464636417</v>
      </c>
      <c r="AF73">
        <f t="shared" si="12"/>
        <v>30.669316730357753</v>
      </c>
    </row>
    <row r="74" spans="8:32" x14ac:dyDescent="0.2">
      <c r="I74" s="20">
        <v>3268</v>
      </c>
      <c r="J74" s="20">
        <v>798388</v>
      </c>
      <c r="K74" s="20">
        <v>483352</v>
      </c>
      <c r="L74" s="20">
        <v>19176</v>
      </c>
      <c r="M74" s="20">
        <v>2820</v>
      </c>
      <c r="N74" s="20">
        <v>4820</v>
      </c>
      <c r="O74" s="20">
        <v>969600</v>
      </c>
      <c r="P74" s="20">
        <v>930648</v>
      </c>
      <c r="Q74" s="20">
        <v>879000</v>
      </c>
      <c r="R74" s="20">
        <v>907412</v>
      </c>
      <c r="S74" s="20">
        <v>951040</v>
      </c>
      <c r="T74" s="20">
        <v>2588</v>
      </c>
      <c r="W74">
        <f t="shared" si="13"/>
        <v>74.068067944743504</v>
      </c>
      <c r="X74">
        <f t="shared" si="12"/>
        <v>44.84154167801578</v>
      </c>
      <c r="Y74">
        <f t="shared" si="12"/>
        <v>1.7789962661117167</v>
      </c>
      <c r="Z74">
        <f t="shared" si="12"/>
        <v>0.2616170979576054</v>
      </c>
      <c r="AA74">
        <f t="shared" si="12"/>
        <v>0.44716113906229016</v>
      </c>
      <c r="AB74">
        <f t="shared" si="12"/>
        <v>89.951751127551134</v>
      </c>
      <c r="AC74">
        <f t="shared" si="12"/>
        <v>86.3380953829963</v>
      </c>
      <c r="AD74">
        <f t="shared" si="12"/>
        <v>81.546606065508925</v>
      </c>
      <c r="AE74">
        <f t="shared" si="12"/>
        <v>84.182444713442067</v>
      </c>
      <c r="AF74">
        <f t="shared" si="12"/>
        <v>88.22990242609967</v>
      </c>
    </row>
    <row r="75" spans="8:32" x14ac:dyDescent="0.2">
      <c r="I75" s="20">
        <v>3772</v>
      </c>
      <c r="J75" s="20">
        <v>787100</v>
      </c>
      <c r="K75" s="20">
        <v>713680</v>
      </c>
      <c r="L75" s="20">
        <v>517180</v>
      </c>
      <c r="M75" s="20">
        <v>269504</v>
      </c>
      <c r="N75" s="20">
        <v>83940</v>
      </c>
      <c r="O75" s="20">
        <v>854476</v>
      </c>
      <c r="P75" s="20">
        <v>689780</v>
      </c>
      <c r="Q75" s="20">
        <v>276444</v>
      </c>
      <c r="R75" s="20">
        <v>6112</v>
      </c>
      <c r="S75" s="20">
        <v>4640</v>
      </c>
      <c r="T75" s="20">
        <v>2072</v>
      </c>
      <c r="W75">
        <f t="shared" si="13"/>
        <v>73.020857376748666</v>
      </c>
      <c r="X75">
        <f t="shared" si="12"/>
        <v>66.209535627795688</v>
      </c>
      <c r="Y75">
        <f t="shared" si="12"/>
        <v>47.979833589260416</v>
      </c>
      <c r="Z75">
        <f t="shared" si="12"/>
        <v>25.00243062693847</v>
      </c>
      <c r="AA75">
        <f t="shared" si="12"/>
        <v>7.7872834051636168</v>
      </c>
      <c r="AB75">
        <f t="shared" si="12"/>
        <v>79.271465033483281</v>
      </c>
      <c r="AC75">
        <f t="shared" si="12"/>
        <v>63.992284336594707</v>
      </c>
      <c r="AD75">
        <f t="shared" si="12"/>
        <v>25.646268449571728</v>
      </c>
      <c r="AE75">
        <f t="shared" si="12"/>
        <v>0.56702258961591645</v>
      </c>
      <c r="AF75">
        <f t="shared" si="12"/>
        <v>0.43046217536286852</v>
      </c>
    </row>
    <row r="76" spans="8:32" x14ac:dyDescent="0.2">
      <c r="I76" s="20">
        <v>3516</v>
      </c>
      <c r="J76" s="20">
        <v>991932</v>
      </c>
      <c r="K76" s="20">
        <v>953476</v>
      </c>
      <c r="L76" s="20">
        <v>882300</v>
      </c>
      <c r="M76" s="20">
        <v>749428</v>
      </c>
      <c r="N76" s="20">
        <v>744852</v>
      </c>
      <c r="O76" s="20">
        <v>1141356</v>
      </c>
      <c r="P76" s="20">
        <v>1120888</v>
      </c>
      <c r="Q76" s="20">
        <v>1124524</v>
      </c>
      <c r="R76" s="20">
        <v>1069420</v>
      </c>
      <c r="S76" s="20">
        <v>933368</v>
      </c>
      <c r="T76" s="20">
        <v>2540</v>
      </c>
      <c r="W76">
        <f t="shared" si="13"/>
        <v>92.023535890526048</v>
      </c>
      <c r="X76">
        <f t="shared" si="12"/>
        <v>88.455895068165162</v>
      </c>
      <c r="Y76">
        <f t="shared" si="12"/>
        <v>81.852753733331653</v>
      </c>
      <c r="Z76">
        <f t="shared" si="12"/>
        <v>69.52594981850082</v>
      </c>
      <c r="AA76">
        <f t="shared" si="12"/>
        <v>69.101425052453308</v>
      </c>
      <c r="AB76">
        <f t="shared" si="12"/>
        <v>105.88590228953925</v>
      </c>
      <c r="AC76">
        <f t="shared" si="12"/>
        <v>103.98704457287391</v>
      </c>
      <c r="AD76">
        <f t="shared" si="12"/>
        <v>104.32436363960223</v>
      </c>
      <c r="AE76">
        <f t="shared" si="12"/>
        <v>99.212254219085963</v>
      </c>
      <c r="AF76">
        <f t="shared" si="12"/>
        <v>86.590435278898667</v>
      </c>
    </row>
    <row r="77" spans="8:32" x14ac:dyDescent="0.2">
      <c r="S77">
        <f>AVERAGE(O76:S76)</f>
        <v>1077911.2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8E26-DBA6-4A0C-BE08-4F46D346F5CA}">
  <dimension ref="C2:AA41"/>
  <sheetViews>
    <sheetView tabSelected="1" topLeftCell="A33" workbookViewId="0">
      <selection activeCell="U46" sqref="U46"/>
    </sheetView>
  </sheetViews>
  <sheetFormatPr baseColWidth="10" defaultColWidth="8.83203125" defaultRowHeight="15" x14ac:dyDescent="0.2"/>
  <cols>
    <col min="3" max="3" width="24.83203125" customWidth="1"/>
    <col min="7" max="7" width="17" customWidth="1"/>
    <col min="19" max="19" width="12.83203125" customWidth="1"/>
  </cols>
  <sheetData>
    <row r="2" spans="3:27" x14ac:dyDescent="0.2">
      <c r="D2" t="s">
        <v>14640</v>
      </c>
      <c r="E2" t="s">
        <v>14641</v>
      </c>
      <c r="F2" t="s">
        <v>14642</v>
      </c>
      <c r="G2" t="s">
        <v>14643</v>
      </c>
      <c r="L2" t="s">
        <v>14640</v>
      </c>
      <c r="M2" t="s">
        <v>14641</v>
      </c>
      <c r="N2" t="s">
        <v>14642</v>
      </c>
      <c r="O2" t="s">
        <v>14643</v>
      </c>
    </row>
    <row r="3" spans="3:27" x14ac:dyDescent="0.2">
      <c r="C3" s="14" t="s">
        <v>26</v>
      </c>
      <c r="D3">
        <v>19.970096574898051</v>
      </c>
      <c r="E3">
        <v>17.202556523429053</v>
      </c>
      <c r="F3">
        <v>13.07914377153031</v>
      </c>
      <c r="G3">
        <v>6.7013763725327324</v>
      </c>
      <c r="H3" s="2" t="s">
        <v>26</v>
      </c>
      <c r="I3" s="2" t="str">
        <f>LEFT(J10,10)</f>
        <v/>
      </c>
      <c r="J3" s="2" t="s">
        <v>26</v>
      </c>
      <c r="L3">
        <v>114.23352976109986</v>
      </c>
      <c r="M3">
        <v>97.890179959967526</v>
      </c>
      <c r="N3">
        <v>98.688324662789782</v>
      </c>
      <c r="O3">
        <v>92.485948269865659</v>
      </c>
      <c r="P3" s="2" t="s">
        <v>26</v>
      </c>
      <c r="Q3" s="2" t="s">
        <v>14644</v>
      </c>
    </row>
    <row r="4" spans="3:27" x14ac:dyDescent="0.2">
      <c r="C4" s="14" t="s">
        <v>17</v>
      </c>
      <c r="D4">
        <v>26.119043215777975</v>
      </c>
      <c r="E4">
        <v>26.989189002811674</v>
      </c>
      <c r="F4">
        <v>15.879659088415714</v>
      </c>
      <c r="G4">
        <v>8.6579505809853092</v>
      </c>
      <c r="H4" s="2" t="s">
        <v>17</v>
      </c>
      <c r="I4" s="2" t="e">
        <f>LEFT(#REF!,10)</f>
        <v>#REF!</v>
      </c>
      <c r="J4" s="2" t="s">
        <v>17</v>
      </c>
      <c r="L4">
        <v>92.812923580691049</v>
      </c>
      <c r="M4">
        <v>104.95772083992037</v>
      </c>
      <c r="N4">
        <v>86.730370438317848</v>
      </c>
      <c r="O4">
        <v>87.77831615500051</v>
      </c>
      <c r="P4" s="2" t="s">
        <v>17</v>
      </c>
      <c r="Q4" s="2" t="s">
        <v>14645</v>
      </c>
    </row>
    <row r="5" spans="3:27" x14ac:dyDescent="0.2">
      <c r="C5" s="2" t="s">
        <v>22</v>
      </c>
      <c r="D5">
        <v>4.3131145639710745E-2</v>
      </c>
      <c r="E5">
        <v>0.64646565964636227</v>
      </c>
      <c r="F5">
        <v>0.93910546756230662</v>
      </c>
      <c r="G5">
        <v>0.904625627298003</v>
      </c>
      <c r="L5">
        <v>4.9689415765185689</v>
      </c>
      <c r="M5">
        <v>99.411325971198764</v>
      </c>
      <c r="N5">
        <v>99.274578532716902</v>
      </c>
      <c r="O5">
        <v>121.13995237195032</v>
      </c>
      <c r="P5" s="41" t="s">
        <v>22</v>
      </c>
      <c r="S5" s="41" t="s">
        <v>14646</v>
      </c>
      <c r="T5" s="41" t="s">
        <v>14647</v>
      </c>
      <c r="U5" s="41" t="s">
        <v>14648</v>
      </c>
      <c r="V5" s="41" t="s">
        <v>14649</v>
      </c>
      <c r="W5" s="41" t="s">
        <v>14650</v>
      </c>
      <c r="X5" s="41" t="s">
        <v>22</v>
      </c>
      <c r="Y5" s="41" t="s">
        <v>22</v>
      </c>
      <c r="Z5" s="41" t="s">
        <v>14651</v>
      </c>
      <c r="AA5" s="41" t="s">
        <v>14651</v>
      </c>
    </row>
    <row r="6" spans="3:27" x14ac:dyDescent="0.2">
      <c r="C6" s="14" t="s">
        <v>32</v>
      </c>
      <c r="D6">
        <v>1.2505524610769621</v>
      </c>
      <c r="E6">
        <v>4.0659881452040105</v>
      </c>
      <c r="F6">
        <v>4.4160525598146867</v>
      </c>
      <c r="G6">
        <v>3.1609863741940338</v>
      </c>
      <c r="H6" s="2" t="s">
        <v>32</v>
      </c>
      <c r="I6" s="2" t="e">
        <f>LEFT(#REF!,10)</f>
        <v>#REF!</v>
      </c>
      <c r="J6" s="2" t="s">
        <v>32</v>
      </c>
      <c r="L6">
        <v>17.656666784571843</v>
      </c>
      <c r="M6">
        <v>32.042903493372407</v>
      </c>
      <c r="N6">
        <v>54.413295100464524</v>
      </c>
      <c r="O6">
        <v>109.54688363926905</v>
      </c>
      <c r="P6" s="2" t="s">
        <v>32</v>
      </c>
      <c r="Q6" s="2" t="s">
        <v>14652</v>
      </c>
    </row>
    <row r="7" spans="3:27" x14ac:dyDescent="0.2">
      <c r="C7" s="45" t="s">
        <v>6856</v>
      </c>
      <c r="D7">
        <v>0.6573738272936146</v>
      </c>
      <c r="E7">
        <v>1.3244020098612344</v>
      </c>
      <c r="F7">
        <v>3.6138634034109964</v>
      </c>
      <c r="G7">
        <v>2.9329179035003308</v>
      </c>
      <c r="H7" s="2" t="s">
        <v>6856</v>
      </c>
      <c r="I7" s="2" t="e">
        <f>LEFT(#REF!,10)</f>
        <v>#REF!</v>
      </c>
      <c r="J7" s="2" t="s">
        <v>6856</v>
      </c>
      <c r="L7">
        <v>45.581576870592414</v>
      </c>
      <c r="M7">
        <v>68.397413104026384</v>
      </c>
      <c r="N7">
        <v>78.764493662991697</v>
      </c>
      <c r="O7">
        <v>92.352585668969994</v>
      </c>
      <c r="P7" s="2" t="s">
        <v>6856</v>
      </c>
      <c r="Q7" s="2" t="s">
        <v>14653</v>
      </c>
    </row>
    <row r="8" spans="3:27" x14ac:dyDescent="0.2">
      <c r="C8" s="2" t="s">
        <v>6863</v>
      </c>
      <c r="D8">
        <v>4.6140295335504518E-2</v>
      </c>
      <c r="E8">
        <v>0.12726195588461164</v>
      </c>
      <c r="F8">
        <v>1.0148357349064498</v>
      </c>
      <c r="G8">
        <v>1.264595159657333</v>
      </c>
      <c r="L8">
        <v>4.2588026509371009</v>
      </c>
      <c r="M8">
        <v>25.497304569209184</v>
      </c>
      <c r="N8">
        <v>127.0051989412905</v>
      </c>
      <c r="O8">
        <v>116.04847967481189</v>
      </c>
      <c r="P8" s="41" t="s">
        <v>6863</v>
      </c>
      <c r="S8" s="41" t="s">
        <v>14654</v>
      </c>
      <c r="T8" s="41" t="s">
        <v>14655</v>
      </c>
      <c r="U8" s="41" t="s">
        <v>14656</v>
      </c>
      <c r="V8" s="41" t="s">
        <v>14649</v>
      </c>
      <c r="W8" s="41" t="s">
        <v>14650</v>
      </c>
      <c r="X8" s="41" t="s">
        <v>6863</v>
      </c>
    </row>
    <row r="9" spans="3:27" x14ac:dyDescent="0.2">
      <c r="C9" s="14" t="s">
        <v>6869</v>
      </c>
      <c r="D9">
        <v>6.595053083281352E-2</v>
      </c>
      <c r="E9">
        <v>2.0721757092659869</v>
      </c>
      <c r="F9">
        <v>4.2885398414554254</v>
      </c>
      <c r="G9">
        <v>2.5630432533923462</v>
      </c>
      <c r="H9" s="2" t="s">
        <v>6869</v>
      </c>
      <c r="I9" s="2" t="str">
        <f>LEFT(J12,10)</f>
        <v/>
      </c>
      <c r="J9" s="2" t="s">
        <v>6869</v>
      </c>
      <c r="L9">
        <v>3.986661709007882</v>
      </c>
      <c r="M9">
        <v>21.106493252410893</v>
      </c>
      <c r="N9">
        <v>73.099629478753627</v>
      </c>
      <c r="O9">
        <v>85.465795116119395</v>
      </c>
      <c r="P9" s="2" t="s">
        <v>6869</v>
      </c>
      <c r="Q9" s="2" t="s">
        <v>14657</v>
      </c>
    </row>
    <row r="10" spans="3:27" x14ac:dyDescent="0.2">
      <c r="C10" s="2" t="s">
        <v>6861</v>
      </c>
      <c r="D10">
        <v>1.066994329633542</v>
      </c>
      <c r="E10">
        <v>1.1576449642193294</v>
      </c>
      <c r="F10">
        <v>0.85948838186109644</v>
      </c>
      <c r="G10">
        <v>0.82977302861513291</v>
      </c>
      <c r="L10">
        <v>99.014623006097963</v>
      </c>
      <c r="M10">
        <v>63.840067777987827</v>
      </c>
      <c r="N10">
        <v>77.613648883689024</v>
      </c>
      <c r="O10">
        <v>98.030989203552792</v>
      </c>
      <c r="P10" s="41" t="s">
        <v>6861</v>
      </c>
      <c r="S10" s="41" t="s">
        <v>14658</v>
      </c>
      <c r="T10" s="41" t="s">
        <v>14659</v>
      </c>
      <c r="U10" s="41" t="s">
        <v>14660</v>
      </c>
      <c r="V10" s="41" t="s">
        <v>14661</v>
      </c>
      <c r="W10" s="41" t="s">
        <v>14650</v>
      </c>
      <c r="X10" s="41" t="s">
        <v>6861</v>
      </c>
    </row>
    <row r="11" spans="3:27" x14ac:dyDescent="0.2">
      <c r="C11" s="14" t="s">
        <v>6858</v>
      </c>
      <c r="D11">
        <v>0.60295837029467725</v>
      </c>
      <c r="E11">
        <v>1.9795189748830035</v>
      </c>
      <c r="F11">
        <v>12.00324737404671</v>
      </c>
      <c r="G11">
        <v>29.75221532973698</v>
      </c>
      <c r="H11" s="2" t="s">
        <v>6858</v>
      </c>
      <c r="I11" s="2" t="e">
        <f>LEFT(#REF!,10)</f>
        <v>#REF!</v>
      </c>
      <c r="J11" s="2" t="s">
        <v>6858</v>
      </c>
      <c r="L11">
        <v>9.4247417749715972</v>
      </c>
      <c r="M11">
        <v>8.9948674015261894</v>
      </c>
      <c r="N11">
        <v>22.255984096679086</v>
      </c>
      <c r="O11">
        <v>54.728084995979664</v>
      </c>
      <c r="P11" s="2" t="s">
        <v>6858</v>
      </c>
      <c r="Q11" s="2" t="s">
        <v>14662</v>
      </c>
    </row>
    <row r="12" spans="3:27" x14ac:dyDescent="0.2">
      <c r="C12" s="2" t="s">
        <v>14663</v>
      </c>
      <c r="D12">
        <v>7.0464255376504178E-2</v>
      </c>
      <c r="E12">
        <v>0.61725183134969763</v>
      </c>
      <c r="F12">
        <v>1.1043579383563147</v>
      </c>
      <c r="G12">
        <v>1.2997019061082604</v>
      </c>
      <c r="L12">
        <v>10.253350016069517</v>
      </c>
      <c r="M12">
        <v>11.28369457730402</v>
      </c>
      <c r="N12">
        <v>40.968043240623196</v>
      </c>
      <c r="O12">
        <v>87.249604524038531</v>
      </c>
      <c r="P12" t="s">
        <v>14664</v>
      </c>
      <c r="S12" t="s">
        <v>14665</v>
      </c>
      <c r="T12" t="s">
        <v>14666</v>
      </c>
      <c r="U12" t="s">
        <v>14667</v>
      </c>
      <c r="V12" t="s">
        <v>14649</v>
      </c>
      <c r="W12" t="s">
        <v>14650</v>
      </c>
      <c r="X12" t="s">
        <v>14664</v>
      </c>
    </row>
    <row r="13" spans="3:27" x14ac:dyDescent="0.2">
      <c r="C13" s="2" t="s">
        <v>14616</v>
      </c>
      <c r="D13">
        <v>3.39469700056735</v>
      </c>
      <c r="E13">
        <v>5.5718168054741453</v>
      </c>
      <c r="F13">
        <v>7.4939111736624175</v>
      </c>
      <c r="G13">
        <v>7.9184520432439891</v>
      </c>
      <c r="H13" s="15" t="s">
        <v>14668</v>
      </c>
      <c r="I13" s="2" t="str">
        <f>LEFT(J16,10)</f>
        <v/>
      </c>
      <c r="J13" s="15" t="s">
        <v>14669</v>
      </c>
      <c r="L13">
        <v>31.518253667513836</v>
      </c>
      <c r="M13">
        <v>50.956698957453092</v>
      </c>
      <c r="N13">
        <v>57.633629579960278</v>
      </c>
      <c r="O13">
        <v>69.657249653604183</v>
      </c>
      <c r="P13" s="15" t="s">
        <v>14668</v>
      </c>
      <c r="Q13" s="2" t="s">
        <v>14670</v>
      </c>
    </row>
    <row r="14" spans="3:27" x14ac:dyDescent="0.2">
      <c r="C14" s="2" t="s">
        <v>14617</v>
      </c>
      <c r="D14">
        <v>0.32285668611120688</v>
      </c>
      <c r="E14">
        <v>2.9127315242910474</v>
      </c>
      <c r="F14">
        <v>5.7368185137935033</v>
      </c>
      <c r="G14">
        <v>4.4356120328373461</v>
      </c>
      <c r="H14" s="15" t="s">
        <v>14668</v>
      </c>
      <c r="I14" s="2" t="e">
        <f>LEFT(#REF!,10)</f>
        <v>#REF!</v>
      </c>
      <c r="J14" s="15" t="s">
        <v>14671</v>
      </c>
      <c r="L14">
        <v>6.1583735043037366</v>
      </c>
      <c r="M14">
        <v>39.272239609944855</v>
      </c>
      <c r="N14">
        <v>57.93014135251002</v>
      </c>
      <c r="O14">
        <v>76.912987503348873</v>
      </c>
      <c r="P14" s="15" t="s">
        <v>14668</v>
      </c>
      <c r="Q14" s="2" t="s">
        <v>14672</v>
      </c>
    </row>
    <row r="15" spans="3:27" x14ac:dyDescent="0.2">
      <c r="C15" s="14" t="s">
        <v>14629</v>
      </c>
      <c r="D15">
        <v>4.8985195610402883</v>
      </c>
      <c r="E15">
        <v>12.242224012387666</v>
      </c>
      <c r="F15">
        <v>25.909405786971007</v>
      </c>
      <c r="G15">
        <v>16.380431750290729</v>
      </c>
      <c r="H15" s="2" t="s">
        <v>66</v>
      </c>
      <c r="I15" s="2" t="e">
        <f>LEFT(#REF!,10)</f>
        <v>#REF!</v>
      </c>
      <c r="J15" s="2" t="s">
        <v>66</v>
      </c>
      <c r="L15">
        <v>32.941916356262958</v>
      </c>
      <c r="M15">
        <v>38.881629352499189</v>
      </c>
      <c r="N15">
        <v>54.038255095915297</v>
      </c>
      <c r="O15">
        <v>80.108951152224108</v>
      </c>
      <c r="P15" s="2" t="s">
        <v>66</v>
      </c>
      <c r="Q15" s="2" t="s">
        <v>14673</v>
      </c>
    </row>
    <row r="16" spans="3:27" x14ac:dyDescent="0.2">
      <c r="C16" t="s">
        <v>14619</v>
      </c>
    </row>
    <row r="17" spans="3:16" x14ac:dyDescent="0.2">
      <c r="C17" t="s">
        <v>14620</v>
      </c>
    </row>
    <row r="18" spans="3:16" x14ac:dyDescent="0.2">
      <c r="C18" s="2" t="s">
        <v>14618</v>
      </c>
    </row>
    <row r="20" spans="3:16" x14ac:dyDescent="0.2">
      <c r="C20" t="s">
        <v>14640</v>
      </c>
      <c r="D20" t="s">
        <v>14641</v>
      </c>
      <c r="E20" t="s">
        <v>14642</v>
      </c>
      <c r="F20" t="s">
        <v>14643</v>
      </c>
      <c r="K20" t="s">
        <v>14640</v>
      </c>
      <c r="L20" t="s">
        <v>14641</v>
      </c>
      <c r="M20" t="s">
        <v>14642</v>
      </c>
      <c r="N20" t="s">
        <v>14643</v>
      </c>
    </row>
    <row r="21" spans="3:16" x14ac:dyDescent="0.2">
      <c r="C21">
        <v>5.9305325254602276E-2</v>
      </c>
      <c r="D21">
        <v>0.99590316807041412</v>
      </c>
      <c r="E21">
        <v>8.0635181348287137</v>
      </c>
      <c r="F21">
        <v>5.0919828102323628</v>
      </c>
      <c r="G21" s="2" t="s">
        <v>14674</v>
      </c>
      <c r="H21" s="2" t="e">
        <f>LEFT(#REF!,10)</f>
        <v>#REF!</v>
      </c>
      <c r="I21" s="2" t="s">
        <v>14674</v>
      </c>
      <c r="K21">
        <v>3.7754478436299808</v>
      </c>
      <c r="L21">
        <v>19.824993742281514</v>
      </c>
      <c r="M21">
        <v>73.780658801093907</v>
      </c>
      <c r="N21">
        <v>89.945289177675718</v>
      </c>
      <c r="O21" s="2" t="s">
        <v>14674</v>
      </c>
      <c r="P21" s="2" t="s">
        <v>14675</v>
      </c>
    </row>
    <row r="22" spans="3:16" x14ac:dyDescent="0.2">
      <c r="C22">
        <v>8.7745551316973174</v>
      </c>
      <c r="D22">
        <v>5.4318913446197348</v>
      </c>
      <c r="E22">
        <v>4.6936466192516617</v>
      </c>
      <c r="F22">
        <v>2.4010506947687813</v>
      </c>
      <c r="G22" s="2" t="s">
        <v>152</v>
      </c>
      <c r="H22" s="2" t="str">
        <f>LEFT(J5,10)</f>
        <v/>
      </c>
      <c r="I22" s="2" t="s">
        <v>152</v>
      </c>
      <c r="K22">
        <v>101.04823342787751</v>
      </c>
      <c r="L22">
        <v>108.59439034251679</v>
      </c>
      <c r="M22">
        <v>101.14639371787683</v>
      </c>
      <c r="N22">
        <v>101.22830678746249</v>
      </c>
      <c r="O22" s="2" t="s">
        <v>152</v>
      </c>
      <c r="P22" s="2" t="s">
        <v>14676</v>
      </c>
    </row>
    <row r="23" spans="3:16" x14ac:dyDescent="0.2">
      <c r="O23" s="2"/>
      <c r="P23" s="2"/>
    </row>
    <row r="24" spans="3:16" x14ac:dyDescent="0.2">
      <c r="C24">
        <v>2.0311760446607968E-2</v>
      </c>
      <c r="D24">
        <v>5.6546938033457984E-2</v>
      </c>
      <c r="E24">
        <v>5.3199258996887409</v>
      </c>
      <c r="F24">
        <v>6.8545922445435652</v>
      </c>
      <c r="G24" s="2" t="s">
        <v>6883</v>
      </c>
      <c r="H24" s="2" t="e">
        <f>LEFT(#REF!,10)</f>
        <v>#REF!</v>
      </c>
      <c r="I24" s="2" t="s">
        <v>6883</v>
      </c>
      <c r="K24">
        <v>1.6281068789546538</v>
      </c>
      <c r="L24">
        <v>3.8377288552157727</v>
      </c>
      <c r="M24">
        <v>90.823858298513002</v>
      </c>
      <c r="N24">
        <v>82.390331685312319</v>
      </c>
      <c r="O24" s="2" t="s">
        <v>6883</v>
      </c>
      <c r="P24" s="2" t="s">
        <v>14677</v>
      </c>
    </row>
    <row r="25" spans="3:16" x14ac:dyDescent="0.2">
      <c r="C25">
        <v>0.8483294517391945</v>
      </c>
      <c r="D25">
        <v>2.4533346707331982</v>
      </c>
      <c r="E25">
        <v>2.4158456807731006</v>
      </c>
      <c r="F25">
        <v>0.81234503662699398</v>
      </c>
      <c r="G25" s="2" t="s">
        <v>14678</v>
      </c>
      <c r="H25" s="2" t="str">
        <f>LEFT(J8,10)</f>
        <v/>
      </c>
      <c r="I25" s="2" t="s">
        <v>14678</v>
      </c>
      <c r="K25">
        <v>54.559520084187682</v>
      </c>
      <c r="L25">
        <v>91.516530785182468</v>
      </c>
      <c r="M25">
        <v>108.4089012427939</v>
      </c>
      <c r="N25">
        <v>91.544963420906413</v>
      </c>
      <c r="O25" s="2" t="s">
        <v>14678</v>
      </c>
      <c r="P25" s="2" t="s">
        <v>14679</v>
      </c>
    </row>
    <row r="28" spans="3:16" x14ac:dyDescent="0.2">
      <c r="D28" t="s">
        <v>14643</v>
      </c>
      <c r="E28" t="s">
        <v>14642</v>
      </c>
      <c r="F28" t="s">
        <v>14641</v>
      </c>
      <c r="G28" t="s">
        <v>14640</v>
      </c>
      <c r="K28" t="s">
        <v>14643</v>
      </c>
      <c r="L28" t="s">
        <v>14642</v>
      </c>
      <c r="M28" t="s">
        <v>14641</v>
      </c>
      <c r="N28" t="s">
        <v>14640</v>
      </c>
      <c r="O28" t="s">
        <v>14641</v>
      </c>
    </row>
    <row r="29" spans="3:16" x14ac:dyDescent="0.2">
      <c r="D29">
        <v>6.7013763725327324</v>
      </c>
      <c r="E29">
        <v>13.07914377153031</v>
      </c>
      <c r="F29">
        <v>17.202556523429053</v>
      </c>
      <c r="G29">
        <v>19.970096574898051</v>
      </c>
      <c r="I29" s="2" t="s">
        <v>26</v>
      </c>
      <c r="K29">
        <v>92.485948269865659</v>
      </c>
      <c r="L29">
        <v>98.688324662789782</v>
      </c>
      <c r="M29">
        <v>97.890179959967526</v>
      </c>
      <c r="N29">
        <v>114.23352976109986</v>
      </c>
      <c r="O29">
        <v>97.890179959967526</v>
      </c>
    </row>
    <row r="30" spans="3:16" x14ac:dyDescent="0.2">
      <c r="D30">
        <v>8.6579505809853092</v>
      </c>
      <c r="E30">
        <v>15.879659088415714</v>
      </c>
      <c r="F30">
        <v>26.989189002811674</v>
      </c>
      <c r="G30">
        <v>26.119043215777975</v>
      </c>
      <c r="I30" s="2" t="s">
        <v>17</v>
      </c>
      <c r="K30">
        <v>87.77831615500051</v>
      </c>
      <c r="L30">
        <v>86.730370438317848</v>
      </c>
      <c r="M30">
        <v>104.95772083992037</v>
      </c>
      <c r="N30">
        <v>92.812923580691049</v>
      </c>
      <c r="O30">
        <v>104.95772083992037</v>
      </c>
    </row>
    <row r="31" spans="3:16" x14ac:dyDescent="0.2">
      <c r="D31">
        <v>0.904625627298003</v>
      </c>
      <c r="E31">
        <v>0.93910546756230662</v>
      </c>
      <c r="F31">
        <v>0.64646565964636227</v>
      </c>
      <c r="G31">
        <v>4.3131145639710745E-2</v>
      </c>
      <c r="I31" s="2" t="s">
        <v>22</v>
      </c>
      <c r="K31">
        <v>121.13995237195032</v>
      </c>
      <c r="L31">
        <v>99.274578532716902</v>
      </c>
      <c r="M31">
        <v>99.411325971198764</v>
      </c>
      <c r="N31">
        <v>4.9689415765185689</v>
      </c>
      <c r="O31">
        <v>99.411325971198764</v>
      </c>
    </row>
    <row r="32" spans="3:16" x14ac:dyDescent="0.2">
      <c r="D32">
        <v>3.1609863741940338</v>
      </c>
      <c r="E32">
        <v>4.4160525598146867</v>
      </c>
      <c r="F32">
        <v>4.0659881452040105</v>
      </c>
      <c r="G32">
        <v>1.2505524610769621</v>
      </c>
      <c r="I32" s="2" t="s">
        <v>32</v>
      </c>
      <c r="K32">
        <v>109.54688363926905</v>
      </c>
      <c r="L32">
        <v>54.413295100464524</v>
      </c>
      <c r="M32">
        <v>32.042903493372407</v>
      </c>
      <c r="N32">
        <v>17.656666784571843</v>
      </c>
      <c r="O32">
        <v>32.042903493372407</v>
      </c>
    </row>
    <row r="33" spans="4:15" x14ac:dyDescent="0.2">
      <c r="D33">
        <v>2.9329179035003308</v>
      </c>
      <c r="E33">
        <v>3.6138634034109964</v>
      </c>
      <c r="F33">
        <v>1.3244020098612344</v>
      </c>
      <c r="G33">
        <v>0.6573738272936146</v>
      </c>
      <c r="I33" s="2" t="s">
        <v>6856</v>
      </c>
      <c r="K33">
        <v>92.352585668969994</v>
      </c>
      <c r="L33">
        <v>78.764493662991697</v>
      </c>
      <c r="M33">
        <v>68.397413104026384</v>
      </c>
      <c r="N33">
        <v>45.581576870592414</v>
      </c>
      <c r="O33">
        <v>68.397413104026384</v>
      </c>
    </row>
    <row r="34" spans="4:15" x14ac:dyDescent="0.2">
      <c r="D34">
        <v>1.264595159657333</v>
      </c>
      <c r="E34">
        <v>1.0148357349064498</v>
      </c>
      <c r="F34">
        <v>0.12726195588461164</v>
      </c>
      <c r="G34">
        <v>4.6140295335504518E-2</v>
      </c>
      <c r="I34" s="2" t="s">
        <v>6863</v>
      </c>
      <c r="K34">
        <v>116.04847967481189</v>
      </c>
      <c r="L34">
        <v>127.0051989412905</v>
      </c>
      <c r="M34">
        <v>25.497304569209184</v>
      </c>
      <c r="N34">
        <v>4.2588026509371009</v>
      </c>
      <c r="O34">
        <v>25.497304569209184</v>
      </c>
    </row>
    <row r="35" spans="4:15" x14ac:dyDescent="0.2">
      <c r="D35">
        <v>2.5630432533923462</v>
      </c>
      <c r="E35">
        <v>4.2885398414554254</v>
      </c>
      <c r="F35">
        <v>2.0721757092659869</v>
      </c>
      <c r="G35">
        <v>6.595053083281352E-2</v>
      </c>
      <c r="I35" s="2" t="s">
        <v>6869</v>
      </c>
      <c r="K35">
        <v>85.465795116119395</v>
      </c>
      <c r="L35">
        <v>73.099629478753627</v>
      </c>
      <c r="M35">
        <v>21.106493252410893</v>
      </c>
      <c r="N35">
        <v>3.986661709007882</v>
      </c>
      <c r="O35">
        <v>21.106493252410893</v>
      </c>
    </row>
    <row r="36" spans="4:15" x14ac:dyDescent="0.2">
      <c r="D36">
        <v>0.82977302861513291</v>
      </c>
      <c r="E36">
        <v>0.85948838186109644</v>
      </c>
      <c r="F36">
        <v>1.1576449642193294</v>
      </c>
      <c r="G36">
        <v>1.066994329633542</v>
      </c>
      <c r="I36" s="2" t="s">
        <v>6861</v>
      </c>
      <c r="K36">
        <v>98.030989203552792</v>
      </c>
      <c r="L36">
        <v>77.613648883689024</v>
      </c>
      <c r="M36">
        <v>63.840067777987827</v>
      </c>
      <c r="N36">
        <v>99.014623006097963</v>
      </c>
      <c r="O36">
        <v>63.840067777987827</v>
      </c>
    </row>
    <row r="37" spans="4:15" x14ac:dyDescent="0.2">
      <c r="D37">
        <v>29.75221532973698</v>
      </c>
      <c r="E37">
        <v>12.00324737404671</v>
      </c>
      <c r="F37">
        <v>1.9795189748830035</v>
      </c>
      <c r="G37">
        <v>0.60295837029467725</v>
      </c>
      <c r="I37" s="2" t="s">
        <v>6858</v>
      </c>
      <c r="K37">
        <v>54.728084995979664</v>
      </c>
      <c r="L37">
        <v>22.255984096679086</v>
      </c>
      <c r="M37">
        <v>8.9948674015261894</v>
      </c>
      <c r="N37">
        <v>9.4247417749715972</v>
      </c>
      <c r="O37">
        <v>8.9948674015261894</v>
      </c>
    </row>
    <row r="38" spans="4:15" x14ac:dyDescent="0.2">
      <c r="D38">
        <v>1.2997019061082604</v>
      </c>
      <c r="E38">
        <v>1.1043579383563147</v>
      </c>
      <c r="F38">
        <v>0.61725183134969763</v>
      </c>
      <c r="G38">
        <v>7.0464255376504178E-2</v>
      </c>
      <c r="I38" s="2" t="s">
        <v>14634</v>
      </c>
      <c r="K38">
        <v>87.249604524038531</v>
      </c>
      <c r="L38">
        <v>40.968043240623196</v>
      </c>
      <c r="M38">
        <v>11.28369457730402</v>
      </c>
      <c r="N38">
        <v>10.253350016069517</v>
      </c>
      <c r="O38">
        <v>11.28369457730402</v>
      </c>
    </row>
    <row r="39" spans="4:15" x14ac:dyDescent="0.2">
      <c r="D39">
        <v>7.9184520432439891</v>
      </c>
      <c r="E39">
        <v>7.4939111736624175</v>
      </c>
      <c r="F39">
        <v>5.5718168054741453</v>
      </c>
      <c r="G39">
        <v>3.39469700056735</v>
      </c>
      <c r="I39" s="2" t="s">
        <v>14616</v>
      </c>
      <c r="K39">
        <v>69.657249653604183</v>
      </c>
      <c r="L39">
        <v>57.633629579960278</v>
      </c>
      <c r="M39">
        <v>50.956698957453092</v>
      </c>
      <c r="N39">
        <v>31.518253667513836</v>
      </c>
      <c r="O39">
        <v>50.956698957453092</v>
      </c>
    </row>
    <row r="40" spans="4:15" x14ac:dyDescent="0.2">
      <c r="D40">
        <v>4.4356120328373461</v>
      </c>
      <c r="E40">
        <v>5.7368185137935033</v>
      </c>
      <c r="F40">
        <v>2.9127315242910474</v>
      </c>
      <c r="G40">
        <v>0.32285668611120688</v>
      </c>
      <c r="I40" s="2" t="s">
        <v>14617</v>
      </c>
      <c r="K40">
        <v>76.912987503348873</v>
      </c>
      <c r="L40">
        <v>57.93014135251002</v>
      </c>
      <c r="M40">
        <v>39.272239609944855</v>
      </c>
      <c r="N40">
        <v>6.1583735043037366</v>
      </c>
      <c r="O40">
        <v>39.272239609944855</v>
      </c>
    </row>
    <row r="41" spans="4:15" x14ac:dyDescent="0.2">
      <c r="D41">
        <v>16.380431750290729</v>
      </c>
      <c r="E41">
        <v>25.909405786971007</v>
      </c>
      <c r="F41">
        <v>12.242224012387666</v>
      </c>
      <c r="G41">
        <v>4.8985195610402883</v>
      </c>
      <c r="I41" s="2" t="s">
        <v>14629</v>
      </c>
      <c r="K41">
        <v>80.108951152224108</v>
      </c>
      <c r="L41">
        <v>54.038255095915297</v>
      </c>
      <c r="M41">
        <v>38.881629352499189</v>
      </c>
      <c r="N41">
        <v>32.941916356262958</v>
      </c>
      <c r="O41">
        <v>38.881629352499189</v>
      </c>
    </row>
  </sheetData>
  <conditionalFormatting sqref="C21:F22 C24:F25 D11:G11 D3:G4 D9:G9 D6:G7 D13:G15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G5">
    <cfRule type="cellIs" dxfId="7" priority="16" operator="greaterThan">
      <formula>2</formula>
    </cfRule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:G8">
    <cfRule type="cellIs" dxfId="6" priority="14" operator="greaterThan">
      <formula>2</formula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0:G10">
    <cfRule type="cellIs" dxfId="5" priority="12" operator="greaterThan">
      <formula>2</formula>
    </cfRule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:G12">
    <cfRule type="cellIs" dxfId="4" priority="10" operator="greaterThan">
      <formula>2</formula>
    </cfRule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1:G31">
    <cfRule type="cellIs" dxfId="3" priority="7" operator="greaterThan">
      <formula>2</formula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4:G34">
    <cfRule type="cellIs" dxfId="2" priority="5" operator="greaterThan">
      <formula>2</formula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6:G36">
    <cfRule type="cellIs" dxfId="1" priority="3" operator="greaterThan">
      <formula>2</formula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7:G37 D29:G30 D35:G35 D32:G33 D39:G4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:G38">
    <cfRule type="cellIs" dxfId="0" priority="1" operator="greaterThan">
      <formula>2</formula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10 uM plates-9</vt:lpstr>
      <vt:lpstr>10 and 1 uM combined</vt:lpstr>
      <vt:lpstr>1 um pates-10</vt:lpstr>
      <vt:lpstr>Hits from 56 plate</vt:lpstr>
      <vt:lpstr>experiement design (96-well (2)</vt:lpstr>
      <vt:lpstr>Fig 4C Raw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Yang, Jianping</dc:creator>
  <cp:keywords/>
  <dc:description/>
  <cp:lastModifiedBy>shane horman</cp:lastModifiedBy>
  <cp:revision/>
  <dcterms:created xsi:type="dcterms:W3CDTF">2021-08-25T17:07:27Z</dcterms:created>
  <dcterms:modified xsi:type="dcterms:W3CDTF">2024-10-25T18:49:30Z</dcterms:modified>
  <cp:category/>
  <cp:contentStatus/>
</cp:coreProperties>
</file>