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ehorman/Desktop/SCD Paper/"/>
    </mc:Choice>
  </mc:AlternateContent>
  <xr:revisionPtr revIDLastSave="0" documentId="13_ncr:1_{9A9B632B-2926-A94C-BC51-884C92C112F9}" xr6:coauthVersionLast="36" xr6:coauthVersionMax="36" xr10:uidLastSave="{00000000-0000-0000-0000-000000000000}"/>
  <bookViews>
    <workbookView xWindow="660" yWindow="500" windowWidth="25760" windowHeight="16300" activeTab="2" xr2:uid="{3C271A65-A0BE-4056-8CF6-017E26006005}"/>
  </bookViews>
  <sheets>
    <sheet name="032123" sheetId="8" r:id="rId1"/>
    <sheet name="040623_analysis" sheetId="2" r:id="rId2"/>
    <sheet name="Fig 6B Supporting Data" sheetId="10" r:id="rId3"/>
    <sheet name="camparison GAPDH" sheetId="3" r:id="rId4"/>
    <sheet name="042123" sheetId="9" r:id="rId5"/>
    <sheet name="dilution " sheetId="7" r:id="rId6"/>
    <sheet name="041023-HbF" sheetId="6" r:id="rId7"/>
    <sheet name="041023_GAPDH" sheetId="5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2" l="1"/>
  <c r="AB17" i="2"/>
  <c r="AC17" i="2"/>
  <c r="AD17" i="2"/>
  <c r="AE17" i="2"/>
  <c r="AF17" i="2"/>
  <c r="AG17" i="2"/>
  <c r="AH17" i="2"/>
  <c r="AI17" i="2"/>
  <c r="AA17" i="2"/>
  <c r="O98" i="2"/>
  <c r="P98" i="2"/>
  <c r="Q98" i="2"/>
  <c r="R98" i="2"/>
  <c r="S98" i="2"/>
  <c r="T98" i="2"/>
  <c r="U98" i="2"/>
  <c r="V98" i="2"/>
  <c r="W98" i="2"/>
  <c r="X98" i="2"/>
  <c r="N98" i="2"/>
  <c r="D85" i="2"/>
  <c r="Q73" i="9"/>
  <c r="Q74" i="9"/>
  <c r="Q75" i="9"/>
  <c r="Q76" i="9"/>
  <c r="Q77" i="9"/>
  <c r="Q78" i="9"/>
  <c r="Q79" i="9"/>
  <c r="Q80" i="9"/>
  <c r="Q81" i="9"/>
  <c r="Q82" i="9"/>
  <c r="Q72" i="9"/>
  <c r="Q59" i="9"/>
  <c r="Q60" i="9"/>
  <c r="Q61" i="9"/>
  <c r="Q62" i="9"/>
  <c r="Q63" i="9"/>
  <c r="Q64" i="9"/>
  <c r="Q65" i="9"/>
  <c r="Q66" i="9"/>
  <c r="Q67" i="9"/>
  <c r="Q68" i="9"/>
  <c r="Q58" i="9"/>
  <c r="Q17" i="9"/>
  <c r="Q18" i="9"/>
  <c r="Q19" i="9"/>
  <c r="Q20" i="9"/>
  <c r="Q21" i="9"/>
  <c r="Q22" i="9"/>
  <c r="Q23" i="9"/>
  <c r="Q24" i="9"/>
  <c r="Q25" i="9"/>
  <c r="Q26" i="9"/>
  <c r="Q16" i="9"/>
  <c r="S88" i="9"/>
  <c r="S89" i="9"/>
  <c r="S90" i="9"/>
  <c r="S91" i="9"/>
  <c r="S92" i="9"/>
  <c r="S93" i="9"/>
  <c r="S94" i="9"/>
  <c r="S95" i="9"/>
  <c r="S96" i="9"/>
  <c r="S87" i="9"/>
  <c r="R87" i="9"/>
  <c r="R88" i="9"/>
  <c r="R89" i="9"/>
  <c r="R90" i="9"/>
  <c r="R91" i="9"/>
  <c r="R92" i="9"/>
  <c r="R93" i="9"/>
  <c r="R94" i="9"/>
  <c r="R95" i="9"/>
  <c r="R96" i="9"/>
  <c r="R86" i="9"/>
  <c r="N88" i="9"/>
  <c r="N87" i="9"/>
  <c r="N86" i="9"/>
  <c r="O102" i="9"/>
  <c r="O103" i="9"/>
  <c r="O104" i="9"/>
  <c r="O105" i="9"/>
  <c r="O106" i="9"/>
  <c r="O107" i="9"/>
  <c r="O108" i="9"/>
  <c r="O109" i="9"/>
  <c r="O110" i="9"/>
  <c r="N101" i="9"/>
  <c r="O101" i="9" s="1"/>
  <c r="N100" i="9"/>
  <c r="N102" i="9"/>
  <c r="N103" i="9"/>
  <c r="N104" i="9"/>
  <c r="N105" i="9"/>
  <c r="N106" i="9"/>
  <c r="N107" i="9"/>
  <c r="N109" i="9"/>
  <c r="N110" i="9"/>
  <c r="O71" i="10"/>
  <c r="O72" i="10"/>
  <c r="O73" i="10"/>
  <c r="O74" i="10"/>
  <c r="O75" i="10"/>
  <c r="O76" i="10"/>
  <c r="O77" i="10"/>
  <c r="O78" i="10"/>
  <c r="O79" i="10"/>
  <c r="O70" i="10"/>
  <c r="O60" i="10"/>
  <c r="O61" i="10"/>
  <c r="O62" i="10"/>
  <c r="O63" i="10"/>
  <c r="O64" i="10"/>
  <c r="O65" i="10"/>
  <c r="O66" i="10"/>
  <c r="O67" i="10"/>
  <c r="O68" i="10"/>
  <c r="O59" i="10"/>
  <c r="O49" i="10"/>
  <c r="O50" i="10"/>
  <c r="O51" i="10"/>
  <c r="O52" i="10"/>
  <c r="O53" i="10"/>
  <c r="O54" i="10"/>
  <c r="O55" i="10"/>
  <c r="O56" i="10"/>
  <c r="O57" i="10"/>
  <c r="O48" i="10"/>
  <c r="O38" i="10"/>
  <c r="O39" i="10"/>
  <c r="O40" i="10"/>
  <c r="O41" i="10"/>
  <c r="O42" i="10"/>
  <c r="O43" i="10"/>
  <c r="O44" i="10"/>
  <c r="O45" i="10"/>
  <c r="O46" i="10"/>
  <c r="O37" i="10"/>
  <c r="O27" i="10"/>
  <c r="O28" i="10"/>
  <c r="O29" i="10"/>
  <c r="O30" i="10"/>
  <c r="O31" i="10"/>
  <c r="O32" i="10"/>
  <c r="O33" i="10"/>
  <c r="O34" i="10"/>
  <c r="O35" i="10"/>
  <c r="O26" i="10"/>
  <c r="O16" i="10"/>
  <c r="O17" i="10"/>
  <c r="O18" i="10"/>
  <c r="O19" i="10"/>
  <c r="O20" i="10"/>
  <c r="O21" i="10"/>
  <c r="O22" i="10"/>
  <c r="O23" i="10"/>
  <c r="O24" i="10"/>
  <c r="O15" i="10"/>
  <c r="O13" i="10"/>
  <c r="O5" i="10"/>
  <c r="O6" i="10"/>
  <c r="O7" i="10"/>
  <c r="O8" i="10"/>
  <c r="O9" i="10"/>
  <c r="O10" i="10"/>
  <c r="O11" i="10"/>
  <c r="O12" i="10"/>
  <c r="O4" i="10"/>
  <c r="N70" i="10"/>
  <c r="N71" i="10"/>
  <c r="N72" i="10"/>
  <c r="N73" i="10"/>
  <c r="N74" i="10"/>
  <c r="N75" i="10"/>
  <c r="N76" i="10"/>
  <c r="N77" i="10"/>
  <c r="N78" i="10"/>
  <c r="N79" i="10"/>
  <c r="N69" i="10"/>
  <c r="N59" i="10"/>
  <c r="N60" i="10"/>
  <c r="N61" i="10"/>
  <c r="N62" i="10"/>
  <c r="N63" i="10"/>
  <c r="N64" i="10"/>
  <c r="N65" i="10"/>
  <c r="N66" i="10"/>
  <c r="N67" i="10"/>
  <c r="N68" i="10"/>
  <c r="N58" i="10"/>
  <c r="N48" i="10"/>
  <c r="N49" i="10"/>
  <c r="N50" i="10"/>
  <c r="N51" i="10"/>
  <c r="N52" i="10"/>
  <c r="N53" i="10"/>
  <c r="N54" i="10"/>
  <c r="N55" i="10"/>
  <c r="N56" i="10"/>
  <c r="N57" i="10"/>
  <c r="N47" i="10"/>
  <c r="N37" i="10"/>
  <c r="N38" i="10"/>
  <c r="N39" i="10"/>
  <c r="N40" i="10"/>
  <c r="N41" i="10"/>
  <c r="N42" i="10"/>
  <c r="N43" i="10"/>
  <c r="N44" i="10"/>
  <c r="N45" i="10"/>
  <c r="N46" i="10"/>
  <c r="N36" i="10"/>
  <c r="N26" i="10"/>
  <c r="N27" i="10"/>
  <c r="N28" i="10"/>
  <c r="N29" i="10"/>
  <c r="N30" i="10"/>
  <c r="N31" i="10"/>
  <c r="N32" i="10"/>
  <c r="N33" i="10"/>
  <c r="N34" i="10"/>
  <c r="N35" i="10"/>
  <c r="N25" i="10"/>
  <c r="N15" i="10"/>
  <c r="N16" i="10"/>
  <c r="N17" i="10"/>
  <c r="N18" i="10"/>
  <c r="N19" i="10"/>
  <c r="N20" i="10"/>
  <c r="N21" i="10"/>
  <c r="N22" i="10"/>
  <c r="N23" i="10"/>
  <c r="N24" i="10"/>
  <c r="N14" i="10"/>
  <c r="N4" i="10"/>
  <c r="N5" i="10"/>
  <c r="N6" i="10"/>
  <c r="N7" i="10"/>
  <c r="N8" i="10"/>
  <c r="N9" i="10"/>
  <c r="N10" i="10"/>
  <c r="N11" i="10"/>
  <c r="N12" i="10"/>
  <c r="N13" i="10"/>
  <c r="N3" i="10"/>
  <c r="P59" i="9"/>
  <c r="P88" i="9"/>
  <c r="P89" i="9"/>
  <c r="P90" i="9"/>
  <c r="P91" i="9"/>
  <c r="P92" i="9"/>
  <c r="P93" i="9"/>
  <c r="P94" i="9"/>
  <c r="P95" i="9"/>
  <c r="P96" i="9"/>
  <c r="P87" i="9"/>
  <c r="P74" i="9"/>
  <c r="P75" i="9"/>
  <c r="P76" i="9"/>
  <c r="P77" i="9"/>
  <c r="P78" i="9"/>
  <c r="P79" i="9"/>
  <c r="P80" i="9"/>
  <c r="P81" i="9"/>
  <c r="P82" i="9"/>
  <c r="P73" i="9"/>
  <c r="P60" i="9"/>
  <c r="P61" i="9"/>
  <c r="P62" i="9"/>
  <c r="P63" i="9"/>
  <c r="P64" i="9"/>
  <c r="P65" i="9"/>
  <c r="P66" i="9"/>
  <c r="P67" i="9"/>
  <c r="P68" i="9"/>
  <c r="Q32" i="9"/>
  <c r="Q33" i="9"/>
  <c r="Q34" i="9"/>
  <c r="Q35" i="9"/>
  <c r="Q36" i="9"/>
  <c r="Q37" i="9"/>
  <c r="Q38" i="9"/>
  <c r="Q39" i="9"/>
  <c r="Q40" i="9"/>
  <c r="Q31" i="9"/>
  <c r="P31" i="9"/>
  <c r="P32" i="9"/>
  <c r="P33" i="9"/>
  <c r="P34" i="9"/>
  <c r="P35" i="9"/>
  <c r="P36" i="9"/>
  <c r="P37" i="9"/>
  <c r="P38" i="9"/>
  <c r="P39" i="9"/>
  <c r="P40" i="9"/>
  <c r="P30" i="9"/>
  <c r="P18" i="9"/>
  <c r="P19" i="9"/>
  <c r="P20" i="9"/>
  <c r="P21" i="9"/>
  <c r="P22" i="9"/>
  <c r="P23" i="9"/>
  <c r="P24" i="9"/>
  <c r="P25" i="9"/>
  <c r="P26" i="9"/>
  <c r="P17" i="9"/>
  <c r="N3" i="9"/>
  <c r="P21" i="2"/>
  <c r="P12" i="2"/>
  <c r="P20" i="2" s="1"/>
  <c r="N96" i="9"/>
  <c r="O96" i="9" s="1"/>
  <c r="O95" i="9"/>
  <c r="N95" i="9"/>
  <c r="O94" i="9"/>
  <c r="N94" i="9"/>
  <c r="N93" i="9"/>
  <c r="O93" i="9" s="1"/>
  <c r="N92" i="9"/>
  <c r="O92" i="9" s="1"/>
  <c r="O91" i="9"/>
  <c r="N91" i="9"/>
  <c r="O90" i="9"/>
  <c r="N90" i="9"/>
  <c r="N89" i="9"/>
  <c r="O89" i="9" s="1"/>
  <c r="O88" i="9"/>
  <c r="O87" i="9"/>
  <c r="O86" i="9"/>
  <c r="N82" i="9"/>
  <c r="O82" i="9" s="1"/>
  <c r="N81" i="9"/>
  <c r="O81" i="9" s="1"/>
  <c r="N80" i="9"/>
  <c r="N79" i="9"/>
  <c r="N78" i="9"/>
  <c r="O78" i="9" s="1"/>
  <c r="N77" i="9"/>
  <c r="O77" i="9" s="1"/>
  <c r="N76" i="9"/>
  <c r="N75" i="9"/>
  <c r="N74" i="9"/>
  <c r="O74" i="9" s="1"/>
  <c r="N73" i="9"/>
  <c r="O73" i="9" s="1"/>
  <c r="N72" i="9"/>
  <c r="O68" i="9"/>
  <c r="N68" i="9"/>
  <c r="N67" i="9"/>
  <c r="O67" i="9" s="1"/>
  <c r="N66" i="9"/>
  <c r="O66" i="9" s="1"/>
  <c r="O65" i="9"/>
  <c r="N65" i="9"/>
  <c r="O64" i="9"/>
  <c r="N64" i="9"/>
  <c r="N63" i="9"/>
  <c r="O63" i="9" s="1"/>
  <c r="N62" i="9"/>
  <c r="O62" i="9" s="1"/>
  <c r="O61" i="9"/>
  <c r="N61" i="9"/>
  <c r="O60" i="9"/>
  <c r="N60" i="9"/>
  <c r="N59" i="9"/>
  <c r="O59" i="9" s="1"/>
  <c r="N58" i="9"/>
  <c r="O58" i="9" s="1"/>
  <c r="O54" i="9"/>
  <c r="N54" i="9"/>
  <c r="O53" i="9"/>
  <c r="N53" i="9"/>
  <c r="N52" i="9"/>
  <c r="O52" i="9" s="1"/>
  <c r="N51" i="9"/>
  <c r="O51" i="9" s="1"/>
  <c r="O50" i="9"/>
  <c r="N50" i="9"/>
  <c r="O49" i="9"/>
  <c r="N49" i="9"/>
  <c r="N48" i="9"/>
  <c r="O48" i="9" s="1"/>
  <c r="N47" i="9"/>
  <c r="O47" i="9" s="1"/>
  <c r="O46" i="9"/>
  <c r="N46" i="9"/>
  <c r="O45" i="9"/>
  <c r="N45" i="9"/>
  <c r="N44" i="9"/>
  <c r="O44" i="9" s="1"/>
  <c r="N40" i="9"/>
  <c r="O40" i="9" s="1"/>
  <c r="O39" i="9"/>
  <c r="N39" i="9"/>
  <c r="O38" i="9"/>
  <c r="N38" i="9"/>
  <c r="N37" i="9"/>
  <c r="O37" i="9" s="1"/>
  <c r="N36" i="9"/>
  <c r="O36" i="9" s="1"/>
  <c r="O35" i="9"/>
  <c r="N35" i="9"/>
  <c r="O34" i="9"/>
  <c r="N34" i="9"/>
  <c r="N33" i="9"/>
  <c r="O33" i="9" s="1"/>
  <c r="N32" i="9"/>
  <c r="O32" i="9" s="1"/>
  <c r="O31" i="9"/>
  <c r="N31" i="9"/>
  <c r="O30" i="9"/>
  <c r="N30" i="9"/>
  <c r="N26" i="9"/>
  <c r="O26" i="9" s="1"/>
  <c r="N25" i="9"/>
  <c r="O25" i="9" s="1"/>
  <c r="N24" i="9"/>
  <c r="N23" i="9"/>
  <c r="N22" i="9"/>
  <c r="O22" i="9" s="1"/>
  <c r="N21" i="9"/>
  <c r="O21" i="9" s="1"/>
  <c r="N20" i="9"/>
  <c r="N19" i="9"/>
  <c r="N18" i="9"/>
  <c r="O18" i="9" s="1"/>
  <c r="N17" i="9"/>
  <c r="O17" i="9" s="1"/>
  <c r="N16" i="9"/>
  <c r="N12" i="9"/>
  <c r="N11" i="9"/>
  <c r="N10" i="9"/>
  <c r="N9" i="9"/>
  <c r="N8" i="9"/>
  <c r="N7" i="9"/>
  <c r="N6" i="9"/>
  <c r="N5" i="9"/>
  <c r="N4" i="9"/>
  <c r="N2" i="9"/>
  <c r="R58" i="8"/>
  <c r="R59" i="8"/>
  <c r="R60" i="8"/>
  <c r="R61" i="8"/>
  <c r="R62" i="8"/>
  <c r="R63" i="8"/>
  <c r="R64" i="8"/>
  <c r="R65" i="8"/>
  <c r="R57" i="8"/>
  <c r="O49" i="8"/>
  <c r="O50" i="8"/>
  <c r="O51" i="8"/>
  <c r="O52" i="8"/>
  <c r="O53" i="8"/>
  <c r="O54" i="8"/>
  <c r="O55" i="8"/>
  <c r="O56" i="8"/>
  <c r="O48" i="8"/>
  <c r="O40" i="8"/>
  <c r="O41" i="8"/>
  <c r="O42" i="8"/>
  <c r="O43" i="8"/>
  <c r="O44" i="8"/>
  <c r="O45" i="8"/>
  <c r="O46" i="8"/>
  <c r="O47" i="8"/>
  <c r="O39" i="8"/>
  <c r="O4" i="8"/>
  <c r="O5" i="8"/>
  <c r="O6" i="8"/>
  <c r="O7" i="8"/>
  <c r="O8" i="8"/>
  <c r="O9" i="8"/>
  <c r="O10" i="8"/>
  <c r="O11" i="8"/>
  <c r="O3" i="8"/>
  <c r="Q58" i="8"/>
  <c r="Q59" i="8"/>
  <c r="Q60" i="8"/>
  <c r="Q61" i="8"/>
  <c r="Q62" i="8"/>
  <c r="Q63" i="8"/>
  <c r="Q64" i="8"/>
  <c r="Q65" i="8"/>
  <c r="Q57" i="8"/>
  <c r="N49" i="8"/>
  <c r="N50" i="8"/>
  <c r="N51" i="8"/>
  <c r="N52" i="8"/>
  <c r="N53" i="8"/>
  <c r="N54" i="8"/>
  <c r="N55" i="8"/>
  <c r="N56" i="8"/>
  <c r="N48" i="8"/>
  <c r="N40" i="8"/>
  <c r="N41" i="8"/>
  <c r="N42" i="8"/>
  <c r="N43" i="8"/>
  <c r="N44" i="8"/>
  <c r="N45" i="8"/>
  <c r="N46" i="8"/>
  <c r="N47" i="8"/>
  <c r="N39" i="8"/>
  <c r="N22" i="8"/>
  <c r="N23" i="8"/>
  <c r="N24" i="8"/>
  <c r="N25" i="8"/>
  <c r="N26" i="8"/>
  <c r="N27" i="8"/>
  <c r="N28" i="8"/>
  <c r="N29" i="8"/>
  <c r="N21" i="8"/>
  <c r="N4" i="8"/>
  <c r="N5" i="8"/>
  <c r="N6" i="8"/>
  <c r="N7" i="8"/>
  <c r="N8" i="8"/>
  <c r="N9" i="8"/>
  <c r="N10" i="8"/>
  <c r="N11" i="8"/>
  <c r="N3" i="8"/>
  <c r="N13" i="8"/>
  <c r="N14" i="8"/>
  <c r="O14" i="8" s="1"/>
  <c r="N15" i="8"/>
  <c r="N16" i="8"/>
  <c r="N17" i="8"/>
  <c r="N18" i="8"/>
  <c r="N19" i="8"/>
  <c r="N20" i="8"/>
  <c r="N12" i="8"/>
  <c r="O19" i="8" s="1"/>
  <c r="O28" i="8"/>
  <c r="O29" i="8"/>
  <c r="O24" i="8"/>
  <c r="O21" i="8"/>
  <c r="O15" i="8"/>
  <c r="O18" i="8"/>
  <c r="O12" i="8"/>
  <c r="P58" i="8"/>
  <c r="P59" i="8"/>
  <c r="P60" i="8"/>
  <c r="P61" i="8"/>
  <c r="P62" i="8"/>
  <c r="P63" i="8"/>
  <c r="P64" i="8"/>
  <c r="P65" i="8"/>
  <c r="P57" i="8"/>
  <c r="K65" i="8"/>
  <c r="K63" i="8"/>
  <c r="K61" i="8"/>
  <c r="K59" i="8"/>
  <c r="K57" i="8"/>
  <c r="K25" i="7"/>
  <c r="K26" i="7"/>
  <c r="K27" i="7"/>
  <c r="K28" i="7"/>
  <c r="K29" i="7"/>
  <c r="K30" i="7"/>
  <c r="K31" i="7"/>
  <c r="K32" i="7"/>
  <c r="K24" i="7"/>
  <c r="M8" i="7"/>
  <c r="M9" i="7"/>
  <c r="M10" i="7"/>
  <c r="M11" i="7"/>
  <c r="M12" i="7"/>
  <c r="M13" i="7"/>
  <c r="M14" i="7"/>
  <c r="M15" i="7"/>
  <c r="M16" i="7"/>
  <c r="M7" i="7"/>
  <c r="M17" i="7"/>
  <c r="E18" i="3"/>
  <c r="E21" i="3" s="1"/>
  <c r="E19" i="3"/>
  <c r="F25" i="7"/>
  <c r="F26" i="7"/>
  <c r="F27" i="7"/>
  <c r="F28" i="7"/>
  <c r="F29" i="7"/>
  <c r="F30" i="7"/>
  <c r="F31" i="7"/>
  <c r="F32" i="7"/>
  <c r="F33" i="7"/>
  <c r="F24" i="7"/>
  <c r="H7" i="7"/>
  <c r="J7" i="7" s="1"/>
  <c r="H8" i="7"/>
  <c r="J8" i="7" s="1"/>
  <c r="H9" i="7"/>
  <c r="J9" i="7" s="1"/>
  <c r="H10" i="7"/>
  <c r="J10" i="7" s="1"/>
  <c r="H11" i="7"/>
  <c r="J11" i="7" s="1"/>
  <c r="H12" i="7"/>
  <c r="J12" i="7" s="1"/>
  <c r="H13" i="7"/>
  <c r="J13" i="7" s="1"/>
  <c r="H14" i="7"/>
  <c r="J14" i="7" s="1"/>
  <c r="H15" i="7"/>
  <c r="J15" i="7" s="1"/>
  <c r="H16" i="7"/>
  <c r="J16" i="7" s="1"/>
  <c r="H6" i="7"/>
  <c r="J6" i="7" s="1"/>
  <c r="L8" i="7"/>
  <c r="G12" i="3"/>
  <c r="F12" i="3"/>
  <c r="F21" i="3"/>
  <c r="F22" i="3"/>
  <c r="G22" i="3"/>
  <c r="H22" i="3"/>
  <c r="I22" i="3"/>
  <c r="J22" i="3"/>
  <c r="K22" i="3"/>
  <c r="L22" i="3"/>
  <c r="M22" i="3"/>
  <c r="E22" i="3"/>
  <c r="G21" i="3"/>
  <c r="H21" i="3"/>
  <c r="I21" i="3"/>
  <c r="J21" i="3"/>
  <c r="K21" i="3"/>
  <c r="L21" i="3"/>
  <c r="M21" i="3"/>
  <c r="F19" i="3"/>
  <c r="G19" i="3"/>
  <c r="H19" i="3"/>
  <c r="I19" i="3"/>
  <c r="J19" i="3"/>
  <c r="K19" i="3"/>
  <c r="L19" i="3"/>
  <c r="M19" i="3"/>
  <c r="F18" i="3"/>
  <c r="G18" i="3"/>
  <c r="H18" i="3"/>
  <c r="I18" i="3"/>
  <c r="J18" i="3"/>
  <c r="K18" i="3"/>
  <c r="L18" i="3"/>
  <c r="M18" i="3"/>
  <c r="F11" i="3"/>
  <c r="G11" i="3"/>
  <c r="H11" i="3"/>
  <c r="E11" i="3"/>
  <c r="J11" i="3"/>
  <c r="K11" i="3"/>
  <c r="L11" i="3"/>
  <c r="M11" i="3"/>
  <c r="I11" i="3"/>
  <c r="F10" i="3"/>
  <c r="G10" i="3"/>
  <c r="H10" i="3"/>
  <c r="I10" i="3"/>
  <c r="J10" i="3"/>
  <c r="K10" i="3"/>
  <c r="L10" i="3"/>
  <c r="M10" i="3"/>
  <c r="E10" i="3"/>
  <c r="F15" i="5"/>
  <c r="G15" i="5"/>
  <c r="H15" i="5"/>
  <c r="I15" i="5"/>
  <c r="J15" i="5"/>
  <c r="K15" i="5"/>
  <c r="L15" i="5"/>
  <c r="M15" i="5"/>
  <c r="E15" i="5"/>
  <c r="Q27" i="2"/>
  <c r="R27" i="2"/>
  <c r="S27" i="2"/>
  <c r="T27" i="2"/>
  <c r="U27" i="2"/>
  <c r="V27" i="2"/>
  <c r="W27" i="2"/>
  <c r="X27" i="2"/>
  <c r="P27" i="2"/>
  <c r="Q13" i="2"/>
  <c r="Q21" i="2" s="1"/>
  <c r="R13" i="2"/>
  <c r="R21" i="2" s="1"/>
  <c r="S13" i="2"/>
  <c r="S21" i="2" s="1"/>
  <c r="T13" i="2"/>
  <c r="T21" i="2" s="1"/>
  <c r="U13" i="2"/>
  <c r="U21" i="2" s="1"/>
  <c r="V13" i="2"/>
  <c r="V21" i="2" s="1"/>
  <c r="W13" i="2"/>
  <c r="W21" i="2" s="1"/>
  <c r="X13" i="2"/>
  <c r="X21" i="2" s="1"/>
  <c r="P14" i="2"/>
  <c r="P22" i="2" s="1"/>
  <c r="Q14" i="2"/>
  <c r="Q22" i="2" s="1"/>
  <c r="R14" i="2"/>
  <c r="R22" i="2" s="1"/>
  <c r="S14" i="2"/>
  <c r="S22" i="2" s="1"/>
  <c r="T14" i="2"/>
  <c r="T22" i="2" s="1"/>
  <c r="U14" i="2"/>
  <c r="U22" i="2" s="1"/>
  <c r="V14" i="2"/>
  <c r="V22" i="2" s="1"/>
  <c r="W14" i="2"/>
  <c r="W22" i="2" s="1"/>
  <c r="X14" i="2"/>
  <c r="X22" i="2" s="1"/>
  <c r="P15" i="2"/>
  <c r="P23" i="2" s="1"/>
  <c r="Q15" i="2"/>
  <c r="Q23" i="2" s="1"/>
  <c r="R15" i="2"/>
  <c r="R23" i="2" s="1"/>
  <c r="S15" i="2"/>
  <c r="S23" i="2" s="1"/>
  <c r="T15" i="2"/>
  <c r="T23" i="2" s="1"/>
  <c r="U15" i="2"/>
  <c r="U23" i="2" s="1"/>
  <c r="V15" i="2"/>
  <c r="V23" i="2" s="1"/>
  <c r="W15" i="2"/>
  <c r="W23" i="2" s="1"/>
  <c r="X15" i="2"/>
  <c r="X23" i="2" s="1"/>
  <c r="P16" i="2"/>
  <c r="P24" i="2" s="1"/>
  <c r="Q16" i="2"/>
  <c r="Q24" i="2" s="1"/>
  <c r="R16" i="2"/>
  <c r="R24" i="2" s="1"/>
  <c r="S16" i="2"/>
  <c r="S24" i="2" s="1"/>
  <c r="T16" i="2"/>
  <c r="T24" i="2" s="1"/>
  <c r="U16" i="2"/>
  <c r="U24" i="2" s="1"/>
  <c r="V16" i="2"/>
  <c r="V24" i="2" s="1"/>
  <c r="W16" i="2"/>
  <c r="W24" i="2" s="1"/>
  <c r="X16" i="2"/>
  <c r="X24" i="2" s="1"/>
  <c r="P17" i="2"/>
  <c r="P25" i="2" s="1"/>
  <c r="Q17" i="2"/>
  <c r="Q25" i="2" s="1"/>
  <c r="R17" i="2"/>
  <c r="R25" i="2" s="1"/>
  <c r="S17" i="2"/>
  <c r="S25" i="2" s="1"/>
  <c r="T17" i="2"/>
  <c r="T25" i="2" s="1"/>
  <c r="U17" i="2"/>
  <c r="U25" i="2" s="1"/>
  <c r="V17" i="2"/>
  <c r="V25" i="2" s="1"/>
  <c r="W17" i="2"/>
  <c r="W25" i="2" s="1"/>
  <c r="X17" i="2"/>
  <c r="X25" i="2" s="1"/>
  <c r="X12" i="2"/>
  <c r="X20" i="2" s="1"/>
  <c r="W12" i="2"/>
  <c r="W20" i="2" s="1"/>
  <c r="V12" i="2"/>
  <c r="V20" i="2" s="1"/>
  <c r="U12" i="2"/>
  <c r="U20" i="2" s="1"/>
  <c r="T12" i="2"/>
  <c r="T20" i="2" s="1"/>
  <c r="S12" i="2"/>
  <c r="S20" i="2" s="1"/>
  <c r="R12" i="2"/>
  <c r="R20" i="2" s="1"/>
  <c r="Q12" i="2"/>
  <c r="Q20" i="2" s="1"/>
  <c r="L85" i="2"/>
  <c r="I85" i="2"/>
  <c r="G85" i="2"/>
  <c r="R85" i="2"/>
  <c r="P85" i="2"/>
  <c r="N85" i="2"/>
  <c r="O19" i="9" l="1"/>
  <c r="O23" i="9"/>
  <c r="O75" i="9"/>
  <c r="O79" i="9"/>
  <c r="O16" i="9"/>
  <c r="O20" i="9"/>
  <c r="O24" i="9"/>
  <c r="O72" i="9"/>
  <c r="O76" i="9"/>
  <c r="O80" i="9"/>
  <c r="O25" i="8"/>
  <c r="O23" i="8"/>
  <c r="O22" i="8"/>
  <c r="O27" i="8"/>
  <c r="O26" i="8"/>
  <c r="O17" i="8"/>
  <c r="O16" i="8"/>
  <c r="O13" i="8"/>
  <c r="O20" i="8"/>
</calcChain>
</file>

<file path=xl/sharedStrings.xml><?xml version="1.0" encoding="utf-8"?>
<sst xmlns="http://schemas.openxmlformats.org/spreadsheetml/2006/main" count="1907" uniqueCount="216">
  <si>
    <t>Sample</t>
  </si>
  <si>
    <t>Primary</t>
  </si>
  <si>
    <t>Cap</t>
  </si>
  <si>
    <t>Peak</t>
  </si>
  <si>
    <t>Name</t>
  </si>
  <si>
    <t>Position</t>
  </si>
  <si>
    <t>MW (kDa)</t>
  </si>
  <si>
    <t>Height</t>
  </si>
  <si>
    <t>Area</t>
  </si>
  <si>
    <t>% Area</t>
  </si>
  <si>
    <t>Baseline</t>
  </si>
  <si>
    <t>normalized to DMSO</t>
  </si>
  <si>
    <t>BCL11A</t>
  </si>
  <si>
    <t>HRI</t>
  </si>
  <si>
    <t>HBB</t>
  </si>
  <si>
    <t>ZBTB7A</t>
  </si>
  <si>
    <t>CRBN</t>
  </si>
  <si>
    <t>Ikros</t>
  </si>
  <si>
    <t>DMSO</t>
  </si>
  <si>
    <t>BCL11A AB19487</t>
  </si>
  <si>
    <t>C1:2</t>
  </si>
  <si>
    <t>C1:3</t>
  </si>
  <si>
    <t>UNTREATED</t>
  </si>
  <si>
    <t>C1:4</t>
  </si>
  <si>
    <t>C1:5</t>
  </si>
  <si>
    <t>Pamolidomide (10uM)</t>
  </si>
  <si>
    <t>C1:6</t>
  </si>
  <si>
    <t>Pamolidomide (1uM)</t>
  </si>
  <si>
    <t>C1:7</t>
  </si>
  <si>
    <t>Avadomide (10uM)</t>
  </si>
  <si>
    <t>C1:8</t>
  </si>
  <si>
    <t>Avadomide (1uM)</t>
  </si>
  <si>
    <t>C1:9</t>
  </si>
  <si>
    <t>Idoxurindin (1uM)</t>
  </si>
  <si>
    <t>C1:10</t>
  </si>
  <si>
    <t>EIF2AK1 ProteinTech 67674-1-Ig</t>
  </si>
  <si>
    <t>C2:2</t>
  </si>
  <si>
    <t>C2:3</t>
  </si>
  <si>
    <t>C2:4</t>
  </si>
  <si>
    <t>C2:5</t>
  </si>
  <si>
    <t>C2:6</t>
  </si>
  <si>
    <t>C2:7</t>
  </si>
  <si>
    <t>C2:8</t>
  </si>
  <si>
    <t>C2:9</t>
  </si>
  <si>
    <t>C2:10</t>
  </si>
  <si>
    <t>Beta Hb ab214049</t>
  </si>
  <si>
    <t>C3:2</t>
  </si>
  <si>
    <t>Beta Hb</t>
  </si>
  <si>
    <t>C3:3</t>
  </si>
  <si>
    <t>C3:4</t>
  </si>
  <si>
    <t>C3:5</t>
  </si>
  <si>
    <t>C3:6</t>
  </si>
  <si>
    <t>C3:7</t>
  </si>
  <si>
    <t>C3:8</t>
  </si>
  <si>
    <t>C3:9</t>
  </si>
  <si>
    <t>C3:10</t>
  </si>
  <si>
    <t>GAPDH CST2118L Fetal Hb CST39386</t>
  </si>
  <si>
    <t>C4:2</t>
  </si>
  <si>
    <t>GAPDH</t>
  </si>
  <si>
    <t>C4:3</t>
  </si>
  <si>
    <t>C4:4</t>
  </si>
  <si>
    <t>C4:5</t>
  </si>
  <si>
    <t>C4:6</t>
  </si>
  <si>
    <t>C4:7</t>
  </si>
  <si>
    <t>C4:8</t>
  </si>
  <si>
    <t>C4:9</t>
  </si>
  <si>
    <t>C4:10</t>
  </si>
  <si>
    <t>ZBTB7A CST50565</t>
  </si>
  <si>
    <t>C5:2</t>
  </si>
  <si>
    <t>C5:3</t>
  </si>
  <si>
    <t>C5:4</t>
  </si>
  <si>
    <t>C5:5</t>
  </si>
  <si>
    <t>C5:6</t>
  </si>
  <si>
    <t>C5:7</t>
  </si>
  <si>
    <t>C5:8</t>
  </si>
  <si>
    <t>C5:9</t>
  </si>
  <si>
    <t>C5:10</t>
  </si>
  <si>
    <t>CRBN ab230411</t>
  </si>
  <si>
    <t>C6:2</t>
  </si>
  <si>
    <t>C6:3</t>
  </si>
  <si>
    <t>C6:4</t>
  </si>
  <si>
    <t>C6:5</t>
  </si>
  <si>
    <t>C6:6</t>
  </si>
  <si>
    <t>C6:7</t>
  </si>
  <si>
    <t>C6:8</t>
  </si>
  <si>
    <t>C6:9</t>
  </si>
  <si>
    <t>C6:10</t>
  </si>
  <si>
    <t>Ikaros CST148595</t>
  </si>
  <si>
    <t>C7:2</t>
  </si>
  <si>
    <t>Ikaros (lower)</t>
  </si>
  <si>
    <t>Ikaros (upper)</t>
  </si>
  <si>
    <t>C7:3</t>
  </si>
  <si>
    <t>C7:4</t>
  </si>
  <si>
    <t>C7:5</t>
  </si>
  <si>
    <t>C7:6</t>
  </si>
  <si>
    <t>high</t>
  </si>
  <si>
    <t>low</t>
  </si>
  <si>
    <t>sum</t>
  </si>
  <si>
    <t>C7:7</t>
  </si>
  <si>
    <t>C7:8</t>
  </si>
  <si>
    <t>C7:9</t>
  </si>
  <si>
    <t>C7:10</t>
  </si>
  <si>
    <t>Width</t>
  </si>
  <si>
    <t>S/N</t>
  </si>
  <si>
    <t>Pomalidomide</t>
  </si>
  <si>
    <t>Avadomide</t>
  </si>
  <si>
    <t>Idoxuridin</t>
  </si>
  <si>
    <t>DMSO_1</t>
  </si>
  <si>
    <t>BCL11A ab19487</t>
  </si>
  <si>
    <t>Pamolidomide</t>
  </si>
  <si>
    <t>HbF_CST</t>
  </si>
  <si>
    <t>b-globin</t>
  </si>
  <si>
    <t>Idoxurindin</t>
  </si>
  <si>
    <t>C1:11</t>
  </si>
  <si>
    <t>C1:12</t>
  </si>
  <si>
    <t>HRI 67674-1-Ig</t>
  </si>
  <si>
    <t>normalized to GAPDH</t>
  </si>
  <si>
    <t>C2:11</t>
  </si>
  <si>
    <t>Normalize to DMSO</t>
  </si>
  <si>
    <t>C2:12</t>
  </si>
  <si>
    <t>Fetal Hb CST39386</t>
  </si>
  <si>
    <t>Fetal Hb</t>
  </si>
  <si>
    <t>C3:11</t>
  </si>
  <si>
    <t>C3:12</t>
  </si>
  <si>
    <t>Fetal Hb ab137096</t>
  </si>
  <si>
    <t>C4:11</t>
  </si>
  <si>
    <t>C4:12</t>
  </si>
  <si>
    <t>Pomalidomide (10 uM)</t>
  </si>
  <si>
    <t>Pomalidomide (1 uM)</t>
  </si>
  <si>
    <t>Pomalidomide (0.1 uM)</t>
  </si>
  <si>
    <t>Avadomide (10 uM)</t>
  </si>
  <si>
    <t>Avadomide (1 uM)</t>
  </si>
  <si>
    <t>C5:11</t>
  </si>
  <si>
    <t>Avadomide (0.1 uM)</t>
  </si>
  <si>
    <t>C5:12</t>
  </si>
  <si>
    <t>Idoxuridin (1 uM)</t>
  </si>
  <si>
    <t>Idoxuridin (0.1 uM)</t>
  </si>
  <si>
    <t>C6:11</t>
  </si>
  <si>
    <t>C6:12</t>
  </si>
  <si>
    <t>GAPDH CST2118L</t>
  </si>
  <si>
    <t>C7:11</t>
  </si>
  <si>
    <t>C7:12</t>
  </si>
  <si>
    <t>C8:3</t>
  </si>
  <si>
    <t>C8:5</t>
  </si>
  <si>
    <t>C8:6</t>
  </si>
  <si>
    <t>C8:7</t>
  </si>
  <si>
    <t>C8:8</t>
  </si>
  <si>
    <t>C8:9</t>
  </si>
  <si>
    <t>C8:10</t>
  </si>
  <si>
    <t>C8:11</t>
  </si>
  <si>
    <t>C8:12</t>
  </si>
  <si>
    <t>Untreated</t>
  </si>
  <si>
    <t>C8:2</t>
  </si>
  <si>
    <t>DMSO_2</t>
  </si>
  <si>
    <t>C8:4</t>
  </si>
  <si>
    <t>Pamolidomide 1uM</t>
  </si>
  <si>
    <t>Pamolidomide 0.1uM</t>
  </si>
  <si>
    <t>Pamolidomide 10uM</t>
  </si>
  <si>
    <t>Avadomide 0.1uM</t>
  </si>
  <si>
    <t>Avadomide 1uM</t>
  </si>
  <si>
    <t>Avadomide 10uM</t>
  </si>
  <si>
    <t>Idoxurindin 0.1uM</t>
  </si>
  <si>
    <t>Idoxurindin 1uM</t>
  </si>
  <si>
    <t>Alpha Hb</t>
  </si>
  <si>
    <t>a-globin</t>
  </si>
  <si>
    <t>Ikaros</t>
  </si>
  <si>
    <t>Pamolidomide 10 uM</t>
  </si>
  <si>
    <t>Fetal Hb ab137096_JP</t>
  </si>
  <si>
    <t>Alpha Hb ab109444</t>
  </si>
  <si>
    <t>Ikaros (Lower)</t>
  </si>
  <si>
    <t>Ikaros (Upper)</t>
  </si>
  <si>
    <t>Normalized to GAPDH</t>
  </si>
  <si>
    <t>Normalize to GAPDH</t>
  </si>
  <si>
    <t>Normalized to DMSO</t>
  </si>
  <si>
    <t>HbF</t>
  </si>
  <si>
    <t>KZF1</t>
  </si>
  <si>
    <t>Untreated                         0.505mg/mL</t>
  </si>
  <si>
    <t>DMSO_1                           0.815mg/mL</t>
  </si>
  <si>
    <t>DMSO_2                           0.727mg/mL</t>
  </si>
  <si>
    <t>protein</t>
  </si>
  <si>
    <t>Pamolidomide 10uM      0.161mg/mL</t>
  </si>
  <si>
    <t>Pamolidomide 1uM        0.322mg/mL</t>
  </si>
  <si>
    <t>Pamolidomide 0.1uM    0.554mg/mL</t>
  </si>
  <si>
    <t>average</t>
  </si>
  <si>
    <t>Avadomide 10uM           0.101mg/mL</t>
  </si>
  <si>
    <t>converted</t>
  </si>
  <si>
    <t>Avadomide 1uM             0.295mg/mL</t>
  </si>
  <si>
    <t>Final</t>
  </si>
  <si>
    <t>Avadomide 0.1uM          0.600mg/mL</t>
  </si>
  <si>
    <t>Idoxurindin 1uM             0.656mg/mL     </t>
  </si>
  <si>
    <t>Idoxurindin 0.1uM          0.596mg/mL</t>
  </si>
  <si>
    <t>HbF_AbCam</t>
  </si>
  <si>
    <t>GAPDH CST-21186</t>
  </si>
  <si>
    <t>Normalized to DMSO_1</t>
  </si>
  <si>
    <t>Hemoglobin Alpha ab109444</t>
  </si>
  <si>
    <t>alpha globin</t>
  </si>
  <si>
    <t>total</t>
  </si>
  <si>
    <t>Ikaros CST-14859S</t>
  </si>
  <si>
    <t>ZBTB7A CST-50565</t>
  </si>
  <si>
    <t>Well Location</t>
  </si>
  <si>
    <t>[Adjusted Stock]</t>
  </si>
  <si>
    <t>Dilute to 0.1mg/mL</t>
  </si>
  <si>
    <t>JP caculate</t>
  </si>
  <si>
    <t>Diluent</t>
  </si>
  <si>
    <t>A1</t>
  </si>
  <si>
    <t>dilution factor</t>
  </si>
  <si>
    <t>H2</t>
  </si>
  <si>
    <t>H3</t>
  </si>
  <si>
    <t>G6</t>
  </si>
  <si>
    <t>G7</t>
  </si>
  <si>
    <t>G8</t>
  </si>
  <si>
    <t>H6</t>
  </si>
  <si>
    <t>H7</t>
  </si>
  <si>
    <t>H8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</si>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</sst>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/>
    <xf numFmtId="164" fontId="0" fillId="0" borderId="0" xfId="0" applyNumberFormat="1"/>
    <xf numFmtId="0" fontId="0" fillId="4" borderId="0" xfId="0" applyFill="1"/>
    <xf numFmtId="1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'032123'!$R$2</c:f>
              <c:strCache>
                <c:ptCount val="1"/>
                <c:pt idx="0">
                  <c:v>BCL11A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'032123'!$Q$3:$Q$11</c15:sqref>
                  </c15:fullRef>
                </c:ext>
              </c:extLst>
              <c:f>('032123'!$Q$3,'032123'!$Q$7:$Q$11)</c:f>
              <c:strCache>
                <c:ptCount val="6"/>
                <c:pt idx="0">
                  <c:v>DMSO</c:v>
                </c:pt>
                <c:pt idx="1">
                  <c:v>Pamolidomide (10uM)</c:v>
                </c:pt>
                <c:pt idx="2">
                  <c:v>Pamolidomide (1uM)</c:v>
                </c:pt>
                <c:pt idx="3">
                  <c:v>Avadomide (10uM)</c:v>
                </c:pt>
                <c:pt idx="4">
                  <c:v>Avadomide (1uM)</c:v>
                </c:pt>
                <c:pt idx="5">
                  <c:v>Idoxurindin (1uM)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'032123'!$R$3:$R$11</c15:sqref>
                  </c15:fullRef>
                </c:ext>
              </c:extLst>
              <c:f>('032123'!$R$3,'032123'!$R$7:$R$11)</c:f>
              <c:numCache>
                <c:formatCode>General</c:formatCode>
                <c:ptCount val="6"/>
                <c:pt idx="0">
                  <c:v>1</c:v>
                </c:pt>
                <c:pt idx="1">
                  <c:v>0.21063082996557062</c:v>
                </c:pt>
                <c:pt idx="2">
                  <c:v>0.39047313022309982</c:v>
                </c:pt>
                <c:pt idx="3">
                  <c:v>0.17626380952474308</c:v>
                </c:pt>
                <c:pt idx="4">
                  <c:v>0.26987680483568621</c:v>
                </c:pt>
                <c:pt idx="5">
                  <c:v>0.93131493098668428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1-4E52-90DE-A6DD96E20CE6}"/>
            </c:ext>
          </c:extLst>
        </c:ser>
        <c:ser>
          <c:idx val="1"/>
          <c:order val="1"/>
          <c:tx>
            <c:strRef>
              <c:f>'032123'!$S$2</c:f>
              <c:strCache>
                <c:ptCount val="1"/>
                <c:pt idx="0">
                  <c:v>HRI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'032123'!$Q$3:$Q$11</c15:sqref>
                  </c15:fullRef>
                </c:ext>
              </c:extLst>
              <c:f>('032123'!$Q$3,'032123'!$Q$7:$Q$11)</c:f>
              <c:strCache>
                <c:ptCount val="6"/>
                <c:pt idx="0">
                  <c:v>DMSO</c:v>
                </c:pt>
                <c:pt idx="1">
                  <c:v>Pamolidomide (10uM)</c:v>
                </c:pt>
                <c:pt idx="2">
                  <c:v>Pamolidomide (1uM)</c:v>
                </c:pt>
                <c:pt idx="3">
                  <c:v>Avadomide (10uM)</c:v>
                </c:pt>
                <c:pt idx="4">
                  <c:v>Avadomide (1uM)</c:v>
                </c:pt>
                <c:pt idx="5">
                  <c:v>Idoxurindin (1uM)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'032123'!$S$3:$S$11</c15:sqref>
                  </c15:fullRef>
                </c:ext>
              </c:extLst>
              <c:f>('032123'!$S$3,'032123'!$S$7:$S$11)</c:f>
              <c:numCache>
                <c:formatCode>General</c:formatCode>
                <c:ptCount val="6"/>
                <c:pt idx="0">
                  <c:v>1</c:v>
                </c:pt>
                <c:pt idx="1">
                  <c:v>0.77064648091023003</c:v>
                </c:pt>
                <c:pt idx="2">
                  <c:v>0.96209928625797436</c:v>
                </c:pt>
                <c:pt idx="3">
                  <c:v>0.75555273340213835</c:v>
                </c:pt>
                <c:pt idx="4">
                  <c:v>0.76746137311018658</c:v>
                </c:pt>
                <c:pt idx="5">
                  <c:v>0.78004289357938661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1-4E52-90DE-A6DD96E20CE6}"/>
            </c:ext>
          </c:extLst>
        </c:ser>
        <c:ser>
          <c:idx val="2"/>
          <c:order val="2"/>
          <c:tx>
            <c:strRef>
              <c:f>'032123'!$T$2</c:f>
              <c:strCache>
                <c:ptCount val="1"/>
                <c:pt idx="0">
                  <c:v>HBB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'032123'!$Q$3:$Q$11</c15:sqref>
                  </c15:fullRef>
                </c:ext>
              </c:extLst>
              <c:f>('032123'!$Q$3,'032123'!$Q$7:$Q$11)</c:f>
              <c:strCache>
                <c:ptCount val="6"/>
                <c:pt idx="0">
                  <c:v>DMSO</c:v>
                </c:pt>
                <c:pt idx="1">
                  <c:v>Pamolidomide (10uM)</c:v>
                </c:pt>
                <c:pt idx="2">
                  <c:v>Pamolidomide (1uM)</c:v>
                </c:pt>
                <c:pt idx="3">
                  <c:v>Avadomide (10uM)</c:v>
                </c:pt>
                <c:pt idx="4">
                  <c:v>Avadomide (1uM)</c:v>
                </c:pt>
                <c:pt idx="5">
                  <c:v>Idoxurindin (1uM)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'032123'!$T$3:$T$11</c15:sqref>
                  </c15:fullRef>
                </c:ext>
              </c:extLst>
              <c:f>('032123'!$T$3,'032123'!$T$7:$T$11)</c:f>
              <c:numCache>
                <c:formatCode>General</c:formatCode>
                <c:ptCount val="6"/>
                <c:pt idx="0">
                  <c:v>1</c:v>
                </c:pt>
                <c:pt idx="1">
                  <c:v>1.0012770975655159</c:v>
                </c:pt>
                <c:pt idx="2">
                  <c:v>1.0844844943085736</c:v>
                </c:pt>
                <c:pt idx="3">
                  <c:v>1.1935944678846626</c:v>
                </c:pt>
                <c:pt idx="4">
                  <c:v>1.343561363449475</c:v>
                </c:pt>
                <c:pt idx="5">
                  <c:v>0.7728976715768574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1-4E52-90DE-A6DD96E20CE6}"/>
            </c:ext>
          </c:extLst>
        </c:ser>
        <c:ser>
          <c:idx val="3"/>
          <c:order val="3"/>
          <c:tx>
            <c:strRef>
              <c:f>'032123'!$U$2</c:f>
              <c:strCache>
                <c:ptCount val="1"/>
                <c:pt idx="0">
                  <c:v>ZBTB7A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'032123'!$Q$3:$Q$11</c15:sqref>
                  </c15:fullRef>
                </c:ext>
              </c:extLst>
              <c:f>('032123'!$Q$3,'032123'!$Q$7:$Q$11)</c:f>
              <c:strCache>
                <c:ptCount val="6"/>
                <c:pt idx="0">
                  <c:v>DMSO</c:v>
                </c:pt>
                <c:pt idx="1">
                  <c:v>Pamolidomide (10uM)</c:v>
                </c:pt>
                <c:pt idx="2">
                  <c:v>Pamolidomide (1uM)</c:v>
                </c:pt>
                <c:pt idx="3">
                  <c:v>Avadomide (10uM)</c:v>
                </c:pt>
                <c:pt idx="4">
                  <c:v>Avadomide (1uM)</c:v>
                </c:pt>
                <c:pt idx="5">
                  <c:v>Idoxurindin (1uM)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'032123'!$U$3:$U$11</c15:sqref>
                  </c15:fullRef>
                </c:ext>
              </c:extLst>
              <c:f>('032123'!$U$3,'032123'!$U$7:$U$11)</c:f>
              <c:numCache>
                <c:formatCode>General</c:formatCode>
                <c:ptCount val="6"/>
                <c:pt idx="0">
                  <c:v>1</c:v>
                </c:pt>
                <c:pt idx="1">
                  <c:v>0.58803413383093561</c:v>
                </c:pt>
                <c:pt idx="2">
                  <c:v>0.64656902393644655</c:v>
                </c:pt>
                <c:pt idx="3">
                  <c:v>0.66186588132343926</c:v>
                </c:pt>
                <c:pt idx="4">
                  <c:v>0.67975980149602733</c:v>
                </c:pt>
                <c:pt idx="5">
                  <c:v>0.96255627638246377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91-4E52-90DE-A6DD96E20CE6}"/>
            </c:ext>
          </c:extLst>
        </c:ser>
        <c:ser>
          <c:idx val="4"/>
          <c:order val="4"/>
          <c:tx>
            <c:strRef>
              <c:f>'032123'!$V$2</c:f>
              <c:strCache>
                <c:ptCount val="1"/>
                <c:pt idx="0">
                  <c:v>CRBN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'032123'!$Q$3:$Q$11</c15:sqref>
                  </c15:fullRef>
                </c:ext>
              </c:extLst>
              <c:f>('032123'!$Q$3,'032123'!$Q$7:$Q$11)</c:f>
              <c:strCache>
                <c:ptCount val="6"/>
                <c:pt idx="0">
                  <c:v>DMSO</c:v>
                </c:pt>
                <c:pt idx="1">
                  <c:v>Pamolidomide (10uM)</c:v>
                </c:pt>
                <c:pt idx="2">
                  <c:v>Pamolidomide (1uM)</c:v>
                </c:pt>
                <c:pt idx="3">
                  <c:v>Avadomide (10uM)</c:v>
                </c:pt>
                <c:pt idx="4">
                  <c:v>Avadomide (1uM)</c:v>
                </c:pt>
                <c:pt idx="5">
                  <c:v>Idoxurindin (1uM)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'032123'!$V$3:$V$11</c15:sqref>
                  </c15:fullRef>
                </c:ext>
              </c:extLst>
              <c:f>('032123'!$V$3,'032123'!$V$7:$V$11)</c:f>
              <c:numCache>
                <c:formatCode>General</c:formatCode>
                <c:ptCount val="6"/>
                <c:pt idx="0">
                  <c:v>1</c:v>
                </c:pt>
                <c:pt idx="1">
                  <c:v>2.3991909627903225</c:v>
                </c:pt>
                <c:pt idx="2">
                  <c:v>2.212963626113936</c:v>
                </c:pt>
                <c:pt idx="3">
                  <c:v>2.9328187487350088</c:v>
                </c:pt>
                <c:pt idx="4">
                  <c:v>2.1543557337003483</c:v>
                </c:pt>
                <c:pt idx="5">
                  <c:v>0.64888648067990962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91-4E52-90DE-A6DD96E20CE6}"/>
            </c:ext>
          </c:extLst>
        </c:ser>
        <c:ser>
          <c:idx val="5"/>
          <c:order val="5"/>
          <c:tx>
            <c:strRef>
              <c:f>'032123'!$W$2</c:f>
              <c:strCache>
                <c:ptCount val="1"/>
                <c:pt idx="0">
                  <c:v>Ikros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'032123'!$Q$3:$Q$11</c15:sqref>
                  </c15:fullRef>
                </c:ext>
              </c:extLst>
              <c:f>('032123'!$Q$3,'032123'!$Q$7:$Q$11)</c:f>
              <c:strCache>
                <c:ptCount val="6"/>
                <c:pt idx="0">
                  <c:v>DMSO</c:v>
                </c:pt>
                <c:pt idx="1">
                  <c:v>Pamolidomide (10uM)</c:v>
                </c:pt>
                <c:pt idx="2">
                  <c:v>Pamolidomide (1uM)</c:v>
                </c:pt>
                <c:pt idx="3">
                  <c:v>Avadomide (10uM)</c:v>
                </c:pt>
                <c:pt idx="4">
                  <c:v>Avadomide (1uM)</c:v>
                </c:pt>
                <c:pt idx="5">
                  <c:v>Idoxurindin (1uM)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'032123'!$W$3:$W$11</c15:sqref>
                  </c15:fullRef>
                </c:ext>
              </c:extLst>
              <c:f>('032123'!$W$3,'032123'!$W$7:$W$11)</c:f>
              <c:numCache>
                <c:formatCode>General</c:formatCode>
                <c:ptCount val="6"/>
                <c:pt idx="0">
                  <c:v>1</c:v>
                </c:pt>
                <c:pt idx="1">
                  <c:v>0.16029474852307016</c:v>
                </c:pt>
                <c:pt idx="2">
                  <c:v>0.48193374578214959</c:v>
                </c:pt>
                <c:pt idx="3">
                  <c:v>6.8998418316367924E-2</c:v>
                </c:pt>
                <c:pt idx="4">
                  <c:v>0.25166481246308603</c:v>
                </c:pt>
                <c:pt idx="5">
                  <c:v>0.90971871496407775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91-4E52-90DE-A6DD96E2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772424"/>
        <c:axId val="680774720"/>
      </c:barChart>
      <c:catAx>
        <c:axId val="68077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774720"/>
        <c:crosses val="autoZero"/>
        <c:auto val="1"/>
        <c:lblAlgn val="ctr"/>
        <c:lblOffset val="100"/>
        <c:noMultiLvlLbl val="0"/>
      </c:catAx>
      <c:valAx>
        <c:axId val="68077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77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BCL11A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'040623_analysis'!$P$20:$X$20</c:f>
              <c:numCache>
                <c:formatCode>General</c:formatCode>
                <c:ptCount val="9"/>
                <c:pt idx="0">
                  <c:v>1.0000000641720226</c:v>
                </c:pt>
                <c:pt idx="1">
                  <c:v>0.46205284907291622</c:v>
                </c:pt>
                <c:pt idx="2">
                  <c:v>0.67617780391353921</c:v>
                </c:pt>
                <c:pt idx="3">
                  <c:v>0.81663827381871568</c:v>
                </c:pt>
                <c:pt idx="4">
                  <c:v>0.57471813463696286</c:v>
                </c:pt>
                <c:pt idx="5">
                  <c:v>0.55608674780813849</c:v>
                </c:pt>
                <c:pt idx="6">
                  <c:v>0.95115975098528505</c:v>
                </c:pt>
                <c:pt idx="7">
                  <c:v>1.9937392287572873</c:v>
                </c:pt>
                <c:pt idx="8">
                  <c:v>1.1890682864289752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A-4D8A-A56A-FC661A210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684480"/>
        <c:axId val="650685464"/>
      </c:barChart>
      <c:catAx>
        <c:axId val="650684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685464"/>
        <c:crosses val="autoZero"/>
        <c:auto val="1"/>
        <c:lblAlgn val="ctr"/>
        <c:lblOffset val="100"/>
        <c:noMultiLvlLbl val="0"/>
      </c:catAx>
      <c:valAx>
        <c:axId val="65068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68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'040623_analysis'!$P$21:$X$21</c:f>
              <c:numCache>
                <c:formatCode>General</c:formatCode>
                <c:ptCount val="9"/>
                <c:pt idx="0">
                  <c:v>1.0000000618553069</c:v>
                </c:pt>
                <c:pt idx="1">
                  <c:v>1.110017036521872</c:v>
                </c:pt>
                <c:pt idx="2">
                  <c:v>1.669383134239443</c:v>
                </c:pt>
                <c:pt idx="3">
                  <c:v>1.7190893757630481</c:v>
                </c:pt>
                <c:pt idx="4">
                  <c:v>2.1535137662828725</c:v>
                </c:pt>
                <c:pt idx="5">
                  <c:v>1.7798560950716813</c:v>
                </c:pt>
                <c:pt idx="6">
                  <c:v>2.0003150831195478</c:v>
                </c:pt>
                <c:pt idx="7">
                  <c:v>2.1722664425439944</c:v>
                </c:pt>
                <c:pt idx="8">
                  <c:v>1.8570967841432087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2-42EA-A636-6224B4502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934184"/>
        <c:axId val="512321064"/>
      </c:barChart>
      <c:catAx>
        <c:axId val="844934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321064"/>
        <c:crosses val="autoZero"/>
        <c:auto val="1"/>
        <c:lblAlgn val="ctr"/>
        <c:lblOffset val="100"/>
        <c:noMultiLvlLbl val="0"/>
      </c:catAx>
      <c:valAx>
        <c:axId val="51232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34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r-globin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'040623_analysis'!$P$22:$X$22</c:f>
              <c:numCache>
                <c:formatCode>General</c:formatCode>
                <c:ptCount val="9"/>
                <c:pt idx="0">
                  <c:v>1.0002050317023594</c:v>
                </c:pt>
                <c:pt idx="1">
                  <c:v>4.0380178106428417</c:v>
                </c:pt>
                <c:pt idx="2">
                  <c:v>1.9165811663535497</c:v>
                </c:pt>
                <c:pt idx="3">
                  <c:v>3.8602185325350011</c:v>
                </c:pt>
                <c:pt idx="4">
                  <c:v>16.557057024952698</c:v>
                </c:pt>
                <c:pt idx="5">
                  <c:v>10.332910601549269</c:v>
                </c:pt>
                <c:pt idx="6">
                  <c:v>10.347623419988537</c:v>
                </c:pt>
                <c:pt idx="7">
                  <c:v>43.611255135030341</c:v>
                </c:pt>
                <c:pt idx="8">
                  <c:v>0.93731800785323227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2-4EE7-BF86-7CC0C0680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192632"/>
        <c:axId val="522192304"/>
      </c:barChart>
      <c:catAx>
        <c:axId val="52219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92304"/>
        <c:crosses val="autoZero"/>
        <c:auto val="1"/>
        <c:lblAlgn val="ctr"/>
        <c:lblOffset val="100"/>
        <c:noMultiLvlLbl val="0"/>
      </c:catAx>
      <c:valAx>
        <c:axId val="5221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9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ZBTB7A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'040623_analysis'!$P$23:$X$23</c:f>
              <c:numCache>
                <c:formatCode>General</c:formatCode>
                <c:ptCount val="9"/>
                <c:pt idx="0">
                  <c:v>1.000000204206793</c:v>
                </c:pt>
                <c:pt idx="1">
                  <c:v>1.112093361244179</c:v>
                </c:pt>
                <c:pt idx="2">
                  <c:v>1.2949065712150347</c:v>
                </c:pt>
                <c:pt idx="3">
                  <c:v>1.2909324319924333</c:v>
                </c:pt>
                <c:pt idx="4">
                  <c:v>1.7740088787387462</c:v>
                </c:pt>
                <c:pt idx="5">
                  <c:v>1.6942150568700036</c:v>
                </c:pt>
                <c:pt idx="6">
                  <c:v>1.4486335879076528</c:v>
                </c:pt>
                <c:pt idx="7">
                  <c:v>1.835325110993052</c:v>
                </c:pt>
                <c:pt idx="8">
                  <c:v>1.1305214605386464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1-41AA-8F78-FF4D3EADA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998168"/>
        <c:axId val="938998496"/>
      </c:barChart>
      <c:catAx>
        <c:axId val="938998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98496"/>
        <c:crosses val="autoZero"/>
        <c:auto val="1"/>
        <c:lblAlgn val="ctr"/>
        <c:lblOffset val="100"/>
        <c:noMultiLvlLbl val="0"/>
      </c:catAx>
      <c:valAx>
        <c:axId val="9389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98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CRBN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'040623_analysis'!$P$24:$X$24</c:f>
              <c:numCache>
                <c:formatCode>General</c:formatCode>
                <c:ptCount val="9"/>
                <c:pt idx="0">
                  <c:v>1.0000002619824466</c:v>
                </c:pt>
                <c:pt idx="1">
                  <c:v>2.4382586700876789</c:v>
                </c:pt>
                <c:pt idx="2">
                  <c:v>1.4588429315566487</c:v>
                </c:pt>
                <c:pt idx="3">
                  <c:v>1.3846841729343495</c:v>
                </c:pt>
                <c:pt idx="4">
                  <c:v>4.8198035223392024</c:v>
                </c:pt>
                <c:pt idx="5">
                  <c:v>2.4573648582726553</c:v>
                </c:pt>
                <c:pt idx="6">
                  <c:v>0.91516817071685019</c:v>
                </c:pt>
                <c:pt idx="7">
                  <c:v>2.2475199707131872</c:v>
                </c:pt>
                <c:pt idx="8">
                  <c:v>1.2006694624442398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1-4593-A711-18A7B3002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683704"/>
        <c:axId val="943688296"/>
      </c:barChart>
      <c:catAx>
        <c:axId val="943683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88296"/>
        <c:crosses val="autoZero"/>
        <c:auto val="1"/>
        <c:lblAlgn val="ctr"/>
        <c:lblOffset val="100"/>
        <c:noMultiLvlLbl val="0"/>
      </c:catAx>
      <c:valAx>
        <c:axId val="94368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83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b-globin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247594050743659E-2"/>
          <c:y val="0.10878680800942288"/>
          <c:w val="0.90286351706036749"/>
          <c:h val="0.71595633584671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'040623_analysis'!$P$25:$X$25</c:f>
              <c:numCache>
                <c:formatCode>General</c:formatCode>
                <c:ptCount val="9"/>
                <c:pt idx="0">
                  <c:v>1.0000000527425521</c:v>
                </c:pt>
                <c:pt idx="1">
                  <c:v>4.6540707766156615</c:v>
                </c:pt>
                <c:pt idx="2">
                  <c:v>2.2713440906314473</c:v>
                </c:pt>
                <c:pt idx="3">
                  <c:v>2.0937373205309391</c:v>
                </c:pt>
                <c:pt idx="4">
                  <c:v>11.617669649505428</c:v>
                </c:pt>
                <c:pt idx="5">
                  <c:v>5.6099939731019859</c:v>
                </c:pt>
                <c:pt idx="6">
                  <c:v>1.2388070082965545</c:v>
                </c:pt>
                <c:pt idx="7">
                  <c:v>3.6946380976582538</c:v>
                </c:pt>
                <c:pt idx="8">
                  <c:v>1.8734215015406093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2-41B3-B34C-2424860BB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846792"/>
        <c:axId val="508847776"/>
      </c:barChart>
      <c:catAx>
        <c:axId val="508846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47776"/>
        <c:crosses val="autoZero"/>
        <c:auto val="1"/>
        <c:lblAlgn val="ctr"/>
        <c:lblOffset val="100"/>
        <c:noMultiLvlLbl val="0"/>
      </c:catAx>
      <c:valAx>
        <c:axId val="5088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4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GAPDH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0.19830388692579506"/>
          <c:w val="0.89655796150481193"/>
          <c:h val="0.637283696428405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'040623_analysis'!$P$1:$X$2</c:f>
              <c:multiLvlStrCache>
                <c:ptCount val="9"/>
                <c:lvl>
                  <c:pt idx="0">
                    <c:v>DMSO</c:v>
                  </c:pt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'040623_analysis'!$P$27:$X$27</c:f>
              <c:numCache>
                <c:formatCode>General</c:formatCode>
                <c:ptCount val="9"/>
                <c:pt idx="0">
                  <c:v>1</c:v>
                </c:pt>
                <c:pt idx="1">
                  <c:v>0.34553949295709419</c:v>
                </c:pt>
                <c:pt idx="2">
                  <c:v>0.56175062381677443</c:v>
                </c:pt>
                <c:pt idx="3">
                  <c:v>0.68874871907692492</c:v>
                </c:pt>
                <c:pt idx="4">
                  <c:v>0.13598916208815068</c:v>
                </c:pt>
                <c:pt idx="5">
                  <c:v>0.26317059097110856</c:v>
                </c:pt>
                <c:pt idx="6">
                  <c:v>0.77280043073752225</c:v>
                </c:pt>
                <c:pt idx="7">
                  <c:v>0.29360976183997484</c:v>
                </c:pt>
                <c:pt idx="8">
                  <c:v>0.7417755571894763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B-42E4-8A91-EE2F9903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065824"/>
        <c:axId val="942072712"/>
      </c:barChart>
      <c:catAx>
        <c:axId val="94206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72712"/>
        <c:crosses val="autoZero"/>
        <c:auto val="1"/>
        <c:lblAlgn val="ctr"/>
        <c:lblOffset val="100"/>
        <c:noMultiLvlLbl val="0"/>
      </c:catAx>
      <c:valAx>
        <c:axId val="94207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6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'040623_analysis'!$P$38</c:f>
              <c:strCache>
                <c:ptCount val="1"/>
                <c:pt idx="0">
                  <c:v>BCL11A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'040623_analysis'!$O$39:$O$47</c15:sqref>
                  </c15:fullRef>
                </c:ext>
              </c:extLst>
              <c:f>('040623_analysis'!$O$39:$O$41,'040623_analysis'!$O$43:$O$44,'040623_analysis'!$O$46)</c:f>
              <c:strCache>
                <c:ptCount val="6"/>
                <c:pt idx="0">
                  <c:v>DMSO</c:v>
                </c:pt>
                <c:pt idx="1">
                  <c:v>Pomalidomide (10 uM)</c:v>
                </c:pt>
                <c:pt idx="2">
                  <c:v>Pomalidomide (1 uM)</c:v>
                </c:pt>
                <c:pt idx="3">
                  <c:v>Avadomide (10 uM)</c:v>
                </c:pt>
                <c:pt idx="4">
                  <c:v>Avadomide (1 uM)</c:v>
                </c:pt>
                <c:pt idx="5">
                  <c:v>Idoxuridin (1 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'040623_analysis'!$P$39:$P$47</c15:sqref>
                  </c15:fullRef>
                </c:ext>
              </c:extLst>
              <c:f>('040623_analysis'!$P$39:$P$41,'040623_analysis'!$P$43:$P$44,'040623_analysis'!$P$46)</c:f>
              <c:numCache>
                <c:formatCode>General</c:formatCode>
                <c:ptCount val="6"/>
                <c:pt idx="0">
                  <c:v>1.0000000641720226</c:v>
                </c:pt>
                <c:pt idx="1">
                  <c:v>0.46205284907291622</c:v>
                </c:pt>
                <c:pt idx="2">
                  <c:v>0.67617780391353921</c:v>
                </c:pt>
                <c:pt idx="3">
                  <c:v>0.57471813463696286</c:v>
                </c:pt>
                <c:pt idx="4">
                  <c:v>0.55608674780813849</c:v>
                </c:pt>
                <c:pt idx="5">
                  <c:v>1.9937392287572873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E-45EA-B95B-9398FFCF7443}"/>
            </c:ext>
          </c:extLst>
        </c:ser>
        <c:ser>
          <c:idx val="1"/>
          <c:order val="1"/>
          <c:tx>
            <c:strRef>
              <c:f>'040623_analysis'!$Q$38</c:f>
              <c:strCache>
                <c:ptCount val="1"/>
                <c:pt idx="0">
                  <c:v>HRI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'040623_analysis'!$O$39:$O$47</c15:sqref>
                  </c15:fullRef>
                </c:ext>
              </c:extLst>
              <c:f>('040623_analysis'!$O$39:$O$41,'040623_analysis'!$O$43:$O$44,'040623_analysis'!$O$46)</c:f>
              <c:strCache>
                <c:ptCount val="6"/>
                <c:pt idx="0">
                  <c:v>DMSO</c:v>
                </c:pt>
                <c:pt idx="1">
                  <c:v>Pomalidomide (10 uM)</c:v>
                </c:pt>
                <c:pt idx="2">
                  <c:v>Pomalidomide (1 uM)</c:v>
                </c:pt>
                <c:pt idx="3">
                  <c:v>Avadomide (10 uM)</c:v>
                </c:pt>
                <c:pt idx="4">
                  <c:v>Avadomide (1 uM)</c:v>
                </c:pt>
                <c:pt idx="5">
                  <c:v>Idoxuridin (1 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'040623_analysis'!$Q$39:$Q$47</c15:sqref>
                  </c15:fullRef>
                </c:ext>
              </c:extLst>
              <c:f>('040623_analysis'!$Q$39:$Q$41,'040623_analysis'!$Q$43:$Q$44,'040623_analysis'!$Q$46)</c:f>
              <c:numCache>
                <c:formatCode>General</c:formatCode>
                <c:ptCount val="6"/>
                <c:pt idx="0">
                  <c:v>1.0000000618553069</c:v>
                </c:pt>
                <c:pt idx="1">
                  <c:v>1.110017036521872</c:v>
                </c:pt>
                <c:pt idx="2">
                  <c:v>1.669383134239443</c:v>
                </c:pt>
                <c:pt idx="3">
                  <c:v>2.1535137662828725</c:v>
                </c:pt>
                <c:pt idx="4">
                  <c:v>1.7798560950716813</c:v>
                </c:pt>
                <c:pt idx="5">
                  <c:v>2.1722664425439944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E-45EA-B95B-9398FFCF7443}"/>
            </c:ext>
          </c:extLst>
        </c:ser>
        <c:ser>
          <c:idx val="3"/>
          <c:order val="3"/>
          <c:tx>
            <c:strRef>
              <c:f>'040623_analysis'!$S$38</c:f>
              <c:strCache>
                <c:ptCount val="1"/>
                <c:pt idx="0">
                  <c:v>ZBTB7A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'040623_analysis'!$O$39:$O$47</c15:sqref>
                  </c15:fullRef>
                </c:ext>
              </c:extLst>
              <c:f>('040623_analysis'!$O$39:$O$41,'040623_analysis'!$O$43:$O$44,'040623_analysis'!$O$46)</c:f>
              <c:strCache>
                <c:ptCount val="6"/>
                <c:pt idx="0">
                  <c:v>DMSO</c:v>
                </c:pt>
                <c:pt idx="1">
                  <c:v>Pomalidomide (10 uM)</c:v>
                </c:pt>
                <c:pt idx="2">
                  <c:v>Pomalidomide (1 uM)</c:v>
                </c:pt>
                <c:pt idx="3">
                  <c:v>Avadomide (10 uM)</c:v>
                </c:pt>
                <c:pt idx="4">
                  <c:v>Avadomide (1 uM)</c:v>
                </c:pt>
                <c:pt idx="5">
                  <c:v>Idoxuridin (1 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'040623_analysis'!$S$39:$S$47</c15:sqref>
                  </c15:fullRef>
                </c:ext>
              </c:extLst>
              <c:f>('040623_analysis'!$S$39:$S$41,'040623_analysis'!$S$43:$S$44,'040623_analysis'!$S$46)</c:f>
              <c:numCache>
                <c:formatCode>General</c:formatCode>
                <c:ptCount val="6"/>
                <c:pt idx="0">
                  <c:v>1.000000204206793</c:v>
                </c:pt>
                <c:pt idx="1">
                  <c:v>1.112093361244179</c:v>
                </c:pt>
                <c:pt idx="2">
                  <c:v>1.2949065712150347</c:v>
                </c:pt>
                <c:pt idx="3">
                  <c:v>1.7740088787387462</c:v>
                </c:pt>
                <c:pt idx="4">
                  <c:v>1.6942150568700036</c:v>
                </c:pt>
                <c:pt idx="5">
                  <c:v>1.835325110993052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E-45EA-B95B-9398FFCF7443}"/>
            </c:ext>
          </c:extLst>
        </c:ser>
        <c:ser>
          <c:idx val="4"/>
          <c:order val="4"/>
          <c:tx>
            <c:strRef>
              <c:f>'040623_analysis'!$T$38</c:f>
              <c:strCache>
                <c:ptCount val="1"/>
                <c:pt idx="0">
                  <c:v>CRBN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'040623_analysis'!$O$39:$O$47</c15:sqref>
                  </c15:fullRef>
                </c:ext>
              </c:extLst>
              <c:f>('040623_analysis'!$O$39:$O$41,'040623_analysis'!$O$43:$O$44,'040623_analysis'!$O$46)</c:f>
              <c:strCache>
                <c:ptCount val="6"/>
                <c:pt idx="0">
                  <c:v>DMSO</c:v>
                </c:pt>
                <c:pt idx="1">
                  <c:v>Pomalidomide (10 uM)</c:v>
                </c:pt>
                <c:pt idx="2">
                  <c:v>Pomalidomide (1 uM)</c:v>
                </c:pt>
                <c:pt idx="3">
                  <c:v>Avadomide (10 uM)</c:v>
                </c:pt>
                <c:pt idx="4">
                  <c:v>Avadomide (1 uM)</c:v>
                </c:pt>
                <c:pt idx="5">
                  <c:v>Idoxuridin (1 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'040623_analysis'!$T$39:$T$47</c15:sqref>
                  </c15:fullRef>
                </c:ext>
              </c:extLst>
              <c:f>('040623_analysis'!$T$39:$T$41,'040623_analysis'!$T$43:$T$44,'040623_analysis'!$T$46)</c:f>
              <c:numCache>
                <c:formatCode>General</c:formatCode>
                <c:ptCount val="6"/>
                <c:pt idx="0">
                  <c:v>1.0000002619824466</c:v>
                </c:pt>
                <c:pt idx="1">
                  <c:v>2.4382586700876789</c:v>
                </c:pt>
                <c:pt idx="2">
                  <c:v>1.4588429315566487</c:v>
                </c:pt>
                <c:pt idx="3">
                  <c:v>4.8198035223392024</c:v>
                </c:pt>
                <c:pt idx="4">
                  <c:v>2.4573648582726553</c:v>
                </c:pt>
                <c:pt idx="5">
                  <c:v>2.2475199707131872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6E-45EA-B95B-9398FFCF7443}"/>
            </c:ext>
          </c:extLst>
        </c:ser>
        <c:ser>
          <c:idx val="5"/>
          <c:order val="5"/>
          <c:tx>
            <c:strRef>
              <c:f>'040623_analysis'!$U$38</c:f>
              <c:strCache>
                <c:ptCount val="1"/>
                <c:pt idx="0">
                  <c:v>b-globin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'040623_analysis'!$O$39:$O$47</c15:sqref>
                  </c15:fullRef>
                </c:ext>
              </c:extLst>
              <c:f>('040623_analysis'!$O$39:$O$41,'040623_analysis'!$O$43:$O$44,'040623_analysis'!$O$46)</c:f>
              <c:strCache>
                <c:ptCount val="6"/>
                <c:pt idx="0">
                  <c:v>DMSO</c:v>
                </c:pt>
                <c:pt idx="1">
                  <c:v>Pomalidomide (10 uM)</c:v>
                </c:pt>
                <c:pt idx="2">
                  <c:v>Pomalidomide (1 uM)</c:v>
                </c:pt>
                <c:pt idx="3">
                  <c:v>Avadomide (10 uM)</c:v>
                </c:pt>
                <c:pt idx="4">
                  <c:v>Avadomide (1 uM)</c:v>
                </c:pt>
                <c:pt idx="5">
                  <c:v>Idoxuridin (1 uM)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'040623_analysis'!$U$39:$U$47</c15:sqref>
                  </c15:fullRef>
                </c:ext>
              </c:extLst>
              <c:f>('040623_analysis'!$U$39:$U$41,'040623_analysis'!$U$43:$U$44,'040623_analysis'!$U$46)</c:f>
              <c:numCache>
                <c:formatCode>General</c:formatCode>
                <c:ptCount val="6"/>
                <c:pt idx="0">
                  <c:v>1.0000000527425521</c:v>
                </c:pt>
                <c:pt idx="1">
                  <c:v>4.6540707766156615</c:v>
                </c:pt>
                <c:pt idx="2">
                  <c:v>2.2713440906314473</c:v>
                </c:pt>
                <c:pt idx="3">
                  <c:v>11.617669649505428</c:v>
                </c:pt>
                <c:pt idx="4">
                  <c:v>5.6099939731019859</c:v>
                </c:pt>
                <c:pt idx="5">
                  <c:v>3.6946380976582538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6E-45EA-B95B-9398FFCF7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89952"/>
        <c:axId val="45388470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'040623_analysis'!$R$38</c15:sqref>
                        </c15:formulaRef>
                      </c:ext>
                    </c:extLst>
                    <c:strCache>
                      <c:ptCount val="1"/>
                      <c:pt idx="0">
                        <c:v>HbF_CST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'040623_analysis'!$O$39:$O$47</c15:sqref>
                        </c15:fullRef>
                        <c15:formulaRef>
                          <c15:sqref>('040623_analysis'!$O$39:$O$41,'040623_analysis'!$O$43:$O$44,'040623_analysis'!$O$46)</c15:sqref>
                        </c15:formulaRef>
                      </c:ext>
                    </c:extLst>
                    <c:strCache>
                      <c:ptCount val="6"/>
                      <c:pt idx="0">
                        <c:v>DMSO</c:v>
                      </c:pt>
                      <c:pt idx="1">
                        <c:v>Pomalidomide (10 uM)</c:v>
                      </c:pt>
                      <c:pt idx="2">
                        <c:v>Pomalidomide (1 uM)</c:v>
                      </c:pt>
                      <c:pt idx="3">
                        <c:v>Avadomide (10 uM)</c:v>
                      </c:pt>
                      <c:pt idx="4">
                        <c:v>Avadomide (1 uM)</c:v>
                      </c:pt>
                      <c:pt idx="5">
                        <c:v>Idoxuridin (1 uM)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'040623_analysis'!$R$39:$R$47</c15:sqref>
                        </c15:fullRef>
                        <c15:formulaRef>
                          <c15:sqref>('040623_analysis'!$R$39:$R$41,'040623_analysis'!$R$43:$R$44,'040623_analysis'!$R$46)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1.0002050317023594</c:v>
                      </c:pt>
                      <c:pt idx="1">
                        <c:v>4.0380178106428417</c:v>
                      </c:pt>
                      <c:pt idx="2">
                        <c:v>1.9165811663535497</c:v>
                      </c:pt>
                      <c:pt idx="3">
                        <c:v>16.557057024952698</c:v>
                      </c:pt>
                      <c:pt idx="4">
                        <c:v>10.332910601549269</c:v>
                      </c:pt>
                      <c:pt idx="5">
                        <c:v>43.611255135030341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96E-45EA-B95B-9398FFCF7443}"/>
                  </c:ext>
                </c:extLst>
              </c15:ser>
            </c15:filteredBarSeries>
          </c:ext>
        </c:extLst>
      </c:barChart>
      <c:catAx>
        <c:axId val="453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84704"/>
        <c:crosses val="autoZero"/>
        <c:auto val="1"/>
        <c:lblAlgn val="ctr"/>
        <c:lblOffset val="100"/>
        <c:noMultiLvlLbl val="0"/>
      </c:catAx>
      <c:valAx>
        <c:axId val="45388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6B Supporting Data'!$T$3</c:f>
              <c:strCache>
                <c:ptCount val="1"/>
                <c:pt idx="0">
                  <c:v>BCL11A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 6B Supporting Data'!$S$4:$S$13</c15:sqref>
                  </c15:fullRef>
                </c:ext>
              </c:extLst>
              <c:f>('Fig 6B Supporting Data'!$S$4,'Fig 6B Supporting Data'!$S$6:$S$13)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6B Supporting Data'!$T$4:$T$13</c15:sqref>
                  </c15:fullRef>
                </c:ext>
              </c:extLst>
              <c:f>('Fig 6B Supporting Data'!$T$4,'Fig 6B Supporting Data'!$T$6:$T$13)</c:f>
              <c:numCache>
                <c:formatCode>General</c:formatCode>
                <c:ptCount val="9"/>
                <c:pt idx="0">
                  <c:v>1</c:v>
                </c:pt>
                <c:pt idx="1">
                  <c:v>0.83996584742089953</c:v>
                </c:pt>
                <c:pt idx="2">
                  <c:v>0.45309293690557306</c:v>
                </c:pt>
                <c:pt idx="3">
                  <c:v>0.16575079966801348</c:v>
                </c:pt>
                <c:pt idx="4">
                  <c:v>0.9183525773444855</c:v>
                </c:pt>
                <c:pt idx="5">
                  <c:v>0.17141254454748683</c:v>
                </c:pt>
                <c:pt idx="6">
                  <c:v>8.6804071514989409E-2</c:v>
                </c:pt>
                <c:pt idx="7">
                  <c:v>0.83534107594235429</c:v>
                </c:pt>
                <c:pt idx="8">
                  <c:v>0.8422735611274258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1-44ED-8DEF-F1626515C78F}"/>
            </c:ext>
          </c:extLst>
        </c:ser>
        <c:ser>
          <c:idx val="1"/>
          <c:order val="1"/>
          <c:tx>
            <c:strRef>
              <c:f>'Fig 6B Supporting Data'!$U$3</c:f>
              <c:strCache>
                <c:ptCount val="1"/>
                <c:pt idx="0">
                  <c:v>HRI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 6B Supporting Data'!$S$4:$S$13</c15:sqref>
                  </c15:fullRef>
                </c:ext>
              </c:extLst>
              <c:f>('Fig 6B Supporting Data'!$S$4,'Fig 6B Supporting Data'!$S$6:$S$13)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6B Supporting Data'!$U$4:$U$13</c15:sqref>
                  </c15:fullRef>
                </c:ext>
              </c:extLst>
              <c:f>('Fig 6B Supporting Data'!$U$4,'Fig 6B Supporting Data'!$U$6:$U$13)</c:f>
              <c:numCache>
                <c:formatCode>General</c:formatCode>
                <c:ptCount val="9"/>
                <c:pt idx="0">
                  <c:v>1</c:v>
                </c:pt>
                <c:pt idx="1">
                  <c:v>1.5209565186610856</c:v>
                </c:pt>
                <c:pt idx="2">
                  <c:v>0.9714602275070221</c:v>
                </c:pt>
                <c:pt idx="3">
                  <c:v>0.64139925668469688</c:v>
                </c:pt>
                <c:pt idx="4">
                  <c:v>1.3159640614864534</c:v>
                </c:pt>
                <c:pt idx="5">
                  <c:v>0.59186671114934608</c:v>
                </c:pt>
                <c:pt idx="6">
                  <c:v>0.46047247673884018</c:v>
                </c:pt>
                <c:pt idx="7">
                  <c:v>0.92681775965224855</c:v>
                </c:pt>
                <c:pt idx="8">
                  <c:v>0.95289057929826337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1-44ED-8DEF-F1626515C78F}"/>
            </c:ext>
          </c:extLst>
        </c:ser>
        <c:ser>
          <c:idx val="2"/>
          <c:order val="2"/>
          <c:tx>
            <c:strRef>
              <c:f>'Fig 6B Supporting Data'!$V$3</c:f>
              <c:strCache>
                <c:ptCount val="1"/>
                <c:pt idx="0">
                  <c:v>ZBTB7A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 6B Supporting Data'!$S$4:$S$13</c15:sqref>
                  </c15:fullRef>
                </c:ext>
              </c:extLst>
              <c:f>('Fig 6B Supporting Data'!$S$4,'Fig 6B Supporting Data'!$S$6:$S$13)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6B Supporting Data'!$V$4:$V$13</c15:sqref>
                  </c15:fullRef>
                </c:ext>
              </c:extLst>
              <c:f>('Fig 6B Supporting Data'!$V$4,'Fig 6B Supporting Data'!$V$6:$V$13)</c:f>
              <c:numCache>
                <c:formatCode>General</c:formatCode>
                <c:ptCount val="9"/>
                <c:pt idx="0">
                  <c:v>1</c:v>
                </c:pt>
                <c:pt idx="1">
                  <c:v>1.3982260144178562</c:v>
                </c:pt>
                <c:pt idx="2">
                  <c:v>0.88898755732256396</c:v>
                </c:pt>
                <c:pt idx="3">
                  <c:v>0.4978093971930409</c:v>
                </c:pt>
                <c:pt idx="4">
                  <c:v>1.3287831012826161</c:v>
                </c:pt>
                <c:pt idx="5">
                  <c:v>0.57892826665978225</c:v>
                </c:pt>
                <c:pt idx="6">
                  <c:v>0.34876373278881573</c:v>
                </c:pt>
                <c:pt idx="7">
                  <c:v>0.96019828635137705</c:v>
                </c:pt>
                <c:pt idx="8">
                  <c:v>0.94847676474626907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21-44ED-8DEF-F1626515C78F}"/>
            </c:ext>
          </c:extLst>
        </c:ser>
        <c:ser>
          <c:idx val="3"/>
          <c:order val="3"/>
          <c:tx>
            <c:strRef>
              <c:f>'Fig 6B Supporting Data'!$W$3</c:f>
              <c:strCache>
                <c:ptCount val="1"/>
                <c:pt idx="0">
                  <c:v>a-globin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 6B Supporting Data'!$S$4:$S$13</c15:sqref>
                  </c15:fullRef>
                </c:ext>
              </c:extLst>
              <c:f>('Fig 6B Supporting Data'!$S$4,'Fig 6B Supporting Data'!$S$6:$S$13)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6B Supporting Data'!$W$4:$W$13</c15:sqref>
                  </c15:fullRef>
                </c:ext>
              </c:extLst>
              <c:f>('Fig 6B Supporting Data'!$W$4,'Fig 6B Supporting Data'!$W$6:$W$13)</c:f>
              <c:numCache>
                <c:formatCode>General</c:formatCode>
                <c:ptCount val="9"/>
                <c:pt idx="0">
                  <c:v>1</c:v>
                </c:pt>
                <c:pt idx="1">
                  <c:v>0.96409740051225312</c:v>
                </c:pt>
                <c:pt idx="2">
                  <c:v>0.62620181607402325</c:v>
                </c:pt>
                <c:pt idx="3">
                  <c:v>0.26964027765448895</c:v>
                </c:pt>
                <c:pt idx="4">
                  <c:v>1.1698981319559141</c:v>
                </c:pt>
                <c:pt idx="5">
                  <c:v>0.31120917277432308</c:v>
                </c:pt>
                <c:pt idx="6">
                  <c:v>0.2836334415590363</c:v>
                </c:pt>
                <c:pt idx="7">
                  <c:v>0.84483116609102471</c:v>
                </c:pt>
                <c:pt idx="8">
                  <c:v>0.95640656255999301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21-44ED-8DEF-F1626515C78F}"/>
            </c:ext>
          </c:extLst>
        </c:ser>
        <c:ser>
          <c:idx val="4"/>
          <c:order val="4"/>
          <c:tx>
            <c:strRef>
              <c:f>'Fig 6B Supporting Data'!$X$3</c:f>
              <c:strCache>
                <c:ptCount val="1"/>
                <c:pt idx="0">
                  <c:v>b-globin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 6B Supporting Data'!$S$4:$S$13</c15:sqref>
                  </c15:fullRef>
                </c:ext>
              </c:extLst>
              <c:f>('Fig 6B Supporting Data'!$S$4,'Fig 6B Supporting Data'!$S$6:$S$13)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6B Supporting Data'!$X$4:$X$13</c15:sqref>
                  </c15:fullRef>
                </c:ext>
              </c:extLst>
              <c:f>('Fig 6B Supporting Data'!$X$4,'Fig 6B Supporting Data'!$X$6:$X$13)</c:f>
              <c:numCache>
                <c:formatCode>General</c:formatCode>
                <c:ptCount val="9"/>
                <c:pt idx="0">
                  <c:v>1</c:v>
                </c:pt>
                <c:pt idx="1">
                  <c:v>0.94206793956844681</c:v>
                </c:pt>
                <c:pt idx="2">
                  <c:v>0.61932089312884719</c:v>
                </c:pt>
                <c:pt idx="3">
                  <c:v>0.25835835079487551</c:v>
                </c:pt>
                <c:pt idx="4">
                  <c:v>0.46460911921042014</c:v>
                </c:pt>
                <c:pt idx="5">
                  <c:v>0.11253227007286566</c:v>
                </c:pt>
                <c:pt idx="6">
                  <c:v>0.20289933765456564</c:v>
                </c:pt>
                <c:pt idx="7">
                  <c:v>0.89258716687609618</c:v>
                </c:pt>
                <c:pt idx="8">
                  <c:v>1.136474442149795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1-44ED-8DEF-F1626515C78F}"/>
            </c:ext>
          </c:extLst>
        </c:ser>
        <c:ser>
          <c:idx val="5"/>
          <c:order val="5"/>
          <c:tx>
            <c:strRef>
              <c:f>'Fig 6B Supporting Data'!$Y$3</c:f>
              <c:strCache>
                <c:ptCount val="1"/>
                <c:pt idx="0">
                  <c:v>CRBN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 6B Supporting Data'!$S$4:$S$13</c15:sqref>
                  </c15:fullRef>
                </c:ext>
              </c:extLst>
              <c:f>('Fig 6B Supporting Data'!$S$4,'Fig 6B Supporting Data'!$S$6:$S$13)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6B Supporting Data'!$Y$4:$Y$13</c15:sqref>
                  </c15:fullRef>
                </c:ext>
              </c:extLst>
              <c:f>('Fig 6B Supporting Data'!$Y$4,'Fig 6B Supporting Data'!$Y$6:$Y$13)</c:f>
              <c:numCache>
                <c:formatCode>General</c:formatCode>
                <c:ptCount val="9"/>
                <c:pt idx="0">
                  <c:v>1</c:v>
                </c:pt>
                <c:pt idx="1">
                  <c:v>1.6281077133471324</c:v>
                </c:pt>
                <c:pt idx="2">
                  <c:v>1.1249059288810888</c:v>
                </c:pt>
                <c:pt idx="3">
                  <c:v>0.75296850029365325</c:v>
                </c:pt>
                <c:pt idx="4">
                  <c:v>1.3643957277807368</c:v>
                </c:pt>
                <c:pt idx="5">
                  <c:v>0.76212852169899137</c:v>
                </c:pt>
                <c:pt idx="6">
                  <c:v>0.54327858960550468</c:v>
                </c:pt>
                <c:pt idx="7">
                  <c:v>1.051194383990609</c:v>
                </c:pt>
                <c:pt idx="8">
                  <c:v>0.92326615664721157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21-44ED-8DEF-F1626515C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645272"/>
        <c:axId val="898078920"/>
      </c:barChart>
      <c:catAx>
        <c:axId val="84664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078920"/>
        <c:crosses val="autoZero"/>
        <c:auto val="1"/>
        <c:lblAlgn val="ctr"/>
        <c:lblOffset val="100"/>
        <c:noMultiLvlLbl val="0"/>
      </c:catAx>
      <c:valAx>
        <c:axId val="89807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4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6B Supporting Data'!$S$17</c:f>
              <c:strCache>
                <c:ptCount val="1"/>
                <c:pt idx="0">
                  <c:v>DMSO_1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Data'!$T$17:$X$17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7-441B-AE4C-0FC86E3BEDC5}"/>
            </c:ext>
          </c:extLst>
        </c:ser>
        <c:ser>
          <c:idx val="1"/>
          <c:order val="1"/>
          <c:tx>
            <c:strRef>
              <c:f>'Fig 6B Supporting Data'!$S$18</c:f>
              <c:strCache>
                <c:ptCount val="1"/>
                <c:pt idx="0">
                  <c:v>Pamolidomide 0.1uM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Data'!$T$18:$X$18</c:f>
              <c:numCache>
                <c:formatCode>General</c:formatCode>
                <c:ptCount val="5"/>
                <c:pt idx="0">
                  <c:v>0.83996584742089953</c:v>
                </c:pt>
                <c:pt idx="1">
                  <c:v>0.97550997568411568</c:v>
                </c:pt>
                <c:pt idx="2">
                  <c:v>1.3982260144178562</c:v>
                </c:pt>
                <c:pt idx="3">
                  <c:v>1.5209565186610856</c:v>
                </c:pt>
                <c:pt idx="4">
                  <c:v>1.6281077133471324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7-441B-AE4C-0FC86E3BEDC5}"/>
            </c:ext>
          </c:extLst>
        </c:ser>
        <c:ser>
          <c:idx val="2"/>
          <c:order val="2"/>
          <c:tx>
            <c:strRef>
              <c:f>'Fig 6B Supporting Data'!$S$19</c:f>
              <c:strCache>
                <c:ptCount val="1"/>
                <c:pt idx="0">
                  <c:v>Pamolidomide 1uM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Data'!$T$19:$X$19</c:f>
              <c:numCache>
                <c:formatCode>General</c:formatCode>
                <c:ptCount val="5"/>
                <c:pt idx="0">
                  <c:v>0.45309293690557306</c:v>
                </c:pt>
                <c:pt idx="1">
                  <c:v>0.51496822872074932</c:v>
                </c:pt>
                <c:pt idx="2">
                  <c:v>0.88898755732256396</c:v>
                </c:pt>
                <c:pt idx="3">
                  <c:v>0.9714602275070221</c:v>
                </c:pt>
                <c:pt idx="4">
                  <c:v>1.1249059288810888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7-441B-AE4C-0FC86E3BEDC5}"/>
            </c:ext>
          </c:extLst>
        </c:ser>
        <c:ser>
          <c:idx val="3"/>
          <c:order val="3"/>
          <c:tx>
            <c:strRef>
              <c:f>'Fig 6B Supporting Data'!$S$20</c:f>
              <c:strCache>
                <c:ptCount val="1"/>
                <c:pt idx="0">
                  <c:v>Pamolidomide 10uM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Data'!$T$20:$X$20</c:f>
              <c:numCache>
                <c:formatCode>General</c:formatCode>
                <c:ptCount val="5"/>
                <c:pt idx="0">
                  <c:v>0.16575079966801348</c:v>
                </c:pt>
                <c:pt idx="1">
                  <c:v>0.11699709444303125</c:v>
                </c:pt>
                <c:pt idx="2">
                  <c:v>0.4978093971930409</c:v>
                </c:pt>
                <c:pt idx="3">
                  <c:v>0.64139925668469688</c:v>
                </c:pt>
                <c:pt idx="4">
                  <c:v>0.75296850029365325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F7-441B-AE4C-0FC86E3BEDC5}"/>
            </c:ext>
          </c:extLst>
        </c:ser>
        <c:ser>
          <c:idx val="4"/>
          <c:order val="4"/>
          <c:tx>
            <c:strRef>
              <c:f>'Fig 6B Supporting Data'!$S$21</c:f>
              <c:strCache>
                <c:ptCount val="1"/>
                <c:pt idx="0">
                  <c:v>Avadomide 0.1uM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Data'!$T$21:$X$21</c:f>
              <c:numCache>
                <c:formatCode>General</c:formatCode>
                <c:ptCount val="5"/>
                <c:pt idx="0">
                  <c:v>0.9183525773444855</c:v>
                </c:pt>
                <c:pt idx="1">
                  <c:v>1.123013879228044</c:v>
                </c:pt>
                <c:pt idx="2">
                  <c:v>1.3287831012826161</c:v>
                </c:pt>
                <c:pt idx="3">
                  <c:v>1.3159640614864534</c:v>
                </c:pt>
                <c:pt idx="4">
                  <c:v>1.3643957277807368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F7-441B-AE4C-0FC86E3BEDC5}"/>
            </c:ext>
          </c:extLst>
        </c:ser>
        <c:ser>
          <c:idx val="5"/>
          <c:order val="5"/>
          <c:tx>
            <c:strRef>
              <c:f>'Fig 6B Supporting Data'!$S$22</c:f>
              <c:strCache>
                <c:ptCount val="1"/>
                <c:pt idx="0">
                  <c:v>Avadomide 1uM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Data'!$T$22:$X$22</c:f>
              <c:numCache>
                <c:formatCode>General</c:formatCode>
                <c:ptCount val="5"/>
                <c:pt idx="0">
                  <c:v>0.17141254454748683</c:v>
                </c:pt>
                <c:pt idx="1">
                  <c:v>0.21188902907134385</c:v>
                </c:pt>
                <c:pt idx="2">
                  <c:v>0.57892826665978225</c:v>
                </c:pt>
                <c:pt idx="3">
                  <c:v>0.59186671114934608</c:v>
                </c:pt>
                <c:pt idx="4">
                  <c:v>0.76212852169899137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F7-441B-AE4C-0FC86E3BEDC5}"/>
            </c:ext>
          </c:extLst>
        </c:ser>
        <c:ser>
          <c:idx val="6"/>
          <c:order val="6"/>
          <c:tx>
            <c:strRef>
              <c:f>'Fig 6B Supporting Data'!$S$23</c:f>
              <c:strCache>
                <c:ptCount val="1"/>
                <c:pt idx="0">
                  <c:v>Avadomide 10uM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Data'!$T$23:$X$23</c:f>
              <c:numCache>
                <c:formatCode>General</c:formatCode>
                <c:ptCount val="5"/>
                <c:pt idx="0">
                  <c:v>8.6804071514989409E-2</c:v>
                </c:pt>
                <c:pt idx="1">
                  <c:v>5.092551006528441E-2</c:v>
                </c:pt>
                <c:pt idx="2">
                  <c:v>0.34876373278881573</c:v>
                </c:pt>
                <c:pt idx="3">
                  <c:v>0.46047247673884018</c:v>
                </c:pt>
                <c:pt idx="4">
                  <c:v>0.54327858960550468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F7-441B-AE4C-0FC86E3BEDC5}"/>
            </c:ext>
          </c:extLst>
        </c:ser>
        <c:ser>
          <c:idx val="7"/>
          <c:order val="7"/>
          <c:tx>
            <c:strRef>
              <c:f>'Fig 6B Supporting Data'!$S$24</c:f>
              <c:strCache>
                <c:ptCount val="1"/>
                <c:pt idx="0">
                  <c:v>Idoxurindin 0.1uM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Data'!$T$24:$X$24</c:f>
              <c:numCache>
                <c:formatCode>General</c:formatCode>
                <c:ptCount val="5"/>
                <c:pt idx="0">
                  <c:v>0.83534107594235429</c:v>
                </c:pt>
                <c:pt idx="1">
                  <c:v>1.1964342323056789</c:v>
                </c:pt>
                <c:pt idx="2">
                  <c:v>0.96019828635137705</c:v>
                </c:pt>
                <c:pt idx="3">
                  <c:v>0.92681775965224855</c:v>
                </c:pt>
                <c:pt idx="4">
                  <c:v>1.051194383990609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F7-441B-AE4C-0FC86E3BEDC5}"/>
            </c:ext>
          </c:extLst>
        </c:ser>
        <c:ser>
          <c:idx val="8"/>
          <c:order val="8"/>
          <c:tx>
            <c:strRef>
              <c:f>'Fig 6B Supporting Data'!$S$25</c:f>
              <c:strCache>
                <c:ptCount val="1"/>
                <c:pt idx="0">
                  <c:v>Idoxurindin 1uM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 6B Supporting Data'!$T$16:$X$16</c:f>
              <c:strCache>
                <c:ptCount val="5"/>
                <c:pt idx="0">
                  <c:v>BCL11A</c:v>
                </c:pt>
                <c:pt idx="1">
                  <c:v>KZF1</c:v>
                </c:pt>
                <c:pt idx="2">
                  <c:v>ZBTB7A</c:v>
                </c:pt>
                <c:pt idx="3">
                  <c:v>HRI</c:v>
                </c:pt>
                <c:pt idx="4">
                  <c:v>CRBN</c:v>
                </c:pt>
              </c:strCache>
            </c:strRef>
          </c:cat>
          <c:val>
            <c:numRef>
              <c:f>'Fig 6B Supporting Data'!$T$25:$X$25</c:f>
              <c:numCache>
                <c:formatCode>General</c:formatCode>
                <c:ptCount val="5"/>
                <c:pt idx="0">
                  <c:v>0.8422735611274258</c:v>
                </c:pt>
                <c:pt idx="1">
                  <c:v>0.82577639387465629</c:v>
                </c:pt>
                <c:pt idx="2">
                  <c:v>0.94847676474626907</c:v>
                </c:pt>
                <c:pt idx="3">
                  <c:v>0.95289057929826337</c:v>
                </c:pt>
                <c:pt idx="4">
                  <c:v>0.92326615664721157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7-441B-AE4C-0FC86E3B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448080"/>
        <c:axId val="873471688"/>
      </c:barChart>
      <c:catAx>
        <c:axId val="92244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71688"/>
        <c:crosses val="autoZero"/>
        <c:auto val="1"/>
        <c:lblAlgn val="ctr"/>
        <c:lblOffset val="100"/>
        <c:noMultiLvlLbl val="0"/>
      </c:catAx>
      <c:valAx>
        <c:axId val="87347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4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GAPDH'!$E$6:$M$6</c:f>
              <c:numCache>
                <c:formatCode>General</c:formatCode>
                <c:ptCount val="9"/>
                <c:pt idx="0">
                  <c:v>1</c:v>
                </c:pt>
                <c:pt idx="1">
                  <c:v>0.34553949295709419</c:v>
                </c:pt>
                <c:pt idx="2">
                  <c:v>0.56175062381677443</c:v>
                </c:pt>
                <c:pt idx="3">
                  <c:v>0.68874871907692492</c:v>
                </c:pt>
                <c:pt idx="4">
                  <c:v>0.13598916208815068</c:v>
                </c:pt>
                <c:pt idx="5">
                  <c:v>0.26317059097110856</c:v>
                </c:pt>
                <c:pt idx="6">
                  <c:v>0.77280043073752225</c:v>
                </c:pt>
                <c:pt idx="7">
                  <c:v>0.29360976183997484</c:v>
                </c:pt>
                <c:pt idx="8">
                  <c:v>0.7417755571894763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F-4DA1-A4BF-6C38B73FC93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GAPDH'!$E$7:$M$7</c:f>
              <c:numCache>
                <c:formatCode>General</c:formatCode>
                <c:ptCount val="9"/>
                <c:pt idx="0">
                  <c:v>0.81499999999999995</c:v>
                </c:pt>
                <c:pt idx="1">
                  <c:v>0.161</c:v>
                </c:pt>
                <c:pt idx="2">
                  <c:v>0.32200000000000001</c:v>
                </c:pt>
                <c:pt idx="3">
                  <c:v>0.55400000000000005</c:v>
                </c:pt>
                <c:pt idx="4">
                  <c:v>0.10100000000000001</c:v>
                </c:pt>
                <c:pt idx="5">
                  <c:v>0.29499999999999998</c:v>
                </c:pt>
                <c:pt idx="6">
                  <c:v>0.6</c:v>
                </c:pt>
                <c:pt idx="7">
                  <c:v>0.65600000000000003</c:v>
                </c:pt>
                <c:pt idx="8">
                  <c:v>0.59599999999999997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F-4DA1-A4BF-6C38B73FC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620600"/>
        <c:axId val="333620272"/>
      </c:barChart>
      <c:catAx>
        <c:axId val="33362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0272"/>
        <c:crosses val="autoZero"/>
        <c:auto val="1"/>
        <c:lblAlgn val="ctr"/>
        <c:lblOffset val="100"/>
        <c:noMultiLvlLbl val="0"/>
      </c:catAx>
      <c:valAx>
        <c:axId val="3336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40623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GAPDH'!$E$6:$M$6</c:f>
              <c:numCache>
                <c:formatCode>General</c:formatCode>
                <c:ptCount val="9"/>
                <c:pt idx="0">
                  <c:v>1</c:v>
                </c:pt>
                <c:pt idx="1">
                  <c:v>0.34553949295709419</c:v>
                </c:pt>
                <c:pt idx="2">
                  <c:v>0.56175062381677443</c:v>
                </c:pt>
                <c:pt idx="3">
                  <c:v>0.68874871907692492</c:v>
                </c:pt>
                <c:pt idx="4">
                  <c:v>0.13598916208815068</c:v>
                </c:pt>
                <c:pt idx="5">
                  <c:v>0.26317059097110856</c:v>
                </c:pt>
                <c:pt idx="6">
                  <c:v>0.77280043073752225</c:v>
                </c:pt>
                <c:pt idx="7">
                  <c:v>0.29360976183997484</c:v>
                </c:pt>
                <c:pt idx="8">
                  <c:v>0.7417755571894763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7-47F5-98C7-870C54E1EEE5}"/>
            </c:ext>
          </c:extLst>
        </c:ser>
        <c:ser>
          <c:idx val="1"/>
          <c:order val="1"/>
          <c:tx>
            <c:v>protein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GAPDH'!$E$7:$M$7</c:f>
              <c:numCache>
                <c:formatCode>General</c:formatCode>
                <c:ptCount val="9"/>
                <c:pt idx="0">
                  <c:v>0.81499999999999995</c:v>
                </c:pt>
                <c:pt idx="1">
                  <c:v>0.161</c:v>
                </c:pt>
                <c:pt idx="2">
                  <c:v>0.32200000000000001</c:v>
                </c:pt>
                <c:pt idx="3">
                  <c:v>0.55400000000000005</c:v>
                </c:pt>
                <c:pt idx="4">
                  <c:v>0.10100000000000001</c:v>
                </c:pt>
                <c:pt idx="5">
                  <c:v>0.29499999999999998</c:v>
                </c:pt>
                <c:pt idx="6">
                  <c:v>0.6</c:v>
                </c:pt>
                <c:pt idx="7">
                  <c:v>0.65600000000000003</c:v>
                </c:pt>
                <c:pt idx="8">
                  <c:v>0.59599999999999997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97-47F5-98C7-870C54E1EEE5}"/>
            </c:ext>
          </c:extLst>
        </c:ser>
        <c:ser>
          <c:idx val="2"/>
          <c:order val="2"/>
          <c:tx>
            <c:v>41023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GAPDH'!$E$8:$M$8</c:f>
              <c:numCache>
                <c:formatCode>General</c:formatCode>
                <c:ptCount val="9"/>
                <c:pt idx="0">
                  <c:v>1</c:v>
                </c:pt>
                <c:pt idx="1">
                  <c:v>0.30727401210176758</c:v>
                </c:pt>
                <c:pt idx="2">
                  <c:v>0.49377847357765603</c:v>
                </c:pt>
                <c:pt idx="3">
                  <c:v>0.7750729946080559</c:v>
                </c:pt>
                <c:pt idx="4">
                  <c:v>0.12883042756094623</c:v>
                </c:pt>
                <c:pt idx="5">
                  <c:v>0.28007480101158599</c:v>
                </c:pt>
                <c:pt idx="6">
                  <c:v>0.75089945262564728</c:v>
                </c:pt>
                <c:pt idx="7">
                  <c:v>0.29562441348690416</c:v>
                </c:pt>
                <c:pt idx="8">
                  <c:v>0.86380808041790402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7-47F5-98C7-870C54E1E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137400"/>
        <c:axId val="852133792"/>
      </c:barChart>
      <c:catAx>
        <c:axId val="85213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33792"/>
        <c:crosses val="autoZero"/>
        <c:auto val="1"/>
        <c:lblAlgn val="ctr"/>
        <c:lblOffset val="100"/>
        <c:noMultiLvlLbl val="0"/>
      </c:catAx>
      <c:valAx>
        <c:axId val="85213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3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GAPDH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GAPDH'!$E$11:$M$11</c:f>
              <c:numCache>
                <c:formatCode>General</c:formatCode>
                <c:ptCount val="9"/>
                <c:pt idx="0">
                  <c:v>0.7552299675251114</c:v>
                </c:pt>
                <c:pt idx="1">
                  <c:v>0.24651216111277913</c:v>
                </c:pt>
                <c:pt idx="2">
                  <c:v>0.39858360297350293</c:v>
                </c:pt>
                <c:pt idx="3">
                  <c:v>0.55276101264443045</c:v>
                </c:pt>
                <c:pt idx="4">
                  <c:v>9.9999845045350394E-2</c:v>
                </c:pt>
                <c:pt idx="5">
                  <c:v>0.20513759987262839</c:v>
                </c:pt>
                <c:pt idx="6">
                  <c:v>0.57537190671519123</c:v>
                </c:pt>
                <c:pt idx="7">
                  <c:v>0.22250365354840232</c:v>
                </c:pt>
                <c:pt idx="8">
                  <c:v>0.60629243924453602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A-4DC0-9F13-7B270E762CE3}"/>
            </c:ext>
          </c:extLst>
        </c:ser>
        <c:ser>
          <c:idx val="1"/>
          <c:order val="1"/>
          <c:tx>
            <c:v>Protein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GAPDH'!$E$7:$M$7</c:f>
              <c:numCache>
                <c:formatCode>General</c:formatCode>
                <c:ptCount val="9"/>
                <c:pt idx="0">
                  <c:v>0.81499999999999995</c:v>
                </c:pt>
                <c:pt idx="1">
                  <c:v>0.161</c:v>
                </c:pt>
                <c:pt idx="2">
                  <c:v>0.32200000000000001</c:v>
                </c:pt>
                <c:pt idx="3">
                  <c:v>0.55400000000000005</c:v>
                </c:pt>
                <c:pt idx="4">
                  <c:v>0.10100000000000001</c:v>
                </c:pt>
                <c:pt idx="5">
                  <c:v>0.29499999999999998</c:v>
                </c:pt>
                <c:pt idx="6">
                  <c:v>0.6</c:v>
                </c:pt>
                <c:pt idx="7">
                  <c:v>0.65600000000000003</c:v>
                </c:pt>
                <c:pt idx="8">
                  <c:v>0.59599999999999997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A-4DC0-9F13-7B270E762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895872"/>
        <c:axId val="807891936"/>
      </c:barChart>
      <c:catAx>
        <c:axId val="80789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91936"/>
        <c:crosses val="autoZero"/>
        <c:auto val="1"/>
        <c:lblAlgn val="ctr"/>
        <c:lblOffset val="100"/>
        <c:noMultiLvlLbl val="0"/>
      </c:catAx>
      <c:valAx>
        <c:axId val="80789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9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HbF_CST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GAPDH'!$E$21:$M$21</c:f>
              <c:numCache>
                <c:formatCode>General</c:formatCode>
                <c:ptCount val="9"/>
                <c:pt idx="0">
                  <c:v>1</c:v>
                </c:pt>
                <c:pt idx="1">
                  <c:v>4.8329426097619104</c:v>
                </c:pt>
                <c:pt idx="2">
                  <c:v>1.5511611712683544</c:v>
                </c:pt>
                <c:pt idx="3">
                  <c:v>2.7427310772454465</c:v>
                </c:pt>
                <c:pt idx="4">
                  <c:v>1.8533901618532405</c:v>
                </c:pt>
                <c:pt idx="5">
                  <c:v>0.32350786577301399</c:v>
                </c:pt>
                <c:pt idx="6">
                  <c:v>1.0762747723450963</c:v>
                </c:pt>
                <c:pt idx="7">
                  <c:v>6.291032335510824</c:v>
                </c:pt>
                <c:pt idx="8">
                  <c:v>0.59205818846287683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4-4226-9159-0363887938B0}"/>
            </c:ext>
          </c:extLst>
        </c:ser>
        <c:ser>
          <c:idx val="1"/>
          <c:order val="1"/>
          <c:tx>
            <c:v>HbF_Abcam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GAPDH'!$E$22:$M$22</c:f>
              <c:numCache>
                <c:formatCode>General</c:formatCode>
                <c:ptCount val="9"/>
                <c:pt idx="0">
                  <c:v>1</c:v>
                </c:pt>
                <c:pt idx="1">
                  <c:v>1.2121900628643782</c:v>
                </c:pt>
                <c:pt idx="2">
                  <c:v>1.3466150014615004</c:v>
                </c:pt>
                <c:pt idx="3">
                  <c:v>1.0470406517219426</c:v>
                </c:pt>
                <c:pt idx="4">
                  <c:v>1.8186781189041163</c:v>
                </c:pt>
                <c:pt idx="5">
                  <c:v>1.2946025548974491</c:v>
                </c:pt>
                <c:pt idx="6">
                  <c:v>1.2638459386808629</c:v>
                </c:pt>
                <c:pt idx="7">
                  <c:v>2.6910968722958093</c:v>
                </c:pt>
                <c:pt idx="8">
                  <c:v>1.1242953298005502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4-4226-9159-036388793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555392"/>
        <c:axId val="935555720"/>
      </c:barChart>
      <c:catAx>
        <c:axId val="93555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55720"/>
        <c:crosses val="autoZero"/>
        <c:auto val="1"/>
        <c:lblAlgn val="ctr"/>
        <c:lblOffset val="100"/>
        <c:noMultiLvlLbl val="0"/>
      </c:catAx>
      <c:valAx>
        <c:axId val="93555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GAPDH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40623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GAPDH'!$E$6:$M$6</c:f>
              <c:numCache>
                <c:formatCode>General</c:formatCode>
                <c:ptCount val="9"/>
                <c:pt idx="0">
                  <c:v>1</c:v>
                </c:pt>
                <c:pt idx="1">
                  <c:v>0.34553949295709419</c:v>
                </c:pt>
                <c:pt idx="2">
                  <c:v>0.56175062381677443</c:v>
                </c:pt>
                <c:pt idx="3">
                  <c:v>0.68874871907692492</c:v>
                </c:pt>
                <c:pt idx="4">
                  <c:v>0.13598916208815068</c:v>
                </c:pt>
                <c:pt idx="5">
                  <c:v>0.26317059097110856</c:v>
                </c:pt>
                <c:pt idx="6">
                  <c:v>0.77280043073752225</c:v>
                </c:pt>
                <c:pt idx="7">
                  <c:v>0.29360976183997484</c:v>
                </c:pt>
                <c:pt idx="8">
                  <c:v>0.7417755571894763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4-46C6-8291-FC32A9525B30}"/>
            </c:ext>
          </c:extLst>
        </c:ser>
        <c:ser>
          <c:idx val="1"/>
          <c:order val="1"/>
          <c:tx>
            <c:v>41023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'camparison GAPDH'!$E$4:$M$5</c:f>
              <c:multiLvlStrCache>
                <c:ptCount val="9"/>
                <c:lvl>
                  <c:pt idx="1">
                    <c:v>10</c:v>
                  </c:pt>
                  <c:pt idx="2">
                    <c:v>1</c:v>
                  </c:pt>
                  <c:pt idx="3">
                    <c:v>0.1</c:v>
                  </c:pt>
                  <c:pt idx="4">
                    <c:v>10</c:v>
                  </c:pt>
                  <c:pt idx="5">
                    <c:v>1</c:v>
                  </c:pt>
                  <c:pt idx="6">
                    <c:v>0.1</c:v>
                  </c:pt>
                  <c:pt idx="7">
                    <c:v>1</c:v>
                  </c:pt>
                  <c:pt idx="8">
                    <c:v>0.1</c:v>
                  </c:pt>
                </c:lvl>
                <c:lvl>
                  <c:pt idx="0">
                    <c:v>DMSO</c:v>
                  </c:pt>
                  <c:pt idx="1">
                    <c:v>Pomalidomide</c:v>
                  </c:pt>
                  <c:pt idx="4">
                    <c:v>Avadomide</c:v>
                  </c:pt>
                  <c:pt idx="7">
                    <c:v>Idoxuridin</c:v>
                  </c:pt>
                </c:lvl>
              </c:multiLvlStrCache>
            </c:multiLvlStrRef>
          </c:cat>
          <c:val>
            <c:numRef>
              <c:f>'camparison GAPDH'!$E$8:$M$8</c:f>
              <c:numCache>
                <c:formatCode>General</c:formatCode>
                <c:ptCount val="9"/>
                <c:pt idx="0">
                  <c:v>1</c:v>
                </c:pt>
                <c:pt idx="1">
                  <c:v>0.30727401210176758</c:v>
                </c:pt>
                <c:pt idx="2">
                  <c:v>0.49377847357765603</c:v>
                </c:pt>
                <c:pt idx="3">
                  <c:v>0.7750729946080559</c:v>
                </c:pt>
                <c:pt idx="4">
                  <c:v>0.12883042756094623</c:v>
                </c:pt>
                <c:pt idx="5">
                  <c:v>0.28007480101158599</c:v>
                </c:pt>
                <c:pt idx="6">
                  <c:v>0.75089945262564728</c:v>
                </c:pt>
                <c:pt idx="7">
                  <c:v>0.29562441348690416</c:v>
                </c:pt>
                <c:pt idx="8">
                  <c:v>0.86380808041790402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E4-46C6-8291-FC32A9525B30}"/>
            </c:ext>
          </c:extLst>
        </c:ser>
        <c:ser>
          <c:idx val="2"/>
          <c:order val="2"/>
          <c:tx>
            <c:v>41321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'camparison GAPDH'!$E$13:$M$13</c:f>
              <c:numCache>
                <c:formatCode>General</c:formatCode>
                <c:ptCount val="9"/>
                <c:pt idx="0">
                  <c:v>1</c:v>
                </c:pt>
                <c:pt idx="1">
                  <c:v>1.9412108803743788</c:v>
                </c:pt>
                <c:pt idx="2">
                  <c:v>0.95671248903188078</c:v>
                </c:pt>
                <c:pt idx="3">
                  <c:v>0.49166422930681486</c:v>
                </c:pt>
                <c:pt idx="4">
                  <c:v>3.0665399239543727</c:v>
                </c:pt>
                <c:pt idx="5">
                  <c:v>1.6130447499268794</c:v>
                </c:pt>
                <c:pt idx="6">
                  <c:v>0.65472360339280489</c:v>
                </c:pt>
                <c:pt idx="7">
                  <c:v>1.310324656332261</c:v>
                </c:pt>
                <c:pt idx="8">
                  <c:v>0.87116115823340168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E4-46C6-8291-FC32A9525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678528"/>
        <c:axId val="1025678856"/>
      </c:barChart>
      <c:catAx>
        <c:axId val="10256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78856"/>
        <c:crosses val="autoZero"/>
        <c:auto val="1"/>
        <c:lblAlgn val="ctr"/>
        <c:lblOffset val="100"/>
        <c:noMultiLvlLbl val="0"/>
      </c:catAx>
      <c:valAx>
        <c:axId val="102567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Diltion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'dilution '!$M$7:$M$16</c:f>
              <c:numCache>
                <c:formatCode>General</c:formatCode>
                <c:ptCount val="10"/>
                <c:pt idx="0">
                  <c:v>7.6923076923076916</c:v>
                </c:pt>
                <c:pt idx="1">
                  <c:v>7.6923076923076916</c:v>
                </c:pt>
                <c:pt idx="2">
                  <c:v>2</c:v>
                </c:pt>
                <c:pt idx="3">
                  <c:v>3.5714285714285716</c:v>
                </c:pt>
                <c:pt idx="4">
                  <c:v>5.5555555555555554</c:v>
                </c:pt>
                <c:pt idx="5">
                  <c:v>1</c:v>
                </c:pt>
                <c:pt idx="6">
                  <c:v>2</c:v>
                </c:pt>
                <c:pt idx="7">
                  <c:v>5.5555555555555554</c:v>
                </c:pt>
                <c:pt idx="8">
                  <c:v>2.2222222222222223</c:v>
                </c:pt>
                <c:pt idx="9">
                  <c:v>5.882352941176471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8-43F6-98B6-85EC028CB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724904"/>
        <c:axId val="883721952"/>
      </c:barChart>
      <c:catAx>
        <c:axId val="883724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721952"/>
        <c:crosses val="autoZero"/>
        <c:auto val="1"/>
        <c:lblAlgn val="ctr"/>
        <c:lblOffset val="100"/>
        <c:noMultiLvlLbl val="0"/>
      </c:catAx>
      <c:valAx>
        <c:axId val="8837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724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globin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[1]Sheet1!$A$16:$A$26</c:f>
              <c:strCache>
                <c:ptCount val="11"/>
                <c:pt idx="0">
                  <c:v>Untreated</c:v>
                </c:pt>
                <c:pt idx="1">
                  <c:v>DMSO_1</c:v>
                </c:pt>
                <c:pt idx="2">
                  <c:v>DMSO_2</c:v>
                </c:pt>
                <c:pt idx="3">
                  <c:v>Pamolidomide 0.1uM</c:v>
                </c:pt>
                <c:pt idx="4">
                  <c:v>Pamolidomide 1uM</c:v>
                </c:pt>
                <c:pt idx="5">
                  <c:v>Pamolidomide 10uM</c:v>
                </c:pt>
                <c:pt idx="6">
                  <c:v>Avadomide 0.1uM</c:v>
                </c:pt>
                <c:pt idx="7">
                  <c:v>Avadomide 1uM</c:v>
                </c:pt>
                <c:pt idx="8">
                  <c:v>Avadomide 10uM</c:v>
                </c:pt>
                <c:pt idx="9">
                  <c:v>Idoxurindin 0.1uM</c:v>
                </c:pt>
                <c:pt idx="10">
                  <c:v>Idoxurindin 1uM</c:v>
                </c:pt>
              </c:strCache>
            </c:strRef>
          </c:cat>
          <c:val>
            <c:numRef>
              <c:f>[1]Sheet1!$O$16:$O$26</c:f>
              <c:numCache>
                <c:formatCode>General</c:formatCode>
                <c:ptCount val="11"/>
                <c:pt idx="0">
                  <c:v>90.407272604236212</c:v>
                </c:pt>
                <c:pt idx="1">
                  <c:v>100</c:v>
                </c:pt>
                <c:pt idx="2">
                  <c:v>91.745027098662803</c:v>
                </c:pt>
                <c:pt idx="3">
                  <c:v>67.597692098681463</c:v>
                </c:pt>
                <c:pt idx="4">
                  <c:v>64.833373934016365</c:v>
                </c:pt>
                <c:pt idx="5">
                  <c:v>29.48226198302013</c:v>
                </c:pt>
                <c:pt idx="6">
                  <c:v>127.90740342741604</c:v>
                </c:pt>
                <c:pt idx="7">
                  <c:v>37.002970845826525</c:v>
                </c:pt>
                <c:pt idx="8">
                  <c:v>38.022865702533714</c:v>
                </c:pt>
                <c:pt idx="9">
                  <c:v>98.318206223576539</c:v>
                </c:pt>
                <c:pt idx="10">
                  <c:v>97.726627096094433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1-4565-A6E6-4663C87B2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151456"/>
        <c:axId val="874151128"/>
      </c:barChart>
      <c:catAx>
        <c:axId val="8741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51128"/>
        <c:crosses val="autoZero"/>
        <c:auto val="1"/>
        <c:lblAlgn val="ctr"/>
        <c:lblOffset val="100"/>
        <c:noMultiLvlLbl val="0"/>
      </c:catAx>
      <c:valAx>
        <c:axId val="87415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5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Ikaros (Lower</a:t>
            </a:r>
            <a:r>
              <a:rPr lang="en-US" baseline="0"/>
              <a:t> Band)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[1]Sheet1!$A$30:$A$40</c:f>
              <c:strCache>
                <c:ptCount val="11"/>
                <c:pt idx="0">
                  <c:v>Untreated</c:v>
                </c:pt>
                <c:pt idx="1">
                  <c:v>DMSO_1</c:v>
                </c:pt>
                <c:pt idx="2">
                  <c:v>DMSO_2</c:v>
                </c:pt>
                <c:pt idx="3">
                  <c:v>Pamolidomide 0.1uM</c:v>
                </c:pt>
                <c:pt idx="4">
                  <c:v>Pamolidomide 1uM</c:v>
                </c:pt>
                <c:pt idx="5">
                  <c:v>Pamolidomide 10uM</c:v>
                </c:pt>
                <c:pt idx="6">
                  <c:v>Avadomide 0.1uM</c:v>
                </c:pt>
                <c:pt idx="7">
                  <c:v>Avadomide 1uM</c:v>
                </c:pt>
                <c:pt idx="8">
                  <c:v>Avadomide 10uM</c:v>
                </c:pt>
                <c:pt idx="9">
                  <c:v>Idoxurindin 0.1uM</c:v>
                </c:pt>
                <c:pt idx="10">
                  <c:v>Idoxurindin 1uM</c:v>
                </c:pt>
              </c:strCache>
            </c:strRef>
          </c:cat>
          <c:val>
            <c:numRef>
              <c:f>[1]Sheet1!$O$30:$O$40</c:f>
              <c:numCache>
                <c:formatCode>General</c:formatCode>
                <c:ptCount val="11"/>
                <c:pt idx="0">
                  <c:v>107.11795291868896</c:v>
                </c:pt>
                <c:pt idx="1">
                  <c:v>100</c:v>
                </c:pt>
                <c:pt idx="2">
                  <c:v>94.444726528083024</c:v>
                </c:pt>
                <c:pt idx="3">
                  <c:v>100.69743993287945</c:v>
                </c:pt>
                <c:pt idx="4">
                  <c:v>58.333773968701173</c:v>
                </c:pt>
                <c:pt idx="5">
                  <c:v>13.417902337375196</c:v>
                </c:pt>
                <c:pt idx="6">
                  <c:v>130.67864403410684</c:v>
                </c:pt>
                <c:pt idx="7">
                  <c:v>23.633265804557077</c:v>
                </c:pt>
                <c:pt idx="8">
                  <c:v>9.2493612941092547</c:v>
                </c:pt>
                <c:pt idx="9">
                  <c:v>112.3294417152831</c:v>
                </c:pt>
                <c:pt idx="10">
                  <c:v>71.493439341541375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6-465C-A8B4-31B8A53B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307736"/>
        <c:axId val="879307408"/>
      </c:barChart>
      <c:catAx>
        <c:axId val="87930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307408"/>
        <c:crosses val="autoZero"/>
        <c:auto val="1"/>
        <c:lblAlgn val="ctr"/>
        <c:lblOffset val="100"/>
        <c:noMultiLvlLbl val="0"/>
      </c:catAx>
      <c:valAx>
        <c:axId val="8793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307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Ikaros (Upper</a:t>
            </a:r>
            <a:r>
              <a:rPr lang="en-US" baseline="0"/>
              <a:t> Band)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[1]Sheet1!$A$44:$A$54</c:f>
              <c:strCache>
                <c:ptCount val="11"/>
                <c:pt idx="0">
                  <c:v>Untreated</c:v>
                </c:pt>
                <c:pt idx="1">
                  <c:v>DMSO_1</c:v>
                </c:pt>
                <c:pt idx="2">
                  <c:v>DMSO_2</c:v>
                </c:pt>
                <c:pt idx="3">
                  <c:v>Pamolidomide 0.1uM</c:v>
                </c:pt>
                <c:pt idx="4">
                  <c:v>Pamolidomide 1uM</c:v>
                </c:pt>
                <c:pt idx="5">
                  <c:v>Pamolidomide 10uM</c:v>
                </c:pt>
                <c:pt idx="6">
                  <c:v>Avadomide 0.1uM</c:v>
                </c:pt>
                <c:pt idx="7">
                  <c:v>Avadomide 1uM</c:v>
                </c:pt>
                <c:pt idx="8">
                  <c:v>Avadomide 10uM</c:v>
                </c:pt>
                <c:pt idx="9">
                  <c:v>Idoxurindin 0.1uM</c:v>
                </c:pt>
                <c:pt idx="10">
                  <c:v>Idoxurindin 1uM</c:v>
                </c:pt>
              </c:strCache>
            </c:strRef>
          </c:cat>
          <c:val>
            <c:numRef>
              <c:f>[1]Sheet1!$O$44:$O$54</c:f>
              <c:numCache>
                <c:formatCode>General</c:formatCode>
                <c:ptCount val="11"/>
                <c:pt idx="0">
                  <c:v>113.58349944515449</c:v>
                </c:pt>
                <c:pt idx="1">
                  <c:v>100</c:v>
                </c:pt>
                <c:pt idx="2">
                  <c:v>103.75808316308228</c:v>
                </c:pt>
                <c:pt idx="3">
                  <c:v>95.738428161588203</c:v>
                </c:pt>
                <c:pt idx="4">
                  <c:v>47.558264030623569</c:v>
                </c:pt>
                <c:pt idx="5">
                  <c:v>10.70991096327154</c:v>
                </c:pt>
                <c:pt idx="6">
                  <c:v>101.71481160891169</c:v>
                </c:pt>
                <c:pt idx="7">
                  <c:v>19.780780051595688</c:v>
                </c:pt>
                <c:pt idx="8">
                  <c:v>2.6979394788160098</c:v>
                </c:pt>
                <c:pt idx="9">
                  <c:v>123.85678473573523</c:v>
                </c:pt>
                <c:pt idx="10">
                  <c:v>88.962908709171415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F95-9A8A-6045D3A69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1774560"/>
        <c:axId val="881774888"/>
      </c:barChart>
      <c:catAx>
        <c:axId val="88177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74888"/>
        <c:crosses val="autoZero"/>
        <c:auto val="1"/>
        <c:lblAlgn val="ctr"/>
        <c:lblOffset val="100"/>
        <c:noMultiLvlLbl val="0"/>
      </c:catAx>
      <c:valAx>
        <c:axId val="88177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CRBN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[1]Sheet1!$A$58:$A$68</c:f>
              <c:strCache>
                <c:ptCount val="11"/>
                <c:pt idx="0">
                  <c:v>Untreated</c:v>
                </c:pt>
                <c:pt idx="1">
                  <c:v>DMSO_1</c:v>
                </c:pt>
                <c:pt idx="2">
                  <c:v>DMSO_2</c:v>
                </c:pt>
                <c:pt idx="3">
                  <c:v>Pamolidomide 0.1uM</c:v>
                </c:pt>
                <c:pt idx="4">
                  <c:v>Pamolidomide 1uM</c:v>
                </c:pt>
                <c:pt idx="5">
                  <c:v>Pamolidomide 10uM</c:v>
                </c:pt>
                <c:pt idx="6">
                  <c:v>Avadomide 0.1uM</c:v>
                </c:pt>
                <c:pt idx="7">
                  <c:v>Avadomide 1uM</c:v>
                </c:pt>
                <c:pt idx="8">
                  <c:v>Avadomide 10uM</c:v>
                </c:pt>
                <c:pt idx="9">
                  <c:v>Idoxurindin 0.1uM</c:v>
                </c:pt>
                <c:pt idx="10">
                  <c:v>Idoxurindin 1uM</c:v>
                </c:pt>
              </c:strCache>
            </c:strRef>
          </c:cat>
          <c:val>
            <c:numRef>
              <c:f>[1]Sheet1!$O$58:$O$68</c:f>
              <c:numCache>
                <c:formatCode>General</c:formatCode>
                <c:ptCount val="11"/>
                <c:pt idx="0">
                  <c:v>131.68620437250362</c:v>
                </c:pt>
                <c:pt idx="1">
                  <c:v>100</c:v>
                </c:pt>
                <c:pt idx="2">
                  <c:v>105.86299533962691</c:v>
                </c:pt>
                <c:pt idx="3">
                  <c:v>128.45170881668858</c:v>
                </c:pt>
                <c:pt idx="4">
                  <c:v>104.44178297971601</c:v>
                </c:pt>
                <c:pt idx="5">
                  <c:v>80.198236649082332</c:v>
                </c:pt>
                <c:pt idx="6">
                  <c:v>154.03001215752604</c:v>
                </c:pt>
                <c:pt idx="7">
                  <c:v>101.50127003333125</c:v>
                </c:pt>
                <c:pt idx="8">
                  <c:v>104.85707438235805</c:v>
                </c:pt>
                <c:pt idx="9">
                  <c:v>129.48266496278947</c:v>
                </c:pt>
                <c:pt idx="10">
                  <c:v>87.578993157344456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2-4386-A51F-CC7649FD3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468352"/>
        <c:axId val="878472944"/>
      </c:barChart>
      <c:catAx>
        <c:axId val="8784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72944"/>
        <c:crosses val="autoZero"/>
        <c:auto val="1"/>
        <c:lblAlgn val="ctr"/>
        <c:lblOffset val="100"/>
        <c:noMultiLvlLbl val="0"/>
      </c:catAx>
      <c:valAx>
        <c:axId val="8784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6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ZBTB7A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[1]Sheet1!$A$72:$A$82</c:f>
              <c:strCache>
                <c:ptCount val="11"/>
                <c:pt idx="0">
                  <c:v>Untreated</c:v>
                </c:pt>
                <c:pt idx="1">
                  <c:v>DMSO_1</c:v>
                </c:pt>
                <c:pt idx="2">
                  <c:v>DMSO_2</c:v>
                </c:pt>
                <c:pt idx="3">
                  <c:v>Pamolidomide 0.1uM</c:v>
                </c:pt>
                <c:pt idx="4">
                  <c:v>Pamolidomide 1uM</c:v>
                </c:pt>
                <c:pt idx="5">
                  <c:v>Pamolidomide 10uM</c:v>
                </c:pt>
                <c:pt idx="6">
                  <c:v>Avadomide 0.1uM</c:v>
                </c:pt>
                <c:pt idx="7">
                  <c:v>Avadomide 1uM</c:v>
                </c:pt>
                <c:pt idx="8">
                  <c:v>Avadomide 10uM</c:v>
                </c:pt>
                <c:pt idx="9">
                  <c:v>Idoxurindin 0.1uM</c:v>
                </c:pt>
                <c:pt idx="10">
                  <c:v>Idoxurindin 1uM</c:v>
                </c:pt>
              </c:strCache>
            </c:strRef>
          </c:cat>
          <c:val>
            <c:numRef>
              <c:f>[1]Sheet1!$O$72:$O$82</c:f>
              <c:numCache>
                <c:formatCode>General</c:formatCode>
                <c:ptCount val="11"/>
                <c:pt idx="0">
                  <c:v>90.580170713281703</c:v>
                </c:pt>
                <c:pt idx="1">
                  <c:v>100</c:v>
                </c:pt>
                <c:pt idx="2">
                  <c:v>84.582186629075309</c:v>
                </c:pt>
                <c:pt idx="3">
                  <c:v>88.706226381448971</c:v>
                </c:pt>
                <c:pt idx="4">
                  <c:v>72.43293257869648</c:v>
                </c:pt>
                <c:pt idx="5">
                  <c:v>39.030683063562542</c:v>
                </c:pt>
                <c:pt idx="6">
                  <c:v>116.45151765723011</c:v>
                </c:pt>
                <c:pt idx="7">
                  <c:v>62.807721464331948</c:v>
                </c:pt>
                <c:pt idx="8">
                  <c:v>41.912202956363821</c:v>
                </c:pt>
                <c:pt idx="9">
                  <c:v>96.381368600683686</c:v>
                </c:pt>
                <c:pt idx="10">
                  <c:v>76.338354711078239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5-4FAF-9B3C-4F5EB768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65544"/>
        <c:axId val="885064888"/>
      </c:barChart>
      <c:catAx>
        <c:axId val="88506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064888"/>
        <c:crosses val="autoZero"/>
        <c:auto val="1"/>
        <c:lblAlgn val="ctr"/>
        <c:lblOffset val="100"/>
        <c:noMultiLvlLbl val="0"/>
      </c:catAx>
      <c:valAx>
        <c:axId val="88506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06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[1]Sheet1!$A$86:$A$96</c:f>
              <c:strCache>
                <c:ptCount val="11"/>
                <c:pt idx="0">
                  <c:v>Untreated</c:v>
                </c:pt>
                <c:pt idx="1">
                  <c:v>DMSO_1</c:v>
                </c:pt>
                <c:pt idx="2">
                  <c:v>DMSO_2</c:v>
                </c:pt>
                <c:pt idx="3">
                  <c:v>Pamolidomide 0.1uM</c:v>
                </c:pt>
                <c:pt idx="4">
                  <c:v>Pamolidomide 1uM</c:v>
                </c:pt>
                <c:pt idx="5">
                  <c:v>Pamolidomide 10uM</c:v>
                </c:pt>
                <c:pt idx="6">
                  <c:v>Avadomide 0.1uM</c:v>
                </c:pt>
                <c:pt idx="7">
                  <c:v>Avadomide 1uM</c:v>
                </c:pt>
                <c:pt idx="8">
                  <c:v>Avadomide 10uM</c:v>
                </c:pt>
                <c:pt idx="9">
                  <c:v>Idoxurindin 0.1uM</c:v>
                </c:pt>
                <c:pt idx="10">
                  <c:v>Idoxurindin 1uM</c:v>
                </c:pt>
              </c:strCache>
            </c:strRef>
          </c:cat>
          <c:val>
            <c:numRef>
              <c:f>[1]Sheet1!$O$86:$O$96</c:f>
              <c:numCache>
                <c:formatCode>General</c:formatCode>
                <c:ptCount val="11"/>
                <c:pt idx="0">
                  <c:v>82.509041570805593</c:v>
                </c:pt>
                <c:pt idx="1">
                  <c:v>100</c:v>
                </c:pt>
                <c:pt idx="2">
                  <c:v>78.358767714445193</c:v>
                </c:pt>
                <c:pt idx="3">
                  <c:v>93.215531989236339</c:v>
                </c:pt>
                <c:pt idx="4">
                  <c:v>121.55819050601033</c:v>
                </c:pt>
                <c:pt idx="5">
                  <c:v>153.51475466372617</c:v>
                </c:pt>
                <c:pt idx="6">
                  <c:v>93.266355373438444</c:v>
                </c:pt>
                <c:pt idx="7">
                  <c:v>107.42293677480251</c:v>
                </c:pt>
                <c:pt idx="8">
                  <c:v>133.20808999369248</c:v>
                </c:pt>
                <c:pt idx="9">
                  <c:v>73.761974125452085</c:v>
                </c:pt>
                <c:pt idx="10">
                  <c:v>166.40392792155046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8-474C-83A3-C02CD9CC0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259392"/>
        <c:axId val="711262672"/>
      </c:barChart>
      <c:catAx>
        <c:axId val="71125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62672"/>
        <c:crosses val="autoZero"/>
        <c:auto val="1"/>
        <c:lblAlgn val="ctr"/>
        <c:lblOffset val="100"/>
        <c:noMultiLvlLbl val="0"/>
      </c:catAx>
      <c:valAx>
        <c:axId val="7112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5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globin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([1]Sheet1!$A$17,[1]Sheet1!$A$19,[1]Sheet1!$A$20,[1]Sheet1!$A$22,[1]Sheet1!$A$23,[1]Sheet1!$A$25,[1]Sheet1!$A$26)</c:f>
              <c:strCache>
                <c:ptCount val="7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Avadomide 0.1uM</c:v>
                </c:pt>
                <c:pt idx="4">
                  <c:v>Avadomide 1uM</c:v>
                </c:pt>
                <c:pt idx="5">
                  <c:v>Idoxurindin 0.1uM</c:v>
                </c:pt>
                <c:pt idx="6">
                  <c:v>Idoxurindin 1uM</c:v>
                </c:pt>
              </c:strCache>
            </c:strRef>
          </c:cat>
          <c:val>
            <c:numRef>
              <c:f>([1]Sheet1!$O$17,[1]Sheet1!$O$19,[1]Sheet1!$O$20,[1]Sheet1!$O$22,[1]Sheet1!$O$23,[1]Sheet1!$O$25,[1]Sheet1!$O$26)</c:f>
              <c:numCache>
                <c:formatCode>General</c:formatCode>
                <c:ptCount val="7"/>
                <c:pt idx="0">
                  <c:v>100</c:v>
                </c:pt>
                <c:pt idx="1">
                  <c:v>67.597692098681463</c:v>
                </c:pt>
                <c:pt idx="2">
                  <c:v>64.833373934016365</c:v>
                </c:pt>
                <c:pt idx="3">
                  <c:v>127.90740342741604</c:v>
                </c:pt>
                <c:pt idx="4">
                  <c:v>37.002970845826525</c:v>
                </c:pt>
                <c:pt idx="5">
                  <c:v>98.318206223576539</c:v>
                </c:pt>
                <c:pt idx="6">
                  <c:v>97.726627096094433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A-42AE-9D7B-9587613AA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513344"/>
        <c:axId val="884511048"/>
      </c:barChart>
      <c:catAx>
        <c:axId val="8845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11048"/>
        <c:crosses val="autoZero"/>
        <c:auto val="1"/>
        <c:lblAlgn val="ctr"/>
        <c:lblOffset val="100"/>
        <c:noMultiLvlLbl val="0"/>
      </c:catAx>
      <c:valAx>
        <c:axId val="88451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1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Ikaros (Lower</a:t>
            </a:r>
            <a:r>
              <a:rPr lang="en-US" baseline="0"/>
              <a:t> Band)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([1]Sheet1!$A$31,[1]Sheet1!$A$33,[1]Sheet1!$A$34,[1]Sheet1!$A$36,[1]Sheet1!$A$37,[1]Sheet1!$A$39,[1]Sheet1!$A$40)</c:f>
              <c:strCache>
                <c:ptCount val="7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Avadomide 0.1uM</c:v>
                </c:pt>
                <c:pt idx="4">
                  <c:v>Avadomide 1uM</c:v>
                </c:pt>
                <c:pt idx="5">
                  <c:v>Idoxurindin 0.1uM</c:v>
                </c:pt>
                <c:pt idx="6">
                  <c:v>Idoxurindin 1uM</c:v>
                </c:pt>
              </c:strCache>
            </c:strRef>
          </c:cat>
          <c:val>
            <c:numRef>
              <c:f>([1]Sheet1!$O$31,[1]Sheet1!$O$33,[1]Sheet1!$O$34,[1]Sheet1!$O$36,[1]Sheet1!$O$37,[1]Sheet1!$O$39,[1]Sheet1!$O$40)</c:f>
              <c:numCache>
                <c:formatCode>General</c:formatCode>
                <c:ptCount val="7"/>
                <c:pt idx="0">
                  <c:v>100</c:v>
                </c:pt>
                <c:pt idx="1">
                  <c:v>100.69743993287945</c:v>
                </c:pt>
                <c:pt idx="2">
                  <c:v>58.333773968701173</c:v>
                </c:pt>
                <c:pt idx="3">
                  <c:v>130.67864403410684</c:v>
                </c:pt>
                <c:pt idx="4">
                  <c:v>23.633265804557077</c:v>
                </c:pt>
                <c:pt idx="5">
                  <c:v>112.3294417152831</c:v>
                </c:pt>
                <c:pt idx="6">
                  <c:v>71.493439341541375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2-4AEC-804A-61E725D4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98672"/>
        <c:axId val="885093096"/>
      </c:barChart>
      <c:catAx>
        <c:axId val="88509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093096"/>
        <c:crosses val="autoZero"/>
        <c:auto val="1"/>
        <c:lblAlgn val="ctr"/>
        <c:lblOffset val="100"/>
        <c:noMultiLvlLbl val="0"/>
      </c:catAx>
      <c:valAx>
        <c:axId val="88509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09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Ikaros (Upper Band)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([1]Sheet1!$A$45,[1]Sheet1!$A$47,[1]Sheet1!$A$48,[1]Sheet1!$A$50,[1]Sheet1!$A$51,[1]Sheet1!$A$53,[1]Sheet1!$A$54)</c:f>
              <c:strCache>
                <c:ptCount val="7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Avadomide 0.1uM</c:v>
                </c:pt>
                <c:pt idx="4">
                  <c:v>Avadomide 1uM</c:v>
                </c:pt>
                <c:pt idx="5">
                  <c:v>Idoxurindin 0.1uM</c:v>
                </c:pt>
                <c:pt idx="6">
                  <c:v>Idoxurindin 1uM</c:v>
                </c:pt>
              </c:strCache>
            </c:strRef>
          </c:cat>
          <c:val>
            <c:numRef>
              <c:f>([1]Sheet1!$O$45,[1]Sheet1!$O$47,[1]Sheet1!$O$48,[1]Sheet1!$O$50,[1]Sheet1!$O$51,[1]Sheet1!$O$53,[1]Sheet1!$O$54)</c:f>
              <c:numCache>
                <c:formatCode>General</c:formatCode>
                <c:ptCount val="7"/>
                <c:pt idx="0">
                  <c:v>100</c:v>
                </c:pt>
                <c:pt idx="1">
                  <c:v>95.738428161588203</c:v>
                </c:pt>
                <c:pt idx="2">
                  <c:v>47.558264030623569</c:v>
                </c:pt>
                <c:pt idx="3">
                  <c:v>101.71481160891169</c:v>
                </c:pt>
                <c:pt idx="4">
                  <c:v>19.780780051595688</c:v>
                </c:pt>
                <c:pt idx="5">
                  <c:v>123.85678473573523</c:v>
                </c:pt>
                <c:pt idx="6">
                  <c:v>88.962908709171415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A-4598-9821-2C808D108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305616"/>
        <c:axId val="710316112"/>
      </c:barChart>
      <c:catAx>
        <c:axId val="71030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16112"/>
        <c:crosses val="autoZero"/>
        <c:auto val="1"/>
        <c:lblAlgn val="ctr"/>
        <c:lblOffset val="100"/>
        <c:noMultiLvlLbl val="0"/>
      </c:catAx>
      <c:valAx>
        <c:axId val="7103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0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CRBN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([1]Sheet1!$A$59,[1]Sheet1!$A$61,[1]Sheet1!$A$62,[1]Sheet1!$A$64,[1]Sheet1!$A$65,[1]Sheet1!$A$67,[1]Sheet1!$A$68)</c:f>
              <c:strCache>
                <c:ptCount val="7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Avadomide 0.1uM</c:v>
                </c:pt>
                <c:pt idx="4">
                  <c:v>Avadomide 1uM</c:v>
                </c:pt>
                <c:pt idx="5">
                  <c:v>Idoxurindin 0.1uM</c:v>
                </c:pt>
                <c:pt idx="6">
                  <c:v>Idoxurindin 1uM</c:v>
                </c:pt>
              </c:strCache>
            </c:strRef>
          </c:cat>
          <c:val>
            <c:numRef>
              <c:f>([1]Sheet1!$O$59,[1]Sheet1!$O$61,[1]Sheet1!$O$62,[1]Sheet1!$O$64,[1]Sheet1!$O$65,[1]Sheet1!$O$67,[1]Sheet1!$O$68)</c:f>
              <c:numCache>
                <c:formatCode>General</c:formatCode>
                <c:ptCount val="7"/>
                <c:pt idx="0">
                  <c:v>100</c:v>
                </c:pt>
                <c:pt idx="1">
                  <c:v>128.45170881668858</c:v>
                </c:pt>
                <c:pt idx="2">
                  <c:v>104.44178297971601</c:v>
                </c:pt>
                <c:pt idx="3">
                  <c:v>154.03001215752604</c:v>
                </c:pt>
                <c:pt idx="4">
                  <c:v>101.50127003333125</c:v>
                </c:pt>
                <c:pt idx="5">
                  <c:v>129.48266496278947</c:v>
                </c:pt>
                <c:pt idx="6">
                  <c:v>87.578993157344456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9-46CF-9ACA-E09B9259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483168"/>
        <c:axId val="884483496"/>
      </c:barChart>
      <c:catAx>
        <c:axId val="8844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83496"/>
        <c:crosses val="autoZero"/>
        <c:auto val="1"/>
        <c:lblAlgn val="ctr"/>
        <c:lblOffset val="100"/>
        <c:noMultiLvlLbl val="0"/>
      </c:catAx>
      <c:valAx>
        <c:axId val="8844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8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ZBTB7A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([1]Sheet1!$A$73,[1]Sheet1!$A$75,[1]Sheet1!$A$76,[1]Sheet1!$A$78,[1]Sheet1!$A$79,[1]Sheet1!$A$81,[1]Sheet1!$A$82)</c:f>
              <c:strCache>
                <c:ptCount val="7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Avadomide 0.1uM</c:v>
                </c:pt>
                <c:pt idx="4">
                  <c:v>Avadomide 1uM</c:v>
                </c:pt>
                <c:pt idx="5">
                  <c:v>Idoxurindin 0.1uM</c:v>
                </c:pt>
                <c:pt idx="6">
                  <c:v>Idoxurindin 1uM</c:v>
                </c:pt>
              </c:strCache>
            </c:strRef>
          </c:cat>
          <c:val>
            <c:numRef>
              <c:f>([1]Sheet1!$O$73,[1]Sheet1!$O$75,[1]Sheet1!$O$76,[1]Sheet1!$O$78,[1]Sheet1!$O$79,[1]Sheet1!$O$81,[1]Sheet1!$O$82)</c:f>
              <c:numCache>
                <c:formatCode>General</c:formatCode>
                <c:ptCount val="7"/>
                <c:pt idx="0">
                  <c:v>100</c:v>
                </c:pt>
                <c:pt idx="1">
                  <c:v>88.706226381448971</c:v>
                </c:pt>
                <c:pt idx="2">
                  <c:v>72.43293257869648</c:v>
                </c:pt>
                <c:pt idx="3">
                  <c:v>116.45151765723011</c:v>
                </c:pt>
                <c:pt idx="4">
                  <c:v>62.807721464331948</c:v>
                </c:pt>
                <c:pt idx="5">
                  <c:v>96.381368600683686</c:v>
                </c:pt>
                <c:pt idx="6">
                  <c:v>76.338354711078239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D-4A61-9A5C-B3D2FD312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95800"/>
        <c:axId val="140695472"/>
      </c:barChart>
      <c:catAx>
        <c:axId val="14069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5472"/>
        <c:crosses val="autoZero"/>
        <c:auto val="1"/>
        <c:lblAlgn val="ctr"/>
        <c:lblOffset val="100"/>
        <c:noMultiLvlLbl val="0"/>
      </c:catAx>
      <c:valAx>
        <c:axId val="1406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5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([1]Sheet1!$A$87,[1]Sheet1!$A$89,[1]Sheet1!$A$90,[1]Sheet1!$A$92,[1]Sheet1!$A$93,[1]Sheet1!$A$95,[1]Sheet1!$A$96)</c:f>
              <c:strCache>
                <c:ptCount val="7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Avadomide 0.1uM</c:v>
                </c:pt>
                <c:pt idx="4">
                  <c:v>Avadomide 1uM</c:v>
                </c:pt>
                <c:pt idx="5">
                  <c:v>Idoxurindin 0.1uM</c:v>
                </c:pt>
                <c:pt idx="6">
                  <c:v>Idoxurindin 1uM</c:v>
                </c:pt>
              </c:strCache>
            </c:strRef>
          </c:cat>
          <c:val>
            <c:numRef>
              <c:f>([1]Sheet1!$O$87,[1]Sheet1!$O$89,[1]Sheet1!$O$90,[1]Sheet1!$O$92,[1]Sheet1!$O$93,[1]Sheet1!$O$95,[1]Sheet1!$O$96)</c:f>
              <c:numCache>
                <c:formatCode>General</c:formatCode>
                <c:ptCount val="7"/>
                <c:pt idx="0">
                  <c:v>100</c:v>
                </c:pt>
                <c:pt idx="1">
                  <c:v>93.215531989236339</c:v>
                </c:pt>
                <c:pt idx="2">
                  <c:v>121.55819050601033</c:v>
                </c:pt>
                <c:pt idx="3">
                  <c:v>93.266355373438444</c:v>
                </c:pt>
                <c:pt idx="4">
                  <c:v>107.42293677480251</c:v>
                </c:pt>
                <c:pt idx="5">
                  <c:v>73.761974125452085</c:v>
                </c:pt>
                <c:pt idx="6">
                  <c:v>166.40392792155046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5A9-93EC-F4E68DCCC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762328"/>
        <c:axId val="915765608"/>
      </c:barChart>
      <c:catAx>
        <c:axId val="91576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765608"/>
        <c:crosses val="autoZero"/>
        <c:auto val="1"/>
        <c:lblAlgn val="ctr"/>
        <c:lblOffset val="100"/>
        <c:noMultiLvlLbl val="0"/>
      </c:catAx>
      <c:valAx>
        <c:axId val="91576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762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GAPDH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[1]Sheet1!$A$2:$A$12</c:f>
              <c:strCache>
                <c:ptCount val="11"/>
                <c:pt idx="0">
                  <c:v>Untreated</c:v>
                </c:pt>
                <c:pt idx="1">
                  <c:v>DMSO_1</c:v>
                </c:pt>
                <c:pt idx="2">
                  <c:v>DMSO_2</c:v>
                </c:pt>
                <c:pt idx="3">
                  <c:v>Pamolidomide 0.1uM</c:v>
                </c:pt>
                <c:pt idx="4">
                  <c:v>Pamolidomide 1uM</c:v>
                </c:pt>
                <c:pt idx="5">
                  <c:v>Pamolidomide 10uM</c:v>
                </c:pt>
                <c:pt idx="6">
                  <c:v>Avadomide 0.1uM</c:v>
                </c:pt>
                <c:pt idx="7">
                  <c:v>Avadomide 1uM</c:v>
                </c:pt>
                <c:pt idx="8">
                  <c:v>Avadomide 10uM</c:v>
                </c:pt>
                <c:pt idx="9">
                  <c:v>Idoxurindin 0.1uM</c:v>
                </c:pt>
                <c:pt idx="10">
                  <c:v>Idoxurindin 1uM</c:v>
                </c:pt>
              </c:strCache>
            </c:strRef>
          </c:cat>
          <c:val>
            <c:numRef>
              <c:f>[1]Sheet1!$I$2:$I$12</c:f>
              <c:numCache>
                <c:formatCode>General</c:formatCode>
                <c:ptCount val="11"/>
                <c:pt idx="0">
                  <c:v>39245.1</c:v>
                </c:pt>
                <c:pt idx="1">
                  <c:v>52623.4</c:v>
                </c:pt>
                <c:pt idx="2">
                  <c:v>46536.6</c:v>
                </c:pt>
                <c:pt idx="3">
                  <c:v>42324.6</c:v>
                </c:pt>
                <c:pt idx="4">
                  <c:v>65101.7</c:v>
                </c:pt>
                <c:pt idx="5">
                  <c:v>120022.7</c:v>
                </c:pt>
                <c:pt idx="6">
                  <c:v>36808.300000000003</c:v>
                </c:pt>
                <c:pt idx="7">
                  <c:v>73962.899999999994</c:v>
                </c:pt>
                <c:pt idx="8">
                  <c:v>99886.8</c:v>
                </c:pt>
                <c:pt idx="9">
                  <c:v>38644.699999999997</c:v>
                </c:pt>
                <c:pt idx="10">
                  <c:v>88995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A-4A93-B112-4DA29B021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985216"/>
        <c:axId val="664990136"/>
      </c:barChart>
      <c:catAx>
        <c:axId val="6649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90136"/>
        <c:crosses val="autoZero"/>
        <c:auto val="1"/>
        <c:lblAlgn val="ctr"/>
        <c:lblOffset val="100"/>
        <c:noMultiLvlLbl val="0"/>
      </c:catAx>
      <c:valAx>
        <c:axId val="66499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8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'042123'!$P$1</c:f>
              <c:strCache>
                <c:ptCount val="1"/>
                <c:pt idx="0">
                  <c:v>a-globin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'042123'!$P$2:$P$11</c15:sqref>
                  </c15:fullRef>
                </c:ext>
              </c:extLst>
              <c:f>('042123'!$P$2,'042123'!$P$4:$P$11)</c:f>
              <c:numCache>
                <c:formatCode>General</c:formatCode>
                <c:ptCount val="9"/>
                <c:pt idx="0">
                  <c:v>1</c:v>
                </c:pt>
                <c:pt idx="1">
                  <c:v>0.67597692098681461</c:v>
                </c:pt>
                <c:pt idx="2">
                  <c:v>0.64833373934016358</c:v>
                </c:pt>
                <c:pt idx="3">
                  <c:v>0.2948226198302013</c:v>
                </c:pt>
                <c:pt idx="4">
                  <c:v>1.2790740342741604</c:v>
                </c:pt>
                <c:pt idx="5">
                  <c:v>0.37002970845826522</c:v>
                </c:pt>
                <c:pt idx="6">
                  <c:v>0.38022865702533715</c:v>
                </c:pt>
                <c:pt idx="7">
                  <c:v>0.98318206223576543</c:v>
                </c:pt>
                <c:pt idx="8">
                  <c:v>0.97726627096094432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7-41AB-BA33-95685399ADBC}"/>
            </c:ext>
          </c:extLst>
        </c:ser>
        <c:ser>
          <c:idx val="1"/>
          <c:order val="1"/>
          <c:tx>
            <c:strRef>
              <c:f>'042123'!$Q$1</c:f>
              <c:strCache>
                <c:ptCount val="1"/>
                <c:pt idx="0">
                  <c:v>Ikaros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'042123'!$Q$2:$Q$11</c15:sqref>
                  </c15:fullRef>
                </c:ext>
              </c:extLst>
              <c:f>('042123'!$Q$2,'042123'!$Q$4:$Q$11)</c:f>
              <c:numCache>
                <c:formatCode>General</c:formatCode>
                <c:ptCount val="9"/>
                <c:pt idx="0">
                  <c:v>1</c:v>
                </c:pt>
                <c:pt idx="1">
                  <c:v>0.97550997568411568</c:v>
                </c:pt>
                <c:pt idx="2">
                  <c:v>0.51496822872074932</c:v>
                </c:pt>
                <c:pt idx="3">
                  <c:v>0.11699709444303125</c:v>
                </c:pt>
                <c:pt idx="4">
                  <c:v>1.123013879228044</c:v>
                </c:pt>
                <c:pt idx="5">
                  <c:v>0.21188902907134385</c:v>
                </c:pt>
                <c:pt idx="6">
                  <c:v>5.092551006528441E-2</c:v>
                </c:pt>
                <c:pt idx="7">
                  <c:v>1.1964342323056789</c:v>
                </c:pt>
                <c:pt idx="8">
                  <c:v>0.82577639387465629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7-41AB-BA33-95685399ADBC}"/>
            </c:ext>
          </c:extLst>
        </c:ser>
        <c:ser>
          <c:idx val="2"/>
          <c:order val="2"/>
          <c:tx>
            <c:strRef>
              <c:f>'042123'!$R$1</c:f>
              <c:strCache>
                <c:ptCount val="1"/>
                <c:pt idx="0">
                  <c:v>CRBN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'042123'!$R$2:$R$11</c15:sqref>
                  </c15:fullRef>
                </c:ext>
              </c:extLst>
              <c:f>('042123'!$R$2,'042123'!$R$4:$R$11)</c:f>
              <c:numCache>
                <c:formatCode>General</c:formatCode>
                <c:ptCount val="9"/>
                <c:pt idx="0">
                  <c:v>1</c:v>
                </c:pt>
                <c:pt idx="1">
                  <c:v>1.2845170881668857</c:v>
                </c:pt>
                <c:pt idx="2">
                  <c:v>1.04441782979716</c:v>
                </c:pt>
                <c:pt idx="3">
                  <c:v>0.80198236649082333</c:v>
                </c:pt>
                <c:pt idx="4">
                  <c:v>1.5403001215752605</c:v>
                </c:pt>
                <c:pt idx="5">
                  <c:v>1.0150127003333125</c:v>
                </c:pt>
                <c:pt idx="6">
                  <c:v>1.0485707438235805</c:v>
                </c:pt>
                <c:pt idx="7">
                  <c:v>1.2948266496278946</c:v>
                </c:pt>
                <c:pt idx="8">
                  <c:v>0.87578993157344454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7-41AB-BA33-95685399ADBC}"/>
            </c:ext>
          </c:extLst>
        </c:ser>
        <c:ser>
          <c:idx val="3"/>
          <c:order val="3"/>
          <c:tx>
            <c:strRef>
              <c:f>'042123'!$S$1</c:f>
              <c:strCache>
                <c:ptCount val="1"/>
                <c:pt idx="0">
                  <c:v>ZBTB7A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'042123'!$S$2:$S$11</c15:sqref>
                  </c15:fullRef>
                </c:ext>
              </c:extLst>
              <c:f>('042123'!$S$2,'042123'!$S$4:$S$11)</c:f>
              <c:numCache>
                <c:formatCode>General</c:formatCode>
                <c:ptCount val="9"/>
                <c:pt idx="0">
                  <c:v>1</c:v>
                </c:pt>
                <c:pt idx="1">
                  <c:v>0.88706226381448972</c:v>
                </c:pt>
                <c:pt idx="2">
                  <c:v>0.72432932578696485</c:v>
                </c:pt>
                <c:pt idx="3">
                  <c:v>0.39030683063562543</c:v>
                </c:pt>
                <c:pt idx="4">
                  <c:v>1.1645151765723012</c:v>
                </c:pt>
                <c:pt idx="5">
                  <c:v>0.62807721464331945</c:v>
                </c:pt>
                <c:pt idx="6">
                  <c:v>0.4191220295636382</c:v>
                </c:pt>
                <c:pt idx="7">
                  <c:v>0.96381368600683692</c:v>
                </c:pt>
                <c:pt idx="8">
                  <c:v>0.76338354711078238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7-41AB-BA33-95685399ADBC}"/>
            </c:ext>
          </c:extLst>
        </c:ser>
        <c:ser>
          <c:idx val="4"/>
          <c:order val="4"/>
          <c:tx>
            <c:strRef>
              <c:f>'042123'!$T$1</c:f>
              <c:strCache>
                <c:ptCount val="1"/>
                <c:pt idx="0">
                  <c:v>HRI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'042123'!$T$2:$T$11</c15:sqref>
                  </c15:fullRef>
                </c:ext>
              </c:extLst>
              <c:f>('042123'!$T$2,'042123'!$T$4:$T$11)</c:f>
              <c:numCache>
                <c:formatCode>General</c:formatCode>
                <c:ptCount val="9"/>
                <c:pt idx="0">
                  <c:v>1</c:v>
                </c:pt>
                <c:pt idx="1">
                  <c:v>1.1589756846095132</c:v>
                </c:pt>
                <c:pt idx="2">
                  <c:v>0.98258651959533849</c:v>
                </c:pt>
                <c:pt idx="3">
                  <c:v>0.67307837105573587</c:v>
                </c:pt>
                <c:pt idx="4">
                  <c:v>1.3333929372882203</c:v>
                </c:pt>
                <c:pt idx="5">
                  <c:v>0.76429671782409048</c:v>
                </c:pt>
                <c:pt idx="6">
                  <c:v>0.70178067602266514</c:v>
                </c:pt>
                <c:pt idx="7">
                  <c:v>1.0044342093982657</c:v>
                </c:pt>
                <c:pt idx="8">
                  <c:v>0.98395870111657058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7-41AB-BA33-95685399A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826336"/>
        <c:axId val="1055826992"/>
      </c:barChart>
      <c:catAx>
        <c:axId val="105582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26992"/>
        <c:crosses val="autoZero"/>
        <c:auto val="1"/>
        <c:lblAlgn val="ctr"/>
        <c:lblOffset val="100"/>
        <c:noMultiLvlLbl val="0"/>
      </c:catAx>
      <c:valAx>
        <c:axId val="10558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'042123'!$P$1</c:f>
              <c:strCache>
                <c:ptCount val="1"/>
                <c:pt idx="0">
                  <c:v>a-globin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'042123'!$P$2:$P$11</c15:sqref>
                  </c15:fullRef>
                </c:ext>
              </c:extLst>
              <c:f>('042123'!$P$2,'042123'!$P$4:$P$11)</c:f>
              <c:numCache>
                <c:formatCode>General</c:formatCode>
                <c:ptCount val="9"/>
                <c:pt idx="0">
                  <c:v>1</c:v>
                </c:pt>
                <c:pt idx="1">
                  <c:v>0.67597692098681461</c:v>
                </c:pt>
                <c:pt idx="2">
                  <c:v>0.64833373934016358</c:v>
                </c:pt>
                <c:pt idx="3">
                  <c:v>0.2948226198302013</c:v>
                </c:pt>
                <c:pt idx="4">
                  <c:v>1.2790740342741604</c:v>
                </c:pt>
                <c:pt idx="5">
                  <c:v>0.37002970845826522</c:v>
                </c:pt>
                <c:pt idx="6">
                  <c:v>0.38022865702533715</c:v>
                </c:pt>
                <c:pt idx="7">
                  <c:v>0.98318206223576543</c:v>
                </c:pt>
                <c:pt idx="8">
                  <c:v>0.97726627096094432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B-4696-9F20-F0D419B21234}"/>
            </c:ext>
          </c:extLst>
        </c:ser>
        <c:ser>
          <c:idx val="1"/>
          <c:order val="1"/>
          <c:tx>
            <c:strRef>
              <c:f>'042123'!$Q$1</c:f>
              <c:strCache>
                <c:ptCount val="1"/>
                <c:pt idx="0">
                  <c:v>Ikaros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'042123'!$Q$2:$Q$11</c15:sqref>
                  </c15:fullRef>
                </c:ext>
              </c:extLst>
              <c:f>('042123'!$Q$2,'042123'!$Q$4:$Q$11)</c:f>
              <c:numCache>
                <c:formatCode>General</c:formatCode>
                <c:ptCount val="9"/>
                <c:pt idx="0">
                  <c:v>1</c:v>
                </c:pt>
                <c:pt idx="1">
                  <c:v>0.97550997568411568</c:v>
                </c:pt>
                <c:pt idx="2">
                  <c:v>0.51496822872074932</c:v>
                </c:pt>
                <c:pt idx="3">
                  <c:v>0.11699709444303125</c:v>
                </c:pt>
                <c:pt idx="4">
                  <c:v>1.123013879228044</c:v>
                </c:pt>
                <c:pt idx="5">
                  <c:v>0.21188902907134385</c:v>
                </c:pt>
                <c:pt idx="6">
                  <c:v>5.092551006528441E-2</c:v>
                </c:pt>
                <c:pt idx="7">
                  <c:v>1.1964342323056789</c:v>
                </c:pt>
                <c:pt idx="8">
                  <c:v>0.82577639387465629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B-4696-9F20-F0D419B21234}"/>
            </c:ext>
          </c:extLst>
        </c:ser>
        <c:ser>
          <c:idx val="2"/>
          <c:order val="2"/>
          <c:tx>
            <c:strRef>
              <c:f>'042123'!$R$1</c:f>
              <c:strCache>
                <c:ptCount val="1"/>
                <c:pt idx="0">
                  <c:v>CRBN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'042123'!$R$2:$R$11</c15:sqref>
                  </c15:fullRef>
                </c:ext>
              </c:extLst>
              <c:f>('042123'!$R$2,'042123'!$R$4:$R$11)</c:f>
              <c:numCache>
                <c:formatCode>General</c:formatCode>
                <c:ptCount val="9"/>
                <c:pt idx="0">
                  <c:v>1</c:v>
                </c:pt>
                <c:pt idx="1">
                  <c:v>1.2845170881668857</c:v>
                </c:pt>
                <c:pt idx="2">
                  <c:v>1.04441782979716</c:v>
                </c:pt>
                <c:pt idx="3">
                  <c:v>0.80198236649082333</c:v>
                </c:pt>
                <c:pt idx="4">
                  <c:v>1.5403001215752605</c:v>
                </c:pt>
                <c:pt idx="5">
                  <c:v>1.0150127003333125</c:v>
                </c:pt>
                <c:pt idx="6">
                  <c:v>1.0485707438235805</c:v>
                </c:pt>
                <c:pt idx="7">
                  <c:v>1.2948266496278946</c:v>
                </c:pt>
                <c:pt idx="8">
                  <c:v>0.87578993157344454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B-4696-9F20-F0D419B21234}"/>
            </c:ext>
          </c:extLst>
        </c:ser>
        <c:ser>
          <c:idx val="3"/>
          <c:order val="3"/>
          <c:tx>
            <c:strRef>
              <c:f>'042123'!$S$1</c:f>
              <c:strCache>
                <c:ptCount val="1"/>
                <c:pt idx="0">
                  <c:v>ZBTB7A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'042123'!$S$2:$S$11</c15:sqref>
                  </c15:fullRef>
                </c:ext>
              </c:extLst>
              <c:f>('042123'!$S$2,'042123'!$S$4:$S$11)</c:f>
              <c:numCache>
                <c:formatCode>General</c:formatCode>
                <c:ptCount val="9"/>
                <c:pt idx="0">
                  <c:v>1</c:v>
                </c:pt>
                <c:pt idx="1">
                  <c:v>0.88706226381448972</c:v>
                </c:pt>
                <c:pt idx="2">
                  <c:v>0.72432932578696485</c:v>
                </c:pt>
                <c:pt idx="3">
                  <c:v>0.39030683063562543</c:v>
                </c:pt>
                <c:pt idx="4">
                  <c:v>1.1645151765723012</c:v>
                </c:pt>
                <c:pt idx="5">
                  <c:v>0.62807721464331945</c:v>
                </c:pt>
                <c:pt idx="6">
                  <c:v>0.4191220295636382</c:v>
                </c:pt>
                <c:pt idx="7">
                  <c:v>0.96381368600683692</c:v>
                </c:pt>
                <c:pt idx="8">
                  <c:v>0.76338354711078238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B-4696-9F20-F0D419B21234}"/>
            </c:ext>
          </c:extLst>
        </c:ser>
        <c:ser>
          <c:idx val="4"/>
          <c:order val="4"/>
          <c:tx>
            <c:strRef>
              <c:f>'042123'!$T$1</c:f>
              <c:strCache>
                <c:ptCount val="1"/>
                <c:pt idx="0">
                  <c:v>HRI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'042123'!$T$2:$T$11</c15:sqref>
                  </c15:fullRef>
                </c:ext>
              </c:extLst>
              <c:f>('042123'!$T$2,'042123'!$T$4:$T$11)</c:f>
              <c:numCache>
                <c:formatCode>General</c:formatCode>
                <c:ptCount val="9"/>
                <c:pt idx="0">
                  <c:v>1</c:v>
                </c:pt>
                <c:pt idx="1">
                  <c:v>1.1589756846095132</c:v>
                </c:pt>
                <c:pt idx="2">
                  <c:v>0.98258651959533849</c:v>
                </c:pt>
                <c:pt idx="3">
                  <c:v>0.67307837105573587</c:v>
                </c:pt>
                <c:pt idx="4">
                  <c:v>1.3333929372882203</c:v>
                </c:pt>
                <c:pt idx="5">
                  <c:v>0.76429671782409048</c:v>
                </c:pt>
                <c:pt idx="6">
                  <c:v>0.70178067602266514</c:v>
                </c:pt>
                <c:pt idx="7">
                  <c:v>1.0044342093982657</c:v>
                </c:pt>
                <c:pt idx="8">
                  <c:v>0.98395870111657058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B-4696-9F20-F0D419B21234}"/>
            </c:ext>
          </c:extLst>
        </c:ser>
        <c:ser>
          <c:idx val="5"/>
          <c:order val="5"/>
          <c:tx>
            <c:strRef>
              <c:f>'042123'!$U$1</c:f>
              <c:strCache>
                <c:ptCount val="1"/>
                <c:pt idx="0">
                  <c:v>BCL11A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'042123'!$O$2:$O$11</c15:sqref>
                  </c15:fullRef>
                </c:ext>
              </c:extLst>
              <c:f>('042123'!$O$2,'042123'!$O$4:$O$11)</c:f>
              <c:strCache>
                <c:ptCount val="9"/>
                <c:pt idx="0">
                  <c:v>DMSO_1</c:v>
                </c:pt>
                <c:pt idx="1">
                  <c:v>Pamolidomide 0.1uM</c:v>
                </c:pt>
                <c:pt idx="2">
                  <c:v>Pamolidomide 1uM</c:v>
                </c:pt>
                <c:pt idx="3">
                  <c:v>Pamolidomide 10uM</c:v>
                </c:pt>
                <c:pt idx="4">
                  <c:v>Avadomide 0.1uM</c:v>
                </c:pt>
                <c:pt idx="5">
                  <c:v>Avadomide 1uM</c:v>
                </c:pt>
                <c:pt idx="6">
                  <c:v>Avadomide 10uM</c:v>
                </c:pt>
                <c:pt idx="7">
                  <c:v>Idoxurindin 0.1uM</c:v>
                </c:pt>
                <c:pt idx="8">
                  <c:v>Idoxurindin 1uM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'042123'!$U$2:$U$11</c15:sqref>
                  </c15:fullRef>
                </c:ext>
              </c:extLst>
              <c:f>('042123'!$U$2,'042123'!$U$4:$U$11)</c:f>
              <c:numCache>
                <c:formatCode>General</c:formatCode>
                <c:ptCount val="9"/>
                <c:pt idx="0">
                  <c:v>1</c:v>
                </c:pt>
                <c:pt idx="1">
                  <c:v>0.67070807427021384</c:v>
                </c:pt>
                <c:pt idx="2">
                  <c:v>0.49775152183898264</c:v>
                </c:pt>
                <c:pt idx="3">
                  <c:v>0.16940116014571921</c:v>
                </c:pt>
                <c:pt idx="4">
                  <c:v>1.0768129277726211</c:v>
                </c:pt>
                <c:pt idx="5">
                  <c:v>0.23490664636248637</c:v>
                </c:pt>
                <c:pt idx="6">
                  <c:v>0</c:v>
                </c:pt>
                <c:pt idx="7">
                  <c:v>0.43637642820364869</c:v>
                </c:pt>
                <c:pt idx="8">
                  <c:v>2.186629152034425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6B-4696-9F20-F0D419B2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553824"/>
        <c:axId val="680554152"/>
      </c:barChart>
      <c:catAx>
        <c:axId val="68055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54152"/>
        <c:crosses val="autoZero"/>
        <c:auto val="1"/>
        <c:lblAlgn val="ctr"/>
        <c:lblOffset val="100"/>
        <c:noMultiLvlLbl val="0"/>
      </c:catAx>
      <c:valAx>
        <c:axId val="68055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'dilution '!$K$24:$K$32</c:f>
              <c:numCache>
                <c:formatCode>General</c:formatCode>
                <c:ptCount val="9"/>
                <c:pt idx="0">
                  <c:v>7.6923076923076916</c:v>
                </c:pt>
                <c:pt idx="1">
                  <c:v>3.8824217607487577</c:v>
                </c:pt>
                <c:pt idx="2">
                  <c:v>3.4168303179710029</c:v>
                </c:pt>
                <c:pt idx="3">
                  <c:v>2.7314679405934159</c:v>
                </c:pt>
                <c:pt idx="4">
                  <c:v>3.0665399239543727</c:v>
                </c:pt>
                <c:pt idx="5">
                  <c:v>3.2260894998537588</c:v>
                </c:pt>
                <c:pt idx="6">
                  <c:v>3.6373533521822492</c:v>
                </c:pt>
                <c:pt idx="7">
                  <c:v>2.9118325696272467</c:v>
                </c:pt>
                <c:pt idx="8">
                  <c:v>5.1244774013729515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2-4236-A74E-E1CCACE5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238144"/>
        <c:axId val="875239456"/>
      </c:barChart>
      <c:catAx>
        <c:axId val="875238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39456"/>
        <c:crosses val="autoZero"/>
        <c:auto val="1"/>
        <c:lblAlgn val="ctr"/>
        <c:lblOffset val="100"/>
        <c:noMultiLvlLbl val="0"/>
      </c:catAx>
      <c:valAx>
        <c:axId val="8752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Diltion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'dilution '!$M$7:$M$16</c:f>
              <c:numCache>
                <c:formatCode>General</c:formatCode>
                <c:ptCount val="10"/>
                <c:pt idx="0">
                  <c:v>7.6923076923076916</c:v>
                </c:pt>
                <c:pt idx="1">
                  <c:v>7.6923076923076916</c:v>
                </c:pt>
                <c:pt idx="2">
                  <c:v>2</c:v>
                </c:pt>
                <c:pt idx="3">
                  <c:v>3.5714285714285716</c:v>
                </c:pt>
                <c:pt idx="4">
                  <c:v>5.5555555555555554</c:v>
                </c:pt>
                <c:pt idx="5">
                  <c:v>1</c:v>
                </c:pt>
                <c:pt idx="6">
                  <c:v>2</c:v>
                </c:pt>
                <c:pt idx="7">
                  <c:v>5.5555555555555554</c:v>
                </c:pt>
                <c:pt idx="8">
                  <c:v>2.2222222222222223</c:v>
                </c:pt>
                <c:pt idx="9">
                  <c:v>5.882352941176471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7-40F6-A2A4-201D641E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724904"/>
        <c:axId val="883721952"/>
      </c:barChart>
      <c:catAx>
        <c:axId val="883724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721952"/>
        <c:crosses val="autoZero"/>
        <c:auto val="1"/>
        <c:lblAlgn val="ctr"/>
        <c:lblOffset val="100"/>
        <c:noMultiLvlLbl val="0"/>
      </c:catAx>
      <c:valAx>
        <c:axId val="8837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724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434974</xdr:colOff>
      <xdr:row>12</xdr:row>
      <xdr:rowOff>180974</xdr:rowOff>
    </xdr:from>
    <xdr:to>
      <xdr:col>25</xdr:col>
      <xdr:colOff>222249</xdr:colOff>
      <xdr:row>32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DAA4E-491C-1231-33A3-45A2B8934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482600</xdr:colOff>
      <xdr:row>49</xdr:row>
      <xdr:rowOff>139700</xdr:rowOff>
    </xdr:from>
    <xdr:to>
      <xdr:col>23</xdr:col>
      <xdr:colOff>177800</xdr:colOff>
      <xdr:row>64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E08057-166B-684B-58BD-5C3D10E0E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311150</xdr:colOff>
      <xdr:row>51</xdr:row>
      <xdr:rowOff>15875</xdr:rowOff>
    </xdr:from>
    <xdr:to>
      <xdr:col>24</xdr:col>
      <xdr:colOff>6350</xdr:colOff>
      <xdr:row>65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7FD74F-CFDF-A80C-DB9B-C6A05F1B8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587375</xdr:colOff>
      <xdr:row>57</xdr:row>
      <xdr:rowOff>101600</xdr:rowOff>
    </xdr:from>
    <xdr:to>
      <xdr:col>20</xdr:col>
      <xdr:colOff>92075</xdr:colOff>
      <xdr:row>72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231A02-25D3-2DCD-2B31-974A8B1FF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1092200</xdr:colOff>
      <xdr:row>50</xdr:row>
      <xdr:rowOff>177800</xdr:rowOff>
    </xdr:from>
    <xdr:to>
      <xdr:col>20</xdr:col>
      <xdr:colOff>596900</xdr:colOff>
      <xdr:row>65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8853F3-7C42-0FBD-0071-1DACCA9D8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406400</xdr:colOff>
      <xdr:row>54</xdr:row>
      <xdr:rowOff>139700</xdr:rowOff>
    </xdr:from>
    <xdr:to>
      <xdr:col>22</xdr:col>
      <xdr:colOff>101600</xdr:colOff>
      <xdr:row>69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38BE89-04EE-C03E-AA13-F6152A8F5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844550</xdr:colOff>
      <xdr:row>52</xdr:row>
      <xdr:rowOff>177800</xdr:rowOff>
    </xdr:from>
    <xdr:to>
      <xdr:col>20</xdr:col>
      <xdr:colOff>358775</xdr:colOff>
      <xdr:row>67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A0280C-1B14-65AF-CBFF-6B00449BD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158750</xdr:colOff>
      <xdr:row>49</xdr:row>
      <xdr:rowOff>53975</xdr:rowOff>
    </xdr:from>
    <xdr:to>
      <xdr:col>25</xdr:col>
      <xdr:colOff>463550</xdr:colOff>
      <xdr:row>64</xdr:row>
      <xdr:rowOff>34925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C0EC772-A96C-41BA-ADFD-D301F893F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130174</xdr:colOff>
      <xdr:row>65</xdr:row>
      <xdr:rowOff>73024</xdr:rowOff>
    </xdr:from>
    <xdr:to>
      <xdr:col>32</xdr:col>
      <xdr:colOff>241299</xdr:colOff>
      <xdr:row>85</xdr:row>
      <xdr:rowOff>117474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E721F-6693-BDCC-8628-D797C2256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463549</xdr:colOff>
      <xdr:row>47</xdr:row>
      <xdr:rowOff>126999</xdr:rowOff>
    </xdr:from>
    <xdr:to>
      <xdr:col>28</xdr:col>
      <xdr:colOff>482600</xdr:colOff>
      <xdr:row>69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662F8-B158-1CE1-1138-5D9D3AB83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63499</xdr:colOff>
      <xdr:row>28</xdr:row>
      <xdr:rowOff>33336</xdr:rowOff>
    </xdr:from>
    <xdr:to>
      <xdr:col>28</xdr:col>
      <xdr:colOff>546100</xdr:colOff>
      <xdr:row>46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13C5D3-3CFC-5550-F1AC-4F2C25FF7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549275</xdr:colOff>
      <xdr:row>26</xdr:row>
      <xdr:rowOff>98425</xdr:rowOff>
    </xdr:from>
    <xdr:to>
      <xdr:col>10</xdr:col>
      <xdr:colOff>244475</xdr:colOff>
      <xdr:row>41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18AA8-806E-1880-5A3D-8C4D621E8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98425</xdr:colOff>
      <xdr:row>23</xdr:row>
      <xdr:rowOff>3175</xdr:rowOff>
    </xdr:from>
    <xdr:to>
      <xdr:col>18</xdr:col>
      <xdr:colOff>403225</xdr:colOff>
      <xdr:row>37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96D611-55CF-5BDE-839D-F4FA2714C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44450</xdr:colOff>
      <xdr:row>35</xdr:row>
      <xdr:rowOff>98425</xdr:rowOff>
    </xdr:from>
    <xdr:to>
      <xdr:col>17</xdr:col>
      <xdr:colOff>349250</xdr:colOff>
      <xdr:row>50</xdr:row>
      <xdr:rowOff>79375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982300-3ED9-C490-BE9F-E8303F0C4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88900</xdr:colOff>
      <xdr:row>35</xdr:row>
      <xdr:rowOff>57150</xdr:rowOff>
    </xdr:from>
    <xdr:to>
      <xdr:col>19</xdr:col>
      <xdr:colOff>393700</xdr:colOff>
      <xdr:row>50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D3058A-368D-B396-E191-5916A337F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166687</xdr:colOff>
      <xdr:row>5</xdr:row>
      <xdr:rowOff>95249</xdr:rowOff>
    </xdr:from>
    <xdr:to>
      <xdr:col>28</xdr:col>
      <xdr:colOff>447675</xdr:colOff>
      <xdr:row>27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19988F-0088-3DBE-F2A2-70514F06F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95250</xdr:colOff>
      <xdr:row>27</xdr:row>
      <xdr:rowOff>85725</xdr:rowOff>
    </xdr:from>
    <xdr:to>
      <xdr:col>28</xdr:col>
      <xdr:colOff>476250</xdr:colOff>
      <xdr:row>41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D3C9CD-49AD-42CE-BFE7-8C0858E92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581025</xdr:colOff>
      <xdr:row>32</xdr:row>
      <xdr:rowOff>37042</xdr:rowOff>
    </xdr:from>
    <xdr:to>
      <xdr:col>26</xdr:col>
      <xdr:colOff>248709</xdr:colOff>
      <xdr:row>46</xdr:row>
      <xdr:rowOff>113242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ACA1F-2F9C-4050-915B-856115342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29634</xdr:colOff>
      <xdr:row>32</xdr:row>
      <xdr:rowOff>158750</xdr:rowOff>
    </xdr:from>
    <xdr:to>
      <xdr:col>25</xdr:col>
      <xdr:colOff>304801</xdr:colOff>
      <xdr:row>47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01F94-7837-49CC-9D16-727688F5D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600074</xdr:colOff>
      <xdr:row>44</xdr:row>
      <xdr:rowOff>7408</xdr:rowOff>
    </xdr:from>
    <xdr:to>
      <xdr:col>23</xdr:col>
      <xdr:colOff>264583</xdr:colOff>
      <xdr:row>56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B03DCD-FB19-4319-B352-486A75BE7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525991</xdr:colOff>
      <xdr:row>65</xdr:row>
      <xdr:rowOff>59267</xdr:rowOff>
    </xdr:from>
    <xdr:to>
      <xdr:col>30</xdr:col>
      <xdr:colOff>188383</xdr:colOff>
      <xdr:row>79</xdr:row>
      <xdr:rowOff>135467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0EA700-D8ED-480D-927D-141B61C36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383117</xdr:colOff>
      <xdr:row>76</xdr:row>
      <xdr:rowOff>40216</xdr:rowOff>
    </xdr:from>
    <xdr:to>
      <xdr:col>31</xdr:col>
      <xdr:colOff>45509</xdr:colOff>
      <xdr:row>90</xdr:row>
      <xdr:rowOff>116416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355902-8CDF-45DD-8037-271127476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83608</xdr:colOff>
      <xdr:row>89</xdr:row>
      <xdr:rowOff>55034</xdr:rowOff>
    </xdr:from>
    <xdr:to>
      <xdr:col>29</xdr:col>
      <xdr:colOff>361950</xdr:colOff>
      <xdr:row>103</xdr:row>
      <xdr:rowOff>131234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37EF13-A7CE-43D4-A641-CD16F22A3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398991</xdr:colOff>
      <xdr:row>26</xdr:row>
      <xdr:rowOff>150812</xdr:rowOff>
    </xdr:from>
    <xdr:to>
      <xdr:col>31</xdr:col>
      <xdr:colOff>132291</xdr:colOff>
      <xdr:row>41</xdr:row>
      <xdr:rowOff>36512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789593-EFF9-424F-A716-A6A67AAFB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29</xdr:row>
      <xdr:rowOff>14817</xdr:rowOff>
    </xdr:from>
    <xdr:to>
      <xdr:col>31</xdr:col>
      <xdr:colOff>275167</xdr:colOff>
      <xdr:row>43</xdr:row>
      <xdr:rowOff>91017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41C40A-5513-467F-8AC2-85ED60023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10583</xdr:colOff>
      <xdr:row>44</xdr:row>
      <xdr:rowOff>14816</xdr:rowOff>
    </xdr:from>
    <xdr:to>
      <xdr:col>31</xdr:col>
      <xdr:colOff>285750</xdr:colOff>
      <xdr:row>58</xdr:row>
      <xdr:rowOff>91016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484FB5-B391-47D1-98C2-266147378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58</xdr:row>
      <xdr:rowOff>184150</xdr:rowOff>
    </xdr:from>
    <xdr:to>
      <xdr:col>31</xdr:col>
      <xdr:colOff>275167</xdr:colOff>
      <xdr:row>73</xdr:row>
      <xdr:rowOff>69850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FCDA30-F5D3-4CEE-A25C-A7120826D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10583</xdr:colOff>
      <xdr:row>74</xdr:row>
      <xdr:rowOff>4234</xdr:rowOff>
    </xdr:from>
    <xdr:to>
      <xdr:col>31</xdr:col>
      <xdr:colOff>285750</xdr:colOff>
      <xdr:row>88</xdr:row>
      <xdr:rowOff>80434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CA90B9-9404-4CCE-B70F-D684C6E9C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10583</xdr:colOff>
      <xdr:row>89</xdr:row>
      <xdr:rowOff>4233</xdr:rowOff>
    </xdr:from>
    <xdr:to>
      <xdr:col>31</xdr:col>
      <xdr:colOff>285750</xdr:colOff>
      <xdr:row>103</xdr:row>
      <xdr:rowOff>80433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5F455DB-64E6-4619-A91E-B74DBFDE7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254001</xdr:colOff>
      <xdr:row>45</xdr:row>
      <xdr:rowOff>100542</xdr:rowOff>
    </xdr:from>
    <xdr:to>
      <xdr:col>9</xdr:col>
      <xdr:colOff>487892</xdr:colOff>
      <xdr:row>58</xdr:row>
      <xdr:rowOff>106892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E7D4C6A-2743-43E7-881B-A224D28F4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73025</xdr:colOff>
      <xdr:row>25</xdr:row>
      <xdr:rowOff>73025</xdr:rowOff>
    </xdr:from>
    <xdr:to>
      <xdr:col>33</xdr:col>
      <xdr:colOff>377825</xdr:colOff>
      <xdr:row>40</xdr:row>
      <xdr:rowOff>53975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379FD5D-ED1F-F7C6-8F2B-16C07A2B3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669925</xdr:colOff>
      <xdr:row>12</xdr:row>
      <xdr:rowOff>160337</xdr:rowOff>
    </xdr:from>
    <xdr:to>
      <xdr:col>25</xdr:col>
      <xdr:colOff>365125</xdr:colOff>
      <xdr:row>28</xdr:row>
      <xdr:rowOff>14287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2E9E40-C4C7-5A0E-93FB-64CFAC96B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19</xdr:row>
      <xdr:rowOff>138112</xdr:rowOff>
    </xdr:from>
    <xdr:to>
      <xdr:col>20</xdr:col>
      <xdr:colOff>361950</xdr:colOff>
      <xdr:row>34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66D48-BA4B-48B2-114F-838A01AFF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654050</xdr:colOff>
      <xdr:row>27</xdr:row>
      <xdr:rowOff>163512</xdr:rowOff>
    </xdr:from>
    <xdr:to>
      <xdr:col>9</xdr:col>
      <xdr:colOff>120650</xdr:colOff>
      <xdr:row>42</xdr:row>
      <xdr:rowOff>55562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EF9608-198E-AD8F-DCE4-33CC64DDA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arly%20Target%20Discovery/3.%20People/JP/From%20Anshu/04202023%20HUDEP%20Compound%20Treatment/04212023%20PeggySue%20Quantification%20and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Untreated</v>
          </cell>
          <cell r="I2">
            <v>39245.1</v>
          </cell>
        </row>
        <row r="3">
          <cell r="A3" t="str">
            <v>DMSO_1</v>
          </cell>
          <cell r="I3">
            <v>52623.4</v>
          </cell>
        </row>
        <row r="4">
          <cell r="A4" t="str">
            <v>DMSO_2</v>
          </cell>
          <cell r="I4">
            <v>46536.6</v>
          </cell>
        </row>
        <row r="5">
          <cell r="A5" t="str">
            <v>Pamolidomide 0.1uM</v>
          </cell>
          <cell r="I5">
            <v>42324.6</v>
          </cell>
        </row>
        <row r="6">
          <cell r="A6" t="str">
            <v>Pamolidomide 1uM</v>
          </cell>
          <cell r="I6">
            <v>65101.7</v>
          </cell>
        </row>
        <row r="7">
          <cell r="A7" t="str">
            <v>Pamolidomide 10uM</v>
          </cell>
          <cell r="I7">
            <v>120022.7</v>
          </cell>
        </row>
        <row r="8">
          <cell r="A8" t="str">
            <v>Avadomide 0.1uM</v>
          </cell>
          <cell r="I8">
            <v>36808.300000000003</v>
          </cell>
        </row>
        <row r="9">
          <cell r="A9" t="str">
            <v>Avadomide 1uM</v>
          </cell>
          <cell r="I9">
            <v>73962.899999999994</v>
          </cell>
        </row>
        <row r="10">
          <cell r="A10" t="str">
            <v>Avadomide 10uM</v>
          </cell>
          <cell r="I10">
            <v>99886.8</v>
          </cell>
        </row>
        <row r="11">
          <cell r="A11" t="str">
            <v>Idoxurindin 0.1uM</v>
          </cell>
          <cell r="I11">
            <v>38644.699999999997</v>
          </cell>
        </row>
        <row r="12">
          <cell r="A12" t="str">
            <v>Idoxurindin 1uM</v>
          </cell>
          <cell r="I12">
            <v>88995</v>
          </cell>
        </row>
        <row r="16">
          <cell r="A16" t="str">
            <v>Untreated</v>
          </cell>
          <cell r="O16">
            <v>90.407272604236212</v>
          </cell>
        </row>
        <row r="17">
          <cell r="A17" t="str">
            <v>DMSO_1</v>
          </cell>
          <cell r="O17">
            <v>100</v>
          </cell>
        </row>
        <row r="18">
          <cell r="A18" t="str">
            <v>DMSO_2</v>
          </cell>
          <cell r="O18">
            <v>91.745027098662803</v>
          </cell>
        </row>
        <row r="19">
          <cell r="A19" t="str">
            <v>Pamolidomide 0.1uM</v>
          </cell>
          <cell r="O19">
            <v>67.597692098681463</v>
          </cell>
        </row>
        <row r="20">
          <cell r="A20" t="str">
            <v>Pamolidomide 1uM</v>
          </cell>
          <cell r="O20">
            <v>64.833373934016365</v>
          </cell>
        </row>
        <row r="21">
          <cell r="A21" t="str">
            <v>Pamolidomide 10uM</v>
          </cell>
          <cell r="O21">
            <v>29.48226198302013</v>
          </cell>
        </row>
        <row r="22">
          <cell r="A22" t="str">
            <v>Avadomide 0.1uM</v>
          </cell>
          <cell r="O22">
            <v>127.90740342741604</v>
          </cell>
        </row>
        <row r="23">
          <cell r="A23" t="str">
            <v>Avadomide 1uM</v>
          </cell>
          <cell r="O23">
            <v>37.002970845826525</v>
          </cell>
        </row>
        <row r="24">
          <cell r="A24" t="str">
            <v>Avadomide 10uM</v>
          </cell>
          <cell r="O24">
            <v>38.022865702533714</v>
          </cell>
        </row>
        <row r="25">
          <cell r="A25" t="str">
            <v>Idoxurindin 0.1uM</v>
          </cell>
          <cell r="O25">
            <v>98.318206223576539</v>
          </cell>
        </row>
        <row r="26">
          <cell r="A26" t="str">
            <v>Idoxurindin 1uM</v>
          </cell>
          <cell r="O26">
            <v>97.726627096094433</v>
          </cell>
        </row>
        <row r="30">
          <cell r="A30" t="str">
            <v>Untreated</v>
          </cell>
          <cell r="O30">
            <v>107.11795291868896</v>
          </cell>
        </row>
        <row r="31">
          <cell r="A31" t="str">
            <v>DMSO_1</v>
          </cell>
          <cell r="O31">
            <v>100</v>
          </cell>
        </row>
        <row r="32">
          <cell r="A32" t="str">
            <v>DMSO_2</v>
          </cell>
          <cell r="O32">
            <v>94.444726528083024</v>
          </cell>
        </row>
        <row r="33">
          <cell r="A33" t="str">
            <v>Pamolidomide 0.1uM</v>
          </cell>
          <cell r="O33">
            <v>100.69743993287945</v>
          </cell>
        </row>
        <row r="34">
          <cell r="A34" t="str">
            <v>Pamolidomide 1uM</v>
          </cell>
          <cell r="O34">
            <v>58.333773968701173</v>
          </cell>
        </row>
        <row r="35">
          <cell r="A35" t="str">
            <v>Pamolidomide 10uM</v>
          </cell>
          <cell r="O35">
            <v>13.417902337375196</v>
          </cell>
        </row>
        <row r="36">
          <cell r="A36" t="str">
            <v>Avadomide 0.1uM</v>
          </cell>
          <cell r="O36">
            <v>130.67864403410684</v>
          </cell>
        </row>
        <row r="37">
          <cell r="A37" t="str">
            <v>Avadomide 1uM</v>
          </cell>
          <cell r="O37">
            <v>23.633265804557077</v>
          </cell>
        </row>
        <row r="38">
          <cell r="A38" t="str">
            <v>Avadomide 10uM</v>
          </cell>
          <cell r="O38">
            <v>9.2493612941092547</v>
          </cell>
        </row>
        <row r="39">
          <cell r="A39" t="str">
            <v>Idoxurindin 0.1uM</v>
          </cell>
          <cell r="O39">
            <v>112.3294417152831</v>
          </cell>
        </row>
        <row r="40">
          <cell r="A40" t="str">
            <v>Idoxurindin 1uM</v>
          </cell>
          <cell r="O40">
            <v>71.493439341541375</v>
          </cell>
        </row>
        <row r="44">
          <cell r="A44" t="str">
            <v>Untreated</v>
          </cell>
          <cell r="O44">
            <v>113.58349944515449</v>
          </cell>
        </row>
        <row r="45">
          <cell r="A45" t="str">
            <v>DMSO_1</v>
          </cell>
          <cell r="O45">
            <v>100</v>
          </cell>
        </row>
        <row r="46">
          <cell r="A46" t="str">
            <v>DMSO_2</v>
          </cell>
          <cell r="O46">
            <v>103.75808316308228</v>
          </cell>
        </row>
        <row r="47">
          <cell r="A47" t="str">
            <v>Pamolidomide 0.1uM</v>
          </cell>
          <cell r="O47">
            <v>95.738428161588203</v>
          </cell>
        </row>
        <row r="48">
          <cell r="A48" t="str">
            <v>Pamolidomide 1uM</v>
          </cell>
          <cell r="O48">
            <v>47.558264030623569</v>
          </cell>
        </row>
        <row r="49">
          <cell r="A49" t="str">
            <v>Pamolidomide 10uM</v>
          </cell>
          <cell r="O49">
            <v>10.70991096327154</v>
          </cell>
        </row>
        <row r="50">
          <cell r="A50" t="str">
            <v>Avadomide 0.1uM</v>
          </cell>
          <cell r="O50">
            <v>101.71481160891169</v>
          </cell>
        </row>
        <row r="51">
          <cell r="A51" t="str">
            <v>Avadomide 1uM</v>
          </cell>
          <cell r="O51">
            <v>19.780780051595688</v>
          </cell>
        </row>
        <row r="52">
          <cell r="A52" t="str">
            <v>Avadomide 10uM</v>
          </cell>
          <cell r="O52">
            <v>2.6979394788160098</v>
          </cell>
        </row>
        <row r="53">
          <cell r="A53" t="str">
            <v>Idoxurindin 0.1uM</v>
          </cell>
          <cell r="O53">
            <v>123.85678473573523</v>
          </cell>
        </row>
        <row r="54">
          <cell r="A54" t="str">
            <v>Idoxurindin 1uM</v>
          </cell>
          <cell r="O54">
            <v>88.962908709171415</v>
          </cell>
        </row>
        <row r="58">
          <cell r="A58" t="str">
            <v>Untreated</v>
          </cell>
          <cell r="O58">
            <v>131.68620437250362</v>
          </cell>
        </row>
        <row r="59">
          <cell r="A59" t="str">
            <v>DMSO_1</v>
          </cell>
          <cell r="O59">
            <v>100</v>
          </cell>
        </row>
        <row r="60">
          <cell r="A60" t="str">
            <v>DMSO_2</v>
          </cell>
          <cell r="O60">
            <v>105.86299533962691</v>
          </cell>
        </row>
        <row r="61">
          <cell r="A61" t="str">
            <v>Pamolidomide 0.1uM</v>
          </cell>
          <cell r="O61">
            <v>128.45170881668858</v>
          </cell>
        </row>
        <row r="62">
          <cell r="A62" t="str">
            <v>Pamolidomide 1uM</v>
          </cell>
          <cell r="O62">
            <v>104.44178297971601</v>
          </cell>
        </row>
        <row r="63">
          <cell r="A63" t="str">
            <v>Pamolidomide 10uM</v>
          </cell>
          <cell r="O63">
            <v>80.198236649082332</v>
          </cell>
        </row>
        <row r="64">
          <cell r="A64" t="str">
            <v>Avadomide 0.1uM</v>
          </cell>
          <cell r="O64">
            <v>154.03001215752604</v>
          </cell>
        </row>
        <row r="65">
          <cell r="A65" t="str">
            <v>Avadomide 1uM</v>
          </cell>
          <cell r="O65">
            <v>101.50127003333125</v>
          </cell>
        </row>
        <row r="66">
          <cell r="A66" t="str">
            <v>Avadomide 10uM</v>
          </cell>
          <cell r="O66">
            <v>104.85707438235805</v>
          </cell>
        </row>
        <row r="67">
          <cell r="A67" t="str">
            <v>Idoxurindin 0.1uM</v>
          </cell>
          <cell r="O67">
            <v>129.48266496278947</v>
          </cell>
        </row>
        <row r="68">
          <cell r="A68" t="str">
            <v>Idoxurindin 1uM</v>
          </cell>
          <cell r="O68">
            <v>87.578993157344456</v>
          </cell>
        </row>
        <row r="72">
          <cell r="A72" t="str">
            <v>Untreated</v>
          </cell>
          <cell r="O72">
            <v>90.580170713281703</v>
          </cell>
        </row>
        <row r="73">
          <cell r="A73" t="str">
            <v>DMSO_1</v>
          </cell>
          <cell r="O73">
            <v>100</v>
          </cell>
        </row>
        <row r="74">
          <cell r="A74" t="str">
            <v>DMSO_2</v>
          </cell>
          <cell r="O74">
            <v>84.582186629075309</v>
          </cell>
        </row>
        <row r="75">
          <cell r="A75" t="str">
            <v>Pamolidomide 0.1uM</v>
          </cell>
          <cell r="O75">
            <v>88.706226381448971</v>
          </cell>
        </row>
        <row r="76">
          <cell r="A76" t="str">
            <v>Pamolidomide 1uM</v>
          </cell>
          <cell r="O76">
            <v>72.43293257869648</v>
          </cell>
        </row>
        <row r="77">
          <cell r="A77" t="str">
            <v>Pamolidomide 10uM</v>
          </cell>
          <cell r="O77">
            <v>39.030683063562542</v>
          </cell>
        </row>
        <row r="78">
          <cell r="A78" t="str">
            <v>Avadomide 0.1uM</v>
          </cell>
          <cell r="O78">
            <v>116.45151765723011</v>
          </cell>
        </row>
        <row r="79">
          <cell r="A79" t="str">
            <v>Avadomide 1uM</v>
          </cell>
          <cell r="O79">
            <v>62.807721464331948</v>
          </cell>
        </row>
        <row r="80">
          <cell r="A80" t="str">
            <v>Avadomide 10uM</v>
          </cell>
          <cell r="O80">
            <v>41.912202956363821</v>
          </cell>
        </row>
        <row r="81">
          <cell r="A81" t="str">
            <v>Idoxurindin 0.1uM</v>
          </cell>
          <cell r="O81">
            <v>96.381368600683686</v>
          </cell>
        </row>
        <row r="82">
          <cell r="A82" t="str">
            <v>Idoxurindin 1uM</v>
          </cell>
          <cell r="O82">
            <v>76.338354711078239</v>
          </cell>
        </row>
        <row r="86">
          <cell r="A86" t="str">
            <v>Untreated</v>
          </cell>
          <cell r="O86">
            <v>82.509041570805593</v>
          </cell>
        </row>
        <row r="87">
          <cell r="A87" t="str">
            <v>DMSO_1</v>
          </cell>
          <cell r="O87">
            <v>100</v>
          </cell>
        </row>
        <row r="88">
          <cell r="A88" t="str">
            <v>DMSO_2</v>
          </cell>
          <cell r="O88">
            <v>78.358767714445193</v>
          </cell>
        </row>
        <row r="89">
          <cell r="A89" t="str">
            <v>Pamolidomide 0.1uM</v>
          </cell>
          <cell r="O89">
            <v>93.215531989236339</v>
          </cell>
        </row>
        <row r="90">
          <cell r="A90" t="str">
            <v>Pamolidomide 1uM</v>
          </cell>
          <cell r="O90">
            <v>121.55819050601033</v>
          </cell>
        </row>
        <row r="91">
          <cell r="A91" t="str">
            <v>Pamolidomide 10uM</v>
          </cell>
          <cell r="O91">
            <v>153.51475466372617</v>
          </cell>
        </row>
        <row r="92">
          <cell r="A92" t="str">
            <v>Avadomide 0.1uM</v>
          </cell>
          <cell r="O92">
            <v>93.266355373438444</v>
          </cell>
        </row>
        <row r="93">
          <cell r="A93" t="str">
            <v>Avadomide 1uM</v>
          </cell>
          <cell r="O93">
            <v>107.42293677480251</v>
          </cell>
        </row>
        <row r="94">
          <cell r="A94" t="str">
            <v>Avadomide 10uM</v>
          </cell>
          <cell r="O94">
            <v>133.20808999369248</v>
          </cell>
        </row>
        <row r="95">
          <cell r="A95" t="str">
            <v>Idoxurindin 0.1uM</v>
          </cell>
          <cell r="O95">
            <v>73.761974125452085</v>
          </cell>
        </row>
        <row r="96">
          <cell r="A96" t="str">
            <v>Idoxurindin 1uM</v>
          </cell>
          <cell r="O96">
            <v>166.40392792155046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E2FF-EBC6-4BEE-8DBD-72CD3292382C}">
  <dimension ref="A1:W74"/>
  <sheetViews>
    <sheetView topLeftCell="E40" workbookViewId="0">
      <selection activeCell="Q2" sqref="Q2:W11"/>
    </sheetView>
  </sheetViews>
  <sheetFormatPr baseColWidth="10" defaultColWidth="8.83203125" defaultRowHeight="15" x14ac:dyDescent="0.2"/>
  <cols>
    <col min="1" max="1" width="21.5" customWidth="1"/>
    <col min="7" max="7" width="8.6640625" style="1"/>
    <col min="9" max="9" width="8.6640625" style="1"/>
    <col min="17" max="17" width="18.5" customWidth="1"/>
    <col min="18" max="18" width="11.8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M1" t="s">
        <v>10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  <c r="H2" t="s">
        <v>7</v>
      </c>
      <c r="I2" s="1" t="s">
        <v>8</v>
      </c>
      <c r="J2" t="s">
        <v>9</v>
      </c>
      <c r="M2" t="s">
        <v>10</v>
      </c>
      <c r="N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</row>
    <row r="3" spans="1:23" x14ac:dyDescent="0.2">
      <c r="A3" t="s">
        <v>18</v>
      </c>
      <c r="B3" t="s">
        <v>19</v>
      </c>
      <c r="C3" t="s">
        <v>20</v>
      </c>
      <c r="D3">
        <v>2</v>
      </c>
      <c r="E3" t="s">
        <v>12</v>
      </c>
      <c r="F3">
        <v>801</v>
      </c>
      <c r="G3" s="1">
        <v>89</v>
      </c>
      <c r="H3">
        <v>11863.9</v>
      </c>
      <c r="I3" s="1">
        <v>310312.3</v>
      </c>
      <c r="J3">
        <v>100</v>
      </c>
      <c r="M3">
        <v>197.4</v>
      </c>
      <c r="N3">
        <f>I3/I30</f>
        <v>21.358426022796102</v>
      </c>
      <c r="O3">
        <f>N3/N$3</f>
        <v>1</v>
      </c>
      <c r="Q3" t="s">
        <v>18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</row>
    <row r="4" spans="1:23" x14ac:dyDescent="0.2">
      <c r="A4" t="s">
        <v>18</v>
      </c>
      <c r="B4" t="s">
        <v>19</v>
      </c>
      <c r="C4" t="s">
        <v>21</v>
      </c>
      <c r="D4">
        <v>2</v>
      </c>
      <c r="E4" t="s">
        <v>12</v>
      </c>
      <c r="F4">
        <v>794</v>
      </c>
      <c r="G4" s="1">
        <v>91</v>
      </c>
      <c r="H4">
        <v>7503.4</v>
      </c>
      <c r="I4" s="1">
        <v>187553.2</v>
      </c>
      <c r="J4">
        <v>100</v>
      </c>
      <c r="M4">
        <v>192.1</v>
      </c>
      <c r="N4">
        <f t="shared" ref="N4:N11" si="0">I4/I31</f>
        <v>16.740141737624736</v>
      </c>
      <c r="O4">
        <f t="shared" ref="O4:O11" si="1">N4/N$3</f>
        <v>0.78377225549100782</v>
      </c>
      <c r="Q4" t="s">
        <v>18</v>
      </c>
      <c r="R4">
        <v>0.78377225549100782</v>
      </c>
      <c r="S4">
        <v>0.7503535992318624</v>
      </c>
      <c r="T4">
        <v>1.013740570938847</v>
      </c>
      <c r="U4">
        <v>0.79579226204017217</v>
      </c>
      <c r="V4">
        <v>1.602032042946465</v>
      </c>
      <c r="W4">
        <v>0.94655376544813807</v>
      </c>
    </row>
    <row r="5" spans="1:23" x14ac:dyDescent="0.2">
      <c r="A5" t="s">
        <v>22</v>
      </c>
      <c r="B5" t="s">
        <v>19</v>
      </c>
      <c r="C5" t="s">
        <v>23</v>
      </c>
      <c r="D5">
        <v>2</v>
      </c>
      <c r="E5" t="s">
        <v>12</v>
      </c>
      <c r="F5">
        <v>804</v>
      </c>
      <c r="G5" s="1">
        <v>90</v>
      </c>
      <c r="H5">
        <v>14065.2</v>
      </c>
      <c r="I5" s="1">
        <v>371006</v>
      </c>
      <c r="J5">
        <v>100</v>
      </c>
      <c r="M5">
        <v>225.2</v>
      </c>
      <c r="N5">
        <f t="shared" si="0"/>
        <v>14.900377925306538</v>
      </c>
      <c r="O5">
        <f t="shared" si="1"/>
        <v>0.69763464355487559</v>
      </c>
      <c r="Q5" t="s">
        <v>22</v>
      </c>
      <c r="R5">
        <v>0.69763464355487559</v>
      </c>
      <c r="S5">
        <v>0.80154137917567647</v>
      </c>
      <c r="T5">
        <v>0.37604207262259015</v>
      </c>
      <c r="U5">
        <v>0.687569609529328</v>
      </c>
      <c r="V5">
        <v>1.3767012404502019</v>
      </c>
      <c r="W5">
        <v>0.80208133725132336</v>
      </c>
    </row>
    <row r="6" spans="1:23" x14ac:dyDescent="0.2">
      <c r="A6" t="s">
        <v>22</v>
      </c>
      <c r="B6" t="s">
        <v>19</v>
      </c>
      <c r="C6" t="s">
        <v>24</v>
      </c>
      <c r="D6">
        <v>2</v>
      </c>
      <c r="E6" t="s">
        <v>12</v>
      </c>
      <c r="F6">
        <v>799</v>
      </c>
      <c r="G6" s="1">
        <v>90</v>
      </c>
      <c r="H6">
        <v>7839.4</v>
      </c>
      <c r="I6" s="1">
        <v>205655</v>
      </c>
      <c r="J6">
        <v>100</v>
      </c>
      <c r="M6">
        <v>240.8</v>
      </c>
      <c r="N6">
        <f t="shared" si="0"/>
        <v>8.7569779473444402</v>
      </c>
      <c r="O6">
        <f t="shared" si="1"/>
        <v>0.4100010898742264</v>
      </c>
      <c r="Q6" t="s">
        <v>22</v>
      </c>
      <c r="R6">
        <v>0.4100010898742264</v>
      </c>
      <c r="S6">
        <v>0.50541939322928875</v>
      </c>
      <c r="T6">
        <v>0.6547417052309783</v>
      </c>
      <c r="U6">
        <v>0.48889538522172488</v>
      </c>
      <c r="V6">
        <v>1.2650201935123022</v>
      </c>
      <c r="W6">
        <v>0.62085513610342169</v>
      </c>
    </row>
    <row r="7" spans="1:23" x14ac:dyDescent="0.2">
      <c r="A7" t="s">
        <v>25</v>
      </c>
      <c r="B7" t="s">
        <v>19</v>
      </c>
      <c r="C7" t="s">
        <v>26</v>
      </c>
      <c r="D7">
        <v>1</v>
      </c>
      <c r="E7" t="s">
        <v>12</v>
      </c>
      <c r="F7">
        <v>801</v>
      </c>
      <c r="G7" s="1">
        <v>91</v>
      </c>
      <c r="H7">
        <v>2401.1</v>
      </c>
      <c r="I7" s="1">
        <v>59768.5</v>
      </c>
      <c r="J7">
        <v>100</v>
      </c>
      <c r="M7">
        <v>111.8</v>
      </c>
      <c r="N7">
        <f t="shared" si="0"/>
        <v>4.4987429999397843</v>
      </c>
      <c r="O7">
        <f t="shared" si="1"/>
        <v>0.21063082996557062</v>
      </c>
      <c r="Q7" t="s">
        <v>25</v>
      </c>
      <c r="R7">
        <v>0.21063082996557062</v>
      </c>
      <c r="S7">
        <v>0.77064648091023003</v>
      </c>
      <c r="T7">
        <v>1.0012770975655159</v>
      </c>
      <c r="U7">
        <v>0.58803413383093561</v>
      </c>
      <c r="V7">
        <v>2.3991909627903225</v>
      </c>
      <c r="W7">
        <v>0.16029474852307016</v>
      </c>
    </row>
    <row r="8" spans="1:23" x14ac:dyDescent="0.2">
      <c r="A8" t="s">
        <v>27</v>
      </c>
      <c r="B8" t="s">
        <v>19</v>
      </c>
      <c r="C8" t="s">
        <v>28</v>
      </c>
      <c r="D8">
        <v>1</v>
      </c>
      <c r="E8" t="s">
        <v>12</v>
      </c>
      <c r="F8">
        <v>804</v>
      </c>
      <c r="G8" s="1">
        <v>91</v>
      </c>
      <c r="H8">
        <v>4685.3999999999996</v>
      </c>
      <c r="I8" s="1">
        <v>121870</v>
      </c>
      <c r="J8">
        <v>100</v>
      </c>
      <c r="M8">
        <v>141.30000000000001</v>
      </c>
      <c r="N8">
        <f t="shared" si="0"/>
        <v>8.3398914657597061</v>
      </c>
      <c r="O8">
        <f t="shared" si="1"/>
        <v>0.39047313022309982</v>
      </c>
      <c r="Q8" t="s">
        <v>27</v>
      </c>
      <c r="R8">
        <v>0.39047313022309982</v>
      </c>
      <c r="S8">
        <v>0.96209928625797436</v>
      </c>
      <c r="T8">
        <v>1.0844844943085736</v>
      </c>
      <c r="U8">
        <v>0.64656902393644655</v>
      </c>
      <c r="V8">
        <v>2.212963626113936</v>
      </c>
      <c r="W8">
        <v>0.48193374578214959</v>
      </c>
    </row>
    <row r="9" spans="1:23" x14ac:dyDescent="0.2">
      <c r="A9" t="s">
        <v>29</v>
      </c>
      <c r="B9" t="s">
        <v>19</v>
      </c>
      <c r="C9" t="s">
        <v>30</v>
      </c>
      <c r="D9">
        <v>1</v>
      </c>
      <c r="E9" t="s">
        <v>12</v>
      </c>
      <c r="F9">
        <v>790</v>
      </c>
      <c r="G9" s="1">
        <v>91</v>
      </c>
      <c r="H9">
        <v>1495</v>
      </c>
      <c r="I9" s="1">
        <v>38005.199999999997</v>
      </c>
      <c r="J9">
        <v>100</v>
      </c>
      <c r="M9">
        <v>106.7</v>
      </c>
      <c r="N9">
        <f t="shared" si="0"/>
        <v>3.7647175362304481</v>
      </c>
      <c r="O9">
        <f t="shared" si="1"/>
        <v>0.17626380952474308</v>
      </c>
      <c r="Q9" t="s">
        <v>29</v>
      </c>
      <c r="R9">
        <v>0.17626380952474308</v>
      </c>
      <c r="S9">
        <v>0.75555273340213835</v>
      </c>
      <c r="T9">
        <v>1.1935944678846626</v>
      </c>
      <c r="U9">
        <v>0.66186588132343926</v>
      </c>
      <c r="V9">
        <v>2.9328187487350088</v>
      </c>
      <c r="W9">
        <v>6.8998418316367924E-2</v>
      </c>
    </row>
    <row r="10" spans="1:23" x14ac:dyDescent="0.2">
      <c r="A10" t="s">
        <v>31</v>
      </c>
      <c r="B10" t="s">
        <v>19</v>
      </c>
      <c r="C10" t="s">
        <v>32</v>
      </c>
      <c r="D10">
        <v>1</v>
      </c>
      <c r="E10" t="s">
        <v>12</v>
      </c>
      <c r="F10">
        <v>818</v>
      </c>
      <c r="G10" s="1">
        <v>91</v>
      </c>
      <c r="H10">
        <v>2440.6999999999998</v>
      </c>
      <c r="I10" s="1">
        <v>59898.1</v>
      </c>
      <c r="J10">
        <v>100</v>
      </c>
      <c r="M10">
        <v>182.3</v>
      </c>
      <c r="N10">
        <f t="shared" si="0"/>
        <v>5.7641437713515851</v>
      </c>
      <c r="O10">
        <f t="shared" si="1"/>
        <v>0.26987680483568621</v>
      </c>
      <c r="Q10" t="s">
        <v>31</v>
      </c>
      <c r="R10">
        <v>0.26987680483568621</v>
      </c>
      <c r="S10">
        <v>0.76746137311018658</v>
      </c>
      <c r="T10">
        <v>1.343561363449475</v>
      </c>
      <c r="U10">
        <v>0.67975980149602733</v>
      </c>
      <c r="V10">
        <v>2.1543557337003483</v>
      </c>
      <c r="W10">
        <v>0.25166481246308603</v>
      </c>
    </row>
    <row r="11" spans="1:23" x14ac:dyDescent="0.2">
      <c r="A11" t="s">
        <v>33</v>
      </c>
      <c r="B11" t="s">
        <v>19</v>
      </c>
      <c r="C11" t="s">
        <v>34</v>
      </c>
      <c r="D11">
        <v>2</v>
      </c>
      <c r="E11" t="s">
        <v>12</v>
      </c>
      <c r="F11">
        <v>799</v>
      </c>
      <c r="G11" s="1">
        <v>87</v>
      </c>
      <c r="H11">
        <v>17187.400000000001</v>
      </c>
      <c r="I11" s="1">
        <v>438685.4</v>
      </c>
      <c r="J11">
        <v>100</v>
      </c>
      <c r="M11">
        <v>284.60000000000002</v>
      </c>
      <c r="N11">
        <f t="shared" si="0"/>
        <v>19.891421057404553</v>
      </c>
      <c r="O11">
        <f t="shared" si="1"/>
        <v>0.93131493098668428</v>
      </c>
      <c r="Q11" t="s">
        <v>33</v>
      </c>
      <c r="R11">
        <v>0.93131493098668428</v>
      </c>
      <c r="S11">
        <v>0.78004289357938661</v>
      </c>
      <c r="T11">
        <v>0.7728976715768574</v>
      </c>
      <c r="U11">
        <v>0.96255627638246377</v>
      </c>
      <c r="V11">
        <v>0.64888648067990962</v>
      </c>
      <c r="W11">
        <v>0.90971871496407775</v>
      </c>
    </row>
    <row r="12" spans="1:23" x14ac:dyDescent="0.2">
      <c r="A12" t="s">
        <v>18</v>
      </c>
      <c r="B12" t="s">
        <v>35</v>
      </c>
      <c r="C12" t="s">
        <v>36</v>
      </c>
      <c r="D12">
        <v>1</v>
      </c>
      <c r="E12" t="s">
        <v>13</v>
      </c>
      <c r="F12">
        <v>766</v>
      </c>
      <c r="G12" s="1">
        <v>64</v>
      </c>
      <c r="H12">
        <v>4189</v>
      </c>
      <c r="I12" s="1">
        <v>95807.2</v>
      </c>
      <c r="J12">
        <v>100</v>
      </c>
      <c r="M12">
        <v>1548.5</v>
      </c>
      <c r="N12">
        <f>I12/I30</f>
        <v>6.5942954683112163</v>
      </c>
      <c r="O12">
        <f>N12/N$12</f>
        <v>1</v>
      </c>
    </row>
    <row r="13" spans="1:23" x14ac:dyDescent="0.2">
      <c r="A13" t="s">
        <v>18</v>
      </c>
      <c r="B13" t="s">
        <v>35</v>
      </c>
      <c r="C13" t="s">
        <v>37</v>
      </c>
      <c r="D13">
        <v>1</v>
      </c>
      <c r="E13" t="s">
        <v>13</v>
      </c>
      <c r="F13">
        <v>765</v>
      </c>
      <c r="G13" s="1">
        <v>65</v>
      </c>
      <c r="H13">
        <v>2556.4</v>
      </c>
      <c r="I13" s="1">
        <v>55437</v>
      </c>
      <c r="J13">
        <v>100</v>
      </c>
      <c r="M13">
        <v>1299</v>
      </c>
      <c r="N13">
        <f t="shared" ref="N13:N20" si="2">I13/I31</f>
        <v>4.9480533390456811</v>
      </c>
      <c r="O13">
        <f t="shared" ref="O13:O20" si="3">N13/N$12</f>
        <v>0.7503535992318624</v>
      </c>
    </row>
    <row r="14" spans="1:23" x14ac:dyDescent="0.2">
      <c r="A14" t="s">
        <v>22</v>
      </c>
      <c r="B14" t="s">
        <v>35</v>
      </c>
      <c r="C14" t="s">
        <v>38</v>
      </c>
      <c r="D14">
        <v>1</v>
      </c>
      <c r="E14" t="s">
        <v>13</v>
      </c>
      <c r="F14">
        <v>771</v>
      </c>
      <c r="G14" s="1">
        <v>65</v>
      </c>
      <c r="H14">
        <v>5381.4</v>
      </c>
      <c r="I14" s="1">
        <v>131606.70000000001</v>
      </c>
      <c r="J14">
        <v>100</v>
      </c>
      <c r="M14">
        <v>1257.0999999999999</v>
      </c>
      <c r="N14">
        <f t="shared" si="2"/>
        <v>5.2856006843620857</v>
      </c>
      <c r="O14">
        <f t="shared" si="3"/>
        <v>0.80154137917567647</v>
      </c>
    </row>
    <row r="15" spans="1:23" x14ac:dyDescent="0.2">
      <c r="A15" t="s">
        <v>22</v>
      </c>
      <c r="B15" t="s">
        <v>35</v>
      </c>
      <c r="C15" t="s">
        <v>39</v>
      </c>
      <c r="D15">
        <v>1</v>
      </c>
      <c r="E15" t="s">
        <v>13</v>
      </c>
      <c r="F15">
        <v>763</v>
      </c>
      <c r="G15" s="1">
        <v>64</v>
      </c>
      <c r="H15">
        <v>3414.7</v>
      </c>
      <c r="I15" s="1">
        <v>78271.8</v>
      </c>
      <c r="J15">
        <v>100</v>
      </c>
      <c r="M15">
        <v>1186</v>
      </c>
      <c r="N15">
        <f t="shared" si="2"/>
        <v>3.3328848143685037</v>
      </c>
      <c r="O15">
        <f t="shared" si="3"/>
        <v>0.50541939322928875</v>
      </c>
    </row>
    <row r="16" spans="1:23" x14ac:dyDescent="0.2">
      <c r="A16" t="s">
        <v>25</v>
      </c>
      <c r="B16" t="s">
        <v>35</v>
      </c>
      <c r="C16" t="s">
        <v>40</v>
      </c>
      <c r="D16">
        <v>1</v>
      </c>
      <c r="E16" t="s">
        <v>13</v>
      </c>
      <c r="F16">
        <v>757</v>
      </c>
      <c r="G16" s="1">
        <v>64</v>
      </c>
      <c r="H16">
        <v>2352.1</v>
      </c>
      <c r="I16" s="1">
        <v>67515.7</v>
      </c>
      <c r="J16">
        <v>100</v>
      </c>
      <c r="M16">
        <v>1041.5999999999999</v>
      </c>
      <c r="N16">
        <f t="shared" si="2"/>
        <v>5.0818705967363158</v>
      </c>
      <c r="O16">
        <f t="shared" si="3"/>
        <v>0.77064648091023003</v>
      </c>
    </row>
    <row r="17" spans="1:15" x14ac:dyDescent="0.2">
      <c r="A17" t="s">
        <v>27</v>
      </c>
      <c r="B17" t="s">
        <v>35</v>
      </c>
      <c r="C17" t="s">
        <v>41</v>
      </c>
      <c r="D17">
        <v>1</v>
      </c>
      <c r="E17" t="s">
        <v>13</v>
      </c>
      <c r="F17">
        <v>753</v>
      </c>
      <c r="G17" s="1">
        <v>64</v>
      </c>
      <c r="H17">
        <v>3410.7</v>
      </c>
      <c r="I17" s="1">
        <v>92709.6</v>
      </c>
      <c r="J17">
        <v>100</v>
      </c>
      <c r="M17">
        <v>1095.2</v>
      </c>
      <c r="N17">
        <f t="shared" si="2"/>
        <v>6.3443669634364159</v>
      </c>
      <c r="O17">
        <f t="shared" si="3"/>
        <v>0.96209928625797436</v>
      </c>
    </row>
    <row r="18" spans="1:15" x14ac:dyDescent="0.2">
      <c r="A18" t="s">
        <v>29</v>
      </c>
      <c r="B18" t="s">
        <v>35</v>
      </c>
      <c r="C18" t="s">
        <v>42</v>
      </c>
      <c r="D18">
        <v>1</v>
      </c>
      <c r="E18" t="s">
        <v>13</v>
      </c>
      <c r="F18">
        <v>758</v>
      </c>
      <c r="G18" s="1">
        <v>64</v>
      </c>
      <c r="H18">
        <v>1821.9</v>
      </c>
      <c r="I18" s="1">
        <v>50297.2</v>
      </c>
      <c r="J18">
        <v>100</v>
      </c>
      <c r="M18">
        <v>979.2</v>
      </c>
      <c r="N18">
        <f t="shared" si="2"/>
        <v>4.9823379659438736</v>
      </c>
      <c r="O18">
        <f t="shared" si="3"/>
        <v>0.75555273340213835</v>
      </c>
    </row>
    <row r="19" spans="1:15" x14ac:dyDescent="0.2">
      <c r="A19" t="s">
        <v>31</v>
      </c>
      <c r="B19" t="s">
        <v>35</v>
      </c>
      <c r="C19" t="s">
        <v>43</v>
      </c>
      <c r="D19">
        <v>1</v>
      </c>
      <c r="E19" t="s">
        <v>13</v>
      </c>
      <c r="F19">
        <v>763</v>
      </c>
      <c r="G19" s="1">
        <v>64</v>
      </c>
      <c r="H19">
        <v>2036.4</v>
      </c>
      <c r="I19" s="1">
        <v>52590</v>
      </c>
      <c r="J19">
        <v>100</v>
      </c>
      <c r="M19">
        <v>1031.9000000000001</v>
      </c>
      <c r="N19">
        <f t="shared" si="2"/>
        <v>5.0608670548044072</v>
      </c>
      <c r="O19">
        <f t="shared" si="3"/>
        <v>0.76746137311018658</v>
      </c>
    </row>
    <row r="20" spans="1:15" x14ac:dyDescent="0.2">
      <c r="A20" t="s">
        <v>33</v>
      </c>
      <c r="B20" t="s">
        <v>35</v>
      </c>
      <c r="C20" t="s">
        <v>44</v>
      </c>
      <c r="D20">
        <v>1</v>
      </c>
      <c r="E20" t="s">
        <v>13</v>
      </c>
      <c r="F20">
        <v>760</v>
      </c>
      <c r="G20" s="1">
        <v>64</v>
      </c>
      <c r="H20">
        <v>5234.1000000000004</v>
      </c>
      <c r="I20" s="1">
        <v>113442.1</v>
      </c>
      <c r="J20">
        <v>100</v>
      </c>
      <c r="M20">
        <v>1343.4</v>
      </c>
      <c r="N20">
        <f t="shared" si="2"/>
        <v>5.1438333182189178</v>
      </c>
      <c r="O20">
        <f t="shared" si="3"/>
        <v>0.78004289357938661</v>
      </c>
    </row>
    <row r="21" spans="1:15" x14ac:dyDescent="0.2">
      <c r="A21" t="s">
        <v>18</v>
      </c>
      <c r="B21" t="s">
        <v>45</v>
      </c>
      <c r="C21" t="s">
        <v>46</v>
      </c>
      <c r="D21">
        <v>2</v>
      </c>
      <c r="E21" t="s">
        <v>47</v>
      </c>
      <c r="F21">
        <v>490</v>
      </c>
      <c r="G21" s="1">
        <v>19</v>
      </c>
      <c r="H21">
        <v>58017.5</v>
      </c>
      <c r="I21" s="1">
        <v>874317.1</v>
      </c>
      <c r="J21">
        <v>100</v>
      </c>
      <c r="M21">
        <v>45.9</v>
      </c>
      <c r="N21">
        <f>I21/I30</f>
        <v>60.1782046693464</v>
      </c>
      <c r="O21">
        <f>N21/N$21</f>
        <v>1</v>
      </c>
    </row>
    <row r="22" spans="1:15" x14ac:dyDescent="0.2">
      <c r="A22" t="s">
        <v>18</v>
      </c>
      <c r="B22" t="s">
        <v>45</v>
      </c>
      <c r="C22" t="s">
        <v>48</v>
      </c>
      <c r="D22">
        <v>2</v>
      </c>
      <c r="E22" t="s">
        <v>47</v>
      </c>
      <c r="F22">
        <v>483</v>
      </c>
      <c r="G22" s="1">
        <v>18</v>
      </c>
      <c r="H22">
        <v>46523.6</v>
      </c>
      <c r="I22" s="1">
        <v>683488.8</v>
      </c>
      <c r="J22">
        <v>100</v>
      </c>
      <c r="M22">
        <v>33.9</v>
      </c>
      <c r="N22">
        <f t="shared" ref="N22:N29" si="4">I22/I31</f>
        <v>61.005087559578008</v>
      </c>
      <c r="O22">
        <f t="shared" ref="O22:O29" si="5">N22/N$21</f>
        <v>1.013740570938847</v>
      </c>
    </row>
    <row r="23" spans="1:15" x14ac:dyDescent="0.2">
      <c r="A23" t="s">
        <v>22</v>
      </c>
      <c r="B23" t="s">
        <v>45</v>
      </c>
      <c r="C23" t="s">
        <v>49</v>
      </c>
      <c r="D23">
        <v>3</v>
      </c>
      <c r="E23" t="s">
        <v>47</v>
      </c>
      <c r="F23">
        <v>483</v>
      </c>
      <c r="G23" s="1">
        <v>19</v>
      </c>
      <c r="H23">
        <v>56431.5</v>
      </c>
      <c r="I23" s="1">
        <v>563455.1</v>
      </c>
      <c r="J23">
        <v>100</v>
      </c>
      <c r="M23">
        <v>46.8</v>
      </c>
      <c r="N23">
        <f t="shared" si="4"/>
        <v>22.629536810567451</v>
      </c>
      <c r="O23">
        <f t="shared" si="5"/>
        <v>0.37604207262259015</v>
      </c>
    </row>
    <row r="24" spans="1:15" x14ac:dyDescent="0.2">
      <c r="A24" t="s">
        <v>22</v>
      </c>
      <c r="B24" t="s">
        <v>45</v>
      </c>
      <c r="C24" t="s">
        <v>50</v>
      </c>
      <c r="D24">
        <v>1</v>
      </c>
      <c r="E24" t="s">
        <v>47</v>
      </c>
      <c r="F24">
        <v>488</v>
      </c>
      <c r="G24" s="1">
        <v>18</v>
      </c>
      <c r="H24">
        <v>61394</v>
      </c>
      <c r="I24" s="1">
        <v>925324.9</v>
      </c>
      <c r="J24">
        <v>100</v>
      </c>
      <c r="M24">
        <v>43.1</v>
      </c>
      <c r="N24">
        <f t="shared" si="4"/>
        <v>39.401180342946681</v>
      </c>
      <c r="O24">
        <f t="shared" si="5"/>
        <v>0.6547417052309783</v>
      </c>
    </row>
    <row r="25" spans="1:15" x14ac:dyDescent="0.2">
      <c r="A25" t="s">
        <v>25</v>
      </c>
      <c r="B25" t="s">
        <v>45</v>
      </c>
      <c r="C25" t="s">
        <v>51</v>
      </c>
      <c r="D25">
        <v>1</v>
      </c>
      <c r="E25" t="s">
        <v>47</v>
      </c>
      <c r="F25">
        <v>484</v>
      </c>
      <c r="G25" s="1">
        <v>18</v>
      </c>
      <c r="H25">
        <v>54137.3</v>
      </c>
      <c r="I25" s="1">
        <v>800524.6</v>
      </c>
      <c r="J25">
        <v>100</v>
      </c>
      <c r="M25">
        <v>36.4</v>
      </c>
      <c r="N25">
        <f t="shared" si="4"/>
        <v>60.255058108026731</v>
      </c>
      <c r="O25">
        <f t="shared" si="5"/>
        <v>1.0012770975655159</v>
      </c>
    </row>
    <row r="26" spans="1:15" x14ac:dyDescent="0.2">
      <c r="A26" t="s">
        <v>27</v>
      </c>
      <c r="B26" t="s">
        <v>45</v>
      </c>
      <c r="C26" t="s">
        <v>52</v>
      </c>
      <c r="D26">
        <v>1</v>
      </c>
      <c r="E26" t="s">
        <v>47</v>
      </c>
      <c r="F26">
        <v>483</v>
      </c>
      <c r="G26" s="1">
        <v>18</v>
      </c>
      <c r="H26">
        <v>62273.2</v>
      </c>
      <c r="I26" s="1">
        <v>953671.9</v>
      </c>
      <c r="J26">
        <v>100</v>
      </c>
      <c r="M26">
        <v>34.5</v>
      </c>
      <c r="N26">
        <f t="shared" si="4"/>
        <v>65.262329859233972</v>
      </c>
      <c r="O26">
        <f t="shared" si="5"/>
        <v>1.0844844943085736</v>
      </c>
    </row>
    <row r="27" spans="1:15" x14ac:dyDescent="0.2">
      <c r="A27" t="s">
        <v>29</v>
      </c>
      <c r="B27" t="s">
        <v>45</v>
      </c>
      <c r="C27" t="s">
        <v>53</v>
      </c>
      <c r="D27">
        <v>2</v>
      </c>
      <c r="E27" t="s">
        <v>47</v>
      </c>
      <c r="F27">
        <v>484</v>
      </c>
      <c r="G27" s="1">
        <v>18</v>
      </c>
      <c r="H27">
        <v>45286.5</v>
      </c>
      <c r="I27" s="1">
        <v>725114.6</v>
      </c>
      <c r="J27">
        <v>100</v>
      </c>
      <c r="M27">
        <v>35.1</v>
      </c>
      <c r="N27">
        <f t="shared" si="4"/>
        <v>71.828372180562837</v>
      </c>
      <c r="O27">
        <f t="shared" si="5"/>
        <v>1.1935944678846626</v>
      </c>
    </row>
    <row r="28" spans="1:15" x14ac:dyDescent="0.2">
      <c r="A28" t="s">
        <v>31</v>
      </c>
      <c r="B28" t="s">
        <v>45</v>
      </c>
      <c r="C28" t="s">
        <v>54</v>
      </c>
      <c r="D28">
        <v>1</v>
      </c>
      <c r="E28" t="s">
        <v>47</v>
      </c>
      <c r="F28">
        <v>485</v>
      </c>
      <c r="G28" s="1">
        <v>18</v>
      </c>
      <c r="H28">
        <v>55301.8</v>
      </c>
      <c r="I28" s="1">
        <v>840185.1</v>
      </c>
      <c r="J28">
        <v>100</v>
      </c>
      <c r="M28">
        <v>27.4</v>
      </c>
      <c r="N28">
        <f t="shared" si="4"/>
        <v>80.853110715488612</v>
      </c>
      <c r="O28">
        <f t="shared" si="5"/>
        <v>1.343561363449475</v>
      </c>
    </row>
    <row r="29" spans="1:15" x14ac:dyDescent="0.2">
      <c r="A29" t="s">
        <v>33</v>
      </c>
      <c r="B29" t="s">
        <v>45</v>
      </c>
      <c r="C29" t="s">
        <v>55</v>
      </c>
      <c r="D29">
        <v>2</v>
      </c>
      <c r="E29" t="s">
        <v>47</v>
      </c>
      <c r="F29">
        <v>488</v>
      </c>
      <c r="G29" s="1">
        <v>19</v>
      </c>
      <c r="H29">
        <v>63377.7</v>
      </c>
      <c r="I29" s="1">
        <v>1025766.7</v>
      </c>
      <c r="J29">
        <v>100</v>
      </c>
      <c r="M29">
        <v>36.5</v>
      </c>
      <c r="N29">
        <f t="shared" si="4"/>
        <v>46.511594268613401</v>
      </c>
      <c r="O29">
        <f t="shared" si="5"/>
        <v>0.7728976715768574</v>
      </c>
    </row>
    <row r="30" spans="1:15" x14ac:dyDescent="0.2">
      <c r="A30" t="s">
        <v>18</v>
      </c>
      <c r="B30" t="s">
        <v>56</v>
      </c>
      <c r="C30" t="s">
        <v>57</v>
      </c>
      <c r="D30">
        <v>1</v>
      </c>
      <c r="E30" t="s">
        <v>58</v>
      </c>
      <c r="F30">
        <v>640</v>
      </c>
      <c r="G30" s="1">
        <v>39</v>
      </c>
      <c r="H30">
        <v>1427.2</v>
      </c>
      <c r="I30" s="1">
        <v>14528.8</v>
      </c>
      <c r="J30">
        <v>100</v>
      </c>
      <c r="M30">
        <v>55.6</v>
      </c>
    </row>
    <row r="31" spans="1:15" x14ac:dyDescent="0.2">
      <c r="A31" t="s">
        <v>18</v>
      </c>
      <c r="B31" t="s">
        <v>56</v>
      </c>
      <c r="C31" t="s">
        <v>59</v>
      </c>
      <c r="D31">
        <v>1</v>
      </c>
      <c r="E31" t="s">
        <v>58</v>
      </c>
      <c r="F31">
        <v>635</v>
      </c>
      <c r="G31" s="1">
        <v>39</v>
      </c>
      <c r="H31">
        <v>1168.4000000000001</v>
      </c>
      <c r="I31" s="1">
        <v>11203.8</v>
      </c>
      <c r="J31">
        <v>100</v>
      </c>
      <c r="M31">
        <v>59</v>
      </c>
    </row>
    <row r="32" spans="1:15" x14ac:dyDescent="0.2">
      <c r="A32" t="s">
        <v>22</v>
      </c>
      <c r="B32" t="s">
        <v>56</v>
      </c>
      <c r="C32" t="s">
        <v>60</v>
      </c>
      <c r="D32">
        <v>1</v>
      </c>
      <c r="E32" t="s">
        <v>58</v>
      </c>
      <c r="F32">
        <v>632</v>
      </c>
      <c r="G32" s="1">
        <v>39</v>
      </c>
      <c r="H32">
        <v>2610.1</v>
      </c>
      <c r="I32" s="1">
        <v>24899.1</v>
      </c>
      <c r="J32">
        <v>100</v>
      </c>
      <c r="M32">
        <v>63.5</v>
      </c>
    </row>
    <row r="33" spans="1:15" x14ac:dyDescent="0.2">
      <c r="A33" t="s">
        <v>22</v>
      </c>
      <c r="B33" t="s">
        <v>56</v>
      </c>
      <c r="C33" t="s">
        <v>61</v>
      </c>
      <c r="D33">
        <v>1</v>
      </c>
      <c r="E33" t="s">
        <v>58</v>
      </c>
      <c r="F33">
        <v>638</v>
      </c>
      <c r="G33" s="1">
        <v>39</v>
      </c>
      <c r="H33">
        <v>2346.9</v>
      </c>
      <c r="I33" s="1">
        <v>23484.7</v>
      </c>
      <c r="J33">
        <v>100</v>
      </c>
      <c r="M33">
        <v>65.7</v>
      </c>
    </row>
    <row r="34" spans="1:15" x14ac:dyDescent="0.2">
      <c r="A34" t="s">
        <v>25</v>
      </c>
      <c r="B34" t="s">
        <v>56</v>
      </c>
      <c r="C34" t="s">
        <v>62</v>
      </c>
      <c r="D34">
        <v>1</v>
      </c>
      <c r="E34" t="s">
        <v>58</v>
      </c>
      <c r="F34">
        <v>631</v>
      </c>
      <c r="G34" s="1">
        <v>39</v>
      </c>
      <c r="H34">
        <v>1367.5</v>
      </c>
      <c r="I34" s="1">
        <v>13285.6</v>
      </c>
      <c r="J34">
        <v>100</v>
      </c>
      <c r="M34">
        <v>62.9</v>
      </c>
    </row>
    <row r="35" spans="1:15" x14ac:dyDescent="0.2">
      <c r="A35" t="s">
        <v>27</v>
      </c>
      <c r="B35" t="s">
        <v>56</v>
      </c>
      <c r="C35" t="s">
        <v>63</v>
      </c>
      <c r="D35">
        <v>1</v>
      </c>
      <c r="E35" t="s">
        <v>58</v>
      </c>
      <c r="F35">
        <v>629</v>
      </c>
      <c r="G35" s="1">
        <v>39</v>
      </c>
      <c r="H35">
        <v>1453</v>
      </c>
      <c r="I35" s="1">
        <v>14612.9</v>
      </c>
      <c r="J35">
        <v>100</v>
      </c>
      <c r="M35">
        <v>58.9</v>
      </c>
    </row>
    <row r="36" spans="1:15" x14ac:dyDescent="0.2">
      <c r="A36" t="s">
        <v>29</v>
      </c>
      <c r="B36" t="s">
        <v>56</v>
      </c>
      <c r="C36" t="s">
        <v>64</v>
      </c>
      <c r="D36">
        <v>1</v>
      </c>
      <c r="E36" t="s">
        <v>58</v>
      </c>
      <c r="F36">
        <v>629</v>
      </c>
      <c r="G36" s="1">
        <v>39</v>
      </c>
      <c r="H36">
        <v>886.7</v>
      </c>
      <c r="I36" s="1">
        <v>10095.1</v>
      </c>
      <c r="J36">
        <v>100</v>
      </c>
      <c r="M36">
        <v>61.4</v>
      </c>
    </row>
    <row r="37" spans="1:15" x14ac:dyDescent="0.2">
      <c r="A37" t="s">
        <v>31</v>
      </c>
      <c r="B37" t="s">
        <v>56</v>
      </c>
      <c r="C37" t="s">
        <v>65</v>
      </c>
      <c r="D37">
        <v>1</v>
      </c>
      <c r="E37" t="s">
        <v>58</v>
      </c>
      <c r="F37">
        <v>633</v>
      </c>
      <c r="G37" s="1">
        <v>39</v>
      </c>
      <c r="H37">
        <v>1017.8</v>
      </c>
      <c r="I37" s="1">
        <v>10391.5</v>
      </c>
      <c r="J37">
        <v>100</v>
      </c>
      <c r="M37">
        <v>58.1</v>
      </c>
    </row>
    <row r="38" spans="1:15" x14ac:dyDescent="0.2">
      <c r="A38" t="s">
        <v>33</v>
      </c>
      <c r="B38" t="s">
        <v>56</v>
      </c>
      <c r="C38" t="s">
        <v>66</v>
      </c>
      <c r="D38">
        <v>1</v>
      </c>
      <c r="E38" t="s">
        <v>58</v>
      </c>
      <c r="F38">
        <v>634</v>
      </c>
      <c r="G38" s="1">
        <v>39</v>
      </c>
      <c r="H38">
        <v>2099.6</v>
      </c>
      <c r="I38" s="1">
        <v>22054</v>
      </c>
      <c r="J38">
        <v>100</v>
      </c>
      <c r="M38">
        <v>52.8</v>
      </c>
    </row>
    <row r="39" spans="1:15" x14ac:dyDescent="0.2">
      <c r="A39" t="s">
        <v>18</v>
      </c>
      <c r="B39" t="s">
        <v>67</v>
      </c>
      <c r="C39" t="s">
        <v>68</v>
      </c>
      <c r="D39">
        <v>2</v>
      </c>
      <c r="E39" t="s">
        <v>15</v>
      </c>
      <c r="F39">
        <v>744</v>
      </c>
      <c r="G39" s="1">
        <v>61</v>
      </c>
      <c r="H39">
        <v>6325</v>
      </c>
      <c r="I39" s="1">
        <v>121033.5</v>
      </c>
      <c r="J39">
        <v>100</v>
      </c>
      <c r="M39">
        <v>40.6</v>
      </c>
      <c r="N39">
        <f>I39/I30</f>
        <v>8.3305916524420471</v>
      </c>
      <c r="O39">
        <f>N39/N$39</f>
        <v>1</v>
      </c>
    </row>
    <row r="40" spans="1:15" x14ac:dyDescent="0.2">
      <c r="A40" t="s">
        <v>18</v>
      </c>
      <c r="B40" t="s">
        <v>67</v>
      </c>
      <c r="C40" t="s">
        <v>69</v>
      </c>
      <c r="D40">
        <v>1</v>
      </c>
      <c r="E40" t="s">
        <v>15</v>
      </c>
      <c r="F40">
        <v>745</v>
      </c>
      <c r="G40" s="1">
        <v>61</v>
      </c>
      <c r="H40">
        <v>3824.4</v>
      </c>
      <c r="I40" s="1">
        <v>74274.7</v>
      </c>
      <c r="J40">
        <v>100</v>
      </c>
      <c r="M40">
        <v>31.8</v>
      </c>
      <c r="N40">
        <f t="shared" ref="N40:N47" si="6">I40/I31</f>
        <v>6.6294203752298326</v>
      </c>
      <c r="O40">
        <f>N40/N$39</f>
        <v>0.79579226204017217</v>
      </c>
    </row>
    <row r="41" spans="1:15" x14ac:dyDescent="0.2">
      <c r="A41" t="s">
        <v>22</v>
      </c>
      <c r="B41" t="s">
        <v>67</v>
      </c>
      <c r="C41" t="s">
        <v>70</v>
      </c>
      <c r="D41">
        <v>2</v>
      </c>
      <c r="E41" t="s">
        <v>15</v>
      </c>
      <c r="F41">
        <v>745</v>
      </c>
      <c r="G41" s="1">
        <v>61</v>
      </c>
      <c r="H41">
        <v>7308.1</v>
      </c>
      <c r="I41" s="1">
        <v>142618.6</v>
      </c>
      <c r="J41">
        <v>100</v>
      </c>
      <c r="M41">
        <v>46.7</v>
      </c>
      <c r="N41">
        <f t="shared" si="6"/>
        <v>5.727861649617858</v>
      </c>
      <c r="O41">
        <f t="shared" ref="O41:O47" si="7">N41/N$39</f>
        <v>0.687569609529328</v>
      </c>
    </row>
    <row r="42" spans="1:15" x14ac:dyDescent="0.2">
      <c r="A42" t="s">
        <v>22</v>
      </c>
      <c r="B42" t="s">
        <v>67</v>
      </c>
      <c r="C42" t="s">
        <v>71</v>
      </c>
      <c r="D42">
        <v>1</v>
      </c>
      <c r="E42" t="s">
        <v>15</v>
      </c>
      <c r="F42">
        <v>746</v>
      </c>
      <c r="G42" s="1">
        <v>61</v>
      </c>
      <c r="H42">
        <v>4657.8</v>
      </c>
      <c r="I42" s="1">
        <v>95648.2</v>
      </c>
      <c r="J42">
        <v>100</v>
      </c>
      <c r="M42">
        <v>38.1</v>
      </c>
      <c r="N42">
        <f t="shared" si="6"/>
        <v>4.0727878150455403</v>
      </c>
      <c r="O42">
        <f t="shared" si="7"/>
        <v>0.48889538522172488</v>
      </c>
    </row>
    <row r="43" spans="1:15" x14ac:dyDescent="0.2">
      <c r="A43" t="s">
        <v>25</v>
      </c>
      <c r="B43" t="s">
        <v>67</v>
      </c>
      <c r="C43" t="s">
        <v>72</v>
      </c>
      <c r="D43">
        <v>1</v>
      </c>
      <c r="E43" t="s">
        <v>15</v>
      </c>
      <c r="F43">
        <v>738</v>
      </c>
      <c r="G43" s="1">
        <v>61</v>
      </c>
      <c r="H43">
        <v>3276.9</v>
      </c>
      <c r="I43" s="1">
        <v>65081.8</v>
      </c>
      <c r="J43">
        <v>100</v>
      </c>
      <c r="M43">
        <v>41.1</v>
      </c>
      <c r="N43">
        <f t="shared" si="6"/>
        <v>4.898672246642982</v>
      </c>
      <c r="O43">
        <f t="shared" si="7"/>
        <v>0.58803413383093561</v>
      </c>
    </row>
    <row r="44" spans="1:15" x14ac:dyDescent="0.2">
      <c r="A44" t="s">
        <v>27</v>
      </c>
      <c r="B44" t="s">
        <v>67</v>
      </c>
      <c r="C44" t="s">
        <v>73</v>
      </c>
      <c r="D44">
        <v>1</v>
      </c>
      <c r="E44" t="s">
        <v>15</v>
      </c>
      <c r="F44">
        <v>743</v>
      </c>
      <c r="G44" s="1">
        <v>61</v>
      </c>
      <c r="H44">
        <v>4203.8</v>
      </c>
      <c r="I44" s="1">
        <v>78709.5</v>
      </c>
      <c r="J44">
        <v>100</v>
      </c>
      <c r="M44">
        <v>33.5</v>
      </c>
      <c r="N44">
        <f t="shared" si="6"/>
        <v>5.3863025135325637</v>
      </c>
      <c r="O44">
        <f t="shared" si="7"/>
        <v>0.64656902393644655</v>
      </c>
    </row>
    <row r="45" spans="1:15" x14ac:dyDescent="0.2">
      <c r="A45" t="s">
        <v>29</v>
      </c>
      <c r="B45" t="s">
        <v>67</v>
      </c>
      <c r="C45" t="s">
        <v>74</v>
      </c>
      <c r="D45">
        <v>1</v>
      </c>
      <c r="E45" t="s">
        <v>15</v>
      </c>
      <c r="F45">
        <v>737</v>
      </c>
      <c r="G45" s="1">
        <v>61</v>
      </c>
      <c r="H45">
        <v>2561.3000000000002</v>
      </c>
      <c r="I45" s="1">
        <v>55661.7</v>
      </c>
      <c r="J45">
        <v>100</v>
      </c>
      <c r="M45">
        <v>36.5</v>
      </c>
      <c r="N45">
        <f t="shared" si="6"/>
        <v>5.5137343859892418</v>
      </c>
      <c r="O45">
        <f t="shared" si="7"/>
        <v>0.66186588132343926</v>
      </c>
    </row>
    <row r="46" spans="1:15" x14ac:dyDescent="0.2">
      <c r="A46" t="s">
        <v>31</v>
      </c>
      <c r="B46" t="s">
        <v>67</v>
      </c>
      <c r="C46" t="s">
        <v>75</v>
      </c>
      <c r="D46">
        <v>1</v>
      </c>
      <c r="E46" t="s">
        <v>15</v>
      </c>
      <c r="F46">
        <v>739</v>
      </c>
      <c r="G46" s="1">
        <v>61</v>
      </c>
      <c r="H46">
        <v>2962.8</v>
      </c>
      <c r="I46" s="1">
        <v>58845</v>
      </c>
      <c r="J46">
        <v>100</v>
      </c>
      <c r="M46">
        <v>34.6</v>
      </c>
      <c r="N46">
        <f t="shared" si="6"/>
        <v>5.6628013280084684</v>
      </c>
      <c r="O46">
        <f t="shared" si="7"/>
        <v>0.67975980149602733</v>
      </c>
    </row>
    <row r="47" spans="1:15" x14ac:dyDescent="0.2">
      <c r="A47" t="s">
        <v>33</v>
      </c>
      <c r="B47" t="s">
        <v>67</v>
      </c>
      <c r="C47" t="s">
        <v>76</v>
      </c>
      <c r="D47">
        <v>1</v>
      </c>
      <c r="E47" t="s">
        <v>15</v>
      </c>
      <c r="F47">
        <v>739</v>
      </c>
      <c r="G47" s="1">
        <v>61</v>
      </c>
      <c r="H47">
        <v>8206.6</v>
      </c>
      <c r="I47" s="1">
        <v>176843.6</v>
      </c>
      <c r="J47">
        <v>100</v>
      </c>
      <c r="M47">
        <v>53.2</v>
      </c>
      <c r="N47">
        <f t="shared" si="6"/>
        <v>8.018663281037453</v>
      </c>
      <c r="O47">
        <f t="shared" si="7"/>
        <v>0.96255627638246377</v>
      </c>
    </row>
    <row r="48" spans="1:15" x14ac:dyDescent="0.2">
      <c r="A48" t="s">
        <v>18</v>
      </c>
      <c r="B48" t="s">
        <v>77</v>
      </c>
      <c r="C48" t="s">
        <v>78</v>
      </c>
      <c r="D48">
        <v>1</v>
      </c>
      <c r="E48" t="s">
        <v>16</v>
      </c>
      <c r="F48">
        <v>711</v>
      </c>
      <c r="G48" s="1">
        <v>53</v>
      </c>
      <c r="H48">
        <v>4938.5</v>
      </c>
      <c r="I48" s="1">
        <v>128528</v>
      </c>
      <c r="J48">
        <v>100</v>
      </c>
      <c r="M48">
        <v>2351.6999999999998</v>
      </c>
      <c r="N48">
        <f>I48/I30</f>
        <v>8.846429161389791</v>
      </c>
      <c r="O48">
        <f>N48/N$48</f>
        <v>1</v>
      </c>
    </row>
    <row r="49" spans="1:22" x14ac:dyDescent="0.2">
      <c r="A49" t="s">
        <v>18</v>
      </c>
      <c r="B49" t="s">
        <v>77</v>
      </c>
      <c r="C49" t="s">
        <v>79</v>
      </c>
      <c r="D49">
        <v>1</v>
      </c>
      <c r="E49" t="s">
        <v>16</v>
      </c>
      <c r="F49">
        <v>701</v>
      </c>
      <c r="G49" s="1">
        <v>52</v>
      </c>
      <c r="H49">
        <v>7489.6</v>
      </c>
      <c r="I49" s="1">
        <v>158783.20000000001</v>
      </c>
      <c r="J49">
        <v>100</v>
      </c>
      <c r="M49">
        <v>2273.9</v>
      </c>
      <c r="N49">
        <f t="shared" ref="N49:N56" si="8">I49/I31</f>
        <v>14.172262982202469</v>
      </c>
      <c r="O49">
        <f t="shared" ref="O49:O56" si="9">N49/N$48</f>
        <v>1.602032042946465</v>
      </c>
    </row>
    <row r="50" spans="1:22" x14ac:dyDescent="0.2">
      <c r="A50" t="s">
        <v>22</v>
      </c>
      <c r="B50" t="s">
        <v>77</v>
      </c>
      <c r="C50" t="s">
        <v>80</v>
      </c>
      <c r="D50">
        <v>1</v>
      </c>
      <c r="E50" t="s">
        <v>16</v>
      </c>
      <c r="F50">
        <v>699</v>
      </c>
      <c r="G50" s="1">
        <v>52</v>
      </c>
      <c r="H50">
        <v>14448.3</v>
      </c>
      <c r="I50" s="1">
        <v>303243.40000000002</v>
      </c>
      <c r="J50">
        <v>100</v>
      </c>
      <c r="M50">
        <v>2655.8</v>
      </c>
      <c r="N50">
        <f t="shared" si="8"/>
        <v>12.178890000040164</v>
      </c>
      <c r="O50">
        <f t="shared" si="9"/>
        <v>1.3767012404502019</v>
      </c>
    </row>
    <row r="51" spans="1:22" x14ac:dyDescent="0.2">
      <c r="A51" t="s">
        <v>22</v>
      </c>
      <c r="B51" t="s">
        <v>77</v>
      </c>
      <c r="C51" t="s">
        <v>81</v>
      </c>
      <c r="D51">
        <v>1</v>
      </c>
      <c r="E51" t="s">
        <v>16</v>
      </c>
      <c r="F51">
        <v>700</v>
      </c>
      <c r="G51" s="1">
        <v>52</v>
      </c>
      <c r="H51">
        <v>12222.2</v>
      </c>
      <c r="I51" s="1">
        <v>262815.2</v>
      </c>
      <c r="J51">
        <v>100</v>
      </c>
      <c r="M51">
        <v>2508</v>
      </c>
      <c r="N51">
        <f t="shared" si="8"/>
        <v>11.190911529634187</v>
      </c>
      <c r="O51">
        <f t="shared" si="9"/>
        <v>1.2650201935123022</v>
      </c>
    </row>
    <row r="52" spans="1:22" x14ac:dyDescent="0.2">
      <c r="A52" t="s">
        <v>25</v>
      </c>
      <c r="B52" t="s">
        <v>77</v>
      </c>
      <c r="C52" t="s">
        <v>82</v>
      </c>
      <c r="D52">
        <v>1</v>
      </c>
      <c r="E52" t="s">
        <v>16</v>
      </c>
      <c r="F52">
        <v>704</v>
      </c>
      <c r="G52" s="1">
        <v>52</v>
      </c>
      <c r="H52">
        <v>12634</v>
      </c>
      <c r="I52" s="1">
        <v>281977.2</v>
      </c>
      <c r="J52">
        <v>100</v>
      </c>
      <c r="M52">
        <v>2737.2</v>
      </c>
      <c r="N52">
        <f t="shared" si="8"/>
        <v>21.224272896971158</v>
      </c>
      <c r="O52">
        <f t="shared" si="9"/>
        <v>2.3991909627903225</v>
      </c>
    </row>
    <row r="53" spans="1:22" x14ac:dyDescent="0.2">
      <c r="A53" t="s">
        <v>27</v>
      </c>
      <c r="B53" t="s">
        <v>77</v>
      </c>
      <c r="C53" t="s">
        <v>83</v>
      </c>
      <c r="D53">
        <v>1</v>
      </c>
      <c r="E53" t="s">
        <v>16</v>
      </c>
      <c r="F53">
        <v>700</v>
      </c>
      <c r="G53" s="1">
        <v>52</v>
      </c>
      <c r="H53">
        <v>13299.2</v>
      </c>
      <c r="I53" s="1">
        <v>286074.2</v>
      </c>
      <c r="J53">
        <v>100</v>
      </c>
      <c r="M53">
        <v>2578.9</v>
      </c>
      <c r="N53">
        <f t="shared" si="8"/>
        <v>19.576825955149218</v>
      </c>
      <c r="O53">
        <f t="shared" si="9"/>
        <v>2.212963626113936</v>
      </c>
    </row>
    <row r="54" spans="1:22" x14ac:dyDescent="0.2">
      <c r="A54" t="s">
        <v>29</v>
      </c>
      <c r="B54" t="s">
        <v>77</v>
      </c>
      <c r="C54" t="s">
        <v>84</v>
      </c>
      <c r="D54">
        <v>1</v>
      </c>
      <c r="E54" t="s">
        <v>16</v>
      </c>
      <c r="F54">
        <v>705</v>
      </c>
      <c r="G54" s="1">
        <v>52</v>
      </c>
      <c r="H54">
        <v>11457.2</v>
      </c>
      <c r="I54" s="1">
        <v>261917.1</v>
      </c>
      <c r="J54">
        <v>100</v>
      </c>
      <c r="M54">
        <v>2416.8000000000002</v>
      </c>
      <c r="N54">
        <f t="shared" si="8"/>
        <v>25.944973303880101</v>
      </c>
      <c r="O54">
        <f t="shared" si="9"/>
        <v>2.9328187487350088</v>
      </c>
    </row>
    <row r="55" spans="1:22" x14ac:dyDescent="0.2">
      <c r="A55" t="s">
        <v>31</v>
      </c>
      <c r="B55" t="s">
        <v>77</v>
      </c>
      <c r="C55" t="s">
        <v>85</v>
      </c>
      <c r="D55">
        <v>1</v>
      </c>
      <c r="E55" t="s">
        <v>16</v>
      </c>
      <c r="F55">
        <v>706</v>
      </c>
      <c r="G55" s="1">
        <v>52</v>
      </c>
      <c r="H55">
        <v>9001.2000000000007</v>
      </c>
      <c r="I55" s="1">
        <v>198044.9</v>
      </c>
      <c r="J55">
        <v>100</v>
      </c>
      <c r="M55">
        <v>2312.1999999999998</v>
      </c>
      <c r="N55">
        <f t="shared" si="8"/>
        <v>19.05835538661406</v>
      </c>
      <c r="O55">
        <f t="shared" si="9"/>
        <v>2.1543557337003483</v>
      </c>
    </row>
    <row r="56" spans="1:22" x14ac:dyDescent="0.2">
      <c r="A56" t="s">
        <v>33</v>
      </c>
      <c r="B56" t="s">
        <v>77</v>
      </c>
      <c r="C56" t="s">
        <v>86</v>
      </c>
      <c r="D56">
        <v>1</v>
      </c>
      <c r="E56" t="s">
        <v>16</v>
      </c>
      <c r="F56">
        <v>707</v>
      </c>
      <c r="G56" s="1">
        <v>53</v>
      </c>
      <c r="H56">
        <v>4347.2</v>
      </c>
      <c r="I56" s="1">
        <v>126597.2</v>
      </c>
      <c r="J56">
        <v>100</v>
      </c>
      <c r="M56">
        <v>2656</v>
      </c>
      <c r="N56">
        <f t="shared" si="8"/>
        <v>5.7403282851183457</v>
      </c>
      <c r="O56">
        <f t="shared" si="9"/>
        <v>0.64888648067990962</v>
      </c>
    </row>
    <row r="57" spans="1:22" x14ac:dyDescent="0.2">
      <c r="A57" t="s">
        <v>18</v>
      </c>
      <c r="B57" t="s">
        <v>87</v>
      </c>
      <c r="C57" t="s">
        <v>88</v>
      </c>
      <c r="D57">
        <v>2</v>
      </c>
      <c r="E57" t="s">
        <v>89</v>
      </c>
      <c r="F57">
        <v>721</v>
      </c>
      <c r="G57" s="1">
        <v>54</v>
      </c>
      <c r="H57">
        <v>13400.7</v>
      </c>
      <c r="I57" s="1">
        <v>321744.09999999998</v>
      </c>
      <c r="J57">
        <v>40.6</v>
      </c>
      <c r="K57">
        <f>I57+I58</f>
        <v>791787.2</v>
      </c>
      <c r="M57">
        <v>184.5</v>
      </c>
      <c r="N57">
        <v>321744.09999999998</v>
      </c>
      <c r="O57">
        <v>470043.1</v>
      </c>
      <c r="P57" s="1">
        <f>SUM(N57:O57)</f>
        <v>791787.2</v>
      </c>
      <c r="Q57" s="1">
        <f>P57/I30</f>
        <v>54.497769946588846</v>
      </c>
      <c r="R57" s="1">
        <f>Q57/Q$57</f>
        <v>1</v>
      </c>
      <c r="S57" s="1"/>
      <c r="T57" s="1"/>
      <c r="U57" s="1"/>
      <c r="V57" s="1"/>
    </row>
    <row r="58" spans="1:22" x14ac:dyDescent="0.2">
      <c r="A58" t="s">
        <v>18</v>
      </c>
      <c r="B58" t="s">
        <v>87</v>
      </c>
      <c r="C58" t="s">
        <v>88</v>
      </c>
      <c r="D58">
        <v>3</v>
      </c>
      <c r="E58" t="s">
        <v>90</v>
      </c>
      <c r="F58">
        <v>748</v>
      </c>
      <c r="G58" s="1">
        <v>60</v>
      </c>
      <c r="H58">
        <v>20424</v>
      </c>
      <c r="I58" s="1">
        <v>470043.1</v>
      </c>
      <c r="J58">
        <v>59.4</v>
      </c>
      <c r="M58">
        <v>208.9</v>
      </c>
      <c r="N58" s="1">
        <v>261199.4</v>
      </c>
      <c r="O58" s="1">
        <v>316749.40000000002</v>
      </c>
      <c r="P58" s="1">
        <f t="shared" ref="P58:P65" si="10">SUM(N58:O58)</f>
        <v>577948.80000000005</v>
      </c>
      <c r="Q58" s="1">
        <f t="shared" ref="Q58:Q65" si="11">P58/I31</f>
        <v>51.585069351470047</v>
      </c>
      <c r="R58" s="1">
        <f t="shared" ref="R58:R65" si="12">Q58/Q$57</f>
        <v>0.94655376544813807</v>
      </c>
      <c r="S58" s="1"/>
      <c r="T58" s="1"/>
      <c r="U58" s="1"/>
      <c r="V58" s="1"/>
    </row>
    <row r="59" spans="1:22" x14ac:dyDescent="0.2">
      <c r="A59" t="s">
        <v>18</v>
      </c>
      <c r="B59" t="s">
        <v>87</v>
      </c>
      <c r="C59" t="s">
        <v>91</v>
      </c>
      <c r="D59">
        <v>2</v>
      </c>
      <c r="E59" t="s">
        <v>89</v>
      </c>
      <c r="F59">
        <v>720</v>
      </c>
      <c r="G59" s="1">
        <v>54</v>
      </c>
      <c r="H59">
        <v>9049.5</v>
      </c>
      <c r="I59" s="1">
        <v>261199.4</v>
      </c>
      <c r="J59">
        <v>45.2</v>
      </c>
      <c r="K59">
        <f>I59+I60</f>
        <v>577948.80000000005</v>
      </c>
      <c r="M59">
        <v>55.8</v>
      </c>
      <c r="N59" s="1">
        <v>465386.1</v>
      </c>
      <c r="O59" s="1">
        <v>622994.5</v>
      </c>
      <c r="P59" s="1">
        <f t="shared" si="10"/>
        <v>1088380.6000000001</v>
      </c>
      <c r="Q59" s="1">
        <f t="shared" si="11"/>
        <v>43.711644195974962</v>
      </c>
      <c r="R59" s="1">
        <f t="shared" si="12"/>
        <v>0.80208133725132336</v>
      </c>
    </row>
    <row r="60" spans="1:22" x14ac:dyDescent="0.2">
      <c r="A60" t="s">
        <v>18</v>
      </c>
      <c r="B60" t="s">
        <v>87</v>
      </c>
      <c r="C60" t="s">
        <v>91</v>
      </c>
      <c r="D60">
        <v>3</v>
      </c>
      <c r="E60" t="s">
        <v>90</v>
      </c>
      <c r="F60">
        <v>749</v>
      </c>
      <c r="G60" s="1">
        <v>60</v>
      </c>
      <c r="H60">
        <v>15111.5</v>
      </c>
      <c r="I60" s="1">
        <v>316749.40000000002</v>
      </c>
      <c r="J60">
        <v>54.8</v>
      </c>
      <c r="M60">
        <v>58.4</v>
      </c>
      <c r="N60" s="1">
        <v>336920.4</v>
      </c>
      <c r="O60" s="1">
        <v>457689.59999999998</v>
      </c>
      <c r="P60" s="1">
        <f t="shared" si="10"/>
        <v>794610</v>
      </c>
      <c r="Q60" s="1">
        <f t="shared" si="11"/>
        <v>33.835220377522383</v>
      </c>
      <c r="R60" s="1">
        <f t="shared" si="12"/>
        <v>0.62085513610342169</v>
      </c>
    </row>
    <row r="61" spans="1:22" x14ac:dyDescent="0.2">
      <c r="A61" t="s">
        <v>22</v>
      </c>
      <c r="B61" t="s">
        <v>87</v>
      </c>
      <c r="C61" t="s">
        <v>92</v>
      </c>
      <c r="D61">
        <v>2</v>
      </c>
      <c r="E61" t="s">
        <v>89</v>
      </c>
      <c r="F61">
        <v>715</v>
      </c>
      <c r="G61" s="1">
        <v>54</v>
      </c>
      <c r="H61">
        <v>17870.3</v>
      </c>
      <c r="I61" s="1">
        <v>465386.1</v>
      </c>
      <c r="J61">
        <v>42.8</v>
      </c>
      <c r="K61">
        <f>I61+I62</f>
        <v>1088380.6000000001</v>
      </c>
      <c r="M61">
        <v>59.5</v>
      </c>
      <c r="N61" s="1">
        <v>63234.400000000001</v>
      </c>
      <c r="O61" s="1">
        <v>52824.7</v>
      </c>
      <c r="P61" s="1">
        <f t="shared" si="10"/>
        <v>116059.1</v>
      </c>
      <c r="Q61" s="1">
        <f t="shared" si="11"/>
        <v>8.7357063286565904</v>
      </c>
      <c r="R61" s="1">
        <f t="shared" si="12"/>
        <v>0.16029474852307016</v>
      </c>
    </row>
    <row r="62" spans="1:22" x14ac:dyDescent="0.2">
      <c r="A62" t="s">
        <v>22</v>
      </c>
      <c r="B62" t="s">
        <v>87</v>
      </c>
      <c r="C62" t="s">
        <v>92</v>
      </c>
      <c r="D62">
        <v>3</v>
      </c>
      <c r="E62" t="s">
        <v>90</v>
      </c>
      <c r="F62">
        <v>744</v>
      </c>
      <c r="G62" s="1">
        <v>60</v>
      </c>
      <c r="H62">
        <v>26712.400000000001</v>
      </c>
      <c r="I62" s="1">
        <v>622994.5</v>
      </c>
      <c r="J62">
        <v>57.2</v>
      </c>
      <c r="M62">
        <v>59.6</v>
      </c>
      <c r="N62" s="1">
        <v>190751</v>
      </c>
      <c r="O62" s="1">
        <v>193046.8</v>
      </c>
      <c r="P62" s="1">
        <f t="shared" si="10"/>
        <v>383797.8</v>
      </c>
      <c r="Q62" s="1">
        <f t="shared" si="11"/>
        <v>26.264314407133423</v>
      </c>
      <c r="R62" s="1">
        <f t="shared" si="12"/>
        <v>0.48193374578214959</v>
      </c>
    </row>
    <row r="63" spans="1:22" x14ac:dyDescent="0.2">
      <c r="A63" t="s">
        <v>22</v>
      </c>
      <c r="B63" t="s">
        <v>87</v>
      </c>
      <c r="C63" t="s">
        <v>93</v>
      </c>
      <c r="D63">
        <v>2</v>
      </c>
      <c r="E63" t="s">
        <v>89</v>
      </c>
      <c r="F63">
        <v>714</v>
      </c>
      <c r="G63" s="1">
        <v>54</v>
      </c>
      <c r="H63">
        <v>12642.3</v>
      </c>
      <c r="I63" s="1">
        <v>336920.4</v>
      </c>
      <c r="J63">
        <v>42.4</v>
      </c>
      <c r="K63">
        <f>I63+I64</f>
        <v>794610</v>
      </c>
      <c r="M63">
        <v>38.200000000000003</v>
      </c>
      <c r="N63" s="1">
        <v>22873</v>
      </c>
      <c r="O63" s="1">
        <v>15087.2</v>
      </c>
      <c r="P63" s="1">
        <f t="shared" si="10"/>
        <v>37960.199999999997</v>
      </c>
      <c r="Q63" s="1">
        <f t="shared" si="11"/>
        <v>3.7602599280839213</v>
      </c>
      <c r="R63" s="1">
        <f t="shared" si="12"/>
        <v>6.8998418316367924E-2</v>
      </c>
    </row>
    <row r="64" spans="1:22" x14ac:dyDescent="0.2">
      <c r="A64" t="s">
        <v>22</v>
      </c>
      <c r="B64" t="s">
        <v>87</v>
      </c>
      <c r="C64" t="s">
        <v>93</v>
      </c>
      <c r="D64">
        <v>3</v>
      </c>
      <c r="E64" t="s">
        <v>90</v>
      </c>
      <c r="F64">
        <v>742</v>
      </c>
      <c r="G64" s="1">
        <v>60</v>
      </c>
      <c r="H64">
        <v>20695.900000000001</v>
      </c>
      <c r="I64" s="1">
        <v>457689.59999999998</v>
      </c>
      <c r="J64">
        <v>57.6</v>
      </c>
      <c r="M64">
        <v>37.700000000000003</v>
      </c>
      <c r="N64" s="1">
        <v>80440.399999999994</v>
      </c>
      <c r="O64" s="1">
        <v>62080.800000000003</v>
      </c>
      <c r="P64" s="1">
        <f t="shared" si="10"/>
        <v>142521.20000000001</v>
      </c>
      <c r="Q64" s="1">
        <f t="shared" si="11"/>
        <v>13.715171053264688</v>
      </c>
      <c r="R64" s="1">
        <f t="shared" si="12"/>
        <v>0.25166481246308603</v>
      </c>
    </row>
    <row r="65" spans="1:18" x14ac:dyDescent="0.2">
      <c r="A65" t="s">
        <v>25</v>
      </c>
      <c r="B65" t="s">
        <v>87</v>
      </c>
      <c r="C65" t="s">
        <v>94</v>
      </c>
      <c r="D65">
        <v>1</v>
      </c>
      <c r="E65" t="s">
        <v>89</v>
      </c>
      <c r="F65">
        <v>714</v>
      </c>
      <c r="G65" s="1">
        <v>54</v>
      </c>
      <c r="H65">
        <v>3424.2</v>
      </c>
      <c r="I65" s="1">
        <v>63234.400000000001</v>
      </c>
      <c r="J65">
        <v>54.5</v>
      </c>
      <c r="K65">
        <f>I65+I66</f>
        <v>116059.1</v>
      </c>
      <c r="M65">
        <v>35.799999999999997</v>
      </c>
      <c r="N65" s="1">
        <v>421033.3</v>
      </c>
      <c r="O65" s="1">
        <v>672352</v>
      </c>
      <c r="P65" s="1">
        <f t="shared" si="10"/>
        <v>1093385.3</v>
      </c>
      <c r="Q65" s="1">
        <f t="shared" si="11"/>
        <v>49.577641244218739</v>
      </c>
      <c r="R65" s="1">
        <f t="shared" si="12"/>
        <v>0.90971871496407775</v>
      </c>
    </row>
    <row r="66" spans="1:18" x14ac:dyDescent="0.2">
      <c r="A66" t="s">
        <v>25</v>
      </c>
      <c r="B66" t="s">
        <v>87</v>
      </c>
      <c r="C66" t="s">
        <v>94</v>
      </c>
      <c r="D66">
        <v>2</v>
      </c>
      <c r="E66" t="s">
        <v>90</v>
      </c>
      <c r="F66">
        <v>743</v>
      </c>
      <c r="G66" s="1">
        <v>60</v>
      </c>
      <c r="H66">
        <v>2463.1999999999998</v>
      </c>
      <c r="I66" s="1">
        <v>52824.7</v>
      </c>
      <c r="J66">
        <v>45.5</v>
      </c>
      <c r="M66">
        <v>37.200000000000003</v>
      </c>
      <c r="N66" t="s">
        <v>95</v>
      </c>
      <c r="O66" t="s">
        <v>96</v>
      </c>
      <c r="P66" t="s">
        <v>97</v>
      </c>
      <c r="Q66" t="s">
        <v>11</v>
      </c>
    </row>
    <row r="67" spans="1:18" x14ac:dyDescent="0.2">
      <c r="A67" t="s">
        <v>27</v>
      </c>
      <c r="B67" t="s">
        <v>87</v>
      </c>
      <c r="C67" t="s">
        <v>98</v>
      </c>
      <c r="D67">
        <v>2</v>
      </c>
      <c r="E67" t="s">
        <v>89</v>
      </c>
      <c r="F67">
        <v>713</v>
      </c>
      <c r="G67" s="1">
        <v>54</v>
      </c>
      <c r="H67">
        <v>8811.4</v>
      </c>
      <c r="I67" s="1">
        <v>190751</v>
      </c>
      <c r="J67">
        <v>49.7</v>
      </c>
      <c r="M67">
        <v>58.5</v>
      </c>
    </row>
    <row r="68" spans="1:18" x14ac:dyDescent="0.2">
      <c r="A68" t="s">
        <v>27</v>
      </c>
      <c r="B68" t="s">
        <v>87</v>
      </c>
      <c r="C68" t="s">
        <v>98</v>
      </c>
      <c r="D68">
        <v>3</v>
      </c>
      <c r="E68" t="s">
        <v>90</v>
      </c>
      <c r="F68">
        <v>740</v>
      </c>
      <c r="G68" s="1">
        <v>60</v>
      </c>
      <c r="H68">
        <v>7983.1</v>
      </c>
      <c r="I68" s="1">
        <v>193046.8</v>
      </c>
      <c r="J68">
        <v>50.3</v>
      </c>
      <c r="M68">
        <v>59.4</v>
      </c>
    </row>
    <row r="69" spans="1:18" x14ac:dyDescent="0.2">
      <c r="A69" t="s">
        <v>29</v>
      </c>
      <c r="B69" t="s">
        <v>87</v>
      </c>
      <c r="C69" t="s">
        <v>99</v>
      </c>
      <c r="D69">
        <v>1</v>
      </c>
      <c r="E69" t="s">
        <v>89</v>
      </c>
      <c r="F69">
        <v>716</v>
      </c>
      <c r="G69" s="1">
        <v>53</v>
      </c>
      <c r="H69">
        <v>1402.3</v>
      </c>
      <c r="I69" s="1">
        <v>22873</v>
      </c>
      <c r="J69">
        <v>60.3</v>
      </c>
      <c r="M69">
        <v>41.7</v>
      </c>
    </row>
    <row r="70" spans="1:18" x14ac:dyDescent="0.2">
      <c r="A70" t="s">
        <v>29</v>
      </c>
      <c r="B70" t="s">
        <v>87</v>
      </c>
      <c r="C70" t="s">
        <v>99</v>
      </c>
      <c r="D70">
        <v>2</v>
      </c>
      <c r="E70" t="s">
        <v>90</v>
      </c>
      <c r="F70">
        <v>742</v>
      </c>
      <c r="G70" s="1">
        <v>59</v>
      </c>
      <c r="H70">
        <v>605.9</v>
      </c>
      <c r="I70" s="1">
        <v>15087.2</v>
      </c>
      <c r="J70">
        <v>39.700000000000003</v>
      </c>
      <c r="M70">
        <v>42.1</v>
      </c>
    </row>
    <row r="71" spans="1:18" x14ac:dyDescent="0.2">
      <c r="A71" t="s">
        <v>31</v>
      </c>
      <c r="B71" t="s">
        <v>87</v>
      </c>
      <c r="C71" t="s">
        <v>100</v>
      </c>
      <c r="D71">
        <v>2</v>
      </c>
      <c r="E71" t="s">
        <v>89</v>
      </c>
      <c r="F71">
        <v>717</v>
      </c>
      <c r="G71" s="1">
        <v>54</v>
      </c>
      <c r="H71">
        <v>4114.6000000000004</v>
      </c>
      <c r="I71" s="1">
        <v>80440.399999999994</v>
      </c>
      <c r="J71">
        <v>56.4</v>
      </c>
      <c r="M71">
        <v>47.1</v>
      </c>
    </row>
    <row r="72" spans="1:18" x14ac:dyDescent="0.2">
      <c r="A72" t="s">
        <v>31</v>
      </c>
      <c r="B72" t="s">
        <v>87</v>
      </c>
      <c r="C72" t="s">
        <v>100</v>
      </c>
      <c r="D72">
        <v>3</v>
      </c>
      <c r="E72" t="s">
        <v>90</v>
      </c>
      <c r="F72">
        <v>745</v>
      </c>
      <c r="G72" s="1">
        <v>60</v>
      </c>
      <c r="H72">
        <v>2793.8</v>
      </c>
      <c r="I72" s="1">
        <v>62080.800000000003</v>
      </c>
      <c r="J72">
        <v>43.6</v>
      </c>
      <c r="M72">
        <v>51.7</v>
      </c>
    </row>
    <row r="73" spans="1:18" x14ac:dyDescent="0.2">
      <c r="A73" t="s">
        <v>33</v>
      </c>
      <c r="B73" t="s">
        <v>87</v>
      </c>
      <c r="C73" t="s">
        <v>101</v>
      </c>
      <c r="D73">
        <v>3</v>
      </c>
      <c r="E73" t="s">
        <v>89</v>
      </c>
      <c r="F73">
        <v>724</v>
      </c>
      <c r="G73" s="1">
        <v>54</v>
      </c>
      <c r="H73">
        <v>18325.8</v>
      </c>
      <c r="I73" s="1">
        <v>421033.3</v>
      </c>
      <c r="J73">
        <v>38.5</v>
      </c>
      <c r="M73">
        <v>39.4</v>
      </c>
    </row>
    <row r="74" spans="1:18" x14ac:dyDescent="0.2">
      <c r="A74" t="s">
        <v>33</v>
      </c>
      <c r="B74" t="s">
        <v>87</v>
      </c>
      <c r="C74" t="s">
        <v>101</v>
      </c>
      <c r="D74">
        <v>4</v>
      </c>
      <c r="E74" t="s">
        <v>90</v>
      </c>
      <c r="F74">
        <v>751</v>
      </c>
      <c r="G74" s="1">
        <v>60</v>
      </c>
      <c r="H74">
        <v>27003.7</v>
      </c>
      <c r="I74" s="1">
        <v>672352</v>
      </c>
      <c r="J74">
        <v>61.5</v>
      </c>
      <c r="M74">
        <v>40.1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2D74-CA49-408C-8980-3D46C8150972}">
  <dimension ref="A1:AI115"/>
  <sheetViews>
    <sheetView topLeftCell="AA11" workbookViewId="0">
      <selection activeCell="P14" sqref="P14"/>
    </sheetView>
  </sheetViews>
  <sheetFormatPr baseColWidth="10" defaultColWidth="8.83203125" defaultRowHeight="15" x14ac:dyDescent="0.2"/>
  <cols>
    <col min="1" max="1" width="25.83203125" customWidth="1"/>
    <col min="2" max="2" width="28.33203125" customWidth="1"/>
    <col min="4" max="4" width="9.83203125" bestFit="1" customWidth="1"/>
    <col min="9" max="9" width="8.6640625" style="1"/>
    <col min="14" max="14" width="20.16406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102</v>
      </c>
      <c r="L1" t="s">
        <v>103</v>
      </c>
      <c r="M1" t="s">
        <v>10</v>
      </c>
      <c r="Q1" t="s">
        <v>104</v>
      </c>
      <c r="T1" t="s">
        <v>105</v>
      </c>
      <c r="W1" t="s">
        <v>106</v>
      </c>
    </row>
    <row r="2" spans="1:35" x14ac:dyDescent="0.2">
      <c r="A2" t="s">
        <v>107</v>
      </c>
      <c r="B2" t="s">
        <v>108</v>
      </c>
      <c r="C2" t="s">
        <v>21</v>
      </c>
      <c r="D2">
        <v>2</v>
      </c>
      <c r="E2" t="s">
        <v>12</v>
      </c>
      <c r="F2">
        <v>816</v>
      </c>
      <c r="G2">
        <v>128</v>
      </c>
      <c r="H2">
        <v>26706.6</v>
      </c>
      <c r="I2" s="1">
        <v>708174.7</v>
      </c>
      <c r="J2">
        <v>100</v>
      </c>
      <c r="K2">
        <v>24.9</v>
      </c>
      <c r="L2">
        <v>800.8</v>
      </c>
      <c r="M2">
        <v>305</v>
      </c>
      <c r="P2" t="s">
        <v>18</v>
      </c>
      <c r="Q2">
        <v>10</v>
      </c>
      <c r="R2">
        <v>1</v>
      </c>
      <c r="S2">
        <v>0.1</v>
      </c>
      <c r="T2">
        <v>10</v>
      </c>
      <c r="U2">
        <v>1</v>
      </c>
      <c r="V2">
        <v>0.1</v>
      </c>
      <c r="W2">
        <v>1</v>
      </c>
      <c r="X2">
        <v>0.1</v>
      </c>
    </row>
    <row r="3" spans="1:35" x14ac:dyDescent="0.2">
      <c r="A3" t="s">
        <v>109</v>
      </c>
      <c r="B3" t="s">
        <v>108</v>
      </c>
      <c r="C3" t="s">
        <v>24</v>
      </c>
      <c r="D3">
        <v>1</v>
      </c>
      <c r="E3" t="s">
        <v>12</v>
      </c>
      <c r="F3">
        <v>820</v>
      </c>
      <c r="G3">
        <v>127</v>
      </c>
      <c r="H3">
        <v>4686</v>
      </c>
      <c r="I3" s="1">
        <v>113065.4</v>
      </c>
      <c r="J3">
        <v>100</v>
      </c>
      <c r="K3">
        <v>22.7</v>
      </c>
      <c r="L3">
        <v>131.4</v>
      </c>
      <c r="M3">
        <v>133.6</v>
      </c>
      <c r="O3" t="s">
        <v>12</v>
      </c>
      <c r="P3" s="1">
        <v>708174.7</v>
      </c>
      <c r="Q3" s="1">
        <v>113065.4</v>
      </c>
      <c r="R3" s="1">
        <v>268995.40000000002</v>
      </c>
      <c r="S3" s="1">
        <v>398318.9</v>
      </c>
      <c r="T3" s="1">
        <v>55347.7</v>
      </c>
      <c r="U3" s="1">
        <v>103638.3</v>
      </c>
      <c r="V3" s="1">
        <v>520548.5</v>
      </c>
      <c r="W3" s="1">
        <v>414552.2</v>
      </c>
      <c r="X3" s="1">
        <v>625438</v>
      </c>
    </row>
    <row r="4" spans="1:35" x14ac:dyDescent="0.2">
      <c r="A4" t="s">
        <v>109</v>
      </c>
      <c r="B4" t="s">
        <v>108</v>
      </c>
      <c r="C4" t="s">
        <v>26</v>
      </c>
      <c r="D4">
        <v>1</v>
      </c>
      <c r="E4" t="s">
        <v>12</v>
      </c>
      <c r="F4">
        <v>816</v>
      </c>
      <c r="G4">
        <v>128</v>
      </c>
      <c r="H4">
        <v>10955.7</v>
      </c>
      <c r="I4" s="1">
        <v>268995.40000000002</v>
      </c>
      <c r="J4">
        <v>100</v>
      </c>
      <c r="K4">
        <v>23.1</v>
      </c>
      <c r="L4">
        <v>486.6</v>
      </c>
      <c r="M4">
        <v>127.2</v>
      </c>
      <c r="O4" t="s">
        <v>13</v>
      </c>
      <c r="P4" s="1">
        <v>432645.2</v>
      </c>
      <c r="Q4" s="1">
        <v>165943.1</v>
      </c>
      <c r="R4" s="1">
        <v>405724.7</v>
      </c>
      <c r="S4" s="1">
        <v>512260.8</v>
      </c>
      <c r="T4" s="1">
        <v>126702.1</v>
      </c>
      <c r="U4" s="1">
        <v>202653.5</v>
      </c>
      <c r="V4" s="1">
        <v>668802.1</v>
      </c>
      <c r="W4" s="1">
        <v>275940.5</v>
      </c>
      <c r="X4" s="1">
        <v>596765.19999999995</v>
      </c>
    </row>
    <row r="5" spans="1:35" x14ac:dyDescent="0.2">
      <c r="A5" t="s">
        <v>109</v>
      </c>
      <c r="B5" t="s">
        <v>108</v>
      </c>
      <c r="C5" t="s">
        <v>28</v>
      </c>
      <c r="D5">
        <v>2</v>
      </c>
      <c r="E5" t="s">
        <v>12</v>
      </c>
      <c r="F5">
        <v>818</v>
      </c>
      <c r="G5">
        <v>124</v>
      </c>
      <c r="H5">
        <v>16038.2</v>
      </c>
      <c r="I5" s="1">
        <v>398318.9</v>
      </c>
      <c r="J5">
        <v>100</v>
      </c>
      <c r="K5">
        <v>23.3</v>
      </c>
      <c r="L5">
        <v>454.9</v>
      </c>
      <c r="M5">
        <v>172.8</v>
      </c>
      <c r="O5" t="s">
        <v>110</v>
      </c>
      <c r="P5" s="1">
        <v>581</v>
      </c>
      <c r="Q5" s="1">
        <v>810.5</v>
      </c>
      <c r="R5" s="1">
        <v>625.4</v>
      </c>
      <c r="S5" s="1">
        <v>1544.4</v>
      </c>
      <c r="T5" s="1">
        <v>1307.9000000000001</v>
      </c>
      <c r="U5" s="1">
        <v>1579.6</v>
      </c>
      <c r="V5" s="1">
        <v>4645.1000000000004</v>
      </c>
      <c r="W5" s="1">
        <v>7438</v>
      </c>
      <c r="X5" s="1">
        <v>404.4</v>
      </c>
    </row>
    <row r="6" spans="1:35" x14ac:dyDescent="0.2">
      <c r="A6" t="s">
        <v>105</v>
      </c>
      <c r="B6" t="s">
        <v>108</v>
      </c>
      <c r="C6" t="s">
        <v>30</v>
      </c>
      <c r="D6">
        <v>1</v>
      </c>
      <c r="E6" t="s">
        <v>12</v>
      </c>
      <c r="F6">
        <v>819</v>
      </c>
      <c r="G6">
        <v>126</v>
      </c>
      <c r="H6">
        <v>2184.1999999999998</v>
      </c>
      <c r="I6" s="1">
        <v>55347.7</v>
      </c>
      <c r="J6">
        <v>100</v>
      </c>
      <c r="K6">
        <v>23.8</v>
      </c>
      <c r="L6">
        <v>109.1</v>
      </c>
      <c r="M6">
        <v>74.5</v>
      </c>
      <c r="O6" t="s">
        <v>15</v>
      </c>
      <c r="P6" s="1">
        <v>236738.5</v>
      </c>
      <c r="Q6" s="1">
        <v>90972</v>
      </c>
      <c r="R6" s="1">
        <v>172207</v>
      </c>
      <c r="S6" s="1">
        <v>210490.8</v>
      </c>
      <c r="T6" s="1">
        <v>57112.2</v>
      </c>
      <c r="U6" s="1">
        <v>105554</v>
      </c>
      <c r="V6" s="1">
        <v>265029.8</v>
      </c>
      <c r="W6" s="1">
        <v>127571.1</v>
      </c>
      <c r="X6" s="1">
        <v>198785.5</v>
      </c>
    </row>
    <row r="7" spans="1:35" x14ac:dyDescent="0.2">
      <c r="A7" t="s">
        <v>105</v>
      </c>
      <c r="B7" t="s">
        <v>108</v>
      </c>
      <c r="C7" t="s">
        <v>32</v>
      </c>
      <c r="D7">
        <v>1</v>
      </c>
      <c r="E7" t="s">
        <v>12</v>
      </c>
      <c r="F7">
        <v>816</v>
      </c>
      <c r="G7">
        <v>128</v>
      </c>
      <c r="H7">
        <v>4132.5</v>
      </c>
      <c r="I7" s="1">
        <v>103638.3</v>
      </c>
      <c r="J7">
        <v>100</v>
      </c>
      <c r="K7">
        <v>23.6</v>
      </c>
      <c r="L7">
        <v>199.6</v>
      </c>
      <c r="M7">
        <v>119.6</v>
      </c>
      <c r="O7" t="s">
        <v>16</v>
      </c>
      <c r="P7" s="1">
        <v>1063048.6000000001</v>
      </c>
      <c r="Q7" s="1">
        <v>895633.8</v>
      </c>
      <c r="R7" s="1">
        <v>871174.4</v>
      </c>
      <c r="S7" s="1">
        <v>1013828.6</v>
      </c>
      <c r="T7" s="1">
        <v>696765.5</v>
      </c>
      <c r="U7" s="1">
        <v>687479.9</v>
      </c>
      <c r="V7" s="1">
        <v>751832.8</v>
      </c>
      <c r="W7" s="1">
        <v>701499</v>
      </c>
      <c r="X7" s="1">
        <v>948011.4</v>
      </c>
    </row>
    <row r="8" spans="1:35" x14ac:dyDescent="0.2">
      <c r="A8" t="s">
        <v>105</v>
      </c>
      <c r="B8" t="s">
        <v>108</v>
      </c>
      <c r="C8" t="s">
        <v>34</v>
      </c>
      <c r="D8">
        <v>1</v>
      </c>
      <c r="E8" t="s">
        <v>12</v>
      </c>
      <c r="F8">
        <v>819</v>
      </c>
      <c r="G8">
        <v>125</v>
      </c>
      <c r="H8">
        <v>20793.099999999999</v>
      </c>
      <c r="I8" s="1">
        <v>520548.5</v>
      </c>
      <c r="J8">
        <v>100</v>
      </c>
      <c r="K8">
        <v>23.5</v>
      </c>
      <c r="L8">
        <v>641.9</v>
      </c>
      <c r="M8">
        <v>247.5</v>
      </c>
      <c r="O8" t="s">
        <v>111</v>
      </c>
      <c r="P8">
        <v>636158.1</v>
      </c>
      <c r="Q8">
        <v>1023047.3</v>
      </c>
      <c r="R8">
        <v>811692.5</v>
      </c>
      <c r="S8">
        <v>917377.4</v>
      </c>
      <c r="T8">
        <v>1005051.6</v>
      </c>
      <c r="U8">
        <v>939214.5</v>
      </c>
      <c r="V8">
        <v>609026.30000000005</v>
      </c>
      <c r="W8">
        <v>690092.7</v>
      </c>
      <c r="X8">
        <v>885192.29999999993</v>
      </c>
      <c r="Z8">
        <v>630405.19999999995</v>
      </c>
      <c r="AA8">
        <v>636158.1</v>
      </c>
      <c r="AB8">
        <v>1023047.3</v>
      </c>
      <c r="AC8">
        <v>811692.5</v>
      </c>
      <c r="AD8">
        <v>917377.4</v>
      </c>
      <c r="AE8">
        <v>1005051.6</v>
      </c>
      <c r="AF8">
        <v>939214.5</v>
      </c>
      <c r="AG8">
        <v>609026.30000000005</v>
      </c>
      <c r="AH8">
        <v>690092.7</v>
      </c>
      <c r="AI8">
        <v>885192.29999999993</v>
      </c>
    </row>
    <row r="9" spans="1:35" x14ac:dyDescent="0.2">
      <c r="A9" t="s">
        <v>112</v>
      </c>
      <c r="B9" t="s">
        <v>108</v>
      </c>
      <c r="C9" t="s">
        <v>113</v>
      </c>
      <c r="D9">
        <v>2</v>
      </c>
      <c r="E9" t="s">
        <v>12</v>
      </c>
      <c r="F9">
        <v>808</v>
      </c>
      <c r="G9">
        <v>128</v>
      </c>
      <c r="H9">
        <v>16082.9</v>
      </c>
      <c r="I9" s="1">
        <v>414552.2</v>
      </c>
      <c r="J9">
        <v>100</v>
      </c>
      <c r="K9">
        <v>24.2</v>
      </c>
      <c r="L9">
        <v>595.29999999999995</v>
      </c>
      <c r="M9">
        <v>179.2</v>
      </c>
      <c r="O9" t="s">
        <v>58</v>
      </c>
      <c r="P9" s="1">
        <v>103636.2</v>
      </c>
      <c r="Q9" s="1">
        <v>35810.400000000001</v>
      </c>
      <c r="R9" s="1">
        <v>58217.7</v>
      </c>
      <c r="S9" s="1">
        <v>71379.3</v>
      </c>
      <c r="T9" s="1">
        <v>14093.4</v>
      </c>
      <c r="U9" s="1">
        <v>27274</v>
      </c>
      <c r="V9" s="1">
        <v>80090.100000000006</v>
      </c>
      <c r="W9" s="1">
        <v>30428.6</v>
      </c>
      <c r="X9" s="1">
        <v>76874.8</v>
      </c>
    </row>
    <row r="10" spans="1:35" x14ac:dyDescent="0.2">
      <c r="A10" t="s">
        <v>112</v>
      </c>
      <c r="B10" t="s">
        <v>108</v>
      </c>
      <c r="C10" t="s">
        <v>114</v>
      </c>
      <c r="D10">
        <v>2</v>
      </c>
      <c r="E10" t="s">
        <v>12</v>
      </c>
      <c r="F10">
        <v>807</v>
      </c>
      <c r="G10">
        <v>128</v>
      </c>
      <c r="H10">
        <v>24042.3</v>
      </c>
      <c r="I10" s="1">
        <v>625438</v>
      </c>
      <c r="J10">
        <v>100</v>
      </c>
      <c r="K10">
        <v>24.4</v>
      </c>
      <c r="L10">
        <v>578.6</v>
      </c>
      <c r="M10">
        <v>269.3</v>
      </c>
    </row>
    <row r="11" spans="1:35" x14ac:dyDescent="0.2">
      <c r="A11" t="s">
        <v>107</v>
      </c>
      <c r="B11" t="s">
        <v>115</v>
      </c>
      <c r="C11" t="s">
        <v>37</v>
      </c>
      <c r="D11">
        <v>2</v>
      </c>
      <c r="E11" t="s">
        <v>13</v>
      </c>
      <c r="F11">
        <v>782</v>
      </c>
      <c r="G11">
        <v>87</v>
      </c>
      <c r="H11">
        <v>19287.3</v>
      </c>
      <c r="I11" s="1">
        <v>432645.2</v>
      </c>
      <c r="J11">
        <v>100</v>
      </c>
      <c r="K11">
        <v>21.1</v>
      </c>
      <c r="L11">
        <v>166.7</v>
      </c>
      <c r="M11">
        <v>2429.1</v>
      </c>
      <c r="O11" t="s">
        <v>116</v>
      </c>
    </row>
    <row r="12" spans="1:35" x14ac:dyDescent="0.2">
      <c r="A12" t="s">
        <v>109</v>
      </c>
      <c r="B12" t="s">
        <v>115</v>
      </c>
      <c r="C12" t="s">
        <v>39</v>
      </c>
      <c r="D12">
        <v>1</v>
      </c>
      <c r="E12" t="s">
        <v>13</v>
      </c>
      <c r="F12">
        <v>782</v>
      </c>
      <c r="G12">
        <v>85</v>
      </c>
      <c r="H12">
        <v>7530.6</v>
      </c>
      <c r="I12" s="1">
        <v>165943.1</v>
      </c>
      <c r="J12">
        <v>100</v>
      </c>
      <c r="K12">
        <v>20.7</v>
      </c>
      <c r="L12">
        <v>66.7</v>
      </c>
      <c r="M12">
        <v>1169.9000000000001</v>
      </c>
      <c r="O12" t="s">
        <v>12</v>
      </c>
      <c r="P12">
        <f>P3/103636.2</f>
        <v>6.833275438505078</v>
      </c>
      <c r="Q12">
        <f>Q3/35810.4</f>
        <v>3.1573341822487317</v>
      </c>
      <c r="R12">
        <f>R3/58217.7</f>
        <v>4.6205088830372896</v>
      </c>
      <c r="S12">
        <f>S3/71379.3</f>
        <v>5.5803139005285844</v>
      </c>
      <c r="T12">
        <f>T3/14093.4</f>
        <v>3.927207061461393</v>
      </c>
      <c r="U12">
        <f>U3/27274</f>
        <v>3.7998936716286575</v>
      </c>
      <c r="V12">
        <f>V3/80090.1</f>
        <v>6.4995361474139743</v>
      </c>
      <c r="W12">
        <f>W3/30428.6</f>
        <v>13.623768428386454</v>
      </c>
      <c r="X12">
        <f>X3/76974.8</f>
        <v>8.125230594947956</v>
      </c>
    </row>
    <row r="13" spans="1:35" x14ac:dyDescent="0.2">
      <c r="A13" t="s">
        <v>109</v>
      </c>
      <c r="B13" t="s">
        <v>115</v>
      </c>
      <c r="C13" t="s">
        <v>40</v>
      </c>
      <c r="D13">
        <v>1</v>
      </c>
      <c r="E13" t="s">
        <v>13</v>
      </c>
      <c r="F13">
        <v>777</v>
      </c>
      <c r="G13">
        <v>87</v>
      </c>
      <c r="H13">
        <v>16762.8</v>
      </c>
      <c r="I13" s="1">
        <v>405724.7</v>
      </c>
      <c r="J13">
        <v>100</v>
      </c>
      <c r="K13">
        <v>22.7</v>
      </c>
      <c r="L13">
        <v>121.5</v>
      </c>
      <c r="M13">
        <v>1579.1</v>
      </c>
      <c r="O13" t="s">
        <v>13</v>
      </c>
      <c r="P13">
        <f>P4/103636.2</f>
        <v>4.1746532582244429</v>
      </c>
      <c r="Q13">
        <f t="shared" ref="Q13:Q17" si="0">Q4/35810.4</f>
        <v>4.6339359515671426</v>
      </c>
      <c r="R13">
        <f t="shared" ref="R13:R17" si="1">R4/58217.7</f>
        <v>6.9690953095020935</v>
      </c>
      <c r="S13">
        <f t="shared" ref="S13:S17" si="2">S4/71379.3</f>
        <v>7.1766016197973359</v>
      </c>
      <c r="T13">
        <f t="shared" ref="T13:T17" si="3">T4/14093.4</f>
        <v>8.9901727049540927</v>
      </c>
      <c r="U13">
        <f t="shared" ref="U13:U17" si="4">U4/27274</f>
        <v>7.4302815868592802</v>
      </c>
      <c r="V13">
        <f t="shared" ref="V13:V17" si="5">V4/80090.1</f>
        <v>8.3506213626902692</v>
      </c>
      <c r="W13">
        <f t="shared" ref="W13:W17" si="6">W4/30428.6</f>
        <v>9.0684586211656146</v>
      </c>
      <c r="X13">
        <f t="shared" ref="X13:X17" si="7">X4/76974.8</f>
        <v>7.7527346612137986</v>
      </c>
    </row>
    <row r="14" spans="1:35" x14ac:dyDescent="0.2">
      <c r="A14" t="s">
        <v>109</v>
      </c>
      <c r="B14" t="s">
        <v>115</v>
      </c>
      <c r="C14" t="s">
        <v>41</v>
      </c>
      <c r="D14">
        <v>3</v>
      </c>
      <c r="E14" t="s">
        <v>13</v>
      </c>
      <c r="F14">
        <v>781</v>
      </c>
      <c r="G14">
        <v>88</v>
      </c>
      <c r="H14">
        <v>22869.599999999999</v>
      </c>
      <c r="I14" s="1">
        <v>512260.8</v>
      </c>
      <c r="J14">
        <v>100</v>
      </c>
      <c r="K14">
        <v>21</v>
      </c>
      <c r="L14">
        <v>209.1</v>
      </c>
      <c r="M14">
        <v>1903.3</v>
      </c>
      <c r="O14" t="s">
        <v>110</v>
      </c>
      <c r="P14">
        <f t="shared" ref="P14:P17" si="8">P5/103636.2</f>
        <v>5.606149202691724E-3</v>
      </c>
      <c r="Q14">
        <f t="shared" si="0"/>
        <v>2.2633089828653127E-2</v>
      </c>
      <c r="R14">
        <f t="shared" si="1"/>
        <v>1.0742437437411646E-2</v>
      </c>
      <c r="S14">
        <f t="shared" si="2"/>
        <v>2.1636524874858679E-2</v>
      </c>
      <c r="T14">
        <f t="shared" si="3"/>
        <v>9.2802304624859874E-2</v>
      </c>
      <c r="U14">
        <f t="shared" si="4"/>
        <v>5.7915963921683654E-2</v>
      </c>
      <c r="V14">
        <f t="shared" si="5"/>
        <v>5.7998429269035749E-2</v>
      </c>
      <c r="W14">
        <f t="shared" si="6"/>
        <v>0.24444108503184506</v>
      </c>
      <c r="X14">
        <f t="shared" si="7"/>
        <v>5.2536674340173664E-3</v>
      </c>
    </row>
    <row r="15" spans="1:35" x14ac:dyDescent="0.2">
      <c r="A15" t="s">
        <v>105</v>
      </c>
      <c r="B15" t="s">
        <v>115</v>
      </c>
      <c r="C15" t="s">
        <v>42</v>
      </c>
      <c r="D15">
        <v>1</v>
      </c>
      <c r="E15" t="s">
        <v>13</v>
      </c>
      <c r="F15">
        <v>774</v>
      </c>
      <c r="G15">
        <v>86</v>
      </c>
      <c r="H15">
        <v>5485.2</v>
      </c>
      <c r="I15" s="1">
        <v>126702.1</v>
      </c>
      <c r="J15">
        <v>100</v>
      </c>
      <c r="K15">
        <v>21.7</v>
      </c>
      <c r="L15">
        <v>48.5</v>
      </c>
      <c r="M15">
        <v>1111.5999999999999</v>
      </c>
      <c r="O15" t="s">
        <v>15</v>
      </c>
      <c r="P15">
        <f t="shared" si="8"/>
        <v>2.28432246647407</v>
      </c>
      <c r="Q15">
        <f t="shared" si="0"/>
        <v>2.5403793311440253</v>
      </c>
      <c r="R15">
        <f t="shared" si="1"/>
        <v>2.9579835685710703</v>
      </c>
      <c r="S15">
        <f t="shared" si="2"/>
        <v>2.9489053549138191</v>
      </c>
      <c r="T15">
        <f t="shared" si="3"/>
        <v>4.0524075098982504</v>
      </c>
      <c r="U15">
        <f t="shared" si="4"/>
        <v>3.8701327271394002</v>
      </c>
      <c r="V15">
        <f t="shared" si="5"/>
        <v>3.3091455747963852</v>
      </c>
      <c r="W15">
        <f t="shared" si="6"/>
        <v>4.1924735281938705</v>
      </c>
      <c r="X15">
        <f t="shared" si="7"/>
        <v>2.5824750437805619</v>
      </c>
    </row>
    <row r="16" spans="1:35" x14ac:dyDescent="0.2">
      <c r="A16" t="s">
        <v>105</v>
      </c>
      <c r="B16" t="s">
        <v>115</v>
      </c>
      <c r="C16" t="s">
        <v>43</v>
      </c>
      <c r="D16">
        <v>1</v>
      </c>
      <c r="E16" t="s">
        <v>13</v>
      </c>
      <c r="F16">
        <v>776</v>
      </c>
      <c r="G16">
        <v>87</v>
      </c>
      <c r="H16">
        <v>8282.5</v>
      </c>
      <c r="I16" s="1">
        <v>202653.5</v>
      </c>
      <c r="J16">
        <v>100</v>
      </c>
      <c r="K16">
        <v>23</v>
      </c>
      <c r="L16">
        <v>62.7</v>
      </c>
      <c r="M16">
        <v>1253</v>
      </c>
      <c r="O16" t="s">
        <v>16</v>
      </c>
      <c r="P16">
        <f t="shared" si="8"/>
        <v>10.257502687284946</v>
      </c>
      <c r="Q16">
        <f t="shared" si="0"/>
        <v>25.010438308424369</v>
      </c>
      <c r="R16">
        <f t="shared" si="1"/>
        <v>14.964081370442324</v>
      </c>
      <c r="S16">
        <f t="shared" si="2"/>
        <v>14.203397903874091</v>
      </c>
      <c r="T16">
        <f t="shared" si="3"/>
        <v>49.439134630394371</v>
      </c>
      <c r="U16">
        <f t="shared" si="4"/>
        <v>25.20642003373176</v>
      </c>
      <c r="V16">
        <f t="shared" si="5"/>
        <v>9.3873375111280914</v>
      </c>
      <c r="W16">
        <f t="shared" si="6"/>
        <v>23.053936099590519</v>
      </c>
      <c r="X16">
        <f t="shared" si="7"/>
        <v>12.315867011021789</v>
      </c>
    </row>
    <row r="17" spans="1:35" x14ac:dyDescent="0.2">
      <c r="A17" t="s">
        <v>105</v>
      </c>
      <c r="B17" t="s">
        <v>115</v>
      </c>
      <c r="C17" t="s">
        <v>44</v>
      </c>
      <c r="D17">
        <v>1</v>
      </c>
      <c r="F17">
        <v>774</v>
      </c>
      <c r="G17">
        <v>84</v>
      </c>
      <c r="H17">
        <v>25972.799999999999</v>
      </c>
      <c r="I17" s="1">
        <v>668802.1</v>
      </c>
      <c r="K17">
        <v>24.2</v>
      </c>
      <c r="L17">
        <v>178.6</v>
      </c>
      <c r="M17">
        <v>1822.9</v>
      </c>
      <c r="O17" t="s">
        <v>111</v>
      </c>
      <c r="P17">
        <f t="shared" si="8"/>
        <v>6.1383773237536694</v>
      </c>
      <c r="Q17">
        <f t="shared" si="0"/>
        <v>28.568441011549716</v>
      </c>
      <c r="R17">
        <f t="shared" si="1"/>
        <v>13.942366325017993</v>
      </c>
      <c r="S17">
        <f t="shared" si="2"/>
        <v>12.852149012388745</v>
      </c>
      <c r="T17">
        <f t="shared" si="3"/>
        <v>71.31363617012218</v>
      </c>
      <c r="U17">
        <f t="shared" si="4"/>
        <v>34.43625797462785</v>
      </c>
      <c r="V17">
        <f t="shared" si="5"/>
        <v>7.6042644471663792</v>
      </c>
      <c r="W17">
        <f t="shared" si="6"/>
        <v>22.679081521989179</v>
      </c>
      <c r="X17">
        <f t="shared" si="7"/>
        <v>11.49976745636234</v>
      </c>
      <c r="AA17">
        <f>AA8/P9</f>
        <v>6.1383773237536694</v>
      </c>
      <c r="AB17">
        <f t="shared" ref="AB17:AI17" si="9">AB8/Q9</f>
        <v>28.568441011549716</v>
      </c>
      <c r="AC17">
        <f t="shared" si="9"/>
        <v>13.942366325017993</v>
      </c>
      <c r="AD17">
        <f t="shared" si="9"/>
        <v>12.852149012388745</v>
      </c>
      <c r="AE17">
        <f t="shared" si="9"/>
        <v>71.31363617012218</v>
      </c>
      <c r="AF17">
        <f t="shared" si="9"/>
        <v>34.43625797462785</v>
      </c>
      <c r="AG17">
        <f t="shared" si="9"/>
        <v>7.6042644471663792</v>
      </c>
      <c r="AH17">
        <f t="shared" si="9"/>
        <v>22.679081521989179</v>
      </c>
      <c r="AI17">
        <f t="shared" si="9"/>
        <v>11.514726542377995</v>
      </c>
    </row>
    <row r="18" spans="1:35" x14ac:dyDescent="0.2">
      <c r="A18" t="s">
        <v>112</v>
      </c>
      <c r="B18" t="s">
        <v>115</v>
      </c>
      <c r="C18" t="s">
        <v>117</v>
      </c>
      <c r="D18">
        <v>1</v>
      </c>
      <c r="E18" t="s">
        <v>13</v>
      </c>
      <c r="F18">
        <v>777</v>
      </c>
      <c r="G18">
        <v>88</v>
      </c>
      <c r="H18">
        <v>11257.3</v>
      </c>
      <c r="I18" s="1">
        <v>275940.5</v>
      </c>
      <c r="J18">
        <v>100</v>
      </c>
      <c r="K18">
        <v>23</v>
      </c>
      <c r="L18">
        <v>93.9</v>
      </c>
      <c r="M18">
        <v>1454.1</v>
      </c>
      <c r="N18" t="s">
        <v>118</v>
      </c>
      <c r="P18" t="s">
        <v>104</v>
      </c>
      <c r="S18" t="s">
        <v>105</v>
      </c>
      <c r="V18" t="s">
        <v>106</v>
      </c>
    </row>
    <row r="19" spans="1:35" x14ac:dyDescent="0.2">
      <c r="A19" t="s">
        <v>112</v>
      </c>
      <c r="B19" t="s">
        <v>115</v>
      </c>
      <c r="C19" t="s">
        <v>119</v>
      </c>
      <c r="D19">
        <v>3</v>
      </c>
      <c r="E19" t="s">
        <v>13</v>
      </c>
      <c r="F19">
        <v>763</v>
      </c>
      <c r="G19">
        <v>88</v>
      </c>
      <c r="H19">
        <v>25773.200000000001</v>
      </c>
      <c r="I19" s="1">
        <v>596765.19999999995</v>
      </c>
      <c r="J19">
        <v>100</v>
      </c>
      <c r="K19">
        <v>21.8</v>
      </c>
      <c r="L19">
        <v>197.3</v>
      </c>
      <c r="M19">
        <v>2462.1999999999998</v>
      </c>
      <c r="P19">
        <v>10</v>
      </c>
      <c r="Q19">
        <v>1</v>
      </c>
      <c r="R19">
        <v>0.1</v>
      </c>
      <c r="S19">
        <v>10</v>
      </c>
      <c r="T19">
        <v>1</v>
      </c>
      <c r="U19">
        <v>0.1</v>
      </c>
      <c r="V19">
        <v>1</v>
      </c>
      <c r="W19">
        <v>0.1</v>
      </c>
    </row>
    <row r="20" spans="1:35" x14ac:dyDescent="0.2">
      <c r="A20" t="s">
        <v>107</v>
      </c>
      <c r="B20" t="s">
        <v>120</v>
      </c>
      <c r="C20" t="s">
        <v>48</v>
      </c>
      <c r="D20">
        <v>1</v>
      </c>
      <c r="E20" t="s">
        <v>121</v>
      </c>
      <c r="F20">
        <v>492</v>
      </c>
      <c r="G20">
        <v>15</v>
      </c>
      <c r="H20">
        <v>34.6</v>
      </c>
      <c r="I20" s="1">
        <v>581</v>
      </c>
      <c r="J20">
        <v>100</v>
      </c>
      <c r="K20">
        <v>15.8</v>
      </c>
      <c r="L20">
        <v>2.8</v>
      </c>
      <c r="M20">
        <v>39.1</v>
      </c>
      <c r="O20" t="s">
        <v>12</v>
      </c>
      <c r="P20">
        <f>P12/6.833275</f>
        <v>1.0000000641720226</v>
      </c>
      <c r="Q20">
        <f t="shared" ref="Q20:X20" si="10">Q12/6.833275</f>
        <v>0.46205284907291622</v>
      </c>
      <c r="R20">
        <f t="shared" si="10"/>
        <v>0.67617780391353921</v>
      </c>
      <c r="S20">
        <f t="shared" si="10"/>
        <v>0.81663827381871568</v>
      </c>
      <c r="T20">
        <f t="shared" si="10"/>
        <v>0.57471813463696286</v>
      </c>
      <c r="U20">
        <f t="shared" si="10"/>
        <v>0.55608674780813849</v>
      </c>
      <c r="V20">
        <f t="shared" si="10"/>
        <v>0.95115975098528505</v>
      </c>
      <c r="W20">
        <f t="shared" si="10"/>
        <v>1.9937392287572873</v>
      </c>
      <c r="X20">
        <f t="shared" si="10"/>
        <v>1.1890682864289752</v>
      </c>
    </row>
    <row r="21" spans="1:35" x14ac:dyDescent="0.2">
      <c r="A21" t="s">
        <v>109</v>
      </c>
      <c r="B21" t="s">
        <v>120</v>
      </c>
      <c r="C21" t="s">
        <v>50</v>
      </c>
      <c r="D21">
        <v>1</v>
      </c>
      <c r="E21" t="s">
        <v>121</v>
      </c>
      <c r="F21">
        <v>495</v>
      </c>
      <c r="G21">
        <v>16</v>
      </c>
      <c r="H21">
        <v>56.9</v>
      </c>
      <c r="I21" s="1">
        <v>810.5</v>
      </c>
      <c r="J21">
        <v>100</v>
      </c>
      <c r="K21">
        <v>13.4</v>
      </c>
      <c r="L21">
        <v>5.9</v>
      </c>
      <c r="M21">
        <v>37</v>
      </c>
      <c r="O21" t="s">
        <v>13</v>
      </c>
      <c r="P21">
        <f>P13/4.174653</f>
        <v>1.0000000618553069</v>
      </c>
      <c r="Q21">
        <f>Q13/4.174653</f>
        <v>1.110017036521872</v>
      </c>
      <c r="R21">
        <f t="shared" ref="R21:X21" si="11">R13/4.174653</f>
        <v>1.669383134239443</v>
      </c>
      <c r="S21">
        <f t="shared" si="11"/>
        <v>1.7190893757630481</v>
      </c>
      <c r="T21">
        <f t="shared" si="11"/>
        <v>2.1535137662828725</v>
      </c>
      <c r="U21">
        <f t="shared" si="11"/>
        <v>1.7798560950716813</v>
      </c>
      <c r="V21">
        <f t="shared" si="11"/>
        <v>2.0003150831195478</v>
      </c>
      <c r="W21">
        <f t="shared" si="11"/>
        <v>2.1722664425439944</v>
      </c>
      <c r="X21">
        <f t="shared" si="11"/>
        <v>1.8570967841432087</v>
      </c>
    </row>
    <row r="22" spans="1:35" x14ac:dyDescent="0.2">
      <c r="A22" t="s">
        <v>109</v>
      </c>
      <c r="B22" t="s">
        <v>120</v>
      </c>
      <c r="C22" t="s">
        <v>51</v>
      </c>
      <c r="D22">
        <v>1</v>
      </c>
      <c r="E22" t="s">
        <v>121</v>
      </c>
      <c r="F22">
        <v>500</v>
      </c>
      <c r="G22">
        <v>16</v>
      </c>
      <c r="H22">
        <v>44</v>
      </c>
      <c r="I22" s="1">
        <v>625.4</v>
      </c>
      <c r="J22">
        <v>100</v>
      </c>
      <c r="K22">
        <v>13.3</v>
      </c>
      <c r="L22">
        <v>6.6</v>
      </c>
      <c r="M22">
        <v>34.700000000000003</v>
      </c>
      <c r="O22" t="s">
        <v>110</v>
      </c>
      <c r="P22">
        <f>P14/0.005605</f>
        <v>1.0002050317023594</v>
      </c>
      <c r="Q22">
        <f t="shared" ref="Q22:X22" si="12">Q14/0.005605</f>
        <v>4.0380178106428417</v>
      </c>
      <c r="R22">
        <f t="shared" si="12"/>
        <v>1.9165811663535497</v>
      </c>
      <c r="S22">
        <f t="shared" si="12"/>
        <v>3.8602185325350011</v>
      </c>
      <c r="T22">
        <f t="shared" si="12"/>
        <v>16.557057024952698</v>
      </c>
      <c r="U22">
        <f t="shared" si="12"/>
        <v>10.332910601549269</v>
      </c>
      <c r="V22">
        <f t="shared" si="12"/>
        <v>10.347623419988537</v>
      </c>
      <c r="W22">
        <f t="shared" si="12"/>
        <v>43.611255135030341</v>
      </c>
      <c r="X22">
        <f t="shared" si="12"/>
        <v>0.93731800785323227</v>
      </c>
    </row>
    <row r="23" spans="1:35" x14ac:dyDescent="0.2">
      <c r="A23" t="s">
        <v>109</v>
      </c>
      <c r="B23" t="s">
        <v>120</v>
      </c>
      <c r="C23" t="s">
        <v>52</v>
      </c>
      <c r="D23">
        <v>1</v>
      </c>
      <c r="E23" t="s">
        <v>121</v>
      </c>
      <c r="F23">
        <v>494</v>
      </c>
      <c r="G23">
        <v>16</v>
      </c>
      <c r="H23">
        <v>122.5</v>
      </c>
      <c r="I23" s="1">
        <v>1544.4</v>
      </c>
      <c r="J23">
        <v>100</v>
      </c>
      <c r="K23">
        <v>11.8</v>
      </c>
      <c r="L23">
        <v>13.5</v>
      </c>
      <c r="M23">
        <v>34.9</v>
      </c>
      <c r="O23" t="s">
        <v>15</v>
      </c>
      <c r="P23">
        <f>P15/2.284322</f>
        <v>1.000000204206793</v>
      </c>
      <c r="Q23">
        <f t="shared" ref="Q23:X23" si="13">Q15/2.284322</f>
        <v>1.112093361244179</v>
      </c>
      <c r="R23">
        <f t="shared" si="13"/>
        <v>1.2949065712150347</v>
      </c>
      <c r="S23">
        <f t="shared" si="13"/>
        <v>1.2909324319924333</v>
      </c>
      <c r="T23">
        <f t="shared" si="13"/>
        <v>1.7740088787387462</v>
      </c>
      <c r="U23">
        <f t="shared" si="13"/>
        <v>1.6942150568700036</v>
      </c>
      <c r="V23">
        <f t="shared" si="13"/>
        <v>1.4486335879076528</v>
      </c>
      <c r="W23">
        <f t="shared" si="13"/>
        <v>1.835325110993052</v>
      </c>
      <c r="X23">
        <f t="shared" si="13"/>
        <v>1.1305214605386464</v>
      </c>
    </row>
    <row r="24" spans="1:35" x14ac:dyDescent="0.2">
      <c r="A24" t="s">
        <v>105</v>
      </c>
      <c r="B24" t="s">
        <v>120</v>
      </c>
      <c r="C24" t="s">
        <v>53</v>
      </c>
      <c r="D24">
        <v>1</v>
      </c>
      <c r="E24" t="s">
        <v>121</v>
      </c>
      <c r="F24">
        <v>495</v>
      </c>
      <c r="G24">
        <v>16</v>
      </c>
      <c r="H24">
        <v>154.9</v>
      </c>
      <c r="I24" s="1">
        <v>1307.9000000000001</v>
      </c>
      <c r="J24">
        <v>100</v>
      </c>
      <c r="K24">
        <v>7.9</v>
      </c>
      <c r="L24">
        <v>21</v>
      </c>
      <c r="M24">
        <v>32.299999999999997</v>
      </c>
      <c r="O24" t="s">
        <v>16</v>
      </c>
      <c r="P24">
        <f>P16/10.2575</f>
        <v>1.0000002619824466</v>
      </c>
      <c r="Q24">
        <f t="shared" ref="Q24:X24" si="14">Q16/10.2575</f>
        <v>2.4382586700876789</v>
      </c>
      <c r="R24">
        <f t="shared" si="14"/>
        <v>1.4588429315566487</v>
      </c>
      <c r="S24">
        <f t="shared" si="14"/>
        <v>1.3846841729343495</v>
      </c>
      <c r="T24">
        <f t="shared" si="14"/>
        <v>4.8198035223392024</v>
      </c>
      <c r="U24">
        <f t="shared" si="14"/>
        <v>2.4573648582726553</v>
      </c>
      <c r="V24">
        <f t="shared" si="14"/>
        <v>0.91516817071685019</v>
      </c>
      <c r="W24">
        <f t="shared" si="14"/>
        <v>2.2475199707131872</v>
      </c>
      <c r="X24">
        <f t="shared" si="14"/>
        <v>1.2006694624442398</v>
      </c>
    </row>
    <row r="25" spans="1:35" x14ac:dyDescent="0.2">
      <c r="A25" t="s">
        <v>105</v>
      </c>
      <c r="B25" t="s">
        <v>120</v>
      </c>
      <c r="C25" t="s">
        <v>54</v>
      </c>
      <c r="D25">
        <v>1</v>
      </c>
      <c r="E25" t="s">
        <v>121</v>
      </c>
      <c r="F25">
        <v>493</v>
      </c>
      <c r="G25">
        <v>15</v>
      </c>
      <c r="H25">
        <v>196.5</v>
      </c>
      <c r="I25" s="1">
        <v>1579.6</v>
      </c>
      <c r="J25">
        <v>100</v>
      </c>
      <c r="K25">
        <v>7.6</v>
      </c>
      <c r="L25">
        <v>22.7</v>
      </c>
      <c r="M25">
        <v>29.5</v>
      </c>
      <c r="O25" t="s">
        <v>111</v>
      </c>
      <c r="P25">
        <f>P17/6.138377</f>
        <v>1.0000000527425521</v>
      </c>
      <c r="Q25">
        <f t="shared" ref="Q25:X25" si="15">Q17/6.138377</f>
        <v>4.6540707766156615</v>
      </c>
      <c r="R25">
        <f t="shared" si="15"/>
        <v>2.2713440906314473</v>
      </c>
      <c r="S25">
        <f t="shared" si="15"/>
        <v>2.0937373205309391</v>
      </c>
      <c r="T25">
        <f t="shared" si="15"/>
        <v>11.617669649505428</v>
      </c>
      <c r="U25">
        <f t="shared" si="15"/>
        <v>5.6099939731019859</v>
      </c>
      <c r="V25">
        <f t="shared" si="15"/>
        <v>1.2388070082965545</v>
      </c>
      <c r="W25">
        <f t="shared" si="15"/>
        <v>3.6946380976582538</v>
      </c>
      <c r="X25">
        <f t="shared" si="15"/>
        <v>1.8734215015406093</v>
      </c>
    </row>
    <row r="26" spans="1:35" x14ac:dyDescent="0.2">
      <c r="A26" t="s">
        <v>105</v>
      </c>
      <c r="B26" t="s">
        <v>120</v>
      </c>
      <c r="C26" t="s">
        <v>55</v>
      </c>
      <c r="D26">
        <v>1</v>
      </c>
      <c r="E26" t="s">
        <v>121</v>
      </c>
      <c r="F26">
        <v>502</v>
      </c>
      <c r="G26">
        <v>16</v>
      </c>
      <c r="H26">
        <v>335.4</v>
      </c>
      <c r="I26" s="1">
        <v>4645.1000000000004</v>
      </c>
      <c r="J26">
        <v>100</v>
      </c>
      <c r="K26">
        <v>13</v>
      </c>
      <c r="L26">
        <v>39.5</v>
      </c>
      <c r="M26">
        <v>30.7</v>
      </c>
    </row>
    <row r="27" spans="1:35" x14ac:dyDescent="0.2">
      <c r="A27" t="s">
        <v>112</v>
      </c>
      <c r="B27" t="s">
        <v>120</v>
      </c>
      <c r="C27" t="s">
        <v>122</v>
      </c>
      <c r="D27">
        <v>1</v>
      </c>
      <c r="E27" t="s">
        <v>121</v>
      </c>
      <c r="F27">
        <v>491</v>
      </c>
      <c r="G27">
        <v>15</v>
      </c>
      <c r="H27">
        <v>497.3</v>
      </c>
      <c r="I27" s="1">
        <v>7438</v>
      </c>
      <c r="J27">
        <v>100</v>
      </c>
      <c r="K27">
        <v>14.1</v>
      </c>
      <c r="L27">
        <v>64.5</v>
      </c>
      <c r="M27">
        <v>27.8</v>
      </c>
      <c r="O27" t="s">
        <v>58</v>
      </c>
      <c r="P27">
        <f>P9/103636.2</f>
        <v>1</v>
      </c>
      <c r="Q27">
        <f t="shared" ref="Q27:X27" si="16">Q9/103636.2</f>
        <v>0.34553949295709419</v>
      </c>
      <c r="R27">
        <f t="shared" si="16"/>
        <v>0.56175062381677443</v>
      </c>
      <c r="S27">
        <f t="shared" si="16"/>
        <v>0.68874871907692492</v>
      </c>
      <c r="T27">
        <f t="shared" si="16"/>
        <v>0.13598916208815068</v>
      </c>
      <c r="U27">
        <f t="shared" si="16"/>
        <v>0.26317059097110856</v>
      </c>
      <c r="V27">
        <f t="shared" si="16"/>
        <v>0.77280043073752225</v>
      </c>
      <c r="W27">
        <f t="shared" si="16"/>
        <v>0.29360976183997484</v>
      </c>
      <c r="X27">
        <f t="shared" si="16"/>
        <v>0.7417755571894763</v>
      </c>
    </row>
    <row r="28" spans="1:35" x14ac:dyDescent="0.2">
      <c r="A28" t="s">
        <v>112</v>
      </c>
      <c r="B28" t="s">
        <v>120</v>
      </c>
      <c r="C28" t="s">
        <v>123</v>
      </c>
      <c r="D28">
        <v>1</v>
      </c>
      <c r="E28" t="s">
        <v>121</v>
      </c>
      <c r="F28">
        <v>481</v>
      </c>
      <c r="G28">
        <v>14</v>
      </c>
      <c r="H28">
        <v>18</v>
      </c>
      <c r="I28" s="1">
        <v>404.4</v>
      </c>
      <c r="J28">
        <v>100</v>
      </c>
      <c r="K28">
        <v>21.2</v>
      </c>
      <c r="L28">
        <v>2.2999999999999998</v>
      </c>
      <c r="M28">
        <v>37</v>
      </c>
    </row>
    <row r="29" spans="1:35" x14ac:dyDescent="0.2">
      <c r="A29" t="s">
        <v>107</v>
      </c>
      <c r="B29" t="s">
        <v>124</v>
      </c>
      <c r="C29" t="s">
        <v>59</v>
      </c>
      <c r="D29">
        <v>1</v>
      </c>
      <c r="E29" t="s">
        <v>121</v>
      </c>
      <c r="F29">
        <v>504</v>
      </c>
      <c r="G29">
        <v>15</v>
      </c>
      <c r="H29">
        <v>0</v>
      </c>
      <c r="K29">
        <v>0</v>
      </c>
      <c r="L29">
        <v>0</v>
      </c>
      <c r="M29">
        <v>0</v>
      </c>
    </row>
    <row r="30" spans="1:35" x14ac:dyDescent="0.2">
      <c r="A30" t="s">
        <v>109</v>
      </c>
      <c r="B30" t="s">
        <v>124</v>
      </c>
      <c r="C30" t="s">
        <v>61</v>
      </c>
      <c r="D30">
        <v>1</v>
      </c>
      <c r="E30" t="s">
        <v>121</v>
      </c>
      <c r="F30">
        <v>499</v>
      </c>
      <c r="G30">
        <v>15</v>
      </c>
      <c r="H30">
        <v>11.6</v>
      </c>
      <c r="I30" s="1">
        <v>148.1</v>
      </c>
      <c r="J30">
        <v>100</v>
      </c>
      <c r="K30">
        <v>12</v>
      </c>
      <c r="L30">
        <v>1.7</v>
      </c>
      <c r="M30">
        <v>42.8</v>
      </c>
      <c r="P30">
        <v>1.0000000641720226</v>
      </c>
      <c r="Q30">
        <v>0.46205284907291622</v>
      </c>
      <c r="R30">
        <v>0.67617780391353921</v>
      </c>
      <c r="S30">
        <v>0.81663827381871568</v>
      </c>
      <c r="T30">
        <v>0.57471813463696286</v>
      </c>
      <c r="U30">
        <v>0.55608674780813849</v>
      </c>
      <c r="V30">
        <v>0.95115975098528505</v>
      </c>
      <c r="W30">
        <v>1.9937392287572873</v>
      </c>
      <c r="X30">
        <v>1.1890682864289752</v>
      </c>
    </row>
    <row r="31" spans="1:35" x14ac:dyDescent="0.2">
      <c r="A31" t="s">
        <v>109</v>
      </c>
      <c r="B31" t="s">
        <v>124</v>
      </c>
      <c r="C31" t="s">
        <v>62</v>
      </c>
      <c r="D31">
        <v>1</v>
      </c>
      <c r="E31" t="s">
        <v>121</v>
      </c>
      <c r="F31">
        <v>509</v>
      </c>
      <c r="G31">
        <v>16</v>
      </c>
      <c r="H31">
        <v>92.2</v>
      </c>
      <c r="I31" s="1">
        <v>1044.5</v>
      </c>
      <c r="J31">
        <v>100</v>
      </c>
      <c r="K31">
        <v>10.6</v>
      </c>
      <c r="L31">
        <v>11.6</v>
      </c>
      <c r="M31">
        <v>43.1</v>
      </c>
      <c r="P31">
        <v>1.0000000618553069</v>
      </c>
      <c r="Q31">
        <v>1.110017036521872</v>
      </c>
      <c r="R31">
        <v>1.669383134239443</v>
      </c>
      <c r="S31">
        <v>1.7190893757630481</v>
      </c>
      <c r="T31">
        <v>2.1535137662828725</v>
      </c>
      <c r="U31">
        <v>1.7798560950716813</v>
      </c>
      <c r="V31">
        <v>2.0003150831195478</v>
      </c>
      <c r="W31">
        <v>2.1722664425439944</v>
      </c>
      <c r="X31">
        <v>1.8570967841432087</v>
      </c>
    </row>
    <row r="32" spans="1:35" x14ac:dyDescent="0.2">
      <c r="A32" t="s">
        <v>109</v>
      </c>
      <c r="B32" t="s">
        <v>124</v>
      </c>
      <c r="C32" t="s">
        <v>63</v>
      </c>
      <c r="D32">
        <v>1</v>
      </c>
      <c r="E32" t="s">
        <v>121</v>
      </c>
      <c r="F32">
        <v>506</v>
      </c>
      <c r="G32">
        <v>16</v>
      </c>
      <c r="H32">
        <v>92</v>
      </c>
      <c r="I32" s="1">
        <v>657.1</v>
      </c>
      <c r="J32">
        <v>100</v>
      </c>
      <c r="K32">
        <v>6.7</v>
      </c>
      <c r="L32">
        <v>9.6999999999999993</v>
      </c>
      <c r="M32">
        <v>41.1</v>
      </c>
      <c r="P32">
        <v>1.0002050317023594</v>
      </c>
      <c r="Q32">
        <v>4.0380178106428417</v>
      </c>
      <c r="R32">
        <v>1.9165811663535497</v>
      </c>
      <c r="S32">
        <v>3.8602185325350011</v>
      </c>
      <c r="T32">
        <v>16.557057024952698</v>
      </c>
      <c r="U32">
        <v>10.332910601549269</v>
      </c>
      <c r="V32">
        <v>10.347623419988537</v>
      </c>
      <c r="W32">
        <v>43.611255135030341</v>
      </c>
      <c r="X32">
        <v>0.93731800785323227</v>
      </c>
    </row>
    <row r="33" spans="1:24" x14ac:dyDescent="0.2">
      <c r="A33" t="s">
        <v>105</v>
      </c>
      <c r="B33" t="s">
        <v>124</v>
      </c>
      <c r="C33" t="s">
        <v>64</v>
      </c>
      <c r="D33">
        <v>1</v>
      </c>
      <c r="E33" t="s">
        <v>121</v>
      </c>
      <c r="F33">
        <v>501</v>
      </c>
      <c r="G33">
        <v>15</v>
      </c>
      <c r="H33">
        <v>26.2</v>
      </c>
      <c r="I33" s="1">
        <v>283</v>
      </c>
      <c r="J33">
        <v>581</v>
      </c>
      <c r="K33">
        <v>10.199999999999999</v>
      </c>
      <c r="L33">
        <v>4.5</v>
      </c>
      <c r="M33">
        <v>40.700000000000003</v>
      </c>
      <c r="P33">
        <v>1.000000204206793</v>
      </c>
      <c r="Q33">
        <v>1.112093361244179</v>
      </c>
      <c r="R33">
        <v>1.2949065712150347</v>
      </c>
      <c r="S33">
        <v>1.2909324319924333</v>
      </c>
      <c r="T33">
        <v>1.7740088787387462</v>
      </c>
      <c r="U33">
        <v>1.6942150568700036</v>
      </c>
      <c r="V33">
        <v>1.4486335879076528</v>
      </c>
      <c r="W33">
        <v>1.835325110993052</v>
      </c>
      <c r="X33">
        <v>1.1305214605386464</v>
      </c>
    </row>
    <row r="34" spans="1:24" x14ac:dyDescent="0.2">
      <c r="A34" t="s">
        <v>105</v>
      </c>
      <c r="B34" t="s">
        <v>124</v>
      </c>
      <c r="C34" t="s">
        <v>65</v>
      </c>
      <c r="D34">
        <v>1</v>
      </c>
      <c r="E34" t="s">
        <v>121</v>
      </c>
      <c r="F34">
        <v>511</v>
      </c>
      <c r="G34">
        <v>17</v>
      </c>
      <c r="H34">
        <v>21.8</v>
      </c>
      <c r="I34" s="1">
        <v>166.7</v>
      </c>
      <c r="J34">
        <v>100</v>
      </c>
      <c r="K34">
        <v>7.2</v>
      </c>
      <c r="L34">
        <v>5.7</v>
      </c>
      <c r="M34">
        <v>44.2</v>
      </c>
      <c r="P34">
        <v>1.0000002619824466</v>
      </c>
      <c r="Q34">
        <v>2.4382586700876789</v>
      </c>
      <c r="R34">
        <v>1.4588429315566487</v>
      </c>
      <c r="S34">
        <v>1.3846841729343495</v>
      </c>
      <c r="T34">
        <v>4.8198035223392024</v>
      </c>
      <c r="U34">
        <v>2.4573648582726553</v>
      </c>
      <c r="V34">
        <v>0.91516817071685019</v>
      </c>
      <c r="W34">
        <v>2.2475199707131872</v>
      </c>
      <c r="X34">
        <v>1.2006694624442398</v>
      </c>
    </row>
    <row r="35" spans="1:24" x14ac:dyDescent="0.2">
      <c r="A35" t="s">
        <v>105</v>
      </c>
      <c r="B35" t="s">
        <v>124</v>
      </c>
      <c r="C35" t="s">
        <v>66</v>
      </c>
      <c r="D35">
        <v>1</v>
      </c>
      <c r="E35" t="s">
        <v>121</v>
      </c>
      <c r="F35">
        <v>508</v>
      </c>
      <c r="G35">
        <v>16</v>
      </c>
      <c r="H35">
        <v>92.1</v>
      </c>
      <c r="I35" s="1">
        <v>442.3</v>
      </c>
      <c r="J35">
        <v>100</v>
      </c>
      <c r="K35">
        <v>4.5</v>
      </c>
      <c r="L35">
        <v>9.6999999999999993</v>
      </c>
      <c r="M35">
        <v>40.6</v>
      </c>
      <c r="P35">
        <v>1.0000000527425521</v>
      </c>
      <c r="Q35">
        <v>4.6540707766156615</v>
      </c>
      <c r="R35">
        <v>2.2713440906314473</v>
      </c>
      <c r="S35">
        <v>2.0937373205309391</v>
      </c>
      <c r="T35">
        <v>11.617669649505428</v>
      </c>
      <c r="U35">
        <v>5.6099939731019859</v>
      </c>
      <c r="V35">
        <v>1.2388070082965545</v>
      </c>
      <c r="W35">
        <v>3.6946380976582538</v>
      </c>
      <c r="X35">
        <v>1.8734215015406093</v>
      </c>
    </row>
    <row r="36" spans="1:24" x14ac:dyDescent="0.2">
      <c r="A36" t="s">
        <v>112</v>
      </c>
      <c r="B36" t="s">
        <v>124</v>
      </c>
      <c r="C36" t="s">
        <v>125</v>
      </c>
      <c r="D36">
        <v>1</v>
      </c>
      <c r="E36" t="s">
        <v>121</v>
      </c>
      <c r="F36">
        <v>503</v>
      </c>
      <c r="G36">
        <v>16</v>
      </c>
      <c r="H36">
        <v>118.6</v>
      </c>
      <c r="I36" s="1">
        <v>1348</v>
      </c>
      <c r="J36">
        <v>100</v>
      </c>
      <c r="K36">
        <v>10.7</v>
      </c>
      <c r="L36">
        <v>16.100000000000001</v>
      </c>
      <c r="M36">
        <v>41.8</v>
      </c>
    </row>
    <row r="37" spans="1:24" x14ac:dyDescent="0.2">
      <c r="A37" t="s">
        <v>112</v>
      </c>
      <c r="B37" t="s">
        <v>124</v>
      </c>
      <c r="C37" t="s">
        <v>126</v>
      </c>
      <c r="D37">
        <v>1</v>
      </c>
      <c r="E37" t="s">
        <v>121</v>
      </c>
      <c r="F37">
        <v>498</v>
      </c>
      <c r="G37">
        <v>15</v>
      </c>
      <c r="H37">
        <v>37.9</v>
      </c>
      <c r="I37" s="1">
        <v>153.19999999999999</v>
      </c>
      <c r="J37">
        <v>100</v>
      </c>
      <c r="K37">
        <v>3.8</v>
      </c>
      <c r="L37">
        <v>5.0999999999999996</v>
      </c>
      <c r="M37">
        <v>35.5</v>
      </c>
    </row>
    <row r="38" spans="1:24" x14ac:dyDescent="0.2">
      <c r="A38" t="s">
        <v>107</v>
      </c>
      <c r="B38" t="s">
        <v>67</v>
      </c>
      <c r="C38" t="s">
        <v>69</v>
      </c>
      <c r="D38">
        <v>2</v>
      </c>
      <c r="E38" t="s">
        <v>15</v>
      </c>
      <c r="F38">
        <v>778</v>
      </c>
      <c r="G38">
        <v>78</v>
      </c>
      <c r="H38">
        <v>12658.6</v>
      </c>
      <c r="I38" s="1">
        <v>236738.5</v>
      </c>
      <c r="J38">
        <v>100</v>
      </c>
      <c r="K38">
        <v>17.600000000000001</v>
      </c>
      <c r="L38">
        <v>1158.4000000000001</v>
      </c>
      <c r="M38">
        <v>47.8</v>
      </c>
      <c r="P38" t="s">
        <v>12</v>
      </c>
      <c r="Q38" t="s">
        <v>13</v>
      </c>
      <c r="R38" t="s">
        <v>110</v>
      </c>
      <c r="S38" t="s">
        <v>15</v>
      </c>
      <c r="T38" t="s">
        <v>16</v>
      </c>
      <c r="U38" t="s">
        <v>111</v>
      </c>
    </row>
    <row r="39" spans="1:24" x14ac:dyDescent="0.2">
      <c r="A39" t="s">
        <v>109</v>
      </c>
      <c r="B39" t="s">
        <v>67</v>
      </c>
      <c r="C39" t="s">
        <v>71</v>
      </c>
      <c r="D39">
        <v>1</v>
      </c>
      <c r="E39" t="s">
        <v>15</v>
      </c>
      <c r="F39">
        <v>773</v>
      </c>
      <c r="G39">
        <v>77</v>
      </c>
      <c r="H39">
        <v>5018.1000000000004</v>
      </c>
      <c r="I39" s="1">
        <v>90972</v>
      </c>
      <c r="J39">
        <v>100</v>
      </c>
      <c r="K39">
        <v>17</v>
      </c>
      <c r="L39">
        <v>626.4</v>
      </c>
      <c r="M39">
        <v>37.1</v>
      </c>
      <c r="N39" t="s">
        <v>18</v>
      </c>
      <c r="O39" t="s">
        <v>18</v>
      </c>
      <c r="P39">
        <v>1.0000000641720226</v>
      </c>
      <c r="Q39">
        <v>1.0000000618553069</v>
      </c>
      <c r="R39">
        <v>1.0002050317023594</v>
      </c>
      <c r="S39">
        <v>1.000000204206793</v>
      </c>
      <c r="T39">
        <v>1.0000002619824466</v>
      </c>
      <c r="U39">
        <v>1.0000000527425521</v>
      </c>
    </row>
    <row r="40" spans="1:24" x14ac:dyDescent="0.2">
      <c r="A40" t="s">
        <v>109</v>
      </c>
      <c r="B40" t="s">
        <v>67</v>
      </c>
      <c r="C40" t="s">
        <v>72</v>
      </c>
      <c r="D40">
        <v>1</v>
      </c>
      <c r="E40" t="s">
        <v>15</v>
      </c>
      <c r="F40">
        <v>767</v>
      </c>
      <c r="G40">
        <v>78</v>
      </c>
      <c r="H40">
        <v>8950.2000000000007</v>
      </c>
      <c r="I40" s="1">
        <v>172207</v>
      </c>
      <c r="J40">
        <v>100</v>
      </c>
      <c r="K40">
        <v>18.100000000000001</v>
      </c>
      <c r="L40">
        <v>879.9</v>
      </c>
      <c r="M40">
        <v>45.7</v>
      </c>
      <c r="N40" t="s">
        <v>127</v>
      </c>
      <c r="O40" t="s">
        <v>127</v>
      </c>
      <c r="P40">
        <v>0.46205284907291622</v>
      </c>
      <c r="Q40">
        <v>1.110017036521872</v>
      </c>
      <c r="R40">
        <v>4.0380178106428417</v>
      </c>
      <c r="S40">
        <v>1.112093361244179</v>
      </c>
      <c r="T40">
        <v>2.4382586700876789</v>
      </c>
      <c r="U40">
        <v>4.6540707766156615</v>
      </c>
    </row>
    <row r="41" spans="1:24" x14ac:dyDescent="0.2">
      <c r="A41" t="s">
        <v>109</v>
      </c>
      <c r="B41" t="s">
        <v>67</v>
      </c>
      <c r="C41" t="s">
        <v>73</v>
      </c>
      <c r="D41">
        <v>2</v>
      </c>
      <c r="E41" t="s">
        <v>15</v>
      </c>
      <c r="F41">
        <v>772</v>
      </c>
      <c r="G41">
        <v>78</v>
      </c>
      <c r="H41">
        <v>10863</v>
      </c>
      <c r="I41" s="1">
        <v>210490.8</v>
      </c>
      <c r="J41">
        <v>100</v>
      </c>
      <c r="K41">
        <v>18.2</v>
      </c>
      <c r="L41">
        <v>1270.0999999999999</v>
      </c>
      <c r="M41">
        <v>46.9</v>
      </c>
      <c r="N41" t="s">
        <v>128</v>
      </c>
      <c r="O41" t="s">
        <v>128</v>
      </c>
      <c r="P41">
        <v>0.67617780391353921</v>
      </c>
      <c r="Q41">
        <v>1.669383134239443</v>
      </c>
      <c r="R41">
        <v>1.9165811663535497</v>
      </c>
      <c r="S41">
        <v>1.2949065712150347</v>
      </c>
      <c r="T41">
        <v>1.4588429315566487</v>
      </c>
      <c r="U41">
        <v>2.2713440906314473</v>
      </c>
    </row>
    <row r="42" spans="1:24" x14ac:dyDescent="0.2">
      <c r="A42" t="s">
        <v>105</v>
      </c>
      <c r="B42" t="s">
        <v>67</v>
      </c>
      <c r="C42" t="s">
        <v>74</v>
      </c>
      <c r="D42">
        <v>1</v>
      </c>
      <c r="E42" t="s">
        <v>15</v>
      </c>
      <c r="F42">
        <v>776</v>
      </c>
      <c r="G42">
        <v>78</v>
      </c>
      <c r="H42">
        <v>3048</v>
      </c>
      <c r="I42" s="1">
        <v>57112.2</v>
      </c>
      <c r="J42">
        <v>100</v>
      </c>
      <c r="K42">
        <v>17.600000000000001</v>
      </c>
      <c r="L42">
        <v>309.8</v>
      </c>
      <c r="M42">
        <v>36.1</v>
      </c>
      <c r="N42" t="s">
        <v>129</v>
      </c>
      <c r="O42" t="s">
        <v>129</v>
      </c>
      <c r="P42">
        <v>0.81663827381871568</v>
      </c>
      <c r="Q42">
        <v>1.7190893757630481</v>
      </c>
      <c r="R42">
        <v>3.8602185325350011</v>
      </c>
      <c r="S42">
        <v>1.2909324319924333</v>
      </c>
      <c r="T42">
        <v>1.3846841729343495</v>
      </c>
      <c r="U42">
        <v>2.0937373205309391</v>
      </c>
    </row>
    <row r="43" spans="1:24" x14ac:dyDescent="0.2">
      <c r="A43" t="s">
        <v>105</v>
      </c>
      <c r="B43" t="s">
        <v>67</v>
      </c>
      <c r="C43" t="s">
        <v>75</v>
      </c>
      <c r="D43">
        <v>1</v>
      </c>
      <c r="E43" t="s">
        <v>15</v>
      </c>
      <c r="F43">
        <v>771</v>
      </c>
      <c r="G43">
        <v>78</v>
      </c>
      <c r="H43">
        <v>5742.3</v>
      </c>
      <c r="I43" s="1">
        <v>105554</v>
      </c>
      <c r="J43">
        <v>100</v>
      </c>
      <c r="K43">
        <v>17.3</v>
      </c>
      <c r="L43">
        <v>560.9</v>
      </c>
      <c r="M43">
        <v>44.6</v>
      </c>
      <c r="N43" t="s">
        <v>130</v>
      </c>
      <c r="O43" t="s">
        <v>130</v>
      </c>
      <c r="P43">
        <v>0.57471813463696286</v>
      </c>
      <c r="Q43">
        <v>2.1535137662828725</v>
      </c>
      <c r="R43">
        <v>16.557057024952698</v>
      </c>
      <c r="S43">
        <v>1.7740088787387462</v>
      </c>
      <c r="T43">
        <v>4.8198035223392024</v>
      </c>
      <c r="U43">
        <v>11.617669649505428</v>
      </c>
    </row>
    <row r="44" spans="1:24" x14ac:dyDescent="0.2">
      <c r="A44" t="s">
        <v>105</v>
      </c>
      <c r="B44" t="s">
        <v>67</v>
      </c>
      <c r="C44" t="s">
        <v>76</v>
      </c>
      <c r="D44">
        <v>2</v>
      </c>
      <c r="E44" t="s">
        <v>15</v>
      </c>
      <c r="F44">
        <v>773</v>
      </c>
      <c r="G44">
        <v>74</v>
      </c>
      <c r="H44">
        <v>13631.1</v>
      </c>
      <c r="I44" s="1">
        <v>265029.8</v>
      </c>
      <c r="J44">
        <v>100</v>
      </c>
      <c r="K44">
        <v>18.3</v>
      </c>
      <c r="L44">
        <v>1321.2</v>
      </c>
      <c r="M44">
        <v>47</v>
      </c>
      <c r="N44" t="s">
        <v>131</v>
      </c>
      <c r="O44" t="s">
        <v>131</v>
      </c>
      <c r="P44">
        <v>0.55608674780813849</v>
      </c>
      <c r="Q44">
        <v>1.7798560950716813</v>
      </c>
      <c r="R44">
        <v>10.332910601549269</v>
      </c>
      <c r="S44">
        <v>1.6942150568700036</v>
      </c>
      <c r="T44">
        <v>2.4573648582726553</v>
      </c>
      <c r="U44">
        <v>5.6099939731019859</v>
      </c>
    </row>
    <row r="45" spans="1:24" x14ac:dyDescent="0.2">
      <c r="A45" t="s">
        <v>112</v>
      </c>
      <c r="B45" t="s">
        <v>67</v>
      </c>
      <c r="C45" t="s">
        <v>132</v>
      </c>
      <c r="D45">
        <v>1</v>
      </c>
      <c r="E45" t="s">
        <v>15</v>
      </c>
      <c r="F45">
        <v>766</v>
      </c>
      <c r="G45">
        <v>79</v>
      </c>
      <c r="H45">
        <v>6849.4</v>
      </c>
      <c r="I45" s="1">
        <v>127571.1</v>
      </c>
      <c r="J45">
        <v>100</v>
      </c>
      <c r="K45">
        <v>17.5</v>
      </c>
      <c r="L45">
        <v>675.1</v>
      </c>
      <c r="M45">
        <v>41.8</v>
      </c>
      <c r="N45" t="s">
        <v>133</v>
      </c>
      <c r="O45" t="s">
        <v>133</v>
      </c>
      <c r="P45">
        <v>0.95115975098528505</v>
      </c>
      <c r="Q45">
        <v>2.0003150831195478</v>
      </c>
      <c r="R45">
        <v>10.347623419988537</v>
      </c>
      <c r="S45">
        <v>1.4486335879076528</v>
      </c>
      <c r="T45">
        <v>0.91516817071685019</v>
      </c>
      <c r="U45">
        <v>1.2388070082965545</v>
      </c>
    </row>
    <row r="46" spans="1:24" x14ac:dyDescent="0.2">
      <c r="A46" t="s">
        <v>112</v>
      </c>
      <c r="B46" t="s">
        <v>67</v>
      </c>
      <c r="C46" t="s">
        <v>134</v>
      </c>
      <c r="D46">
        <v>2</v>
      </c>
      <c r="E46" t="s">
        <v>15</v>
      </c>
      <c r="F46">
        <v>762</v>
      </c>
      <c r="G46">
        <v>78</v>
      </c>
      <c r="H46">
        <v>10786.2</v>
      </c>
      <c r="I46" s="1">
        <v>198785.5</v>
      </c>
      <c r="J46">
        <v>100</v>
      </c>
      <c r="K46">
        <v>17.3</v>
      </c>
      <c r="L46">
        <v>1199.9000000000001</v>
      </c>
      <c r="M46">
        <v>58.1</v>
      </c>
      <c r="N46" t="s">
        <v>135</v>
      </c>
      <c r="O46" t="s">
        <v>135</v>
      </c>
      <c r="P46">
        <v>1.9937392287572873</v>
      </c>
      <c r="Q46">
        <v>2.1722664425439944</v>
      </c>
      <c r="R46">
        <v>43.611255135030341</v>
      </c>
      <c r="S46">
        <v>1.835325110993052</v>
      </c>
      <c r="T46">
        <v>2.2475199707131872</v>
      </c>
      <c r="U46">
        <v>3.6946380976582538</v>
      </c>
    </row>
    <row r="47" spans="1:24" x14ac:dyDescent="0.2">
      <c r="A47" t="s">
        <v>107</v>
      </c>
      <c r="B47" t="s">
        <v>77</v>
      </c>
      <c r="C47" t="s">
        <v>79</v>
      </c>
      <c r="D47">
        <v>1</v>
      </c>
      <c r="E47" t="s">
        <v>16</v>
      </c>
      <c r="F47">
        <v>740</v>
      </c>
      <c r="G47">
        <v>58</v>
      </c>
      <c r="H47">
        <v>46279.8</v>
      </c>
      <c r="I47" s="1">
        <v>1063048.6000000001</v>
      </c>
      <c r="J47">
        <v>100</v>
      </c>
      <c r="K47">
        <v>21.6</v>
      </c>
      <c r="L47">
        <v>188.5</v>
      </c>
      <c r="M47">
        <v>2539.1999999999998</v>
      </c>
      <c r="N47" t="s">
        <v>136</v>
      </c>
      <c r="O47" t="s">
        <v>136</v>
      </c>
      <c r="P47">
        <v>1.1890682864289752</v>
      </c>
      <c r="Q47">
        <v>1.8570967841432087</v>
      </c>
      <c r="R47">
        <v>0.93731800785323227</v>
      </c>
      <c r="S47">
        <v>1.1305214605386464</v>
      </c>
      <c r="T47">
        <v>1.2006694624442398</v>
      </c>
      <c r="U47">
        <v>1.8734215015406093</v>
      </c>
    </row>
    <row r="48" spans="1:24" x14ac:dyDescent="0.2">
      <c r="A48" t="s">
        <v>109</v>
      </c>
      <c r="B48" t="s">
        <v>77</v>
      </c>
      <c r="C48" t="s">
        <v>81</v>
      </c>
      <c r="D48">
        <v>1</v>
      </c>
      <c r="E48" t="s">
        <v>16</v>
      </c>
      <c r="F48">
        <v>734</v>
      </c>
      <c r="G48">
        <v>58</v>
      </c>
      <c r="H48">
        <v>44002.5</v>
      </c>
      <c r="I48" s="1">
        <v>895633.8</v>
      </c>
      <c r="J48">
        <v>100</v>
      </c>
      <c r="K48">
        <v>19.100000000000001</v>
      </c>
      <c r="L48">
        <v>230.1</v>
      </c>
      <c r="M48">
        <v>2116.6999999999998</v>
      </c>
    </row>
    <row r="49" spans="1:13" x14ac:dyDescent="0.2">
      <c r="A49" t="s">
        <v>109</v>
      </c>
      <c r="B49" t="s">
        <v>77</v>
      </c>
      <c r="C49" t="s">
        <v>82</v>
      </c>
      <c r="D49">
        <v>1</v>
      </c>
      <c r="E49" t="s">
        <v>16</v>
      </c>
      <c r="F49">
        <v>738</v>
      </c>
      <c r="G49">
        <v>59</v>
      </c>
      <c r="H49">
        <v>43474.6</v>
      </c>
      <c r="I49" s="1">
        <v>871174.4</v>
      </c>
      <c r="J49">
        <v>100</v>
      </c>
      <c r="K49">
        <v>18.8</v>
      </c>
      <c r="L49">
        <v>260.2</v>
      </c>
      <c r="M49">
        <v>2449.6</v>
      </c>
    </row>
    <row r="50" spans="1:13" x14ac:dyDescent="0.2">
      <c r="A50" t="s">
        <v>109</v>
      </c>
      <c r="B50" t="s">
        <v>77</v>
      </c>
      <c r="C50" t="s">
        <v>83</v>
      </c>
      <c r="D50">
        <v>1</v>
      </c>
      <c r="E50" t="s">
        <v>16</v>
      </c>
      <c r="F50">
        <v>738</v>
      </c>
      <c r="G50">
        <v>58</v>
      </c>
      <c r="H50">
        <v>45635</v>
      </c>
      <c r="I50" s="1">
        <v>1013828.6</v>
      </c>
      <c r="J50">
        <v>100</v>
      </c>
      <c r="K50">
        <v>20.9</v>
      </c>
      <c r="L50">
        <v>220.1</v>
      </c>
      <c r="M50">
        <v>2574.6</v>
      </c>
    </row>
    <row r="51" spans="1:13" x14ac:dyDescent="0.2">
      <c r="A51" t="s">
        <v>105</v>
      </c>
      <c r="B51" t="s">
        <v>77</v>
      </c>
      <c r="C51" t="s">
        <v>84</v>
      </c>
      <c r="D51">
        <v>1</v>
      </c>
      <c r="E51" t="s">
        <v>16</v>
      </c>
      <c r="F51">
        <v>736</v>
      </c>
      <c r="G51">
        <v>58</v>
      </c>
      <c r="H51">
        <v>34660.1</v>
      </c>
      <c r="I51" s="1">
        <v>696765.5</v>
      </c>
      <c r="J51">
        <v>100</v>
      </c>
      <c r="K51">
        <v>18.899999999999999</v>
      </c>
      <c r="L51">
        <v>225.7</v>
      </c>
      <c r="M51">
        <v>2214.1</v>
      </c>
    </row>
    <row r="52" spans="1:13" x14ac:dyDescent="0.2">
      <c r="A52" t="s">
        <v>105</v>
      </c>
      <c r="B52" t="s">
        <v>77</v>
      </c>
      <c r="C52" t="s">
        <v>85</v>
      </c>
      <c r="D52">
        <v>1</v>
      </c>
      <c r="E52" t="s">
        <v>16</v>
      </c>
      <c r="F52">
        <v>735</v>
      </c>
      <c r="G52">
        <v>59</v>
      </c>
      <c r="H52">
        <v>36382</v>
      </c>
      <c r="I52" s="1">
        <v>687479.9</v>
      </c>
      <c r="J52">
        <v>100</v>
      </c>
      <c r="K52">
        <v>17.8</v>
      </c>
      <c r="L52">
        <v>244.9</v>
      </c>
      <c r="M52">
        <v>2161.6</v>
      </c>
    </row>
    <row r="53" spans="1:13" x14ac:dyDescent="0.2">
      <c r="A53" t="s">
        <v>105</v>
      </c>
      <c r="B53" t="s">
        <v>77</v>
      </c>
      <c r="C53" t="s">
        <v>86</v>
      </c>
      <c r="D53">
        <v>1</v>
      </c>
      <c r="E53" t="s">
        <v>16</v>
      </c>
      <c r="F53">
        <v>733</v>
      </c>
      <c r="G53">
        <v>59</v>
      </c>
      <c r="H53">
        <v>36397.300000000003</v>
      </c>
      <c r="I53" s="1">
        <v>751832.8</v>
      </c>
      <c r="J53">
        <v>100</v>
      </c>
      <c r="K53">
        <v>19.399999999999999</v>
      </c>
      <c r="L53">
        <v>192.8</v>
      </c>
      <c r="M53">
        <v>2701.9</v>
      </c>
    </row>
    <row r="54" spans="1:13" x14ac:dyDescent="0.2">
      <c r="A54" t="s">
        <v>112</v>
      </c>
      <c r="B54" t="s">
        <v>77</v>
      </c>
      <c r="C54" t="s">
        <v>137</v>
      </c>
      <c r="D54">
        <v>1</v>
      </c>
      <c r="E54" t="s">
        <v>16</v>
      </c>
      <c r="F54">
        <v>726</v>
      </c>
      <c r="G54">
        <v>58</v>
      </c>
      <c r="H54">
        <v>35041.800000000003</v>
      </c>
      <c r="I54" s="1">
        <v>701499</v>
      </c>
      <c r="J54">
        <v>100</v>
      </c>
      <c r="K54">
        <v>18.8</v>
      </c>
      <c r="L54">
        <v>210.1</v>
      </c>
      <c r="M54">
        <v>2073.6999999999998</v>
      </c>
    </row>
    <row r="55" spans="1:13" x14ac:dyDescent="0.2">
      <c r="A55" t="s">
        <v>112</v>
      </c>
      <c r="B55" t="s">
        <v>77</v>
      </c>
      <c r="C55" t="s">
        <v>138</v>
      </c>
      <c r="D55">
        <v>1</v>
      </c>
      <c r="E55" t="s">
        <v>16</v>
      </c>
      <c r="F55">
        <v>727</v>
      </c>
      <c r="G55">
        <v>58</v>
      </c>
      <c r="H55">
        <v>44002.1</v>
      </c>
      <c r="I55" s="1">
        <v>948011.4</v>
      </c>
      <c r="J55">
        <v>100</v>
      </c>
      <c r="K55">
        <v>20.2</v>
      </c>
      <c r="L55">
        <v>202.1</v>
      </c>
      <c r="M55">
        <v>2540.1</v>
      </c>
    </row>
    <row r="56" spans="1:13" x14ac:dyDescent="0.2">
      <c r="A56" t="s">
        <v>107</v>
      </c>
      <c r="B56" t="s">
        <v>139</v>
      </c>
      <c r="C56" t="s">
        <v>91</v>
      </c>
      <c r="D56">
        <v>1</v>
      </c>
      <c r="E56" t="s">
        <v>58</v>
      </c>
      <c r="F56">
        <v>681</v>
      </c>
      <c r="G56">
        <v>42</v>
      </c>
      <c r="H56">
        <v>9412.2999999999993</v>
      </c>
      <c r="I56" s="1">
        <v>103636.2</v>
      </c>
      <c r="J56">
        <v>100</v>
      </c>
      <c r="K56">
        <v>10.3</v>
      </c>
      <c r="L56">
        <v>1604.3</v>
      </c>
      <c r="M56">
        <v>21.3</v>
      </c>
    </row>
    <row r="57" spans="1:13" x14ac:dyDescent="0.2">
      <c r="A57" t="s">
        <v>109</v>
      </c>
      <c r="B57" t="s">
        <v>139</v>
      </c>
      <c r="C57" t="s">
        <v>93</v>
      </c>
      <c r="D57">
        <v>1</v>
      </c>
      <c r="E57" t="s">
        <v>58</v>
      </c>
      <c r="F57">
        <v>682</v>
      </c>
      <c r="G57">
        <v>42</v>
      </c>
      <c r="H57">
        <v>3100.5</v>
      </c>
      <c r="I57" s="1">
        <v>35810.400000000001</v>
      </c>
      <c r="J57">
        <v>100</v>
      </c>
      <c r="K57">
        <v>10.9</v>
      </c>
      <c r="L57">
        <v>699.7</v>
      </c>
      <c r="M57">
        <v>18.2</v>
      </c>
    </row>
    <row r="58" spans="1:13" x14ac:dyDescent="0.2">
      <c r="A58" t="s">
        <v>109</v>
      </c>
      <c r="B58" t="s">
        <v>139</v>
      </c>
      <c r="C58" t="s">
        <v>94</v>
      </c>
      <c r="D58">
        <v>1</v>
      </c>
      <c r="E58" t="s">
        <v>58</v>
      </c>
      <c r="F58">
        <v>676</v>
      </c>
      <c r="G58">
        <v>42</v>
      </c>
      <c r="H58">
        <v>5304.5</v>
      </c>
      <c r="I58" s="1">
        <v>58217.7</v>
      </c>
      <c r="J58">
        <v>100</v>
      </c>
      <c r="K58">
        <v>10.3</v>
      </c>
      <c r="L58">
        <v>1174.2</v>
      </c>
      <c r="M58">
        <v>19.600000000000001</v>
      </c>
    </row>
    <row r="59" spans="1:13" x14ac:dyDescent="0.2">
      <c r="A59" t="s">
        <v>109</v>
      </c>
      <c r="B59" t="s">
        <v>139</v>
      </c>
      <c r="C59" t="s">
        <v>98</v>
      </c>
      <c r="D59">
        <v>1</v>
      </c>
      <c r="E59" t="s">
        <v>58</v>
      </c>
      <c r="F59">
        <v>678</v>
      </c>
      <c r="G59">
        <v>43</v>
      </c>
      <c r="H59">
        <v>6320.1</v>
      </c>
      <c r="I59" s="1">
        <v>71379.3</v>
      </c>
      <c r="J59">
        <v>100</v>
      </c>
      <c r="K59">
        <v>10.6</v>
      </c>
      <c r="L59">
        <v>1183.9000000000001</v>
      </c>
      <c r="M59">
        <v>21.5</v>
      </c>
    </row>
    <row r="60" spans="1:13" x14ac:dyDescent="0.2">
      <c r="A60" t="s">
        <v>105</v>
      </c>
      <c r="B60" t="s">
        <v>139</v>
      </c>
      <c r="C60" t="s">
        <v>99</v>
      </c>
      <c r="D60">
        <v>1</v>
      </c>
      <c r="E60" t="s">
        <v>58</v>
      </c>
      <c r="F60">
        <v>674</v>
      </c>
      <c r="G60">
        <v>43</v>
      </c>
      <c r="H60">
        <v>1284</v>
      </c>
      <c r="I60" s="1">
        <v>14093.4</v>
      </c>
      <c r="J60">
        <v>100</v>
      </c>
      <c r="K60">
        <v>10.3</v>
      </c>
      <c r="L60">
        <v>247.5</v>
      </c>
      <c r="M60">
        <v>19.8</v>
      </c>
    </row>
    <row r="61" spans="1:13" x14ac:dyDescent="0.2">
      <c r="A61" t="s">
        <v>105</v>
      </c>
      <c r="B61" t="s">
        <v>139</v>
      </c>
      <c r="C61" t="s">
        <v>100</v>
      </c>
      <c r="D61">
        <v>1</v>
      </c>
      <c r="E61" t="s">
        <v>58</v>
      </c>
      <c r="F61">
        <v>675</v>
      </c>
      <c r="G61">
        <v>43</v>
      </c>
      <c r="H61">
        <v>2707.7</v>
      </c>
      <c r="I61" s="1">
        <v>27274</v>
      </c>
      <c r="J61">
        <v>100</v>
      </c>
      <c r="K61">
        <v>9.5</v>
      </c>
      <c r="L61">
        <v>530.70000000000005</v>
      </c>
      <c r="M61">
        <v>14.5</v>
      </c>
    </row>
    <row r="62" spans="1:13" x14ac:dyDescent="0.2">
      <c r="A62" t="s">
        <v>105</v>
      </c>
      <c r="B62" t="s">
        <v>139</v>
      </c>
      <c r="C62" t="s">
        <v>101</v>
      </c>
      <c r="D62">
        <v>1</v>
      </c>
      <c r="E62" t="s">
        <v>58</v>
      </c>
      <c r="F62">
        <v>680</v>
      </c>
      <c r="G62">
        <v>42</v>
      </c>
      <c r="H62">
        <v>7116.4</v>
      </c>
      <c r="I62" s="1">
        <v>80090.100000000006</v>
      </c>
      <c r="J62">
        <v>100</v>
      </c>
      <c r="K62">
        <v>10.6</v>
      </c>
      <c r="L62">
        <v>2088.1</v>
      </c>
      <c r="M62">
        <v>18.3</v>
      </c>
    </row>
    <row r="63" spans="1:13" x14ac:dyDescent="0.2">
      <c r="A63" t="s">
        <v>112</v>
      </c>
      <c r="B63" t="s">
        <v>139</v>
      </c>
      <c r="C63" t="s">
        <v>140</v>
      </c>
      <c r="D63">
        <v>1</v>
      </c>
      <c r="E63" t="s">
        <v>58</v>
      </c>
      <c r="F63">
        <v>671</v>
      </c>
      <c r="G63">
        <v>42</v>
      </c>
      <c r="H63">
        <v>2628.7</v>
      </c>
      <c r="I63" s="1">
        <v>30428.6</v>
      </c>
      <c r="J63">
        <v>100</v>
      </c>
      <c r="K63">
        <v>10.9</v>
      </c>
      <c r="L63">
        <v>540.9</v>
      </c>
      <c r="M63">
        <v>15.4</v>
      </c>
    </row>
    <row r="64" spans="1:13" x14ac:dyDescent="0.2">
      <c r="A64" t="s">
        <v>112</v>
      </c>
      <c r="B64" t="s">
        <v>139</v>
      </c>
      <c r="C64" t="s">
        <v>141</v>
      </c>
      <c r="D64">
        <v>1</v>
      </c>
      <c r="E64" t="s">
        <v>58</v>
      </c>
      <c r="F64">
        <v>666</v>
      </c>
      <c r="G64">
        <v>43</v>
      </c>
      <c r="H64">
        <v>7094.4</v>
      </c>
      <c r="I64" s="1">
        <v>76874.8</v>
      </c>
      <c r="J64">
        <v>100</v>
      </c>
      <c r="K64">
        <v>10.199999999999999</v>
      </c>
      <c r="L64">
        <v>1570.8</v>
      </c>
      <c r="M64">
        <v>17</v>
      </c>
    </row>
    <row r="65" spans="1:13" x14ac:dyDescent="0.2">
      <c r="A65" t="s">
        <v>107</v>
      </c>
      <c r="B65" t="s">
        <v>45</v>
      </c>
      <c r="C65" t="s">
        <v>142</v>
      </c>
      <c r="D65">
        <v>2</v>
      </c>
      <c r="F65">
        <v>513</v>
      </c>
      <c r="G65">
        <v>14</v>
      </c>
      <c r="H65">
        <v>29393.9</v>
      </c>
      <c r="I65" s="1">
        <v>278173.09999999998</v>
      </c>
      <c r="K65">
        <v>8.9</v>
      </c>
      <c r="L65">
        <v>2573.5</v>
      </c>
      <c r="M65">
        <v>42.1</v>
      </c>
    </row>
    <row r="66" spans="1:13" x14ac:dyDescent="0.2">
      <c r="A66" t="s">
        <v>107</v>
      </c>
      <c r="B66" t="s">
        <v>45</v>
      </c>
      <c r="C66" t="s">
        <v>142</v>
      </c>
      <c r="D66">
        <v>3</v>
      </c>
      <c r="E66" t="s">
        <v>47</v>
      </c>
      <c r="F66">
        <v>536</v>
      </c>
      <c r="G66">
        <v>18</v>
      </c>
      <c r="H66">
        <v>42919.9</v>
      </c>
      <c r="I66" s="1">
        <v>357985</v>
      </c>
      <c r="J66">
        <v>100</v>
      </c>
      <c r="K66">
        <v>7.8</v>
      </c>
      <c r="L66">
        <v>3728.8</v>
      </c>
      <c r="M66">
        <v>48.4</v>
      </c>
    </row>
    <row r="67" spans="1:13" x14ac:dyDescent="0.2">
      <c r="A67" t="s">
        <v>109</v>
      </c>
      <c r="B67" t="s">
        <v>45</v>
      </c>
      <c r="C67" t="s">
        <v>143</v>
      </c>
      <c r="D67">
        <v>1</v>
      </c>
      <c r="E67" t="s">
        <v>47</v>
      </c>
      <c r="F67">
        <v>535</v>
      </c>
      <c r="G67">
        <v>17</v>
      </c>
      <c r="H67">
        <v>49766.5</v>
      </c>
      <c r="I67" s="1">
        <v>1023047.3</v>
      </c>
      <c r="J67">
        <v>100</v>
      </c>
      <c r="K67">
        <v>19.3</v>
      </c>
      <c r="L67">
        <v>5873.5</v>
      </c>
      <c r="M67">
        <v>41</v>
      </c>
    </row>
    <row r="68" spans="1:13" x14ac:dyDescent="0.2">
      <c r="A68" t="s">
        <v>109</v>
      </c>
      <c r="B68" t="s">
        <v>45</v>
      </c>
      <c r="C68" t="s">
        <v>144</v>
      </c>
      <c r="D68">
        <v>1</v>
      </c>
      <c r="F68">
        <v>512</v>
      </c>
      <c r="G68">
        <v>15</v>
      </c>
      <c r="H68">
        <v>30765.5</v>
      </c>
      <c r="I68" s="1">
        <v>361212.2</v>
      </c>
      <c r="K68">
        <v>11</v>
      </c>
      <c r="L68">
        <v>3825.9</v>
      </c>
      <c r="M68">
        <v>31.6</v>
      </c>
    </row>
    <row r="69" spans="1:13" x14ac:dyDescent="0.2">
      <c r="A69" t="s">
        <v>109</v>
      </c>
      <c r="B69" t="s">
        <v>45</v>
      </c>
      <c r="C69" t="s">
        <v>144</v>
      </c>
      <c r="D69">
        <v>2</v>
      </c>
      <c r="E69" t="s">
        <v>47</v>
      </c>
      <c r="F69">
        <v>530</v>
      </c>
      <c r="G69">
        <v>18</v>
      </c>
      <c r="H69">
        <v>50544.9</v>
      </c>
      <c r="I69" s="1">
        <v>450480.3</v>
      </c>
      <c r="J69">
        <v>100</v>
      </c>
      <c r="K69">
        <v>8.4</v>
      </c>
      <c r="L69">
        <v>6673.2</v>
      </c>
      <c r="M69">
        <v>33.799999999999997</v>
      </c>
    </row>
    <row r="70" spans="1:13" x14ac:dyDescent="0.2">
      <c r="A70" t="s">
        <v>109</v>
      </c>
      <c r="B70" t="s">
        <v>45</v>
      </c>
      <c r="C70" t="s">
        <v>145</v>
      </c>
      <c r="D70">
        <v>3</v>
      </c>
      <c r="F70">
        <v>507</v>
      </c>
      <c r="G70">
        <v>15</v>
      </c>
      <c r="H70">
        <v>18789.599999999999</v>
      </c>
      <c r="I70" s="1">
        <v>230058.4</v>
      </c>
      <c r="K70">
        <v>11.5</v>
      </c>
      <c r="L70">
        <v>1877.3</v>
      </c>
      <c r="M70">
        <v>30.2</v>
      </c>
    </row>
    <row r="71" spans="1:13" x14ac:dyDescent="0.2">
      <c r="A71" t="s">
        <v>109</v>
      </c>
      <c r="B71" t="s">
        <v>45</v>
      </c>
      <c r="C71" t="s">
        <v>145</v>
      </c>
      <c r="D71">
        <v>4</v>
      </c>
      <c r="E71" t="s">
        <v>47</v>
      </c>
      <c r="F71">
        <v>528</v>
      </c>
      <c r="G71">
        <v>18</v>
      </c>
      <c r="H71">
        <v>68550.5</v>
      </c>
      <c r="I71" s="1">
        <v>687319</v>
      </c>
      <c r="J71">
        <v>100</v>
      </c>
      <c r="K71">
        <v>9.4</v>
      </c>
      <c r="L71">
        <v>7531.5</v>
      </c>
      <c r="M71">
        <v>32.799999999999997</v>
      </c>
    </row>
    <row r="72" spans="1:13" x14ac:dyDescent="0.2">
      <c r="A72" t="s">
        <v>105</v>
      </c>
      <c r="B72" t="s">
        <v>45</v>
      </c>
      <c r="C72" t="s">
        <v>146</v>
      </c>
      <c r="D72">
        <v>1</v>
      </c>
      <c r="E72" t="s">
        <v>47</v>
      </c>
      <c r="F72">
        <v>528</v>
      </c>
      <c r="G72">
        <v>17</v>
      </c>
      <c r="H72">
        <v>56624.1</v>
      </c>
      <c r="I72" s="1">
        <v>1005051.6</v>
      </c>
      <c r="J72">
        <v>100</v>
      </c>
      <c r="K72">
        <v>16.7</v>
      </c>
      <c r="L72">
        <v>7322.3</v>
      </c>
      <c r="M72">
        <v>34.1</v>
      </c>
    </row>
    <row r="73" spans="1:13" x14ac:dyDescent="0.2">
      <c r="A73" t="s">
        <v>105</v>
      </c>
      <c r="B73" t="s">
        <v>45</v>
      </c>
      <c r="C73" t="s">
        <v>147</v>
      </c>
      <c r="D73">
        <v>1</v>
      </c>
      <c r="F73">
        <v>513</v>
      </c>
      <c r="G73">
        <v>15</v>
      </c>
      <c r="H73">
        <v>38870.9</v>
      </c>
      <c r="I73" s="1">
        <v>468992.7</v>
      </c>
      <c r="K73">
        <v>11.3</v>
      </c>
      <c r="L73">
        <v>2099.4</v>
      </c>
      <c r="M73">
        <v>35.5</v>
      </c>
    </row>
    <row r="74" spans="1:13" x14ac:dyDescent="0.2">
      <c r="A74" t="s">
        <v>105</v>
      </c>
      <c r="B74" t="s">
        <v>45</v>
      </c>
      <c r="C74" t="s">
        <v>147</v>
      </c>
      <c r="D74">
        <v>2</v>
      </c>
      <c r="E74" t="s">
        <v>47</v>
      </c>
      <c r="F74">
        <v>526</v>
      </c>
      <c r="G74">
        <v>17</v>
      </c>
      <c r="H74">
        <v>50757.5</v>
      </c>
      <c r="I74" s="1">
        <v>470221.8</v>
      </c>
      <c r="J74">
        <v>100</v>
      </c>
      <c r="K74">
        <v>8.6999999999999993</v>
      </c>
      <c r="L74">
        <v>7710.8</v>
      </c>
      <c r="M74">
        <v>36.299999999999997</v>
      </c>
    </row>
    <row r="75" spans="1:13" x14ac:dyDescent="0.2">
      <c r="A75" t="s">
        <v>105</v>
      </c>
      <c r="B75" t="s">
        <v>45</v>
      </c>
      <c r="C75" t="s">
        <v>148</v>
      </c>
      <c r="D75">
        <v>3</v>
      </c>
      <c r="E75" t="s">
        <v>47</v>
      </c>
      <c r="F75">
        <v>514</v>
      </c>
      <c r="G75">
        <v>16</v>
      </c>
      <c r="H75">
        <v>30378.400000000001</v>
      </c>
      <c r="I75" s="1">
        <v>280122.09999999998</v>
      </c>
      <c r="J75">
        <v>100</v>
      </c>
      <c r="K75">
        <v>8.6999999999999993</v>
      </c>
      <c r="L75">
        <v>3104.3</v>
      </c>
      <c r="M75">
        <v>28.7</v>
      </c>
    </row>
    <row r="76" spans="1:13" x14ac:dyDescent="0.2">
      <c r="A76" t="s">
        <v>105</v>
      </c>
      <c r="B76" t="s">
        <v>45</v>
      </c>
      <c r="C76" t="s">
        <v>148</v>
      </c>
      <c r="D76">
        <v>4</v>
      </c>
      <c r="F76">
        <v>535</v>
      </c>
      <c r="G76">
        <v>19</v>
      </c>
      <c r="H76">
        <v>40014.6</v>
      </c>
      <c r="I76" s="1">
        <v>328904.2</v>
      </c>
      <c r="K76">
        <v>7.7</v>
      </c>
      <c r="L76">
        <v>3984.2</v>
      </c>
      <c r="M76">
        <v>31.9</v>
      </c>
    </row>
    <row r="77" spans="1:13" x14ac:dyDescent="0.2">
      <c r="A77" t="s">
        <v>112</v>
      </c>
      <c r="B77" t="s">
        <v>45</v>
      </c>
      <c r="C77" t="s">
        <v>149</v>
      </c>
      <c r="D77">
        <v>1</v>
      </c>
      <c r="F77">
        <v>511</v>
      </c>
      <c r="G77">
        <v>14</v>
      </c>
      <c r="H77">
        <v>31220</v>
      </c>
      <c r="I77" s="1">
        <v>325989.5</v>
      </c>
      <c r="K77">
        <v>9.8000000000000007</v>
      </c>
      <c r="L77">
        <v>4460.3</v>
      </c>
      <c r="M77">
        <v>41.1</v>
      </c>
    </row>
    <row r="78" spans="1:13" x14ac:dyDescent="0.2">
      <c r="A78" t="s">
        <v>112</v>
      </c>
      <c r="B78" t="s">
        <v>45</v>
      </c>
      <c r="C78" t="s">
        <v>149</v>
      </c>
      <c r="D78">
        <v>2</v>
      </c>
      <c r="E78" t="s">
        <v>47</v>
      </c>
      <c r="F78">
        <v>532</v>
      </c>
      <c r="G78">
        <v>18</v>
      </c>
      <c r="H78">
        <v>43601.4</v>
      </c>
      <c r="I78" s="1">
        <v>364103.2</v>
      </c>
      <c r="J78">
        <v>100</v>
      </c>
      <c r="K78">
        <v>7.8</v>
      </c>
      <c r="L78">
        <v>6296.4</v>
      </c>
      <c r="M78">
        <v>45.2</v>
      </c>
    </row>
    <row r="79" spans="1:13" x14ac:dyDescent="0.2">
      <c r="A79" t="s">
        <v>112</v>
      </c>
      <c r="B79" t="s">
        <v>45</v>
      </c>
      <c r="C79" t="s">
        <v>150</v>
      </c>
      <c r="D79">
        <v>1</v>
      </c>
      <c r="F79">
        <v>507</v>
      </c>
      <c r="G79">
        <v>14</v>
      </c>
      <c r="H79">
        <v>11542.5</v>
      </c>
      <c r="I79" s="1">
        <v>120422.2</v>
      </c>
      <c r="K79">
        <v>9.8000000000000007</v>
      </c>
      <c r="L79">
        <v>1209.5999999999999</v>
      </c>
      <c r="M79">
        <v>36.9</v>
      </c>
    </row>
    <row r="80" spans="1:13" x14ac:dyDescent="0.2">
      <c r="A80" t="s">
        <v>112</v>
      </c>
      <c r="B80" t="s">
        <v>45</v>
      </c>
      <c r="C80" t="s">
        <v>150</v>
      </c>
      <c r="D80">
        <v>2</v>
      </c>
      <c r="E80" t="s">
        <v>47</v>
      </c>
      <c r="F80">
        <v>530</v>
      </c>
      <c r="G80">
        <v>18</v>
      </c>
      <c r="H80">
        <v>81737.2</v>
      </c>
      <c r="I80" s="1">
        <v>764770.1</v>
      </c>
      <c r="J80">
        <v>100</v>
      </c>
      <c r="K80">
        <v>8.8000000000000007</v>
      </c>
      <c r="L80">
        <v>9022.7000000000007</v>
      </c>
      <c r="M80">
        <v>41.6</v>
      </c>
    </row>
    <row r="83" spans="1:24" x14ac:dyDescent="0.2">
      <c r="D83" t="s">
        <v>142</v>
      </c>
      <c r="E83" t="s">
        <v>142</v>
      </c>
      <c r="F83" t="s">
        <v>143</v>
      </c>
      <c r="G83" t="s">
        <v>144</v>
      </c>
      <c r="H83" t="s">
        <v>144</v>
      </c>
      <c r="I83" t="s">
        <v>145</v>
      </c>
      <c r="J83" t="s">
        <v>145</v>
      </c>
      <c r="K83" t="s">
        <v>146</v>
      </c>
      <c r="L83" t="s">
        <v>147</v>
      </c>
      <c r="M83" t="s">
        <v>147</v>
      </c>
      <c r="N83" t="s">
        <v>148</v>
      </c>
      <c r="O83" t="s">
        <v>148</v>
      </c>
      <c r="P83" t="s">
        <v>149</v>
      </c>
      <c r="Q83" t="s">
        <v>149</v>
      </c>
      <c r="R83" t="s">
        <v>150</v>
      </c>
      <c r="S83" t="s">
        <v>150</v>
      </c>
    </row>
    <row r="84" spans="1:24" x14ac:dyDescent="0.2">
      <c r="D84" s="1">
        <v>278173.09999999998</v>
      </c>
      <c r="E84" s="1">
        <v>357985</v>
      </c>
      <c r="F84" s="1">
        <v>1023047.3</v>
      </c>
      <c r="G84" s="1">
        <v>361212.2</v>
      </c>
      <c r="H84" s="1">
        <v>450480.3</v>
      </c>
      <c r="I84" s="1">
        <v>230058.4</v>
      </c>
      <c r="J84" s="1">
        <v>687319</v>
      </c>
      <c r="K84" s="1">
        <v>1005051.6</v>
      </c>
      <c r="L84" s="1">
        <v>468992.7</v>
      </c>
      <c r="M84" s="1">
        <v>470221.8</v>
      </c>
      <c r="N84" s="1">
        <v>280122.09999999998</v>
      </c>
      <c r="O84" s="1">
        <v>328904.2</v>
      </c>
      <c r="P84" s="1">
        <v>325989.5</v>
      </c>
      <c r="Q84" s="1">
        <v>364103.2</v>
      </c>
      <c r="R84" s="1">
        <v>120422.2</v>
      </c>
      <c r="S84" s="1">
        <v>764770.1</v>
      </c>
      <c r="T84" s="1"/>
    </row>
    <row r="85" spans="1:24" x14ac:dyDescent="0.2">
      <c r="C85" t="s">
        <v>18</v>
      </c>
      <c r="D85">
        <f>SUM(D84:E84)</f>
        <v>636158.1</v>
      </c>
      <c r="G85">
        <f>SUM(G84:H84)</f>
        <v>811692.5</v>
      </c>
      <c r="I85" s="1">
        <f>SUM(I84:J84)</f>
        <v>917377.4</v>
      </c>
      <c r="L85">
        <f>SUM(L84:M84)</f>
        <v>939214.5</v>
      </c>
      <c r="N85">
        <f>SUM(N84:O84)</f>
        <v>609026.30000000005</v>
      </c>
      <c r="P85">
        <f>SUM(P84:Q84)</f>
        <v>690092.7</v>
      </c>
      <c r="R85">
        <f>SUM(R84:S84)</f>
        <v>885192.29999999993</v>
      </c>
    </row>
    <row r="86" spans="1:24" x14ac:dyDescent="0.2">
      <c r="C86">
        <v>10</v>
      </c>
      <c r="D86" s="1">
        <v>1023047.3</v>
      </c>
    </row>
    <row r="87" spans="1:24" x14ac:dyDescent="0.2">
      <c r="C87">
        <v>1</v>
      </c>
      <c r="D87">
        <v>811692.5</v>
      </c>
    </row>
    <row r="88" spans="1:24" x14ac:dyDescent="0.2">
      <c r="C88">
        <v>0.1</v>
      </c>
      <c r="D88">
        <v>917377.4</v>
      </c>
    </row>
    <row r="89" spans="1:24" x14ac:dyDescent="0.2">
      <c r="C89">
        <v>10</v>
      </c>
      <c r="D89" s="1">
        <v>1005051.6</v>
      </c>
    </row>
    <row r="90" spans="1:24" x14ac:dyDescent="0.2">
      <c r="C90">
        <v>1</v>
      </c>
      <c r="D90">
        <v>939214.5</v>
      </c>
    </row>
    <row r="91" spans="1:24" x14ac:dyDescent="0.2">
      <c r="C91">
        <v>0.1</v>
      </c>
      <c r="D91">
        <v>609026.30000000005</v>
      </c>
    </row>
    <row r="92" spans="1:24" x14ac:dyDescent="0.2">
      <c r="C92">
        <v>1</v>
      </c>
      <c r="D92">
        <v>690092.7</v>
      </c>
    </row>
    <row r="93" spans="1:24" x14ac:dyDescent="0.2">
      <c r="C93">
        <v>0.1</v>
      </c>
      <c r="D93">
        <v>885192.29999999993</v>
      </c>
    </row>
    <row r="95" spans="1:24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s="1" t="s">
        <v>8</v>
      </c>
      <c r="J95" t="s">
        <v>9</v>
      </c>
      <c r="K95" t="s">
        <v>102</v>
      </c>
      <c r="L95" t="s">
        <v>103</v>
      </c>
      <c r="M95" t="s">
        <v>10</v>
      </c>
    </row>
    <row r="96" spans="1:24" x14ac:dyDescent="0.2">
      <c r="A96" t="s">
        <v>151</v>
      </c>
      <c r="B96" t="s">
        <v>45</v>
      </c>
      <c r="C96" t="s">
        <v>152</v>
      </c>
      <c r="D96">
        <v>2</v>
      </c>
      <c r="F96">
        <v>524</v>
      </c>
      <c r="G96">
        <v>15</v>
      </c>
      <c r="H96">
        <v>35328.400000000001</v>
      </c>
      <c r="I96" s="1">
        <v>320842.09999999998</v>
      </c>
      <c r="K96">
        <v>8.5</v>
      </c>
      <c r="L96">
        <v>4795.3</v>
      </c>
      <c r="M96">
        <v>31.9</v>
      </c>
      <c r="N96" s="1">
        <v>320842.09999999998</v>
      </c>
      <c r="O96" s="1">
        <v>278173.09999999998</v>
      </c>
      <c r="P96" s="1">
        <v>281905.2</v>
      </c>
      <c r="Q96" s="1">
        <v>1023047.3</v>
      </c>
      <c r="R96" s="1">
        <v>361212.2</v>
      </c>
      <c r="S96" s="1">
        <v>230058.4</v>
      </c>
      <c r="T96" s="1">
        <v>1005051.6</v>
      </c>
      <c r="U96" s="1">
        <v>468992.7</v>
      </c>
      <c r="V96" s="1">
        <v>280122.09999999998</v>
      </c>
      <c r="W96" s="1">
        <v>325989.5</v>
      </c>
      <c r="X96" s="1">
        <v>120422.2</v>
      </c>
    </row>
    <row r="97" spans="1:24" x14ac:dyDescent="0.2">
      <c r="A97" t="s">
        <v>151</v>
      </c>
      <c r="B97" t="s">
        <v>45</v>
      </c>
      <c r="C97" t="s">
        <v>152</v>
      </c>
      <c r="D97">
        <v>3</v>
      </c>
      <c r="E97" t="s">
        <v>47</v>
      </c>
      <c r="F97">
        <v>543</v>
      </c>
      <c r="G97">
        <v>18</v>
      </c>
      <c r="H97">
        <v>37663.1</v>
      </c>
      <c r="I97" s="1">
        <v>309563.09999999998</v>
      </c>
      <c r="J97">
        <v>100</v>
      </c>
      <c r="K97">
        <v>7.7</v>
      </c>
      <c r="L97">
        <v>4943</v>
      </c>
      <c r="M97">
        <v>35.200000000000003</v>
      </c>
      <c r="N97" s="1">
        <v>309563.09999999998</v>
      </c>
      <c r="O97" s="1">
        <v>357985</v>
      </c>
      <c r="P97" s="1">
        <v>388705.2</v>
      </c>
      <c r="R97" s="1">
        <v>450480.3</v>
      </c>
      <c r="S97" s="1">
        <v>687319</v>
      </c>
      <c r="U97" s="1">
        <v>470221.8</v>
      </c>
      <c r="V97" s="1">
        <v>328904.2</v>
      </c>
      <c r="W97" s="1">
        <v>364103.2</v>
      </c>
      <c r="X97" s="1">
        <v>764770.1</v>
      </c>
    </row>
    <row r="98" spans="1:24" x14ac:dyDescent="0.2">
      <c r="A98" t="s">
        <v>107</v>
      </c>
      <c r="B98" t="s">
        <v>45</v>
      </c>
      <c r="C98" t="s">
        <v>142</v>
      </c>
      <c r="D98">
        <v>2</v>
      </c>
      <c r="F98">
        <v>513</v>
      </c>
      <c r="G98">
        <v>14</v>
      </c>
      <c r="H98">
        <v>29393.9</v>
      </c>
      <c r="I98" s="1">
        <v>278173.09999999998</v>
      </c>
      <c r="K98">
        <v>8.9</v>
      </c>
      <c r="L98">
        <v>2573.5</v>
      </c>
      <c r="M98">
        <v>42.1</v>
      </c>
      <c r="N98">
        <f>(N96+N97)</f>
        <v>630405.19999999995</v>
      </c>
      <c r="O98">
        <f t="shared" ref="O98:X98" si="17">(O96+O97)</f>
        <v>636158.1</v>
      </c>
      <c r="P98">
        <f t="shared" si="17"/>
        <v>670610.4</v>
      </c>
      <c r="Q98">
        <f t="shared" si="17"/>
        <v>1023047.3</v>
      </c>
      <c r="R98">
        <f t="shared" si="17"/>
        <v>811692.5</v>
      </c>
      <c r="S98">
        <f t="shared" si="17"/>
        <v>917377.4</v>
      </c>
      <c r="T98">
        <f t="shared" si="17"/>
        <v>1005051.6</v>
      </c>
      <c r="U98">
        <f t="shared" si="17"/>
        <v>939214.5</v>
      </c>
      <c r="V98">
        <f t="shared" si="17"/>
        <v>609026.30000000005</v>
      </c>
      <c r="W98">
        <f t="shared" si="17"/>
        <v>690092.7</v>
      </c>
      <c r="X98">
        <f t="shared" si="17"/>
        <v>885192.29999999993</v>
      </c>
    </row>
    <row r="99" spans="1:24" x14ac:dyDescent="0.2">
      <c r="A99" t="s">
        <v>107</v>
      </c>
      <c r="B99" t="s">
        <v>45</v>
      </c>
      <c r="C99" t="s">
        <v>142</v>
      </c>
      <c r="D99">
        <v>3</v>
      </c>
      <c r="E99" t="s">
        <v>47</v>
      </c>
      <c r="F99">
        <v>536</v>
      </c>
      <c r="G99">
        <v>18</v>
      </c>
      <c r="H99">
        <v>42919.9</v>
      </c>
      <c r="I99" s="1">
        <v>357985</v>
      </c>
      <c r="J99">
        <v>100</v>
      </c>
      <c r="K99">
        <v>7.8</v>
      </c>
      <c r="L99">
        <v>3728.8</v>
      </c>
      <c r="M99">
        <v>48.4</v>
      </c>
    </row>
    <row r="100" spans="1:24" x14ac:dyDescent="0.2">
      <c r="A100" t="s">
        <v>153</v>
      </c>
      <c r="B100" t="s">
        <v>45</v>
      </c>
      <c r="C100" t="s">
        <v>154</v>
      </c>
      <c r="D100">
        <v>3</v>
      </c>
      <c r="F100">
        <v>515</v>
      </c>
      <c r="G100">
        <v>14</v>
      </c>
      <c r="H100">
        <v>29979.3</v>
      </c>
      <c r="I100" s="1">
        <v>281905.2</v>
      </c>
      <c r="K100">
        <v>8.8000000000000007</v>
      </c>
      <c r="L100">
        <v>2936.5</v>
      </c>
      <c r="M100">
        <v>38.1</v>
      </c>
      <c r="N100">
        <v>630405.19999999995</v>
      </c>
      <c r="O100">
        <v>636158.1</v>
      </c>
      <c r="P100">
        <v>670610.4</v>
      </c>
      <c r="Q100">
        <v>1023047.3</v>
      </c>
      <c r="R100">
        <v>811692.5</v>
      </c>
      <c r="S100">
        <v>917377.4</v>
      </c>
      <c r="T100">
        <v>1005051.6</v>
      </c>
      <c r="U100">
        <v>939214.5</v>
      </c>
      <c r="V100">
        <v>609026.30000000005</v>
      </c>
      <c r="W100">
        <v>690092.7</v>
      </c>
      <c r="X100">
        <v>885192.29999999993</v>
      </c>
    </row>
    <row r="101" spans="1:24" x14ac:dyDescent="0.2">
      <c r="A101" t="s">
        <v>153</v>
      </c>
      <c r="B101" t="s">
        <v>45</v>
      </c>
      <c r="C101" t="s">
        <v>154</v>
      </c>
      <c r="D101">
        <v>4</v>
      </c>
      <c r="E101" t="s">
        <v>47</v>
      </c>
      <c r="F101">
        <v>537</v>
      </c>
      <c r="G101">
        <v>18</v>
      </c>
      <c r="H101">
        <v>47256.2</v>
      </c>
      <c r="I101" s="1">
        <v>388705.2</v>
      </c>
      <c r="J101">
        <v>100</v>
      </c>
      <c r="K101">
        <v>7.7</v>
      </c>
      <c r="L101">
        <v>4594.2</v>
      </c>
      <c r="M101">
        <v>43.5</v>
      </c>
    </row>
    <row r="102" spans="1:24" x14ac:dyDescent="0.2">
      <c r="A102" t="s">
        <v>109</v>
      </c>
      <c r="B102" t="s">
        <v>45</v>
      </c>
      <c r="C102" t="s">
        <v>143</v>
      </c>
      <c r="D102">
        <v>1</v>
      </c>
      <c r="E102" t="s">
        <v>47</v>
      </c>
      <c r="F102">
        <v>535</v>
      </c>
      <c r="G102">
        <v>17</v>
      </c>
      <c r="H102">
        <v>49766.5</v>
      </c>
      <c r="I102" s="1">
        <v>1023047.3</v>
      </c>
      <c r="J102">
        <v>100</v>
      </c>
      <c r="K102">
        <v>19.3</v>
      </c>
      <c r="L102">
        <v>5873.5</v>
      </c>
      <c r="M102">
        <v>41</v>
      </c>
    </row>
    <row r="103" spans="1:24" x14ac:dyDescent="0.2">
      <c r="A103" t="s">
        <v>109</v>
      </c>
      <c r="B103" t="s">
        <v>45</v>
      </c>
      <c r="C103" t="s">
        <v>144</v>
      </c>
      <c r="D103">
        <v>1</v>
      </c>
      <c r="F103">
        <v>512</v>
      </c>
      <c r="G103">
        <v>15</v>
      </c>
      <c r="H103">
        <v>30765.5</v>
      </c>
      <c r="I103" s="1">
        <v>361212.2</v>
      </c>
      <c r="K103">
        <v>11</v>
      </c>
      <c r="L103">
        <v>3825.9</v>
      </c>
      <c r="M103">
        <v>31.6</v>
      </c>
    </row>
    <row r="104" spans="1:24" x14ac:dyDescent="0.2">
      <c r="A104" t="s">
        <v>109</v>
      </c>
      <c r="B104" t="s">
        <v>45</v>
      </c>
      <c r="C104" t="s">
        <v>144</v>
      </c>
      <c r="D104">
        <v>2</v>
      </c>
      <c r="E104" t="s">
        <v>47</v>
      </c>
      <c r="F104">
        <v>530</v>
      </c>
      <c r="G104">
        <v>18</v>
      </c>
      <c r="H104">
        <v>50544.9</v>
      </c>
      <c r="I104" s="1">
        <v>450480.3</v>
      </c>
      <c r="J104">
        <v>100</v>
      </c>
      <c r="K104">
        <v>8.4</v>
      </c>
      <c r="L104">
        <v>6673.2</v>
      </c>
      <c r="M104">
        <v>33.799999999999997</v>
      </c>
    </row>
    <row r="105" spans="1:24" x14ac:dyDescent="0.2">
      <c r="A105" t="s">
        <v>109</v>
      </c>
      <c r="B105" t="s">
        <v>45</v>
      </c>
      <c r="C105" t="s">
        <v>145</v>
      </c>
      <c r="D105">
        <v>3</v>
      </c>
      <c r="F105">
        <v>507</v>
      </c>
      <c r="G105">
        <v>15</v>
      </c>
      <c r="H105">
        <v>18789.599999999999</v>
      </c>
      <c r="I105" s="1">
        <v>230058.4</v>
      </c>
      <c r="K105">
        <v>11.5</v>
      </c>
      <c r="L105">
        <v>1877.3</v>
      </c>
      <c r="M105">
        <v>30.2</v>
      </c>
    </row>
    <row r="106" spans="1:24" x14ac:dyDescent="0.2">
      <c r="A106" t="s">
        <v>109</v>
      </c>
      <c r="B106" t="s">
        <v>45</v>
      </c>
      <c r="C106" t="s">
        <v>145</v>
      </c>
      <c r="D106">
        <v>4</v>
      </c>
      <c r="E106" t="s">
        <v>47</v>
      </c>
      <c r="F106">
        <v>528</v>
      </c>
      <c r="G106">
        <v>18</v>
      </c>
      <c r="H106">
        <v>68550.5</v>
      </c>
      <c r="I106" s="1">
        <v>687319</v>
      </c>
      <c r="J106">
        <v>100</v>
      </c>
      <c r="K106">
        <v>9.4</v>
      </c>
      <c r="L106">
        <v>7531.5</v>
      </c>
      <c r="M106">
        <v>32.799999999999997</v>
      </c>
    </row>
    <row r="107" spans="1:24" x14ac:dyDescent="0.2">
      <c r="A107" t="s">
        <v>105</v>
      </c>
      <c r="B107" t="s">
        <v>45</v>
      </c>
      <c r="C107" t="s">
        <v>146</v>
      </c>
      <c r="D107">
        <v>1</v>
      </c>
      <c r="E107" t="s">
        <v>47</v>
      </c>
      <c r="F107">
        <v>528</v>
      </c>
      <c r="G107">
        <v>17</v>
      </c>
      <c r="H107">
        <v>56624.1</v>
      </c>
      <c r="I107" s="1">
        <v>1005051.6</v>
      </c>
      <c r="J107">
        <v>100</v>
      </c>
      <c r="K107">
        <v>16.7</v>
      </c>
      <c r="L107">
        <v>7322.3</v>
      </c>
      <c r="M107">
        <v>34.1</v>
      </c>
    </row>
    <row r="108" spans="1:24" x14ac:dyDescent="0.2">
      <c r="A108" t="s">
        <v>105</v>
      </c>
      <c r="B108" t="s">
        <v>45</v>
      </c>
      <c r="C108" t="s">
        <v>147</v>
      </c>
      <c r="D108">
        <v>1</v>
      </c>
      <c r="F108">
        <v>513</v>
      </c>
      <c r="G108">
        <v>15</v>
      </c>
      <c r="H108">
        <v>38870.9</v>
      </c>
      <c r="I108" s="1">
        <v>468992.7</v>
      </c>
      <c r="K108">
        <v>11.3</v>
      </c>
      <c r="L108">
        <v>2099.4</v>
      </c>
      <c r="M108">
        <v>35.5</v>
      </c>
    </row>
    <row r="109" spans="1:24" x14ac:dyDescent="0.2">
      <c r="A109" t="s">
        <v>105</v>
      </c>
      <c r="B109" t="s">
        <v>45</v>
      </c>
      <c r="C109" t="s">
        <v>147</v>
      </c>
      <c r="D109">
        <v>2</v>
      </c>
      <c r="E109" t="s">
        <v>47</v>
      </c>
      <c r="F109">
        <v>526</v>
      </c>
      <c r="G109">
        <v>17</v>
      </c>
      <c r="H109">
        <v>50757.5</v>
      </c>
      <c r="I109" s="1">
        <v>470221.8</v>
      </c>
      <c r="J109">
        <v>100</v>
      </c>
      <c r="K109">
        <v>8.6999999999999993</v>
      </c>
      <c r="L109">
        <v>7710.8</v>
      </c>
      <c r="M109">
        <v>36.299999999999997</v>
      </c>
    </row>
    <row r="110" spans="1:24" x14ac:dyDescent="0.2">
      <c r="A110" t="s">
        <v>105</v>
      </c>
      <c r="B110" t="s">
        <v>45</v>
      </c>
      <c r="C110" t="s">
        <v>148</v>
      </c>
      <c r="D110">
        <v>3</v>
      </c>
      <c r="E110" t="s">
        <v>47</v>
      </c>
      <c r="F110">
        <v>514</v>
      </c>
      <c r="G110">
        <v>16</v>
      </c>
      <c r="H110">
        <v>30378.400000000001</v>
      </c>
      <c r="I110" s="1">
        <v>280122.09999999998</v>
      </c>
      <c r="J110">
        <v>100</v>
      </c>
      <c r="K110">
        <v>8.6999999999999993</v>
      </c>
      <c r="L110">
        <v>3104.3</v>
      </c>
      <c r="M110">
        <v>28.7</v>
      </c>
    </row>
    <row r="111" spans="1:24" x14ac:dyDescent="0.2">
      <c r="A111" t="s">
        <v>105</v>
      </c>
      <c r="B111" t="s">
        <v>45</v>
      </c>
      <c r="C111" t="s">
        <v>148</v>
      </c>
      <c r="D111">
        <v>4</v>
      </c>
      <c r="F111">
        <v>535</v>
      </c>
      <c r="G111">
        <v>19</v>
      </c>
      <c r="H111">
        <v>40014.6</v>
      </c>
      <c r="I111" s="1">
        <v>328904.2</v>
      </c>
      <c r="K111">
        <v>7.7</v>
      </c>
      <c r="L111">
        <v>3984.2</v>
      </c>
      <c r="M111">
        <v>31.9</v>
      </c>
    </row>
    <row r="112" spans="1:24" x14ac:dyDescent="0.2">
      <c r="A112" t="s">
        <v>112</v>
      </c>
      <c r="B112" t="s">
        <v>45</v>
      </c>
      <c r="C112" t="s">
        <v>149</v>
      </c>
      <c r="D112">
        <v>1</v>
      </c>
      <c r="F112">
        <v>511</v>
      </c>
      <c r="G112">
        <v>14</v>
      </c>
      <c r="H112">
        <v>31220</v>
      </c>
      <c r="I112" s="1">
        <v>325989.5</v>
      </c>
      <c r="K112">
        <v>9.8000000000000007</v>
      </c>
      <c r="L112">
        <v>4460.3</v>
      </c>
      <c r="M112">
        <v>41.1</v>
      </c>
    </row>
    <row r="113" spans="1:13" x14ac:dyDescent="0.2">
      <c r="A113" t="s">
        <v>112</v>
      </c>
      <c r="B113" t="s">
        <v>45</v>
      </c>
      <c r="C113" t="s">
        <v>149</v>
      </c>
      <c r="D113">
        <v>2</v>
      </c>
      <c r="E113" t="s">
        <v>47</v>
      </c>
      <c r="F113">
        <v>532</v>
      </c>
      <c r="G113">
        <v>18</v>
      </c>
      <c r="H113">
        <v>43601.4</v>
      </c>
      <c r="I113" s="1">
        <v>364103.2</v>
      </c>
      <c r="J113">
        <v>100</v>
      </c>
      <c r="K113">
        <v>7.8</v>
      </c>
      <c r="L113">
        <v>6296.4</v>
      </c>
      <c r="M113">
        <v>45.2</v>
      </c>
    </row>
    <row r="114" spans="1:13" x14ac:dyDescent="0.2">
      <c r="A114" t="s">
        <v>112</v>
      </c>
      <c r="B114" t="s">
        <v>45</v>
      </c>
      <c r="C114" t="s">
        <v>150</v>
      </c>
      <c r="D114">
        <v>1</v>
      </c>
      <c r="F114">
        <v>507</v>
      </c>
      <c r="G114">
        <v>14</v>
      </c>
      <c r="H114">
        <v>11542.5</v>
      </c>
      <c r="I114" s="1">
        <v>120422.2</v>
      </c>
      <c r="K114">
        <v>9.8000000000000007</v>
      </c>
      <c r="L114">
        <v>1209.5999999999999</v>
      </c>
      <c r="M114">
        <v>36.9</v>
      </c>
    </row>
    <row r="115" spans="1:13" x14ac:dyDescent="0.2">
      <c r="A115" t="s">
        <v>112</v>
      </c>
      <c r="B115" t="s">
        <v>45</v>
      </c>
      <c r="C115" t="s">
        <v>150</v>
      </c>
      <c r="D115">
        <v>2</v>
      </c>
      <c r="E115" t="s">
        <v>47</v>
      </c>
      <c r="F115">
        <v>530</v>
      </c>
      <c r="G115">
        <v>18</v>
      </c>
      <c r="H115">
        <v>81737.2</v>
      </c>
      <c r="I115" s="1">
        <v>764770.1</v>
      </c>
      <c r="J115">
        <v>100</v>
      </c>
      <c r="K115">
        <v>8.8000000000000007</v>
      </c>
      <c r="L115">
        <v>9022.7000000000007</v>
      </c>
      <c r="M115">
        <v>41.6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15ED-6563-4642-AF40-0B82B9FBB454}">
  <dimension ref="A1:AD90"/>
  <sheetViews>
    <sheetView tabSelected="1" topLeftCell="A35" workbookViewId="0">
      <selection activeCell="T16" sqref="T16:X17"/>
    </sheetView>
  </sheetViews>
  <sheetFormatPr baseColWidth="10" defaultColWidth="8.83203125" defaultRowHeight="15" x14ac:dyDescent="0.2"/>
  <cols>
    <col min="1" max="1" width="15.1640625" customWidth="1"/>
    <col min="2" max="2" width="17.33203125" customWidth="1"/>
    <col min="9" max="9" width="8.6640625" style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102</v>
      </c>
      <c r="L1" t="s">
        <v>103</v>
      </c>
      <c r="M1" t="s">
        <v>10</v>
      </c>
    </row>
    <row r="2" spans="1:3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" t="s">
        <v>8</v>
      </c>
      <c r="J2" t="s">
        <v>9</v>
      </c>
      <c r="K2" t="s">
        <v>102</v>
      </c>
      <c r="L2" t="s">
        <v>103</v>
      </c>
      <c r="M2" t="s">
        <v>10</v>
      </c>
      <c r="N2" t="s">
        <v>172</v>
      </c>
      <c r="O2" t="s">
        <v>173</v>
      </c>
    </row>
    <row r="3" spans="1:30" x14ac:dyDescent="0.2">
      <c r="A3" t="s">
        <v>151</v>
      </c>
      <c r="B3" t="s">
        <v>120</v>
      </c>
      <c r="C3" t="s">
        <v>20</v>
      </c>
      <c r="D3">
        <v>1</v>
      </c>
      <c r="E3" t="s">
        <v>121</v>
      </c>
      <c r="F3">
        <v>483</v>
      </c>
      <c r="G3">
        <v>16</v>
      </c>
      <c r="H3">
        <v>25</v>
      </c>
      <c r="I3" s="1">
        <v>298.7</v>
      </c>
      <c r="J3">
        <v>100</v>
      </c>
      <c r="K3">
        <v>11.2</v>
      </c>
      <c r="L3">
        <v>4.8</v>
      </c>
      <c r="M3">
        <v>40.5</v>
      </c>
      <c r="N3">
        <f>I3/I80</f>
        <v>8.2223078617044698E-2</v>
      </c>
      <c r="R3" t="s">
        <v>174</v>
      </c>
      <c r="T3" t="s">
        <v>12</v>
      </c>
      <c r="U3" t="s">
        <v>13</v>
      </c>
      <c r="V3" t="s">
        <v>15</v>
      </c>
      <c r="W3" t="s">
        <v>164</v>
      </c>
      <c r="X3" t="s">
        <v>111</v>
      </c>
      <c r="Y3" t="s">
        <v>16</v>
      </c>
    </row>
    <row r="4" spans="1:30" x14ac:dyDescent="0.2">
      <c r="A4" t="s">
        <v>107</v>
      </c>
      <c r="B4" t="s">
        <v>120</v>
      </c>
      <c r="C4" t="s">
        <v>21</v>
      </c>
      <c r="D4">
        <v>1</v>
      </c>
      <c r="E4" t="s">
        <v>121</v>
      </c>
      <c r="F4">
        <v>462</v>
      </c>
      <c r="G4">
        <v>13</v>
      </c>
      <c r="H4">
        <v>4.3</v>
      </c>
      <c r="I4" s="1">
        <v>17.899999999999999</v>
      </c>
      <c r="J4">
        <v>100</v>
      </c>
      <c r="K4">
        <v>3.9</v>
      </c>
      <c r="L4">
        <v>3</v>
      </c>
      <c r="M4">
        <v>33.4</v>
      </c>
      <c r="N4">
        <f t="shared" ref="N4:N13" si="0">I4/I81</f>
        <v>2.9277069021916911E-3</v>
      </c>
      <c r="O4">
        <f>N4/N$4</f>
        <v>1</v>
      </c>
      <c r="R4">
        <v>1</v>
      </c>
      <c r="S4" t="s">
        <v>107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30" x14ac:dyDescent="0.2">
      <c r="A5" t="s">
        <v>153</v>
      </c>
      <c r="B5" t="s">
        <v>120</v>
      </c>
      <c r="C5" t="s">
        <v>23</v>
      </c>
      <c r="D5">
        <v>1</v>
      </c>
      <c r="E5" t="s">
        <v>121</v>
      </c>
      <c r="F5">
        <v>473</v>
      </c>
      <c r="G5">
        <v>15</v>
      </c>
      <c r="H5">
        <v>22.4</v>
      </c>
      <c r="I5" s="1">
        <v>195.6</v>
      </c>
      <c r="J5">
        <v>100</v>
      </c>
      <c r="K5">
        <v>8.1999999999999993</v>
      </c>
      <c r="L5">
        <v>3.8</v>
      </c>
      <c r="M5">
        <v>40.700000000000003</v>
      </c>
      <c r="N5">
        <f t="shared" si="0"/>
        <v>4.156219455186775E-2</v>
      </c>
      <c r="O5">
        <f t="shared" ref="O5:O13" si="1">N5/N$4</f>
        <v>14.196159636319521</v>
      </c>
      <c r="R5">
        <v>14.196159636319521</v>
      </c>
      <c r="S5" t="s">
        <v>153</v>
      </c>
      <c r="T5">
        <v>0.95489377058292935</v>
      </c>
      <c r="U5">
        <v>1.0272507540315239</v>
      </c>
      <c r="V5">
        <v>1.10477447457323</v>
      </c>
      <c r="W5">
        <v>1.0413901792284816</v>
      </c>
      <c r="X5">
        <v>0.92757930428152124</v>
      </c>
      <c r="Y5">
        <v>1.1078356648379868</v>
      </c>
    </row>
    <row r="6" spans="1:30" x14ac:dyDescent="0.2">
      <c r="A6" t="s">
        <v>156</v>
      </c>
      <c r="B6" t="s">
        <v>120</v>
      </c>
      <c r="C6" t="s">
        <v>24</v>
      </c>
      <c r="D6">
        <v>1</v>
      </c>
      <c r="E6" t="s">
        <v>121</v>
      </c>
      <c r="F6">
        <v>461</v>
      </c>
      <c r="G6">
        <v>14</v>
      </c>
      <c r="H6">
        <v>24.1</v>
      </c>
      <c r="I6" s="1">
        <v>64.2</v>
      </c>
      <c r="J6">
        <v>100</v>
      </c>
      <c r="K6">
        <v>2.5</v>
      </c>
      <c r="L6">
        <v>2.7</v>
      </c>
      <c r="M6">
        <v>38.9</v>
      </c>
      <c r="N6">
        <f t="shared" si="0"/>
        <v>1.9099184863449754E-2</v>
      </c>
      <c r="O6">
        <f t="shared" si="1"/>
        <v>6.5235986734710503</v>
      </c>
      <c r="R6">
        <v>6.5235986734710503</v>
      </c>
      <c r="S6" t="s">
        <v>156</v>
      </c>
      <c r="T6">
        <v>0.83996584742089953</v>
      </c>
      <c r="U6">
        <v>1.5209565186610856</v>
      </c>
      <c r="V6">
        <v>1.3982260144178562</v>
      </c>
      <c r="W6">
        <v>0.96409740051225312</v>
      </c>
      <c r="X6">
        <v>0.94206793956844681</v>
      </c>
      <c r="Y6">
        <v>1.6281077133471324</v>
      </c>
    </row>
    <row r="7" spans="1:30" x14ac:dyDescent="0.2">
      <c r="A7" t="s">
        <v>155</v>
      </c>
      <c r="B7" t="s">
        <v>120</v>
      </c>
      <c r="C7" t="s">
        <v>26</v>
      </c>
      <c r="D7">
        <v>1</v>
      </c>
      <c r="E7" t="s">
        <v>121</v>
      </c>
      <c r="F7">
        <v>470</v>
      </c>
      <c r="G7">
        <v>16</v>
      </c>
      <c r="H7">
        <v>138.69999999999999</v>
      </c>
      <c r="I7" s="1">
        <v>733.7</v>
      </c>
      <c r="J7">
        <v>100</v>
      </c>
      <c r="K7">
        <v>5</v>
      </c>
      <c r="L7">
        <v>15.7</v>
      </c>
      <c r="M7">
        <v>35.6</v>
      </c>
      <c r="N7">
        <f t="shared" si="0"/>
        <v>0.10637187386734324</v>
      </c>
      <c r="O7">
        <f t="shared" si="1"/>
        <v>36.332828872901487</v>
      </c>
      <c r="R7">
        <v>36.332828872901487</v>
      </c>
      <c r="S7" t="s">
        <v>155</v>
      </c>
      <c r="T7">
        <v>0.45309293690557306</v>
      </c>
      <c r="U7">
        <v>0.9714602275070221</v>
      </c>
      <c r="V7">
        <v>0.88898755732256396</v>
      </c>
      <c r="W7">
        <v>0.62620181607402325</v>
      </c>
      <c r="X7">
        <v>0.61932089312884719</v>
      </c>
      <c r="Y7">
        <v>1.1249059288810888</v>
      </c>
    </row>
    <row r="8" spans="1:30" x14ac:dyDescent="0.2">
      <c r="A8" t="s">
        <v>157</v>
      </c>
      <c r="B8" t="s">
        <v>120</v>
      </c>
      <c r="C8" t="s">
        <v>28</v>
      </c>
      <c r="D8">
        <v>1</v>
      </c>
      <c r="E8" t="s">
        <v>121</v>
      </c>
      <c r="F8">
        <v>472</v>
      </c>
      <c r="G8">
        <v>15</v>
      </c>
      <c r="H8">
        <v>52.7</v>
      </c>
      <c r="I8" s="1">
        <v>1103.7</v>
      </c>
      <c r="J8">
        <v>100</v>
      </c>
      <c r="K8">
        <v>19.7</v>
      </c>
      <c r="L8">
        <v>5.8</v>
      </c>
      <c r="M8">
        <v>39.4</v>
      </c>
      <c r="N8">
        <f t="shared" si="0"/>
        <v>8.0775479734773642E-2</v>
      </c>
      <c r="O8">
        <f t="shared" si="1"/>
        <v>27.590015815553411</v>
      </c>
      <c r="R8">
        <v>27.590015815553411</v>
      </c>
      <c r="S8" t="s">
        <v>157</v>
      </c>
      <c r="T8">
        <v>0.16575079966801348</v>
      </c>
      <c r="U8">
        <v>0.64139925668469688</v>
      </c>
      <c r="V8">
        <v>0.4978093971930409</v>
      </c>
      <c r="W8">
        <v>0.26964027765448895</v>
      </c>
      <c r="X8">
        <v>0.25835835079487551</v>
      </c>
      <c r="Y8">
        <v>0.75296850029365325</v>
      </c>
    </row>
    <row r="9" spans="1:30" x14ac:dyDescent="0.2">
      <c r="A9" t="s">
        <v>158</v>
      </c>
      <c r="B9" t="s">
        <v>120</v>
      </c>
      <c r="C9" t="s">
        <v>30</v>
      </c>
      <c r="D9">
        <v>1</v>
      </c>
      <c r="E9" t="s">
        <v>121</v>
      </c>
      <c r="F9">
        <v>468</v>
      </c>
      <c r="G9">
        <v>15</v>
      </c>
      <c r="H9">
        <v>21.2</v>
      </c>
      <c r="I9" s="1">
        <v>197.6</v>
      </c>
      <c r="J9">
        <v>100</v>
      </c>
      <c r="K9">
        <v>8.6999999999999993</v>
      </c>
      <c r="L9">
        <v>2.6</v>
      </c>
      <c r="M9">
        <v>38.1</v>
      </c>
      <c r="N9">
        <f t="shared" si="0"/>
        <v>4.1158949363660984E-2</v>
      </c>
      <c r="O9">
        <f t="shared" si="1"/>
        <v>14.058425497733143</v>
      </c>
      <c r="R9">
        <v>14.058425497733143</v>
      </c>
      <c r="S9" t="s">
        <v>158</v>
      </c>
      <c r="T9">
        <v>0.9183525773444855</v>
      </c>
      <c r="U9">
        <v>1.3159640614864534</v>
      </c>
      <c r="V9">
        <v>1.3287831012826161</v>
      </c>
      <c r="W9">
        <v>1.1698981319559141</v>
      </c>
      <c r="X9">
        <v>0.46460911921042014</v>
      </c>
      <c r="Y9">
        <v>1.3643957277807368</v>
      </c>
    </row>
    <row r="10" spans="1:30" x14ac:dyDescent="0.2">
      <c r="A10" t="s">
        <v>159</v>
      </c>
      <c r="B10" t="s">
        <v>120</v>
      </c>
      <c r="C10" t="s">
        <v>32</v>
      </c>
      <c r="D10">
        <v>1</v>
      </c>
      <c r="E10" t="s">
        <v>121</v>
      </c>
      <c r="F10">
        <v>462</v>
      </c>
      <c r="G10">
        <v>14</v>
      </c>
      <c r="H10">
        <v>38</v>
      </c>
      <c r="I10" s="1">
        <v>173.5</v>
      </c>
      <c r="J10">
        <v>100</v>
      </c>
      <c r="K10">
        <v>4.3</v>
      </c>
      <c r="L10">
        <v>4.3</v>
      </c>
      <c r="M10">
        <v>42.5</v>
      </c>
      <c r="N10">
        <f t="shared" si="0"/>
        <v>1.455646818971231E-2</v>
      </c>
      <c r="O10">
        <f t="shared" si="1"/>
        <v>4.9719690788771542</v>
      </c>
      <c r="R10">
        <v>4.9719690788771542</v>
      </c>
      <c r="S10" t="s">
        <v>159</v>
      </c>
      <c r="T10">
        <v>0.17141254454748683</v>
      </c>
      <c r="U10">
        <v>0.59186671114934608</v>
      </c>
      <c r="V10">
        <v>0.57892826665978225</v>
      </c>
      <c r="W10">
        <v>0.31120917277432308</v>
      </c>
      <c r="X10">
        <v>0.11253227007286566</v>
      </c>
      <c r="Y10">
        <v>0.76212852169899137</v>
      </c>
    </row>
    <row r="11" spans="1:30" x14ac:dyDescent="0.2">
      <c r="A11" t="s">
        <v>160</v>
      </c>
      <c r="B11" t="s">
        <v>120</v>
      </c>
      <c r="C11" t="s">
        <v>34</v>
      </c>
      <c r="D11">
        <v>1</v>
      </c>
      <c r="E11" t="s">
        <v>121</v>
      </c>
      <c r="F11">
        <v>470</v>
      </c>
      <c r="G11">
        <v>15</v>
      </c>
      <c r="H11">
        <v>186.4</v>
      </c>
      <c r="I11" s="1">
        <v>2690.5</v>
      </c>
      <c r="J11">
        <v>100</v>
      </c>
      <c r="K11">
        <v>13.6</v>
      </c>
      <c r="L11">
        <v>20.399999999999999</v>
      </c>
      <c r="M11">
        <v>36.1</v>
      </c>
      <c r="N11">
        <f t="shared" si="0"/>
        <v>0.11956396149778249</v>
      </c>
      <c r="O11">
        <f t="shared" si="1"/>
        <v>40.838774335052634</v>
      </c>
      <c r="R11">
        <v>40.838774335052634</v>
      </c>
      <c r="S11" t="s">
        <v>160</v>
      </c>
      <c r="T11">
        <v>8.6804071514989409E-2</v>
      </c>
      <c r="U11">
        <v>0.46047247673884018</v>
      </c>
      <c r="V11">
        <v>0.34876373278881573</v>
      </c>
      <c r="W11">
        <v>0.2836334415590363</v>
      </c>
      <c r="X11">
        <v>0.20289933765456564</v>
      </c>
      <c r="Y11">
        <v>0.54327858960550468</v>
      </c>
    </row>
    <row r="12" spans="1:30" x14ac:dyDescent="0.2">
      <c r="A12" t="s">
        <v>161</v>
      </c>
      <c r="B12" t="s">
        <v>120</v>
      </c>
      <c r="C12" t="s">
        <v>113</v>
      </c>
      <c r="D12">
        <v>1</v>
      </c>
      <c r="E12" t="s">
        <v>121</v>
      </c>
      <c r="F12">
        <v>467</v>
      </c>
      <c r="G12">
        <v>14</v>
      </c>
      <c r="H12">
        <v>28.5</v>
      </c>
      <c r="I12" s="1">
        <v>99.3</v>
      </c>
      <c r="J12">
        <v>100</v>
      </c>
      <c r="K12">
        <v>3.3</v>
      </c>
      <c r="L12">
        <v>3.5</v>
      </c>
      <c r="M12">
        <v>33.799999999999997</v>
      </c>
      <c r="N12">
        <f t="shared" si="0"/>
        <v>1.6221249346576056E-2</v>
      </c>
      <c r="O12">
        <f t="shared" si="1"/>
        <v>5.5405987991601124</v>
      </c>
      <c r="R12">
        <v>5.5405987991601124</v>
      </c>
      <c r="S12" t="s">
        <v>161</v>
      </c>
      <c r="T12">
        <v>0.83534107594235429</v>
      </c>
      <c r="U12">
        <v>0.92681775965224855</v>
      </c>
      <c r="V12">
        <v>0.96019828635137705</v>
      </c>
      <c r="W12">
        <v>0.84483116609102471</v>
      </c>
      <c r="X12">
        <v>0.89258716687609618</v>
      </c>
      <c r="Y12">
        <v>1.051194383990609</v>
      </c>
    </row>
    <row r="13" spans="1:30" x14ac:dyDescent="0.2">
      <c r="A13" t="s">
        <v>162</v>
      </c>
      <c r="B13" t="s">
        <v>120</v>
      </c>
      <c r="C13" t="s">
        <v>114</v>
      </c>
      <c r="D13">
        <v>1</v>
      </c>
      <c r="E13" t="s">
        <v>121</v>
      </c>
      <c r="F13">
        <v>477</v>
      </c>
      <c r="G13">
        <v>16</v>
      </c>
      <c r="H13">
        <v>200.9</v>
      </c>
      <c r="I13" s="1">
        <v>4474.8999999999996</v>
      </c>
      <c r="J13">
        <v>100</v>
      </c>
      <c r="K13">
        <v>20.9</v>
      </c>
      <c r="L13">
        <v>20.8</v>
      </c>
      <c r="M13">
        <v>32.4</v>
      </c>
      <c r="N13">
        <f t="shared" si="0"/>
        <v>0.46182981577996796</v>
      </c>
      <c r="O13">
        <f t="shared" si="1"/>
        <v>157.74455271948179</v>
      </c>
      <c r="R13">
        <v>157.74455271948179</v>
      </c>
      <c r="S13" t="s">
        <v>162</v>
      </c>
      <c r="T13">
        <v>0.8422735611274258</v>
      </c>
      <c r="U13">
        <v>0.95289057929826337</v>
      </c>
      <c r="V13">
        <v>0.94847676474626907</v>
      </c>
      <c r="W13">
        <v>0.95640656255999301</v>
      </c>
      <c r="X13">
        <v>1.136474442149795</v>
      </c>
      <c r="Y13">
        <v>0.92326615664721157</v>
      </c>
    </row>
    <row r="14" spans="1:30" x14ac:dyDescent="0.2">
      <c r="A14" t="s">
        <v>151</v>
      </c>
      <c r="B14" t="s">
        <v>108</v>
      </c>
      <c r="C14" t="s">
        <v>36</v>
      </c>
      <c r="D14">
        <v>1</v>
      </c>
      <c r="E14" t="s">
        <v>12</v>
      </c>
      <c r="F14">
        <v>814</v>
      </c>
      <c r="G14">
        <v>129</v>
      </c>
      <c r="H14">
        <v>3632</v>
      </c>
      <c r="I14" s="1">
        <v>92022.7</v>
      </c>
      <c r="J14">
        <v>100</v>
      </c>
      <c r="K14">
        <v>23.8</v>
      </c>
      <c r="L14">
        <v>130.69999999999999</v>
      </c>
      <c r="M14">
        <v>143.9</v>
      </c>
      <c r="N14">
        <f>I14/I80</f>
        <v>25.331066945606693</v>
      </c>
    </row>
    <row r="15" spans="1:30" x14ac:dyDescent="0.2">
      <c r="A15" t="s">
        <v>107</v>
      </c>
      <c r="B15" t="s">
        <v>108</v>
      </c>
      <c r="C15" t="s">
        <v>37</v>
      </c>
      <c r="D15">
        <v>1</v>
      </c>
      <c r="E15" t="s">
        <v>12</v>
      </c>
      <c r="F15">
        <v>809</v>
      </c>
      <c r="G15">
        <v>127</v>
      </c>
      <c r="H15">
        <v>5094.8</v>
      </c>
      <c r="I15" s="1">
        <v>129498.4</v>
      </c>
      <c r="J15">
        <v>100</v>
      </c>
      <c r="K15">
        <v>23.9</v>
      </c>
      <c r="L15">
        <v>146.5</v>
      </c>
      <c r="M15">
        <v>145.69999999999999</v>
      </c>
      <c r="N15">
        <f t="shared" ref="N15:N24" si="2">I15/I81</f>
        <v>21.180634609093882</v>
      </c>
      <c r="O15">
        <f>N15/N$15</f>
        <v>1</v>
      </c>
    </row>
    <row r="16" spans="1:30" x14ac:dyDescent="0.2">
      <c r="A16" t="s">
        <v>153</v>
      </c>
      <c r="B16" t="s">
        <v>108</v>
      </c>
      <c r="C16" t="s">
        <v>38</v>
      </c>
      <c r="D16">
        <v>2</v>
      </c>
      <c r="E16" t="s">
        <v>12</v>
      </c>
      <c r="F16">
        <v>811</v>
      </c>
      <c r="G16">
        <v>129</v>
      </c>
      <c r="H16">
        <v>4010.3</v>
      </c>
      <c r="I16" s="1">
        <v>95184.1</v>
      </c>
      <c r="J16">
        <v>100</v>
      </c>
      <c r="K16">
        <v>22.3</v>
      </c>
      <c r="L16">
        <v>173.7</v>
      </c>
      <c r="M16">
        <v>156.30000000000001</v>
      </c>
      <c r="N16">
        <f t="shared" si="2"/>
        <v>20.225256045216948</v>
      </c>
      <c r="O16">
        <f t="shared" ref="O16:O24" si="3">N16/N$15</f>
        <v>0.95489377058292935</v>
      </c>
      <c r="R16" t="s">
        <v>174</v>
      </c>
      <c r="T16" t="s">
        <v>12</v>
      </c>
      <c r="U16" t="s">
        <v>175</v>
      </c>
      <c r="V16" t="s">
        <v>15</v>
      </c>
      <c r="W16" t="s">
        <v>13</v>
      </c>
      <c r="X16" t="s">
        <v>16</v>
      </c>
      <c r="Z16" t="s">
        <v>13</v>
      </c>
      <c r="AA16" t="s">
        <v>15</v>
      </c>
      <c r="AB16" t="s">
        <v>164</v>
      </c>
      <c r="AC16" t="s">
        <v>111</v>
      </c>
      <c r="AD16" t="s">
        <v>16</v>
      </c>
    </row>
    <row r="17" spans="1:30" x14ac:dyDescent="0.2">
      <c r="A17" t="s">
        <v>156</v>
      </c>
      <c r="B17" t="s">
        <v>108</v>
      </c>
      <c r="C17" t="s">
        <v>39</v>
      </c>
      <c r="D17">
        <v>1</v>
      </c>
      <c r="E17" t="s">
        <v>12</v>
      </c>
      <c r="F17">
        <v>817</v>
      </c>
      <c r="G17">
        <v>129</v>
      </c>
      <c r="H17">
        <v>2360.1999999999998</v>
      </c>
      <c r="I17" s="1">
        <v>59802.7</v>
      </c>
      <c r="J17">
        <v>100</v>
      </c>
      <c r="K17">
        <v>23.8</v>
      </c>
      <c r="L17">
        <v>83.4</v>
      </c>
      <c r="M17">
        <v>71.2</v>
      </c>
      <c r="N17">
        <f t="shared" si="2"/>
        <v>17.791009698339977</v>
      </c>
      <c r="O17">
        <f t="shared" si="3"/>
        <v>0.83996584742089953</v>
      </c>
      <c r="R17">
        <v>1</v>
      </c>
      <c r="S17" t="s">
        <v>107</v>
      </c>
      <c r="T17">
        <v>1</v>
      </c>
      <c r="U17">
        <v>1</v>
      </c>
      <c r="V17">
        <v>1</v>
      </c>
      <c r="W17">
        <v>1</v>
      </c>
      <c r="X17">
        <v>1</v>
      </c>
      <c r="Z17">
        <v>1</v>
      </c>
      <c r="AA17">
        <v>1</v>
      </c>
      <c r="AB17">
        <v>1</v>
      </c>
      <c r="AC17">
        <v>1</v>
      </c>
      <c r="AD17">
        <v>1</v>
      </c>
    </row>
    <row r="18" spans="1:30" x14ac:dyDescent="0.2">
      <c r="A18" t="s">
        <v>155</v>
      </c>
      <c r="B18" t="s">
        <v>108</v>
      </c>
      <c r="C18" t="s">
        <v>40</v>
      </c>
      <c r="D18">
        <v>1</v>
      </c>
      <c r="E18" t="s">
        <v>12</v>
      </c>
      <c r="F18">
        <v>809</v>
      </c>
      <c r="G18">
        <v>130</v>
      </c>
      <c r="H18">
        <v>2693.6</v>
      </c>
      <c r="I18" s="1">
        <v>66193.899999999994</v>
      </c>
      <c r="J18">
        <v>100</v>
      </c>
      <c r="K18">
        <v>23.1</v>
      </c>
      <c r="L18">
        <v>101.7</v>
      </c>
      <c r="M18">
        <v>95.1</v>
      </c>
      <c r="N18">
        <f t="shared" si="2"/>
        <v>9.596795940558172</v>
      </c>
      <c r="O18">
        <f t="shared" si="3"/>
        <v>0.45309293690557306</v>
      </c>
      <c r="R18">
        <v>6.5235986734710503</v>
      </c>
      <c r="S18" t="s">
        <v>156</v>
      </c>
      <c r="T18">
        <v>0.83996584742089953</v>
      </c>
      <c r="U18">
        <v>0.97550997568411568</v>
      </c>
      <c r="V18">
        <v>1.3982260144178562</v>
      </c>
      <c r="W18">
        <v>1.5209565186610856</v>
      </c>
      <c r="X18">
        <v>1.6281077133471324</v>
      </c>
      <c r="Z18">
        <v>1.5209565186610856</v>
      </c>
      <c r="AA18">
        <v>1.3982260144178562</v>
      </c>
      <c r="AB18">
        <v>0.96409740051225312</v>
      </c>
      <c r="AC18">
        <v>0.94206793956844681</v>
      </c>
      <c r="AD18">
        <v>1.6281077133471324</v>
      </c>
    </row>
    <row r="19" spans="1:30" x14ac:dyDescent="0.2">
      <c r="A19" t="s">
        <v>157</v>
      </c>
      <c r="B19" t="s">
        <v>108</v>
      </c>
      <c r="C19" t="s">
        <v>41</v>
      </c>
      <c r="D19">
        <v>1</v>
      </c>
      <c r="E19" t="s">
        <v>12</v>
      </c>
      <c r="F19">
        <v>799</v>
      </c>
      <c r="G19">
        <v>128</v>
      </c>
      <c r="H19">
        <v>1983</v>
      </c>
      <c r="I19" s="1">
        <v>47969.599999999999</v>
      </c>
      <c r="J19">
        <v>100</v>
      </c>
      <c r="K19">
        <v>22.7</v>
      </c>
      <c r="L19">
        <v>104.7</v>
      </c>
      <c r="M19">
        <v>111.5</v>
      </c>
      <c r="N19">
        <f t="shared" si="2"/>
        <v>3.510707123933313</v>
      </c>
      <c r="O19">
        <f t="shared" si="3"/>
        <v>0.16575079966801348</v>
      </c>
      <c r="R19">
        <v>36.332828872901487</v>
      </c>
      <c r="S19" t="s">
        <v>155</v>
      </c>
      <c r="T19">
        <v>0.45309293690557306</v>
      </c>
      <c r="U19">
        <v>0.51496822872074932</v>
      </c>
      <c r="V19">
        <v>0.88898755732256396</v>
      </c>
      <c r="W19">
        <v>0.9714602275070221</v>
      </c>
      <c r="X19">
        <v>1.1249059288810888</v>
      </c>
      <c r="Z19">
        <v>0.9714602275070221</v>
      </c>
      <c r="AA19">
        <v>0.88898755732256396</v>
      </c>
      <c r="AB19">
        <v>0.62620181607402325</v>
      </c>
      <c r="AC19">
        <v>0.61932089312884719</v>
      </c>
      <c r="AD19">
        <v>1.1249059288810888</v>
      </c>
    </row>
    <row r="20" spans="1:30" x14ac:dyDescent="0.2">
      <c r="A20" t="s">
        <v>158</v>
      </c>
      <c r="B20" t="s">
        <v>108</v>
      </c>
      <c r="C20" t="s">
        <v>42</v>
      </c>
      <c r="D20">
        <v>2</v>
      </c>
      <c r="E20" t="s">
        <v>12</v>
      </c>
      <c r="F20">
        <v>799</v>
      </c>
      <c r="G20">
        <v>129</v>
      </c>
      <c r="H20">
        <v>3744.8</v>
      </c>
      <c r="I20" s="1">
        <v>93383.7</v>
      </c>
      <c r="J20">
        <v>100</v>
      </c>
      <c r="K20">
        <v>23.4</v>
      </c>
      <c r="L20">
        <v>145.19999999999999</v>
      </c>
      <c r="M20">
        <v>124.5</v>
      </c>
      <c r="N20">
        <f t="shared" si="2"/>
        <v>19.451290383053177</v>
      </c>
      <c r="O20">
        <f t="shared" si="3"/>
        <v>0.9183525773444855</v>
      </c>
      <c r="R20">
        <v>27.590015815553411</v>
      </c>
      <c r="S20" t="s">
        <v>157</v>
      </c>
      <c r="T20">
        <v>0.16575079966801348</v>
      </c>
      <c r="U20">
        <v>0.11699709444303125</v>
      </c>
      <c r="V20">
        <v>0.4978093971930409</v>
      </c>
      <c r="W20">
        <v>0.64139925668469688</v>
      </c>
      <c r="X20">
        <v>0.75296850029365325</v>
      </c>
      <c r="Z20">
        <v>0.64139925668469688</v>
      </c>
      <c r="AA20">
        <v>0.4978093971930409</v>
      </c>
      <c r="AB20">
        <v>0.26964027765448895</v>
      </c>
      <c r="AC20">
        <v>0.25835835079487551</v>
      </c>
      <c r="AD20">
        <v>0.75296850029365325</v>
      </c>
    </row>
    <row r="21" spans="1:30" x14ac:dyDescent="0.2">
      <c r="A21" t="s">
        <v>159</v>
      </c>
      <c r="B21" t="s">
        <v>108</v>
      </c>
      <c r="C21" t="s">
        <v>43</v>
      </c>
      <c r="D21">
        <v>1</v>
      </c>
      <c r="E21" t="s">
        <v>12</v>
      </c>
      <c r="F21">
        <v>798</v>
      </c>
      <c r="G21">
        <v>131</v>
      </c>
      <c r="H21">
        <v>1676.3</v>
      </c>
      <c r="I21" s="1">
        <v>43273.8</v>
      </c>
      <c r="J21">
        <v>100</v>
      </c>
      <c r="K21">
        <v>24.3</v>
      </c>
      <c r="L21">
        <v>91.3</v>
      </c>
      <c r="M21">
        <v>76.3</v>
      </c>
      <c r="N21">
        <f t="shared" si="2"/>
        <v>3.6306264734753464</v>
      </c>
      <c r="O21">
        <f t="shared" si="3"/>
        <v>0.17141254454748683</v>
      </c>
      <c r="R21">
        <v>14.058425497733143</v>
      </c>
      <c r="S21" t="s">
        <v>158</v>
      </c>
      <c r="T21">
        <v>0.9183525773444855</v>
      </c>
      <c r="U21">
        <v>1.123013879228044</v>
      </c>
      <c r="V21">
        <v>1.3287831012826161</v>
      </c>
      <c r="W21">
        <v>1.3159640614864534</v>
      </c>
      <c r="X21">
        <v>1.3643957277807368</v>
      </c>
      <c r="Z21">
        <v>1.3159640614864534</v>
      </c>
      <c r="AA21">
        <v>1.3287831012826161</v>
      </c>
      <c r="AB21">
        <v>1.1698981319559141</v>
      </c>
      <c r="AC21">
        <v>0.46460911921042014</v>
      </c>
      <c r="AD21">
        <v>1.3643957277807368</v>
      </c>
    </row>
    <row r="22" spans="1:30" x14ac:dyDescent="0.2">
      <c r="A22" t="s">
        <v>160</v>
      </c>
      <c r="B22" t="s">
        <v>108</v>
      </c>
      <c r="C22" t="s">
        <v>44</v>
      </c>
      <c r="D22">
        <v>1</v>
      </c>
      <c r="E22" t="s">
        <v>12</v>
      </c>
      <c r="F22">
        <v>803</v>
      </c>
      <c r="G22">
        <v>131</v>
      </c>
      <c r="H22">
        <v>1550.1</v>
      </c>
      <c r="I22" s="1">
        <v>41372.5</v>
      </c>
      <c r="J22">
        <v>100</v>
      </c>
      <c r="K22">
        <v>25.1</v>
      </c>
      <c r="L22">
        <v>67</v>
      </c>
      <c r="M22">
        <v>85.1</v>
      </c>
      <c r="N22">
        <f t="shared" si="2"/>
        <v>1.8385653213406452</v>
      </c>
      <c r="O22">
        <f t="shared" si="3"/>
        <v>8.6804071514989409E-2</v>
      </c>
      <c r="R22">
        <v>4.9719690788771542</v>
      </c>
      <c r="S22" t="s">
        <v>159</v>
      </c>
      <c r="T22">
        <v>0.17141254454748683</v>
      </c>
      <c r="U22">
        <v>0.21188902907134385</v>
      </c>
      <c r="V22">
        <v>0.57892826665978225</v>
      </c>
      <c r="W22">
        <v>0.59186671114934608</v>
      </c>
      <c r="X22">
        <v>0.76212852169899137</v>
      </c>
      <c r="Z22">
        <v>0.59186671114934608</v>
      </c>
      <c r="AA22">
        <v>0.57892826665978225</v>
      </c>
      <c r="AB22">
        <v>0.31120917277432308</v>
      </c>
      <c r="AC22">
        <v>0.11253227007286566</v>
      </c>
      <c r="AD22">
        <v>0.76212852169899137</v>
      </c>
    </row>
    <row r="23" spans="1:30" x14ac:dyDescent="0.2">
      <c r="A23" t="s">
        <v>161</v>
      </c>
      <c r="B23" t="s">
        <v>108</v>
      </c>
      <c r="C23" t="s">
        <v>117</v>
      </c>
      <c r="D23">
        <v>2</v>
      </c>
      <c r="E23" t="s">
        <v>12</v>
      </c>
      <c r="F23">
        <v>801</v>
      </c>
      <c r="G23">
        <v>127</v>
      </c>
      <c r="H23">
        <v>4546.8999999999996</v>
      </c>
      <c r="I23" s="1">
        <v>108309.8</v>
      </c>
      <c r="J23">
        <v>100</v>
      </c>
      <c r="K23">
        <v>22.4</v>
      </c>
      <c r="L23">
        <v>211.3</v>
      </c>
      <c r="M23">
        <v>113.1</v>
      </c>
      <c r="N23">
        <f t="shared" si="2"/>
        <v>17.693054103502352</v>
      </c>
      <c r="O23">
        <f t="shared" si="3"/>
        <v>0.83534107594235429</v>
      </c>
      <c r="R23">
        <v>40.838774335052634</v>
      </c>
      <c r="S23" t="s">
        <v>160</v>
      </c>
      <c r="T23">
        <v>8.6804071514989409E-2</v>
      </c>
      <c r="U23">
        <v>5.092551006528441E-2</v>
      </c>
      <c r="V23">
        <v>0.34876373278881573</v>
      </c>
      <c r="W23">
        <v>0.46047247673884018</v>
      </c>
      <c r="X23">
        <v>0.54327858960550468</v>
      </c>
      <c r="Z23">
        <v>0.46047247673884018</v>
      </c>
      <c r="AA23">
        <v>0.34876373278881573</v>
      </c>
      <c r="AB23">
        <v>0.2836334415590363</v>
      </c>
      <c r="AC23">
        <v>0.20289933765456564</v>
      </c>
      <c r="AD23">
        <v>0.54327858960550468</v>
      </c>
    </row>
    <row r="24" spans="1:30" x14ac:dyDescent="0.2">
      <c r="A24" t="s">
        <v>162</v>
      </c>
      <c r="B24" t="s">
        <v>108</v>
      </c>
      <c r="C24" t="s">
        <v>119</v>
      </c>
      <c r="D24">
        <v>2</v>
      </c>
      <c r="E24" t="s">
        <v>12</v>
      </c>
      <c r="F24">
        <v>800</v>
      </c>
      <c r="G24">
        <v>130</v>
      </c>
      <c r="H24">
        <v>6744.9</v>
      </c>
      <c r="I24" s="1">
        <v>172859.6</v>
      </c>
      <c r="J24">
        <v>100</v>
      </c>
      <c r="K24">
        <v>24.1</v>
      </c>
      <c r="L24">
        <v>275.8</v>
      </c>
      <c r="M24">
        <v>141.9</v>
      </c>
      <c r="N24">
        <f t="shared" si="2"/>
        <v>17.839888539140308</v>
      </c>
      <c r="O24">
        <f t="shared" si="3"/>
        <v>0.8422735611274258</v>
      </c>
      <c r="R24">
        <v>5.5405987991601124</v>
      </c>
      <c r="S24" t="s">
        <v>161</v>
      </c>
      <c r="T24">
        <v>0.83534107594235429</v>
      </c>
      <c r="U24">
        <v>1.1964342323056789</v>
      </c>
      <c r="V24">
        <v>0.96019828635137705</v>
      </c>
      <c r="W24">
        <v>0.92681775965224855</v>
      </c>
      <c r="X24">
        <v>1.051194383990609</v>
      </c>
      <c r="Z24">
        <v>0.92681775965224855</v>
      </c>
      <c r="AA24">
        <v>0.96019828635137705</v>
      </c>
      <c r="AB24">
        <v>0.84483116609102471</v>
      </c>
      <c r="AC24">
        <v>0.89258716687609618</v>
      </c>
      <c r="AD24">
        <v>1.051194383990609</v>
      </c>
    </row>
    <row r="25" spans="1:30" x14ac:dyDescent="0.2">
      <c r="A25" t="s">
        <v>151</v>
      </c>
      <c r="B25" t="s">
        <v>115</v>
      </c>
      <c r="C25" t="s">
        <v>46</v>
      </c>
      <c r="D25">
        <v>1</v>
      </c>
      <c r="E25" t="s">
        <v>13</v>
      </c>
      <c r="F25">
        <v>758</v>
      </c>
      <c r="G25">
        <v>87</v>
      </c>
      <c r="H25">
        <v>1481.6</v>
      </c>
      <c r="I25" s="1">
        <v>32823.599999999999</v>
      </c>
      <c r="J25">
        <v>100</v>
      </c>
      <c r="K25">
        <v>20.8</v>
      </c>
      <c r="L25">
        <v>12.3</v>
      </c>
      <c r="M25">
        <v>826.8</v>
      </c>
      <c r="N25">
        <f>I25/I80</f>
        <v>9.0353446377449895</v>
      </c>
      <c r="R25">
        <v>157.74455271948179</v>
      </c>
      <c r="S25" t="s">
        <v>162</v>
      </c>
      <c r="T25">
        <v>0.8422735611274258</v>
      </c>
      <c r="U25">
        <v>0.82577639387465629</v>
      </c>
      <c r="V25">
        <v>0.94847676474626907</v>
      </c>
      <c r="W25">
        <v>0.95289057929826337</v>
      </c>
      <c r="X25">
        <v>0.92326615664721157</v>
      </c>
      <c r="Z25">
        <v>0.95289057929826337</v>
      </c>
      <c r="AA25">
        <v>0.94847676474626907</v>
      </c>
      <c r="AB25">
        <v>0.95640656255999301</v>
      </c>
      <c r="AC25">
        <v>1.136474442149795</v>
      </c>
      <c r="AD25">
        <v>0.92326615664721157</v>
      </c>
    </row>
    <row r="26" spans="1:30" x14ac:dyDescent="0.2">
      <c r="A26" t="s">
        <v>107</v>
      </c>
      <c r="B26" t="s">
        <v>115</v>
      </c>
      <c r="C26" t="s">
        <v>48</v>
      </c>
      <c r="D26">
        <v>1</v>
      </c>
      <c r="E26" t="s">
        <v>13</v>
      </c>
      <c r="F26">
        <v>753</v>
      </c>
      <c r="G26">
        <v>87</v>
      </c>
      <c r="H26">
        <v>1876.6</v>
      </c>
      <c r="I26" s="1">
        <v>44667.4</v>
      </c>
      <c r="J26">
        <v>100</v>
      </c>
      <c r="K26">
        <v>22.4</v>
      </c>
      <c r="L26">
        <v>17.8</v>
      </c>
      <c r="M26">
        <v>786</v>
      </c>
      <c r="N26">
        <f t="shared" ref="N26:N35" si="4">I26/I81</f>
        <v>7.3057572783774942</v>
      </c>
      <c r="O26">
        <f>N26/N$26</f>
        <v>1</v>
      </c>
    </row>
    <row r="27" spans="1:30" x14ac:dyDescent="0.2">
      <c r="A27" t="s">
        <v>153</v>
      </c>
      <c r="B27" t="s">
        <v>115</v>
      </c>
      <c r="C27" t="s">
        <v>49</v>
      </c>
      <c r="D27">
        <v>1</v>
      </c>
      <c r="E27" t="s">
        <v>13</v>
      </c>
      <c r="F27">
        <v>760</v>
      </c>
      <c r="G27">
        <v>88</v>
      </c>
      <c r="H27">
        <v>1563.2</v>
      </c>
      <c r="I27" s="1">
        <v>35319.300000000003</v>
      </c>
      <c r="J27">
        <v>100</v>
      </c>
      <c r="K27">
        <v>21.2</v>
      </c>
      <c r="L27">
        <v>22.8</v>
      </c>
      <c r="M27">
        <v>662.4</v>
      </c>
      <c r="N27">
        <f t="shared" si="4"/>
        <v>7.5048446729845741</v>
      </c>
      <c r="O27">
        <f t="shared" ref="O27:O35" si="5">N27/N$26</f>
        <v>1.0272507540315239</v>
      </c>
    </row>
    <row r="28" spans="1:30" x14ac:dyDescent="0.2">
      <c r="A28" t="s">
        <v>156</v>
      </c>
      <c r="B28" t="s">
        <v>115</v>
      </c>
      <c r="C28" t="s">
        <v>50</v>
      </c>
      <c r="D28">
        <v>2</v>
      </c>
      <c r="E28" t="s">
        <v>13</v>
      </c>
      <c r="F28">
        <v>754</v>
      </c>
      <c r="G28">
        <v>87</v>
      </c>
      <c r="H28">
        <v>1659.4</v>
      </c>
      <c r="I28" s="1">
        <v>37351</v>
      </c>
      <c r="J28">
        <v>100</v>
      </c>
      <c r="K28">
        <v>21.1</v>
      </c>
      <c r="L28">
        <v>30.1</v>
      </c>
      <c r="M28">
        <v>614.79999999999995</v>
      </c>
      <c r="N28">
        <f t="shared" si="4"/>
        <v>11.111739156303921</v>
      </c>
      <c r="O28">
        <f t="shared" si="5"/>
        <v>1.5209565186610856</v>
      </c>
    </row>
    <row r="29" spans="1:30" x14ac:dyDescent="0.2">
      <c r="A29" t="s">
        <v>155</v>
      </c>
      <c r="B29" t="s">
        <v>115</v>
      </c>
      <c r="C29" t="s">
        <v>51</v>
      </c>
      <c r="D29">
        <v>1</v>
      </c>
      <c r="E29" t="s">
        <v>13</v>
      </c>
      <c r="F29">
        <v>754</v>
      </c>
      <c r="G29">
        <v>88</v>
      </c>
      <c r="H29">
        <v>2154.5</v>
      </c>
      <c r="I29" s="1">
        <v>48953.3</v>
      </c>
      <c r="J29">
        <v>100</v>
      </c>
      <c r="K29">
        <v>21.3</v>
      </c>
      <c r="L29">
        <v>26.8</v>
      </c>
      <c r="M29">
        <v>799.9</v>
      </c>
      <c r="N29">
        <f t="shared" si="4"/>
        <v>7.0972526277636829</v>
      </c>
      <c r="O29">
        <f t="shared" si="5"/>
        <v>0.9714602275070221</v>
      </c>
    </row>
    <row r="30" spans="1:30" x14ac:dyDescent="0.2">
      <c r="A30" t="s">
        <v>157</v>
      </c>
      <c r="B30" t="s">
        <v>115</v>
      </c>
      <c r="C30" t="s">
        <v>52</v>
      </c>
      <c r="D30">
        <v>1</v>
      </c>
      <c r="E30" t="s">
        <v>13</v>
      </c>
      <c r="F30">
        <v>751</v>
      </c>
      <c r="G30">
        <v>87</v>
      </c>
      <c r="H30">
        <v>2669.4</v>
      </c>
      <c r="I30" s="1">
        <v>64027.3</v>
      </c>
      <c r="J30">
        <v>100</v>
      </c>
      <c r="K30">
        <v>22.5</v>
      </c>
      <c r="L30">
        <v>32</v>
      </c>
      <c r="M30">
        <v>846.4</v>
      </c>
      <c r="N30">
        <f t="shared" si="4"/>
        <v>4.6859072878701387</v>
      </c>
      <c r="O30">
        <f t="shared" si="5"/>
        <v>0.64139925668469688</v>
      </c>
    </row>
    <row r="31" spans="1:30" x14ac:dyDescent="0.2">
      <c r="A31" t="s">
        <v>158</v>
      </c>
      <c r="B31" t="s">
        <v>115</v>
      </c>
      <c r="C31" t="s">
        <v>53</v>
      </c>
      <c r="D31">
        <v>1</v>
      </c>
      <c r="E31" t="s">
        <v>13</v>
      </c>
      <c r="F31">
        <v>750</v>
      </c>
      <c r="G31">
        <v>87</v>
      </c>
      <c r="H31">
        <v>2092.9</v>
      </c>
      <c r="I31" s="1">
        <v>46156.4</v>
      </c>
      <c r="J31">
        <v>100</v>
      </c>
      <c r="K31">
        <v>20.7</v>
      </c>
      <c r="L31">
        <v>23.4</v>
      </c>
      <c r="M31">
        <v>796.5</v>
      </c>
      <c r="N31">
        <f t="shared" si="4"/>
        <v>9.6141140202878645</v>
      </c>
      <c r="O31">
        <f t="shared" si="5"/>
        <v>1.3159640614864534</v>
      </c>
    </row>
    <row r="32" spans="1:30" x14ac:dyDescent="0.2">
      <c r="A32" t="s">
        <v>159</v>
      </c>
      <c r="B32" t="s">
        <v>115</v>
      </c>
      <c r="C32" t="s">
        <v>54</v>
      </c>
      <c r="D32">
        <v>2</v>
      </c>
      <c r="E32" t="s">
        <v>13</v>
      </c>
      <c r="F32">
        <v>750</v>
      </c>
      <c r="G32">
        <v>87</v>
      </c>
      <c r="H32">
        <v>2124.6999999999998</v>
      </c>
      <c r="I32" s="1">
        <v>51538.6</v>
      </c>
      <c r="J32">
        <v>100</v>
      </c>
      <c r="K32">
        <v>22.8</v>
      </c>
      <c r="L32">
        <v>26</v>
      </c>
      <c r="M32">
        <v>801.5</v>
      </c>
      <c r="N32">
        <f t="shared" si="4"/>
        <v>4.3240345328086853</v>
      </c>
      <c r="O32">
        <f t="shared" si="5"/>
        <v>0.59186671114934608</v>
      </c>
      <c r="Z32">
        <v>1</v>
      </c>
    </row>
    <row r="33" spans="1:26" x14ac:dyDescent="0.2">
      <c r="A33" t="s">
        <v>160</v>
      </c>
      <c r="B33" t="s">
        <v>115</v>
      </c>
      <c r="C33" t="s">
        <v>55</v>
      </c>
      <c r="D33">
        <v>1</v>
      </c>
      <c r="E33" t="s">
        <v>13</v>
      </c>
      <c r="F33">
        <v>753</v>
      </c>
      <c r="G33">
        <v>87</v>
      </c>
      <c r="H33">
        <v>3184.8</v>
      </c>
      <c r="I33" s="1">
        <v>75701</v>
      </c>
      <c r="J33">
        <v>100</v>
      </c>
      <c r="K33">
        <v>22.3</v>
      </c>
      <c r="L33">
        <v>32.700000000000003</v>
      </c>
      <c r="M33">
        <v>951.7</v>
      </c>
      <c r="N33">
        <f t="shared" si="4"/>
        <v>3.3641001484272932</v>
      </c>
      <c r="O33">
        <f t="shared" si="5"/>
        <v>0.46047247673884018</v>
      </c>
      <c r="Z33">
        <v>1.0035395627450276</v>
      </c>
    </row>
    <row r="34" spans="1:26" x14ac:dyDescent="0.2">
      <c r="A34" t="s">
        <v>161</v>
      </c>
      <c r="B34" t="s">
        <v>115</v>
      </c>
      <c r="C34" t="s">
        <v>122</v>
      </c>
      <c r="D34">
        <v>1</v>
      </c>
      <c r="E34" t="s">
        <v>13</v>
      </c>
      <c r="F34">
        <v>750</v>
      </c>
      <c r="G34">
        <v>85</v>
      </c>
      <c r="H34">
        <v>1825</v>
      </c>
      <c r="I34" s="1">
        <v>41450</v>
      </c>
      <c r="J34">
        <v>100</v>
      </c>
      <c r="K34">
        <v>21.3</v>
      </c>
      <c r="L34">
        <v>17.899999999999999</v>
      </c>
      <c r="M34">
        <v>842.3</v>
      </c>
      <c r="N34">
        <f t="shared" si="4"/>
        <v>6.7711055933089384</v>
      </c>
      <c r="O34">
        <f t="shared" si="5"/>
        <v>0.92681775965224855</v>
      </c>
    </row>
    <row r="35" spans="1:26" x14ac:dyDescent="0.2">
      <c r="A35" t="s">
        <v>162</v>
      </c>
      <c r="B35" t="s">
        <v>115</v>
      </c>
      <c r="C35" t="s">
        <v>123</v>
      </c>
      <c r="D35">
        <v>1</v>
      </c>
      <c r="E35" t="s">
        <v>13</v>
      </c>
      <c r="F35">
        <v>758</v>
      </c>
      <c r="G35">
        <v>87</v>
      </c>
      <c r="H35">
        <v>2714.1</v>
      </c>
      <c r="I35" s="1">
        <v>67454.3</v>
      </c>
      <c r="J35">
        <v>100</v>
      </c>
      <c r="K35">
        <v>23.3</v>
      </c>
      <c r="L35">
        <v>23.7</v>
      </c>
      <c r="M35">
        <v>886.3</v>
      </c>
      <c r="N35">
        <f t="shared" si="4"/>
        <v>6.9615872852056349</v>
      </c>
      <c r="O35">
        <f t="shared" si="5"/>
        <v>0.95289057929826337</v>
      </c>
    </row>
    <row r="36" spans="1:26" x14ac:dyDescent="0.2">
      <c r="A36" t="s">
        <v>151</v>
      </c>
      <c r="B36" t="s">
        <v>67</v>
      </c>
      <c r="C36" t="s">
        <v>57</v>
      </c>
      <c r="D36">
        <v>1</v>
      </c>
      <c r="E36" t="s">
        <v>15</v>
      </c>
      <c r="F36">
        <v>749</v>
      </c>
      <c r="G36">
        <v>78</v>
      </c>
      <c r="H36">
        <v>2264.4</v>
      </c>
      <c r="I36" s="1">
        <v>45481</v>
      </c>
      <c r="J36">
        <v>100</v>
      </c>
      <c r="K36">
        <v>18.899999999999999</v>
      </c>
      <c r="L36">
        <v>196.1</v>
      </c>
      <c r="M36">
        <v>47.4</v>
      </c>
      <c r="N36">
        <f>I36/I80</f>
        <v>12.519544153270203</v>
      </c>
    </row>
    <row r="37" spans="1:26" x14ac:dyDescent="0.2">
      <c r="A37" t="s">
        <v>107</v>
      </c>
      <c r="B37" t="s">
        <v>67</v>
      </c>
      <c r="C37" t="s">
        <v>59</v>
      </c>
      <c r="D37">
        <v>1</v>
      </c>
      <c r="E37" t="s">
        <v>15</v>
      </c>
      <c r="F37">
        <v>742</v>
      </c>
      <c r="G37">
        <v>77</v>
      </c>
      <c r="H37">
        <v>2711.7</v>
      </c>
      <c r="I37" s="1">
        <v>52680.6</v>
      </c>
      <c r="J37">
        <v>100</v>
      </c>
      <c r="K37">
        <v>18.3</v>
      </c>
      <c r="L37">
        <v>259.3</v>
      </c>
      <c r="M37">
        <v>27.4</v>
      </c>
      <c r="N37">
        <f t="shared" ref="N37:N46" si="6">I37/I81</f>
        <v>8.6163886162904806</v>
      </c>
      <c r="O37">
        <f>N37/N$37</f>
        <v>1</v>
      </c>
    </row>
    <row r="38" spans="1:26" x14ac:dyDescent="0.2">
      <c r="A38" t="s">
        <v>153</v>
      </c>
      <c r="B38" t="s">
        <v>67</v>
      </c>
      <c r="C38" t="s">
        <v>60</v>
      </c>
      <c r="D38">
        <v>1</v>
      </c>
      <c r="E38" t="s">
        <v>15</v>
      </c>
      <c r="F38">
        <v>742</v>
      </c>
      <c r="G38">
        <v>76</v>
      </c>
      <c r="H38">
        <v>2303.6999999999998</v>
      </c>
      <c r="I38" s="1">
        <v>44799.1</v>
      </c>
      <c r="J38">
        <v>100</v>
      </c>
      <c r="K38">
        <v>18.3</v>
      </c>
      <c r="L38">
        <v>224.6</v>
      </c>
      <c r="M38">
        <v>33</v>
      </c>
      <c r="N38">
        <f t="shared" si="6"/>
        <v>9.519166206281076</v>
      </c>
      <c r="O38">
        <f t="shared" ref="O38:O46" si="7">N38/N$37</f>
        <v>1.10477447457323</v>
      </c>
    </row>
    <row r="39" spans="1:26" x14ac:dyDescent="0.2">
      <c r="A39" t="s">
        <v>156</v>
      </c>
      <c r="B39" t="s">
        <v>67</v>
      </c>
      <c r="C39" t="s">
        <v>61</v>
      </c>
      <c r="D39">
        <v>1</v>
      </c>
      <c r="E39" t="s">
        <v>15</v>
      </c>
      <c r="F39">
        <v>743</v>
      </c>
      <c r="G39">
        <v>77</v>
      </c>
      <c r="H39">
        <v>2176.5</v>
      </c>
      <c r="I39" s="1">
        <v>40497</v>
      </c>
      <c r="J39">
        <v>100</v>
      </c>
      <c r="K39">
        <v>17.5</v>
      </c>
      <c r="L39">
        <v>213.4</v>
      </c>
      <c r="M39">
        <v>39</v>
      </c>
      <c r="N39">
        <f t="shared" si="6"/>
        <v>12.047658713631225</v>
      </c>
      <c r="O39">
        <f t="shared" si="7"/>
        <v>1.3982260144178562</v>
      </c>
    </row>
    <row r="40" spans="1:26" x14ac:dyDescent="0.2">
      <c r="A40" t="s">
        <v>155</v>
      </c>
      <c r="B40" t="s">
        <v>67</v>
      </c>
      <c r="C40" t="s">
        <v>62</v>
      </c>
      <c r="D40">
        <v>1</v>
      </c>
      <c r="E40" t="s">
        <v>15</v>
      </c>
      <c r="F40">
        <v>740</v>
      </c>
      <c r="G40">
        <v>77</v>
      </c>
      <c r="H40">
        <v>2750.7</v>
      </c>
      <c r="I40" s="1">
        <v>52833.9</v>
      </c>
      <c r="J40">
        <v>100</v>
      </c>
      <c r="K40">
        <v>18</v>
      </c>
      <c r="L40">
        <v>267.3</v>
      </c>
      <c r="M40">
        <v>30.3</v>
      </c>
      <c r="N40">
        <f t="shared" si="6"/>
        <v>7.6598622689380216</v>
      </c>
      <c r="O40">
        <f t="shared" si="7"/>
        <v>0.88898755732256396</v>
      </c>
    </row>
    <row r="41" spans="1:26" x14ac:dyDescent="0.2">
      <c r="A41" t="s">
        <v>157</v>
      </c>
      <c r="B41" t="s">
        <v>67</v>
      </c>
      <c r="C41" t="s">
        <v>63</v>
      </c>
      <c r="D41">
        <v>1</v>
      </c>
      <c r="E41" t="s">
        <v>15</v>
      </c>
      <c r="F41">
        <v>740</v>
      </c>
      <c r="G41">
        <v>77</v>
      </c>
      <c r="H41">
        <v>2826.4</v>
      </c>
      <c r="I41" s="1">
        <v>58608.4</v>
      </c>
      <c r="J41">
        <v>100</v>
      </c>
      <c r="K41">
        <v>19.5</v>
      </c>
      <c r="L41">
        <v>220.2</v>
      </c>
      <c r="M41">
        <v>38.299999999999997</v>
      </c>
      <c r="N41">
        <f t="shared" si="6"/>
        <v>4.2893192230565438</v>
      </c>
      <c r="O41">
        <f t="shared" si="7"/>
        <v>0.4978093971930409</v>
      </c>
    </row>
    <row r="42" spans="1:26" x14ac:dyDescent="0.2">
      <c r="A42" t="s">
        <v>158</v>
      </c>
      <c r="B42" t="s">
        <v>67</v>
      </c>
      <c r="C42" t="s">
        <v>64</v>
      </c>
      <c r="D42">
        <v>2</v>
      </c>
      <c r="E42" t="s">
        <v>15</v>
      </c>
      <c r="F42">
        <v>744</v>
      </c>
      <c r="G42">
        <v>77</v>
      </c>
      <c r="H42">
        <v>2898</v>
      </c>
      <c r="I42" s="1">
        <v>54967</v>
      </c>
      <c r="J42">
        <v>100</v>
      </c>
      <c r="K42">
        <v>17.8</v>
      </c>
      <c r="L42">
        <v>369.2</v>
      </c>
      <c r="M42">
        <v>35.4</v>
      </c>
      <c r="N42">
        <f t="shared" si="6"/>
        <v>11.449311587410694</v>
      </c>
      <c r="O42">
        <f t="shared" si="7"/>
        <v>1.3287831012826161</v>
      </c>
    </row>
    <row r="43" spans="1:26" x14ac:dyDescent="0.2">
      <c r="A43" t="s">
        <v>159</v>
      </c>
      <c r="B43" t="s">
        <v>67</v>
      </c>
      <c r="C43" t="s">
        <v>65</v>
      </c>
      <c r="D43">
        <v>1</v>
      </c>
      <c r="E43" t="s">
        <v>15</v>
      </c>
      <c r="F43">
        <v>739</v>
      </c>
      <c r="G43">
        <v>78</v>
      </c>
      <c r="H43">
        <v>3084.3</v>
      </c>
      <c r="I43" s="1">
        <v>59455.7</v>
      </c>
      <c r="J43">
        <v>100</v>
      </c>
      <c r="K43">
        <v>18.100000000000001</v>
      </c>
      <c r="L43">
        <v>282.10000000000002</v>
      </c>
      <c r="M43">
        <v>38.4</v>
      </c>
      <c r="N43">
        <f t="shared" si="6"/>
        <v>4.9882709264961278</v>
      </c>
      <c r="O43">
        <f t="shared" si="7"/>
        <v>0.57892826665978225</v>
      </c>
    </row>
    <row r="44" spans="1:26" x14ac:dyDescent="0.2">
      <c r="A44" t="s">
        <v>160</v>
      </c>
      <c r="B44" t="s">
        <v>67</v>
      </c>
      <c r="C44" t="s">
        <v>66</v>
      </c>
      <c r="D44">
        <v>2</v>
      </c>
      <c r="E44" t="s">
        <v>15</v>
      </c>
      <c r="F44">
        <v>737</v>
      </c>
      <c r="G44">
        <v>78</v>
      </c>
      <c r="H44">
        <v>3258</v>
      </c>
      <c r="I44" s="1">
        <v>67622.2</v>
      </c>
      <c r="J44">
        <v>100</v>
      </c>
      <c r="K44">
        <v>19.5</v>
      </c>
      <c r="L44">
        <v>227.2</v>
      </c>
      <c r="M44">
        <v>34.700000000000003</v>
      </c>
      <c r="N44">
        <f t="shared" si="6"/>
        <v>3.005083856976527</v>
      </c>
      <c r="O44">
        <f t="shared" si="7"/>
        <v>0.34876373278881573</v>
      </c>
    </row>
    <row r="45" spans="1:26" x14ac:dyDescent="0.2">
      <c r="A45" t="s">
        <v>161</v>
      </c>
      <c r="B45" t="s">
        <v>67</v>
      </c>
      <c r="C45" t="s">
        <v>125</v>
      </c>
      <c r="D45">
        <v>1</v>
      </c>
      <c r="E45" t="s">
        <v>15</v>
      </c>
      <c r="F45">
        <v>740</v>
      </c>
      <c r="G45">
        <v>78</v>
      </c>
      <c r="H45">
        <v>2519.4</v>
      </c>
      <c r="I45" s="1">
        <v>50646.7</v>
      </c>
      <c r="J45">
        <v>100</v>
      </c>
      <c r="K45">
        <v>18.899999999999999</v>
      </c>
      <c r="L45">
        <v>279.5</v>
      </c>
      <c r="M45">
        <v>36.4</v>
      </c>
      <c r="N45">
        <f t="shared" si="6"/>
        <v>8.2734415838996327</v>
      </c>
      <c r="O45">
        <f t="shared" si="7"/>
        <v>0.96019828635137705</v>
      </c>
    </row>
    <row r="46" spans="1:26" x14ac:dyDescent="0.2">
      <c r="A46" t="s">
        <v>162</v>
      </c>
      <c r="B46" t="s">
        <v>67</v>
      </c>
      <c r="C46" t="s">
        <v>126</v>
      </c>
      <c r="D46">
        <v>1</v>
      </c>
      <c r="E46" t="s">
        <v>15</v>
      </c>
      <c r="F46">
        <v>736</v>
      </c>
      <c r="G46">
        <v>78</v>
      </c>
      <c r="H46">
        <v>3667.5</v>
      </c>
      <c r="I46" s="1">
        <v>79186.899999999994</v>
      </c>
      <c r="J46">
        <v>100</v>
      </c>
      <c r="K46">
        <v>20.3</v>
      </c>
      <c r="L46">
        <v>269</v>
      </c>
      <c r="M46">
        <v>40</v>
      </c>
      <c r="N46">
        <f t="shared" si="6"/>
        <v>8.1724443985757773</v>
      </c>
      <c r="O46">
        <f t="shared" si="7"/>
        <v>0.94847676474626907</v>
      </c>
    </row>
    <row r="47" spans="1:26" x14ac:dyDescent="0.2">
      <c r="A47" t="s">
        <v>151</v>
      </c>
      <c r="B47" t="s">
        <v>168</v>
      </c>
      <c r="C47" t="s">
        <v>68</v>
      </c>
      <c r="D47">
        <v>1</v>
      </c>
      <c r="E47" t="s">
        <v>163</v>
      </c>
      <c r="F47">
        <v>492</v>
      </c>
      <c r="G47">
        <v>18</v>
      </c>
      <c r="H47">
        <v>2091</v>
      </c>
      <c r="I47" s="1">
        <v>35827.699999999997</v>
      </c>
      <c r="J47">
        <v>100</v>
      </c>
      <c r="K47">
        <v>16.100000000000001</v>
      </c>
      <c r="L47">
        <v>68.099999999999994</v>
      </c>
      <c r="M47">
        <v>151.69999999999999</v>
      </c>
      <c r="N47">
        <f>I47/I80</f>
        <v>9.8622825368861466</v>
      </c>
    </row>
    <row r="48" spans="1:26" x14ac:dyDescent="0.2">
      <c r="A48" t="s">
        <v>107</v>
      </c>
      <c r="B48" t="s">
        <v>168</v>
      </c>
      <c r="C48" t="s">
        <v>69</v>
      </c>
      <c r="D48">
        <v>1</v>
      </c>
      <c r="E48" t="s">
        <v>163</v>
      </c>
      <c r="F48">
        <v>482</v>
      </c>
      <c r="G48">
        <v>18</v>
      </c>
      <c r="H48">
        <v>3422</v>
      </c>
      <c r="I48" s="1">
        <v>57640</v>
      </c>
      <c r="J48">
        <v>100</v>
      </c>
      <c r="K48">
        <v>15.8</v>
      </c>
      <c r="L48">
        <v>129.1</v>
      </c>
      <c r="M48">
        <v>178.8</v>
      </c>
      <c r="N48">
        <f t="shared" ref="N48:N57" si="8">I48/I81</f>
        <v>9.4275433431468763</v>
      </c>
      <c r="O48">
        <f>N48/N$48</f>
        <v>1</v>
      </c>
    </row>
    <row r="49" spans="1:15" x14ac:dyDescent="0.2">
      <c r="A49" t="s">
        <v>153</v>
      </c>
      <c r="B49" t="s">
        <v>168</v>
      </c>
      <c r="C49" t="s">
        <v>70</v>
      </c>
      <c r="D49">
        <v>1</v>
      </c>
      <c r="E49" t="s">
        <v>163</v>
      </c>
      <c r="F49">
        <v>481</v>
      </c>
      <c r="G49">
        <v>18</v>
      </c>
      <c r="H49">
        <v>2748.9</v>
      </c>
      <c r="I49" s="1">
        <v>46204.3</v>
      </c>
      <c r="J49">
        <v>100</v>
      </c>
      <c r="K49">
        <v>15.8</v>
      </c>
      <c r="L49">
        <v>80.7</v>
      </c>
      <c r="M49">
        <v>145.30000000000001</v>
      </c>
      <c r="N49">
        <f t="shared" si="8"/>
        <v>9.8177510518040041</v>
      </c>
      <c r="O49">
        <f t="shared" ref="O49:O57" si="9">N49/N$48</f>
        <v>1.0413901792284816</v>
      </c>
    </row>
    <row r="50" spans="1:15" x14ac:dyDescent="0.2">
      <c r="A50" t="s">
        <v>156</v>
      </c>
      <c r="B50" t="s">
        <v>168</v>
      </c>
      <c r="C50" t="s">
        <v>71</v>
      </c>
      <c r="D50">
        <v>1</v>
      </c>
      <c r="E50" t="s">
        <v>163</v>
      </c>
      <c r="F50">
        <v>484</v>
      </c>
      <c r="G50">
        <v>18</v>
      </c>
      <c r="H50">
        <v>1819.8</v>
      </c>
      <c r="I50" s="1">
        <v>30552</v>
      </c>
      <c r="J50">
        <v>100</v>
      </c>
      <c r="K50">
        <v>15.8</v>
      </c>
      <c r="L50">
        <v>75</v>
      </c>
      <c r="M50">
        <v>165.2</v>
      </c>
      <c r="N50">
        <f t="shared" si="8"/>
        <v>9.0890700303444998</v>
      </c>
      <c r="O50">
        <f t="shared" si="9"/>
        <v>0.96409740051225312</v>
      </c>
    </row>
    <row r="51" spans="1:15" x14ac:dyDescent="0.2">
      <c r="A51" t="s">
        <v>155</v>
      </c>
      <c r="B51" t="s">
        <v>168</v>
      </c>
      <c r="C51" t="s">
        <v>72</v>
      </c>
      <c r="D51">
        <v>1</v>
      </c>
      <c r="E51" t="s">
        <v>163</v>
      </c>
      <c r="F51">
        <v>482</v>
      </c>
      <c r="G51">
        <v>18</v>
      </c>
      <c r="H51">
        <v>2289.5</v>
      </c>
      <c r="I51" s="1">
        <v>40719.699999999997</v>
      </c>
      <c r="J51">
        <v>100</v>
      </c>
      <c r="K51">
        <v>16.7</v>
      </c>
      <c r="L51">
        <v>89.6</v>
      </c>
      <c r="M51">
        <v>120.5</v>
      </c>
      <c r="N51">
        <f t="shared" si="8"/>
        <v>5.9035447625951427</v>
      </c>
      <c r="O51">
        <f t="shared" si="9"/>
        <v>0.62620181607402325</v>
      </c>
    </row>
    <row r="52" spans="1:15" x14ac:dyDescent="0.2">
      <c r="A52" t="s">
        <v>157</v>
      </c>
      <c r="B52" t="s">
        <v>168</v>
      </c>
      <c r="C52" t="s">
        <v>73</v>
      </c>
      <c r="D52">
        <v>1</v>
      </c>
      <c r="E52" t="s">
        <v>163</v>
      </c>
      <c r="F52">
        <v>478</v>
      </c>
      <c r="G52">
        <v>18</v>
      </c>
      <c r="H52">
        <v>2039.6</v>
      </c>
      <c r="I52" s="1">
        <v>34734</v>
      </c>
      <c r="J52">
        <v>100</v>
      </c>
      <c r="K52">
        <v>16</v>
      </c>
      <c r="L52">
        <v>77</v>
      </c>
      <c r="M52">
        <v>158.69999999999999</v>
      </c>
      <c r="N52">
        <f t="shared" si="8"/>
        <v>2.5420454046458527</v>
      </c>
      <c r="O52">
        <f t="shared" si="9"/>
        <v>0.26964027765448895</v>
      </c>
    </row>
    <row r="53" spans="1:15" x14ac:dyDescent="0.2">
      <c r="A53" t="s">
        <v>158</v>
      </c>
      <c r="B53" t="s">
        <v>168</v>
      </c>
      <c r="C53" t="s">
        <v>74</v>
      </c>
      <c r="D53">
        <v>1</v>
      </c>
      <c r="E53" t="s">
        <v>163</v>
      </c>
      <c r="F53">
        <v>484</v>
      </c>
      <c r="G53">
        <v>18</v>
      </c>
      <c r="H53">
        <v>3493.5</v>
      </c>
      <c r="I53" s="1">
        <v>52950.400000000001</v>
      </c>
      <c r="J53">
        <v>100</v>
      </c>
      <c r="K53">
        <v>14.2</v>
      </c>
      <c r="L53">
        <v>145</v>
      </c>
      <c r="M53">
        <v>173.3</v>
      </c>
      <c r="N53">
        <f t="shared" si="8"/>
        <v>11.029265346080944</v>
      </c>
      <c r="O53">
        <f t="shared" si="9"/>
        <v>1.1698981319559141</v>
      </c>
    </row>
    <row r="54" spans="1:15" x14ac:dyDescent="0.2">
      <c r="A54" t="s">
        <v>159</v>
      </c>
      <c r="B54" t="s">
        <v>168</v>
      </c>
      <c r="C54" t="s">
        <v>75</v>
      </c>
      <c r="D54">
        <v>1</v>
      </c>
      <c r="E54" t="s">
        <v>163</v>
      </c>
      <c r="F54">
        <v>476</v>
      </c>
      <c r="G54">
        <v>18</v>
      </c>
      <c r="H54">
        <v>1873.6</v>
      </c>
      <c r="I54" s="1">
        <v>34969.9</v>
      </c>
      <c r="J54">
        <v>100</v>
      </c>
      <c r="K54">
        <v>17.5</v>
      </c>
      <c r="L54">
        <v>63.1</v>
      </c>
      <c r="M54">
        <v>179.5</v>
      </c>
      <c r="N54">
        <f t="shared" si="8"/>
        <v>2.9339379651148159</v>
      </c>
      <c r="O54">
        <f t="shared" si="9"/>
        <v>0.31120917277432308</v>
      </c>
    </row>
    <row r="55" spans="1:15" x14ac:dyDescent="0.2">
      <c r="A55" t="s">
        <v>160</v>
      </c>
      <c r="B55" t="s">
        <v>168</v>
      </c>
      <c r="C55" t="s">
        <v>76</v>
      </c>
      <c r="D55">
        <v>1</v>
      </c>
      <c r="E55" t="s">
        <v>163</v>
      </c>
      <c r="F55">
        <v>480</v>
      </c>
      <c r="G55">
        <v>18</v>
      </c>
      <c r="H55">
        <v>3242.1</v>
      </c>
      <c r="I55" s="1">
        <v>60171.199999999997</v>
      </c>
      <c r="J55">
        <v>100</v>
      </c>
      <c r="K55">
        <v>17.399999999999999</v>
      </c>
      <c r="L55">
        <v>87.5</v>
      </c>
      <c r="M55">
        <v>169.2</v>
      </c>
      <c r="N55">
        <f t="shared" si="8"/>
        <v>2.6739665638637313</v>
      </c>
      <c r="O55">
        <f t="shared" si="9"/>
        <v>0.2836334415590363</v>
      </c>
    </row>
    <row r="56" spans="1:15" x14ac:dyDescent="0.2">
      <c r="A56" t="s">
        <v>161</v>
      </c>
      <c r="B56" t="s">
        <v>168</v>
      </c>
      <c r="C56" t="s">
        <v>132</v>
      </c>
      <c r="D56">
        <v>1</v>
      </c>
      <c r="E56" t="s">
        <v>163</v>
      </c>
      <c r="F56">
        <v>476</v>
      </c>
      <c r="G56">
        <v>18</v>
      </c>
      <c r="H56">
        <v>3002.6</v>
      </c>
      <c r="I56" s="1">
        <v>48756.6</v>
      </c>
      <c r="J56">
        <v>100</v>
      </c>
      <c r="K56">
        <v>15.3</v>
      </c>
      <c r="L56">
        <v>127.4</v>
      </c>
      <c r="M56">
        <v>162.6</v>
      </c>
      <c r="N56">
        <f t="shared" si="8"/>
        <v>7.9646824359644528</v>
      </c>
      <c r="O56">
        <f t="shared" si="9"/>
        <v>0.84483116609102471</v>
      </c>
    </row>
    <row r="57" spans="1:15" x14ac:dyDescent="0.2">
      <c r="A57" t="s">
        <v>162</v>
      </c>
      <c r="B57" t="s">
        <v>168</v>
      </c>
      <c r="C57" t="s">
        <v>134</v>
      </c>
      <c r="D57">
        <v>1</v>
      </c>
      <c r="E57" t="s">
        <v>163</v>
      </c>
      <c r="F57">
        <v>476</v>
      </c>
      <c r="G57">
        <v>18</v>
      </c>
      <c r="H57">
        <v>5050</v>
      </c>
      <c r="I57" s="1">
        <v>87366</v>
      </c>
      <c r="J57">
        <v>100</v>
      </c>
      <c r="K57">
        <v>16.3</v>
      </c>
      <c r="L57">
        <v>175.3</v>
      </c>
      <c r="M57">
        <v>192.7</v>
      </c>
      <c r="N57">
        <f t="shared" si="8"/>
        <v>9.0165643222044487</v>
      </c>
      <c r="O57">
        <f t="shared" si="9"/>
        <v>0.95640656255999301</v>
      </c>
    </row>
    <row r="58" spans="1:15" x14ac:dyDescent="0.2">
      <c r="A58" t="s">
        <v>151</v>
      </c>
      <c r="B58" t="s">
        <v>124</v>
      </c>
      <c r="C58" t="s">
        <v>78</v>
      </c>
      <c r="D58">
        <v>1</v>
      </c>
      <c r="E58" t="s">
        <v>121</v>
      </c>
      <c r="F58">
        <v>489</v>
      </c>
      <c r="G58">
        <v>17</v>
      </c>
      <c r="H58">
        <v>8070.5</v>
      </c>
      <c r="I58" s="1">
        <v>132131.5</v>
      </c>
      <c r="J58">
        <v>100</v>
      </c>
      <c r="K58">
        <v>15.4</v>
      </c>
      <c r="L58">
        <v>163.1</v>
      </c>
      <c r="M58">
        <v>363.3</v>
      </c>
      <c r="N58">
        <f>I58/I80</f>
        <v>36.371806870733316</v>
      </c>
    </row>
    <row r="59" spans="1:15" x14ac:dyDescent="0.2">
      <c r="A59" t="s">
        <v>107</v>
      </c>
      <c r="B59" t="s">
        <v>124</v>
      </c>
      <c r="C59" t="s">
        <v>79</v>
      </c>
      <c r="D59">
        <v>1</v>
      </c>
      <c r="E59" t="s">
        <v>121</v>
      </c>
      <c r="F59">
        <v>480</v>
      </c>
      <c r="G59">
        <v>17</v>
      </c>
      <c r="H59">
        <v>10566.3</v>
      </c>
      <c r="I59" s="1">
        <v>170426.5</v>
      </c>
      <c r="J59">
        <v>100</v>
      </c>
      <c r="K59">
        <v>15.2</v>
      </c>
      <c r="L59">
        <v>231.7</v>
      </c>
      <c r="M59">
        <v>353.2</v>
      </c>
      <c r="N59">
        <f t="shared" ref="N59:N68" si="10">I59/I81</f>
        <v>27.87479555119398</v>
      </c>
      <c r="O59">
        <f>N59/N$59</f>
        <v>1</v>
      </c>
    </row>
    <row r="60" spans="1:15" x14ac:dyDescent="0.2">
      <c r="A60" t="s">
        <v>153</v>
      </c>
      <c r="B60" t="s">
        <v>124</v>
      </c>
      <c r="C60" t="s">
        <v>80</v>
      </c>
      <c r="D60">
        <v>1</v>
      </c>
      <c r="E60" t="s">
        <v>121</v>
      </c>
      <c r="F60">
        <v>483</v>
      </c>
      <c r="G60">
        <v>17</v>
      </c>
      <c r="H60">
        <v>7558.8</v>
      </c>
      <c r="I60" s="1">
        <v>121683.9</v>
      </c>
      <c r="J60">
        <v>100</v>
      </c>
      <c r="K60">
        <v>15.1</v>
      </c>
      <c r="L60">
        <v>155.1</v>
      </c>
      <c r="M60">
        <v>284.39999999999998</v>
      </c>
      <c r="N60">
        <f t="shared" si="10"/>
        <v>25.856083464366154</v>
      </c>
      <c r="O60">
        <f t="shared" ref="O60:O68" si="11">N60/N$59</f>
        <v>0.92757930428152124</v>
      </c>
    </row>
    <row r="61" spans="1:15" x14ac:dyDescent="0.2">
      <c r="A61" t="s">
        <v>156</v>
      </c>
      <c r="B61" t="s">
        <v>124</v>
      </c>
      <c r="C61" t="s">
        <v>81</v>
      </c>
      <c r="D61">
        <v>1</v>
      </c>
      <c r="E61" t="s">
        <v>121</v>
      </c>
      <c r="F61">
        <v>482</v>
      </c>
      <c r="G61">
        <v>17</v>
      </c>
      <c r="H61">
        <v>5458.7</v>
      </c>
      <c r="I61" s="1">
        <v>88270.2</v>
      </c>
      <c r="J61">
        <v>100</v>
      </c>
      <c r="K61">
        <v>15.2</v>
      </c>
      <c r="L61">
        <v>137.30000000000001</v>
      </c>
      <c r="M61">
        <v>360.3</v>
      </c>
      <c r="N61">
        <f t="shared" si="10"/>
        <v>26.259951210805021</v>
      </c>
      <c r="O61">
        <f t="shared" si="11"/>
        <v>0.94206793956844681</v>
      </c>
    </row>
    <row r="62" spans="1:15" x14ac:dyDescent="0.2">
      <c r="A62" t="s">
        <v>155</v>
      </c>
      <c r="B62" t="s">
        <v>124</v>
      </c>
      <c r="C62" t="s">
        <v>82</v>
      </c>
      <c r="D62">
        <v>1</v>
      </c>
      <c r="E62" t="s">
        <v>121</v>
      </c>
      <c r="F62">
        <v>483</v>
      </c>
      <c r="G62">
        <v>17</v>
      </c>
      <c r="H62">
        <v>7308.7</v>
      </c>
      <c r="I62" s="1">
        <v>119074.6</v>
      </c>
      <c r="J62">
        <v>100</v>
      </c>
      <c r="K62">
        <v>15.3</v>
      </c>
      <c r="L62">
        <v>158.1</v>
      </c>
      <c r="M62">
        <v>399.5</v>
      </c>
      <c r="N62">
        <f t="shared" si="10"/>
        <v>17.263443276549474</v>
      </c>
      <c r="O62">
        <f t="shared" si="11"/>
        <v>0.61932089312884719</v>
      </c>
    </row>
    <row r="63" spans="1:15" x14ac:dyDescent="0.2">
      <c r="A63" t="s">
        <v>157</v>
      </c>
      <c r="B63" t="s">
        <v>124</v>
      </c>
      <c r="C63" t="s">
        <v>83</v>
      </c>
      <c r="D63">
        <v>1</v>
      </c>
      <c r="E63" t="s">
        <v>121</v>
      </c>
      <c r="F63">
        <v>478</v>
      </c>
      <c r="G63">
        <v>17</v>
      </c>
      <c r="H63">
        <v>5950.4</v>
      </c>
      <c r="I63" s="1">
        <v>98402.4</v>
      </c>
      <c r="J63">
        <v>100</v>
      </c>
      <c r="K63">
        <v>15.5</v>
      </c>
      <c r="L63">
        <v>126.9</v>
      </c>
      <c r="M63">
        <v>365.4</v>
      </c>
      <c r="N63">
        <f t="shared" si="10"/>
        <v>7.2016862073508099</v>
      </c>
      <c r="O63">
        <f t="shared" si="11"/>
        <v>0.25835835079487551</v>
      </c>
    </row>
    <row r="64" spans="1:15" x14ac:dyDescent="0.2">
      <c r="A64" t="s">
        <v>158</v>
      </c>
      <c r="B64" t="s">
        <v>124</v>
      </c>
      <c r="C64" t="s">
        <v>84</v>
      </c>
      <c r="D64">
        <v>1</v>
      </c>
      <c r="E64" t="s">
        <v>121</v>
      </c>
      <c r="F64">
        <v>478</v>
      </c>
      <c r="G64">
        <v>17</v>
      </c>
      <c r="H64">
        <v>4216.6000000000004</v>
      </c>
      <c r="I64" s="1">
        <v>62175.9</v>
      </c>
      <c r="J64">
        <v>100</v>
      </c>
      <c r="K64">
        <v>13.9</v>
      </c>
      <c r="L64">
        <v>104.1</v>
      </c>
      <c r="M64">
        <v>259.60000000000002</v>
      </c>
      <c r="N64">
        <f t="shared" si="10"/>
        <v>12.950884209210773</v>
      </c>
      <c r="O64">
        <f t="shared" si="11"/>
        <v>0.46460911921042014</v>
      </c>
    </row>
    <row r="65" spans="1:15" x14ac:dyDescent="0.2">
      <c r="A65" t="s">
        <v>159</v>
      </c>
      <c r="B65" t="s">
        <v>124</v>
      </c>
      <c r="C65" t="s">
        <v>85</v>
      </c>
      <c r="D65">
        <v>1</v>
      </c>
      <c r="E65" t="s">
        <v>121</v>
      </c>
      <c r="F65">
        <v>479</v>
      </c>
      <c r="G65">
        <v>17</v>
      </c>
      <c r="H65">
        <v>2146.1999999999998</v>
      </c>
      <c r="I65" s="1">
        <v>37388</v>
      </c>
      <c r="J65">
        <v>100</v>
      </c>
      <c r="K65">
        <v>16.399999999999999</v>
      </c>
      <c r="L65">
        <v>54.7</v>
      </c>
      <c r="M65">
        <v>264.3</v>
      </c>
      <c r="N65">
        <f t="shared" si="10"/>
        <v>3.1368140211928752</v>
      </c>
      <c r="O65">
        <f t="shared" si="11"/>
        <v>0.11253227007286566</v>
      </c>
    </row>
    <row r="66" spans="1:15" x14ac:dyDescent="0.2">
      <c r="A66" t="s">
        <v>160</v>
      </c>
      <c r="B66" t="s">
        <v>124</v>
      </c>
      <c r="C66" t="s">
        <v>86</v>
      </c>
      <c r="D66">
        <v>1</v>
      </c>
      <c r="E66" t="s">
        <v>121</v>
      </c>
      <c r="F66">
        <v>482</v>
      </c>
      <c r="G66">
        <v>17</v>
      </c>
      <c r="H66">
        <v>7981.2</v>
      </c>
      <c r="I66" s="1">
        <v>127269.7</v>
      </c>
      <c r="J66">
        <v>100</v>
      </c>
      <c r="K66">
        <v>15</v>
      </c>
      <c r="L66">
        <v>174.2</v>
      </c>
      <c r="M66">
        <v>327</v>
      </c>
      <c r="N66">
        <f t="shared" si="10"/>
        <v>5.6557775545936915</v>
      </c>
      <c r="O66">
        <f t="shared" si="11"/>
        <v>0.20289933765456564</v>
      </c>
    </row>
    <row r="67" spans="1:15" x14ac:dyDescent="0.2">
      <c r="A67" t="s">
        <v>161</v>
      </c>
      <c r="B67" t="s">
        <v>124</v>
      </c>
      <c r="C67" t="s">
        <v>137</v>
      </c>
      <c r="D67">
        <v>1</v>
      </c>
      <c r="E67" t="s">
        <v>121</v>
      </c>
      <c r="F67">
        <v>476</v>
      </c>
      <c r="G67">
        <v>17</v>
      </c>
      <c r="H67">
        <v>9627.9</v>
      </c>
      <c r="I67" s="1">
        <v>152309.6</v>
      </c>
      <c r="J67">
        <v>100</v>
      </c>
      <c r="K67">
        <v>14.9</v>
      </c>
      <c r="L67">
        <v>285.5</v>
      </c>
      <c r="M67">
        <v>293.8</v>
      </c>
      <c r="N67">
        <f t="shared" si="10"/>
        <v>24.880684788290644</v>
      </c>
      <c r="O67">
        <f t="shared" si="11"/>
        <v>0.89258716687609618</v>
      </c>
    </row>
    <row r="68" spans="1:15" x14ac:dyDescent="0.2">
      <c r="A68" t="s">
        <v>162</v>
      </c>
      <c r="B68" t="s">
        <v>124</v>
      </c>
      <c r="C68" t="s">
        <v>138</v>
      </c>
      <c r="D68">
        <v>1</v>
      </c>
      <c r="E68" t="s">
        <v>121</v>
      </c>
      <c r="F68">
        <v>475</v>
      </c>
      <c r="G68">
        <v>17</v>
      </c>
      <c r="H68">
        <v>18280.8</v>
      </c>
      <c r="I68" s="1">
        <v>306953.59999999998</v>
      </c>
      <c r="J68">
        <v>100</v>
      </c>
      <c r="K68">
        <v>15.8</v>
      </c>
      <c r="L68">
        <v>364</v>
      </c>
      <c r="M68">
        <v>377.3</v>
      </c>
      <c r="N68">
        <f t="shared" si="10"/>
        <v>31.678992724082768</v>
      </c>
      <c r="O68">
        <f t="shared" si="11"/>
        <v>1.136474442149795</v>
      </c>
    </row>
    <row r="69" spans="1:15" x14ac:dyDescent="0.2">
      <c r="A69" t="s">
        <v>151</v>
      </c>
      <c r="B69" t="s">
        <v>77</v>
      </c>
      <c r="C69" t="s">
        <v>88</v>
      </c>
      <c r="D69">
        <v>1</v>
      </c>
      <c r="E69" t="s">
        <v>16</v>
      </c>
      <c r="F69">
        <v>722</v>
      </c>
      <c r="G69">
        <v>58</v>
      </c>
      <c r="H69">
        <v>15955</v>
      </c>
      <c r="I69" s="1">
        <v>318304.8</v>
      </c>
      <c r="J69">
        <v>100</v>
      </c>
      <c r="K69">
        <v>18.7</v>
      </c>
      <c r="L69">
        <v>80.900000000000006</v>
      </c>
      <c r="M69">
        <v>2543.1</v>
      </c>
      <c r="N69">
        <f>I69/I80</f>
        <v>87.61968729354767</v>
      </c>
    </row>
    <row r="70" spans="1:15" x14ac:dyDescent="0.2">
      <c r="A70" t="s">
        <v>107</v>
      </c>
      <c r="B70" t="s">
        <v>77</v>
      </c>
      <c r="C70" t="s">
        <v>91</v>
      </c>
      <c r="D70">
        <v>1</v>
      </c>
      <c r="E70" t="s">
        <v>16</v>
      </c>
      <c r="F70">
        <v>714</v>
      </c>
      <c r="G70">
        <v>58</v>
      </c>
      <c r="H70">
        <v>17731.5</v>
      </c>
      <c r="I70" s="1">
        <v>337665.5</v>
      </c>
      <c r="J70">
        <v>100</v>
      </c>
      <c r="K70">
        <v>17.899999999999999</v>
      </c>
      <c r="L70">
        <v>127.7</v>
      </c>
      <c r="M70">
        <v>2479.5</v>
      </c>
      <c r="N70">
        <f t="shared" ref="N70:N79" si="12">I70/I81</f>
        <v>55.228246647039583</v>
      </c>
      <c r="O70">
        <f>N70/N$70</f>
        <v>1</v>
      </c>
    </row>
    <row r="71" spans="1:15" x14ac:dyDescent="0.2">
      <c r="A71" t="s">
        <v>153</v>
      </c>
      <c r="B71" t="s">
        <v>77</v>
      </c>
      <c r="C71" t="s">
        <v>92</v>
      </c>
      <c r="D71">
        <v>1</v>
      </c>
      <c r="E71" t="s">
        <v>16</v>
      </c>
      <c r="F71">
        <v>708</v>
      </c>
      <c r="G71">
        <v>58</v>
      </c>
      <c r="H71">
        <v>15862.9</v>
      </c>
      <c r="I71" s="1">
        <v>287943.3</v>
      </c>
      <c r="J71">
        <v>100</v>
      </c>
      <c r="K71">
        <v>17.100000000000001</v>
      </c>
      <c r="L71">
        <v>104</v>
      </c>
      <c r="M71">
        <v>2431.5</v>
      </c>
      <c r="N71">
        <f t="shared" si="12"/>
        <v>61.18382134205941</v>
      </c>
      <c r="O71">
        <f t="shared" ref="O71:O79" si="13">N71/N$70</f>
        <v>1.1078356648379868</v>
      </c>
    </row>
    <row r="72" spans="1:15" x14ac:dyDescent="0.2">
      <c r="A72" t="s">
        <v>156</v>
      </c>
      <c r="B72" t="s">
        <v>77</v>
      </c>
      <c r="C72" t="s">
        <v>93</v>
      </c>
      <c r="D72">
        <v>1</v>
      </c>
      <c r="E72" t="s">
        <v>16</v>
      </c>
      <c r="F72">
        <v>711</v>
      </c>
      <c r="G72">
        <v>58</v>
      </c>
      <c r="H72">
        <v>15991.8</v>
      </c>
      <c r="I72" s="1">
        <v>302248.8</v>
      </c>
      <c r="J72">
        <v>100</v>
      </c>
      <c r="K72">
        <v>17.8</v>
      </c>
      <c r="L72">
        <v>107.9</v>
      </c>
      <c r="M72">
        <v>2455.4</v>
      </c>
      <c r="N72">
        <f t="shared" si="12"/>
        <v>89.917534360683049</v>
      </c>
      <c r="O72">
        <f t="shared" si="13"/>
        <v>1.6281077133471324</v>
      </c>
    </row>
    <row r="73" spans="1:15" x14ac:dyDescent="0.2">
      <c r="A73" t="s">
        <v>155</v>
      </c>
      <c r="B73" t="s">
        <v>77</v>
      </c>
      <c r="C73" t="s">
        <v>94</v>
      </c>
      <c r="D73">
        <v>1</v>
      </c>
      <c r="E73" t="s">
        <v>16</v>
      </c>
      <c r="F73">
        <v>708</v>
      </c>
      <c r="G73">
        <v>58</v>
      </c>
      <c r="H73">
        <v>22644.6</v>
      </c>
      <c r="I73" s="1">
        <v>428518.1</v>
      </c>
      <c r="J73">
        <v>100</v>
      </c>
      <c r="K73">
        <v>17.8</v>
      </c>
      <c r="L73">
        <v>130.69999999999999</v>
      </c>
      <c r="M73">
        <v>2528.1999999999998</v>
      </c>
      <c r="N73">
        <f t="shared" si="12"/>
        <v>62.12658209496194</v>
      </c>
      <c r="O73">
        <f t="shared" si="13"/>
        <v>1.1249059288810888</v>
      </c>
    </row>
    <row r="74" spans="1:15" x14ac:dyDescent="0.2">
      <c r="A74" t="s">
        <v>157</v>
      </c>
      <c r="B74" t="s">
        <v>77</v>
      </c>
      <c r="C74" t="s">
        <v>98</v>
      </c>
      <c r="D74">
        <v>1</v>
      </c>
      <c r="E74" t="s">
        <v>16</v>
      </c>
      <c r="F74">
        <v>704</v>
      </c>
      <c r="G74">
        <v>58</v>
      </c>
      <c r="H74">
        <v>29147.4</v>
      </c>
      <c r="I74" s="1">
        <v>568210.9</v>
      </c>
      <c r="J74">
        <v>100</v>
      </c>
      <c r="K74">
        <v>18.3</v>
      </c>
      <c r="L74">
        <v>184</v>
      </c>
      <c r="M74">
        <v>2453.6</v>
      </c>
      <c r="N74">
        <f t="shared" si="12"/>
        <v>41.585130051669381</v>
      </c>
      <c r="O74">
        <f t="shared" si="13"/>
        <v>0.75296850029365325</v>
      </c>
    </row>
    <row r="75" spans="1:15" x14ac:dyDescent="0.2">
      <c r="A75" t="s">
        <v>158</v>
      </c>
      <c r="B75" t="s">
        <v>77</v>
      </c>
      <c r="C75" t="s">
        <v>99</v>
      </c>
      <c r="D75">
        <v>1</v>
      </c>
      <c r="E75" t="s">
        <v>16</v>
      </c>
      <c r="F75">
        <v>707</v>
      </c>
      <c r="G75">
        <v>58</v>
      </c>
      <c r="H75">
        <v>19686.400000000001</v>
      </c>
      <c r="I75" s="1">
        <v>361763.1</v>
      </c>
      <c r="J75">
        <v>100</v>
      </c>
      <c r="K75">
        <v>17.3</v>
      </c>
      <c r="L75">
        <v>151.80000000000001</v>
      </c>
      <c r="M75">
        <v>2582.6999999999998</v>
      </c>
      <c r="N75">
        <f t="shared" si="12"/>
        <v>75.353183778041611</v>
      </c>
      <c r="O75">
        <f t="shared" si="13"/>
        <v>1.3643957277807368</v>
      </c>
    </row>
    <row r="76" spans="1:15" x14ac:dyDescent="0.2">
      <c r="A76" t="s">
        <v>159</v>
      </c>
      <c r="B76" t="s">
        <v>77</v>
      </c>
      <c r="C76" t="s">
        <v>100</v>
      </c>
      <c r="D76">
        <v>1</v>
      </c>
      <c r="E76" t="s">
        <v>16</v>
      </c>
      <c r="F76">
        <v>705</v>
      </c>
      <c r="G76">
        <v>58</v>
      </c>
      <c r="H76">
        <v>25908.6</v>
      </c>
      <c r="I76" s="1">
        <v>501687.1</v>
      </c>
      <c r="J76">
        <v>100</v>
      </c>
      <c r="K76">
        <v>18.2</v>
      </c>
      <c r="L76">
        <v>145.30000000000001</v>
      </c>
      <c r="M76">
        <v>2293.5</v>
      </c>
      <c r="N76">
        <f t="shared" si="12"/>
        <v>42.091021973135554</v>
      </c>
      <c r="O76">
        <f t="shared" si="13"/>
        <v>0.76212852169899137</v>
      </c>
    </row>
    <row r="77" spans="1:15" x14ac:dyDescent="0.2">
      <c r="A77" t="s">
        <v>160</v>
      </c>
      <c r="B77" t="s">
        <v>77</v>
      </c>
      <c r="C77" t="s">
        <v>101</v>
      </c>
      <c r="D77">
        <v>1</v>
      </c>
      <c r="E77" t="s">
        <v>16</v>
      </c>
      <c r="F77">
        <v>708</v>
      </c>
      <c r="G77">
        <v>58</v>
      </c>
      <c r="H77">
        <v>33799.300000000003</v>
      </c>
      <c r="I77" s="1">
        <v>675175.3</v>
      </c>
      <c r="J77">
        <v>100</v>
      </c>
      <c r="K77">
        <v>18.8</v>
      </c>
      <c r="L77">
        <v>171.8</v>
      </c>
      <c r="M77">
        <v>2443.6999999999998</v>
      </c>
      <c r="N77">
        <f t="shared" si="12"/>
        <v>30.004323944788606</v>
      </c>
      <c r="O77">
        <f t="shared" si="13"/>
        <v>0.54327858960550468</v>
      </c>
    </row>
    <row r="78" spans="1:15" x14ac:dyDescent="0.2">
      <c r="A78" t="s">
        <v>161</v>
      </c>
      <c r="B78" t="s">
        <v>77</v>
      </c>
      <c r="C78" t="s">
        <v>140</v>
      </c>
      <c r="D78">
        <v>1</v>
      </c>
      <c r="E78" t="s">
        <v>16</v>
      </c>
      <c r="F78">
        <v>696</v>
      </c>
      <c r="G78">
        <v>58</v>
      </c>
      <c r="H78">
        <v>17854.8</v>
      </c>
      <c r="I78" s="1">
        <v>355393.3</v>
      </c>
      <c r="J78">
        <v>100</v>
      </c>
      <c r="K78">
        <v>18.7</v>
      </c>
      <c r="L78">
        <v>127</v>
      </c>
      <c r="M78">
        <v>2382.1999999999998</v>
      </c>
      <c r="N78">
        <f t="shared" si="12"/>
        <v>58.055622713016199</v>
      </c>
      <c r="O78">
        <f t="shared" si="13"/>
        <v>1.051194383990609</v>
      </c>
    </row>
    <row r="79" spans="1:15" x14ac:dyDescent="0.2">
      <c r="A79" t="s">
        <v>162</v>
      </c>
      <c r="B79" t="s">
        <v>77</v>
      </c>
      <c r="C79" t="s">
        <v>141</v>
      </c>
      <c r="D79">
        <v>1</v>
      </c>
      <c r="E79" t="s">
        <v>16</v>
      </c>
      <c r="F79">
        <v>698</v>
      </c>
      <c r="G79">
        <v>58</v>
      </c>
      <c r="H79">
        <v>24700.7</v>
      </c>
      <c r="I79" s="1">
        <v>494071.2</v>
      </c>
      <c r="J79">
        <v>100</v>
      </c>
      <c r="K79">
        <v>18.8</v>
      </c>
      <c r="L79">
        <v>142.80000000000001</v>
      </c>
      <c r="M79">
        <v>2725.7</v>
      </c>
      <c r="N79">
        <f t="shared" si="12"/>
        <v>50.990371020176482</v>
      </c>
      <c r="O79">
        <f t="shared" si="13"/>
        <v>0.92326615664721157</v>
      </c>
    </row>
    <row r="80" spans="1:15" x14ac:dyDescent="0.2">
      <c r="A80" t="s">
        <v>151</v>
      </c>
      <c r="B80" t="s">
        <v>139</v>
      </c>
      <c r="C80" t="s">
        <v>152</v>
      </c>
      <c r="D80">
        <v>1</v>
      </c>
      <c r="E80" t="s">
        <v>58</v>
      </c>
      <c r="F80">
        <v>658</v>
      </c>
      <c r="G80">
        <v>42</v>
      </c>
      <c r="H80">
        <v>377.7</v>
      </c>
      <c r="I80" s="1">
        <v>3632.8</v>
      </c>
      <c r="J80">
        <v>100</v>
      </c>
      <c r="K80">
        <v>9</v>
      </c>
      <c r="L80">
        <v>68.599999999999994</v>
      </c>
      <c r="M80">
        <v>21</v>
      </c>
    </row>
    <row r="81" spans="1:13" x14ac:dyDescent="0.2">
      <c r="A81" t="s">
        <v>107</v>
      </c>
      <c r="B81" t="s">
        <v>139</v>
      </c>
      <c r="C81" t="s">
        <v>142</v>
      </c>
      <c r="D81">
        <v>1</v>
      </c>
      <c r="E81" t="s">
        <v>58</v>
      </c>
      <c r="F81">
        <v>644</v>
      </c>
      <c r="G81">
        <v>42</v>
      </c>
      <c r="H81">
        <v>683.8</v>
      </c>
      <c r="I81" s="1">
        <v>6114</v>
      </c>
      <c r="J81">
        <v>100</v>
      </c>
      <c r="K81">
        <v>8.4</v>
      </c>
      <c r="L81">
        <v>181.7</v>
      </c>
      <c r="M81">
        <v>21</v>
      </c>
    </row>
    <row r="82" spans="1:13" x14ac:dyDescent="0.2">
      <c r="A82" t="s">
        <v>153</v>
      </c>
      <c r="B82" t="s">
        <v>139</v>
      </c>
      <c r="C82" t="s">
        <v>154</v>
      </c>
      <c r="D82">
        <v>2</v>
      </c>
      <c r="E82" t="s">
        <v>58</v>
      </c>
      <c r="F82">
        <v>646</v>
      </c>
      <c r="G82">
        <v>42</v>
      </c>
      <c r="H82">
        <v>366.3</v>
      </c>
      <c r="I82" s="1">
        <v>4706.2</v>
      </c>
      <c r="J82">
        <v>100</v>
      </c>
      <c r="K82">
        <v>12.1</v>
      </c>
      <c r="L82">
        <v>88.3</v>
      </c>
      <c r="M82">
        <v>19.399999999999999</v>
      </c>
    </row>
    <row r="83" spans="1:13" x14ac:dyDescent="0.2">
      <c r="A83" t="s">
        <v>156</v>
      </c>
      <c r="B83" t="s">
        <v>139</v>
      </c>
      <c r="C83" t="s">
        <v>143</v>
      </c>
      <c r="D83">
        <v>1</v>
      </c>
      <c r="E83" t="s">
        <v>58</v>
      </c>
      <c r="F83">
        <v>647</v>
      </c>
      <c r="G83">
        <v>42</v>
      </c>
      <c r="H83">
        <v>336.2</v>
      </c>
      <c r="I83" s="1">
        <v>3361.4</v>
      </c>
      <c r="J83">
        <v>100</v>
      </c>
      <c r="K83">
        <v>9.4</v>
      </c>
      <c r="L83">
        <v>82.6</v>
      </c>
      <c r="M83">
        <v>20.8</v>
      </c>
    </row>
    <row r="84" spans="1:13" x14ac:dyDescent="0.2">
      <c r="A84" t="s">
        <v>155</v>
      </c>
      <c r="B84" t="s">
        <v>139</v>
      </c>
      <c r="C84" t="s">
        <v>144</v>
      </c>
      <c r="D84">
        <v>1</v>
      </c>
      <c r="E84" t="s">
        <v>58</v>
      </c>
      <c r="F84">
        <v>643</v>
      </c>
      <c r="G84">
        <v>42</v>
      </c>
      <c r="H84">
        <v>654.20000000000005</v>
      </c>
      <c r="I84" s="1">
        <v>6897.5</v>
      </c>
      <c r="J84">
        <v>100</v>
      </c>
      <c r="K84">
        <v>9.9</v>
      </c>
      <c r="L84">
        <v>122.8</v>
      </c>
      <c r="M84">
        <v>24.4</v>
      </c>
    </row>
    <row r="85" spans="1:13" x14ac:dyDescent="0.2">
      <c r="A85" t="s">
        <v>157</v>
      </c>
      <c r="B85" t="s">
        <v>139</v>
      </c>
      <c r="C85" t="s">
        <v>145</v>
      </c>
      <c r="D85">
        <v>1</v>
      </c>
      <c r="E85" t="s">
        <v>58</v>
      </c>
      <c r="F85">
        <v>634</v>
      </c>
      <c r="G85">
        <v>42</v>
      </c>
      <c r="H85">
        <v>1327.4</v>
      </c>
      <c r="I85" s="1">
        <v>13663.8</v>
      </c>
      <c r="J85">
        <v>100</v>
      </c>
      <c r="K85">
        <v>9.6999999999999993</v>
      </c>
      <c r="L85">
        <v>246.7</v>
      </c>
      <c r="M85">
        <v>21.8</v>
      </c>
    </row>
    <row r="86" spans="1:13" x14ac:dyDescent="0.2">
      <c r="A86" t="s">
        <v>158</v>
      </c>
      <c r="B86" t="s">
        <v>139</v>
      </c>
      <c r="C86" t="s">
        <v>146</v>
      </c>
      <c r="D86">
        <v>1</v>
      </c>
      <c r="E86" t="s">
        <v>58</v>
      </c>
      <c r="F86">
        <v>648</v>
      </c>
      <c r="G86">
        <v>42</v>
      </c>
      <c r="H86">
        <v>447.7</v>
      </c>
      <c r="I86" s="1">
        <v>4800.8999999999996</v>
      </c>
      <c r="J86">
        <v>100</v>
      </c>
      <c r="K86">
        <v>10.1</v>
      </c>
      <c r="L86">
        <v>97.5</v>
      </c>
      <c r="M86">
        <v>20.399999999999999</v>
      </c>
    </row>
    <row r="87" spans="1:13" x14ac:dyDescent="0.2">
      <c r="A87" t="s">
        <v>159</v>
      </c>
      <c r="B87" t="s">
        <v>139</v>
      </c>
      <c r="C87" t="s">
        <v>147</v>
      </c>
      <c r="D87">
        <v>1</v>
      </c>
      <c r="E87" t="s">
        <v>58</v>
      </c>
      <c r="F87">
        <v>637</v>
      </c>
      <c r="G87">
        <v>42</v>
      </c>
      <c r="H87">
        <v>1103</v>
      </c>
      <c r="I87" s="1">
        <v>11919.1</v>
      </c>
      <c r="J87">
        <v>100</v>
      </c>
      <c r="K87">
        <v>10.199999999999999</v>
      </c>
      <c r="L87">
        <v>226.2</v>
      </c>
      <c r="M87">
        <v>20</v>
      </c>
    </row>
    <row r="88" spans="1:13" x14ac:dyDescent="0.2">
      <c r="A88" t="s">
        <v>160</v>
      </c>
      <c r="B88" t="s">
        <v>139</v>
      </c>
      <c r="C88" t="s">
        <v>148</v>
      </c>
      <c r="D88">
        <v>1</v>
      </c>
      <c r="E88" t="s">
        <v>58</v>
      </c>
      <c r="F88">
        <v>647</v>
      </c>
      <c r="G88">
        <v>42</v>
      </c>
      <c r="H88">
        <v>2096.9</v>
      </c>
      <c r="I88" s="1">
        <v>22502.6</v>
      </c>
      <c r="J88">
        <v>100</v>
      </c>
      <c r="K88">
        <v>10.1</v>
      </c>
      <c r="L88">
        <v>423.6</v>
      </c>
      <c r="M88">
        <v>19.5</v>
      </c>
    </row>
    <row r="89" spans="1:13" x14ac:dyDescent="0.2">
      <c r="A89" t="s">
        <v>161</v>
      </c>
      <c r="B89" t="s">
        <v>139</v>
      </c>
      <c r="C89" t="s">
        <v>149</v>
      </c>
      <c r="D89">
        <v>1</v>
      </c>
      <c r="E89" t="s">
        <v>58</v>
      </c>
      <c r="F89">
        <v>641</v>
      </c>
      <c r="G89">
        <v>42</v>
      </c>
      <c r="H89">
        <v>595.70000000000005</v>
      </c>
      <c r="I89" s="1">
        <v>6121.6</v>
      </c>
      <c r="J89">
        <v>100</v>
      </c>
      <c r="K89">
        <v>9.6999999999999993</v>
      </c>
      <c r="L89">
        <v>131.30000000000001</v>
      </c>
      <c r="M89">
        <v>22.6</v>
      </c>
    </row>
    <row r="90" spans="1:13" x14ac:dyDescent="0.2">
      <c r="A90" t="s">
        <v>162</v>
      </c>
      <c r="B90" t="s">
        <v>139</v>
      </c>
      <c r="C90" t="s">
        <v>150</v>
      </c>
      <c r="D90">
        <v>1</v>
      </c>
      <c r="E90" t="s">
        <v>58</v>
      </c>
      <c r="F90">
        <v>637</v>
      </c>
      <c r="G90">
        <v>42</v>
      </c>
      <c r="H90">
        <v>896</v>
      </c>
      <c r="I90" s="1">
        <v>9689.5</v>
      </c>
      <c r="J90">
        <v>100</v>
      </c>
      <c r="K90">
        <v>10.199999999999999</v>
      </c>
      <c r="L90">
        <v>195.6</v>
      </c>
      <c r="M90">
        <v>17.7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D186-0CA2-4BBD-85E8-E65AD1D613A7}">
  <dimension ref="D4:O22"/>
  <sheetViews>
    <sheetView topLeftCell="B3" workbookViewId="0">
      <selection activeCell="V31" sqref="V31"/>
    </sheetView>
  </sheetViews>
  <sheetFormatPr baseColWidth="10" defaultColWidth="8.83203125" defaultRowHeight="15" x14ac:dyDescent="0.2"/>
  <sheetData>
    <row r="4" spans="4:15" x14ac:dyDescent="0.2">
      <c r="E4" t="s">
        <v>18</v>
      </c>
      <c r="F4" t="s">
        <v>104</v>
      </c>
      <c r="I4" t="s">
        <v>105</v>
      </c>
      <c r="L4" t="s">
        <v>106</v>
      </c>
      <c r="O4" s="2" t="s">
        <v>176</v>
      </c>
    </row>
    <row r="5" spans="4:15" x14ac:dyDescent="0.2">
      <c r="D5" t="s">
        <v>58</v>
      </c>
      <c r="F5">
        <v>10</v>
      </c>
      <c r="G5">
        <v>1</v>
      </c>
      <c r="H5">
        <v>0.1</v>
      </c>
      <c r="I5">
        <v>10</v>
      </c>
      <c r="J5">
        <v>1</v>
      </c>
      <c r="K5">
        <v>0.1</v>
      </c>
      <c r="L5">
        <v>1</v>
      </c>
      <c r="M5">
        <v>0.1</v>
      </c>
      <c r="O5" s="2" t="s">
        <v>177</v>
      </c>
    </row>
    <row r="6" spans="4:15" x14ac:dyDescent="0.2">
      <c r="D6">
        <v>40623</v>
      </c>
      <c r="E6">
        <v>1</v>
      </c>
      <c r="F6">
        <v>0.34553949295709419</v>
      </c>
      <c r="G6">
        <v>0.56175062381677443</v>
      </c>
      <c r="H6">
        <v>0.68874871907692492</v>
      </c>
      <c r="I6">
        <v>0.13598916208815068</v>
      </c>
      <c r="J6">
        <v>0.26317059097110856</v>
      </c>
      <c r="K6">
        <v>0.77280043073752225</v>
      </c>
      <c r="L6">
        <v>0.29360976183997484</v>
      </c>
      <c r="M6">
        <v>0.7417755571894763</v>
      </c>
      <c r="O6" s="2" t="s">
        <v>178</v>
      </c>
    </row>
    <row r="7" spans="4:15" x14ac:dyDescent="0.2">
      <c r="D7" t="s">
        <v>179</v>
      </c>
      <c r="E7">
        <v>0.81499999999999995</v>
      </c>
      <c r="F7">
        <v>0.161</v>
      </c>
      <c r="G7">
        <v>0.32200000000000001</v>
      </c>
      <c r="H7" s="5">
        <v>0.55400000000000005</v>
      </c>
      <c r="I7">
        <v>0.10100000000000001</v>
      </c>
      <c r="J7">
        <v>0.29499999999999998</v>
      </c>
      <c r="K7" s="5">
        <v>0.6</v>
      </c>
      <c r="L7">
        <v>0.65600000000000003</v>
      </c>
      <c r="M7" s="5">
        <v>0.59599999999999997</v>
      </c>
      <c r="O7" s="2" t="s">
        <v>180</v>
      </c>
    </row>
    <row r="8" spans="4:15" x14ac:dyDescent="0.2">
      <c r="D8">
        <v>41023</v>
      </c>
      <c r="E8">
        <v>1</v>
      </c>
      <c r="F8">
        <v>0.30727401210176758</v>
      </c>
      <c r="G8">
        <v>0.49377847357765603</v>
      </c>
      <c r="H8">
        <v>0.7750729946080559</v>
      </c>
      <c r="I8">
        <v>0.12883042756094623</v>
      </c>
      <c r="J8">
        <v>0.28007480101158599</v>
      </c>
      <c r="K8">
        <v>0.75089945262564728</v>
      </c>
      <c r="L8">
        <v>0.29562441348690416</v>
      </c>
      <c r="M8">
        <v>0.86380808041790402</v>
      </c>
      <c r="O8" s="2" t="s">
        <v>181</v>
      </c>
    </row>
    <row r="9" spans="4:15" x14ac:dyDescent="0.2">
      <c r="O9" s="2" t="s">
        <v>182</v>
      </c>
    </row>
    <row r="10" spans="4:15" x14ac:dyDescent="0.2">
      <c r="D10" t="s">
        <v>183</v>
      </c>
      <c r="E10">
        <f>(E6+E8)/2</f>
        <v>1</v>
      </c>
      <c r="F10">
        <f t="shared" ref="F10:M10" si="0">(F6+F8)/2</f>
        <v>0.32640675252943085</v>
      </c>
      <c r="G10">
        <f t="shared" si="0"/>
        <v>0.52776454869721523</v>
      </c>
      <c r="H10">
        <f t="shared" si="0"/>
        <v>0.73191085684249035</v>
      </c>
      <c r="I10">
        <f t="shared" si="0"/>
        <v>0.13240979482454845</v>
      </c>
      <c r="J10">
        <f t="shared" si="0"/>
        <v>0.27162269599134725</v>
      </c>
      <c r="K10">
        <f t="shared" si="0"/>
        <v>0.76184994168158471</v>
      </c>
      <c r="L10">
        <f t="shared" si="0"/>
        <v>0.29461708766343953</v>
      </c>
      <c r="M10">
        <f t="shared" si="0"/>
        <v>0.80279181880369022</v>
      </c>
      <c r="O10" s="2" t="s">
        <v>184</v>
      </c>
    </row>
    <row r="11" spans="4:15" x14ac:dyDescent="0.2">
      <c r="D11" t="s">
        <v>185</v>
      </c>
      <c r="E11">
        <f>E10/1.3241</f>
        <v>0.7552299675251114</v>
      </c>
      <c r="F11" s="1">
        <f t="shared" ref="F11:H11" si="1">F10/1.3241</f>
        <v>0.24651216111277913</v>
      </c>
      <c r="G11" s="1">
        <f t="shared" si="1"/>
        <v>0.39858360297350293</v>
      </c>
      <c r="H11">
        <f t="shared" si="1"/>
        <v>0.55276101264443045</v>
      </c>
      <c r="I11">
        <f>I10/1.3241</f>
        <v>9.9999845045350394E-2</v>
      </c>
      <c r="J11">
        <f t="shared" ref="J11:M11" si="2">J10/1.3241</f>
        <v>0.20513759987262839</v>
      </c>
      <c r="K11">
        <f t="shared" si="2"/>
        <v>0.57537190671519123</v>
      </c>
      <c r="L11" s="1">
        <f t="shared" si="2"/>
        <v>0.22250365354840232</v>
      </c>
      <c r="M11">
        <f t="shared" si="2"/>
        <v>0.60629243924453602</v>
      </c>
      <c r="O11" s="2" t="s">
        <v>186</v>
      </c>
    </row>
    <row r="12" spans="4:15" x14ac:dyDescent="0.2">
      <c r="D12" s="3" t="s">
        <v>187</v>
      </c>
      <c r="E12" s="3">
        <v>0.7552299675251114</v>
      </c>
      <c r="F12" s="3">
        <f>(F7+F11)/2</f>
        <v>0.20375608055638955</v>
      </c>
      <c r="G12" s="3">
        <f>(G7+G11)/2</f>
        <v>0.36029180148675144</v>
      </c>
      <c r="H12" s="5">
        <v>0.55276101264443045</v>
      </c>
      <c r="I12" s="3">
        <v>9.9999845045350394E-2</v>
      </c>
      <c r="J12" s="3">
        <v>0.20513759987262839</v>
      </c>
      <c r="K12" s="5">
        <v>0.57537190671519123</v>
      </c>
      <c r="L12" s="3">
        <v>0.22250365354840232</v>
      </c>
      <c r="M12" s="5">
        <v>0.60629243924453602</v>
      </c>
      <c r="O12" s="2" t="s">
        <v>188</v>
      </c>
    </row>
    <row r="13" spans="4:15" x14ac:dyDescent="0.2">
      <c r="D13">
        <v>41323</v>
      </c>
      <c r="E13">
        <v>1</v>
      </c>
      <c r="F13">
        <v>1.9412108803743788</v>
      </c>
      <c r="G13">
        <v>0.95671248903188078</v>
      </c>
      <c r="H13">
        <v>0.49166422930681486</v>
      </c>
      <c r="I13">
        <v>3.0665399239543727</v>
      </c>
      <c r="J13">
        <v>1.6130447499268794</v>
      </c>
      <c r="K13">
        <v>0.65472360339280489</v>
      </c>
      <c r="L13">
        <v>1.310324656332261</v>
      </c>
      <c r="M13">
        <v>0.87116115823340168</v>
      </c>
      <c r="O13" s="2" t="s">
        <v>189</v>
      </c>
    </row>
    <row r="14" spans="4:15" x14ac:dyDescent="0.2">
      <c r="O14" s="2" t="s">
        <v>190</v>
      </c>
    </row>
    <row r="15" spans="4:15" x14ac:dyDescent="0.2">
      <c r="D15" t="s">
        <v>110</v>
      </c>
      <c r="E15">
        <v>2402.6999999999998</v>
      </c>
      <c r="F15">
        <v>3568.1</v>
      </c>
      <c r="G15">
        <v>1840.3</v>
      </c>
      <c r="H15">
        <v>5107.7</v>
      </c>
      <c r="I15">
        <v>573.70000000000005</v>
      </c>
      <c r="J15">
        <v>217.7</v>
      </c>
      <c r="K15">
        <v>1941.8</v>
      </c>
      <c r="L15">
        <v>4468.5</v>
      </c>
      <c r="M15">
        <v>1228.8</v>
      </c>
    </row>
    <row r="16" spans="4:15" x14ac:dyDescent="0.2">
      <c r="D16" t="s">
        <v>191</v>
      </c>
      <c r="E16">
        <v>647318.4</v>
      </c>
      <c r="F16">
        <v>241109.6</v>
      </c>
      <c r="G16">
        <v>430421.1</v>
      </c>
      <c r="H16">
        <v>525320.19999999995</v>
      </c>
      <c r="I16">
        <v>151667.4</v>
      </c>
      <c r="J16">
        <v>234708.3</v>
      </c>
      <c r="K16">
        <v>614318.9</v>
      </c>
      <c r="L16">
        <v>514976.7</v>
      </c>
      <c r="M16">
        <v>628659.69999999995</v>
      </c>
    </row>
    <row r="17" spans="4:13" x14ac:dyDescent="0.2">
      <c r="D17" t="s">
        <v>173</v>
      </c>
    </row>
    <row r="18" spans="4:13" x14ac:dyDescent="0.2">
      <c r="D18" t="s">
        <v>110</v>
      </c>
      <c r="E18">
        <f>E15/2402.7</f>
        <v>1</v>
      </c>
      <c r="F18">
        <f t="shared" ref="F18:M18" si="3">F15/2402.7</f>
        <v>1.4850376659591293</v>
      </c>
      <c r="G18">
        <f t="shared" si="3"/>
        <v>0.76592999542181717</v>
      </c>
      <c r="H18">
        <f t="shared" si="3"/>
        <v>2.1258167894452074</v>
      </c>
      <c r="I18">
        <f t="shared" si="3"/>
        <v>0.23877304698880431</v>
      </c>
      <c r="J18">
        <f t="shared" si="3"/>
        <v>9.0606401132059769E-2</v>
      </c>
      <c r="K18">
        <f t="shared" si="3"/>
        <v>0.80817413742872601</v>
      </c>
      <c r="L18">
        <f t="shared" si="3"/>
        <v>1.8597827444125361</v>
      </c>
      <c r="M18">
        <f t="shared" si="3"/>
        <v>0.51142464727181924</v>
      </c>
    </row>
    <row r="19" spans="4:13" x14ac:dyDescent="0.2">
      <c r="D19" t="s">
        <v>191</v>
      </c>
      <c r="E19">
        <f>E16/647318.4</f>
        <v>1</v>
      </c>
      <c r="F19">
        <f t="shared" ref="F19:M19" si="4">F16/647318.4</f>
        <v>0.37247450404623134</v>
      </c>
      <c r="G19">
        <f t="shared" si="4"/>
        <v>0.66492949991843264</v>
      </c>
      <c r="H19">
        <f t="shared" si="4"/>
        <v>0.81153293340649657</v>
      </c>
      <c r="I19">
        <f t="shared" si="4"/>
        <v>0.23430107965415473</v>
      </c>
      <c r="J19">
        <f t="shared" si="4"/>
        <v>0.36258555295199391</v>
      </c>
      <c r="K19">
        <f t="shared" si="4"/>
        <v>0.9490212235586073</v>
      </c>
      <c r="L19">
        <f t="shared" si="4"/>
        <v>0.79555393450889078</v>
      </c>
      <c r="M19">
        <f t="shared" si="4"/>
        <v>0.97117539065782765</v>
      </c>
    </row>
    <row r="20" spans="4:13" x14ac:dyDescent="0.2">
      <c r="D20" t="s">
        <v>171</v>
      </c>
    </row>
    <row r="21" spans="4:13" x14ac:dyDescent="0.2">
      <c r="D21" t="s">
        <v>110</v>
      </c>
      <c r="E21">
        <f>E18/E8</f>
        <v>1</v>
      </c>
      <c r="F21">
        <f>F18/F8</f>
        <v>4.8329426097619104</v>
      </c>
      <c r="G21">
        <f t="shared" ref="G21:M21" si="5">G18/G8</f>
        <v>1.5511611712683544</v>
      </c>
      <c r="H21">
        <f t="shared" si="5"/>
        <v>2.7427310772454465</v>
      </c>
      <c r="I21">
        <f t="shared" si="5"/>
        <v>1.8533901618532405</v>
      </c>
      <c r="J21">
        <f t="shared" si="5"/>
        <v>0.32350786577301399</v>
      </c>
      <c r="K21">
        <f t="shared" si="5"/>
        <v>1.0762747723450963</v>
      </c>
      <c r="L21">
        <f t="shared" si="5"/>
        <v>6.291032335510824</v>
      </c>
      <c r="M21">
        <f t="shared" si="5"/>
        <v>0.59205818846287683</v>
      </c>
    </row>
    <row r="22" spans="4:13" x14ac:dyDescent="0.2">
      <c r="D22" t="s">
        <v>191</v>
      </c>
      <c r="E22">
        <f>E19/E8</f>
        <v>1</v>
      </c>
      <c r="F22">
        <f t="shared" ref="F22:M22" si="6">F19/F8</f>
        <v>1.2121900628643782</v>
      </c>
      <c r="G22">
        <f t="shared" si="6"/>
        <v>1.3466150014615004</v>
      </c>
      <c r="H22">
        <f t="shared" si="6"/>
        <v>1.0470406517219426</v>
      </c>
      <c r="I22">
        <f t="shared" si="6"/>
        <v>1.8186781189041163</v>
      </c>
      <c r="J22">
        <f t="shared" si="6"/>
        <v>1.2946025548974491</v>
      </c>
      <c r="K22">
        <f t="shared" si="6"/>
        <v>1.2638459386808629</v>
      </c>
      <c r="L22">
        <f t="shared" si="6"/>
        <v>2.6910968722958093</v>
      </c>
      <c r="M22">
        <f t="shared" si="6"/>
        <v>1.1242953298005502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FFF4-6166-43CC-AE71-1B5D28B878A1}">
  <dimension ref="A1:AC110"/>
  <sheetViews>
    <sheetView topLeftCell="A47" workbookViewId="0">
      <selection activeCell="Q2" sqref="Q2:Q11"/>
    </sheetView>
  </sheetViews>
  <sheetFormatPr baseColWidth="10" defaultColWidth="8.83203125" defaultRowHeight="15" x14ac:dyDescent="0.2"/>
  <cols>
    <col min="1" max="1" width="20.1640625" bestFit="1" customWidth="1"/>
    <col min="2" max="2" width="26.5" bestFit="1" customWidth="1"/>
    <col min="3" max="3" width="10" customWidth="1"/>
    <col min="4" max="4" width="9.1640625" customWidth="1"/>
    <col min="5" max="5" width="13.6640625" bestFit="1" customWidth="1"/>
    <col min="6" max="6" width="8.33203125" bestFit="1" customWidth="1"/>
    <col min="7" max="7" width="9.6640625" bestFit="1" customWidth="1"/>
    <col min="8" max="8" width="13.5" customWidth="1"/>
    <col min="9" max="9" width="14.1640625" customWidth="1"/>
    <col min="14" max="14" width="20.5" bestFit="1" customWidth="1"/>
    <col min="15" max="15" width="21.83203125" bestFit="1" customWidth="1"/>
    <col min="16" max="16" width="11.5" bestFit="1" customWidth="1"/>
    <col min="23" max="23" width="19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102</v>
      </c>
      <c r="L1" t="s">
        <v>103</v>
      </c>
      <c r="M1" t="s">
        <v>10</v>
      </c>
      <c r="P1" t="s">
        <v>164</v>
      </c>
      <c r="Q1" t="s">
        <v>165</v>
      </c>
      <c r="R1" t="s">
        <v>16</v>
      </c>
      <c r="S1" t="s">
        <v>15</v>
      </c>
      <c r="T1" t="s">
        <v>13</v>
      </c>
      <c r="U1" t="s">
        <v>12</v>
      </c>
      <c r="X1" t="s">
        <v>164</v>
      </c>
      <c r="Y1" t="s">
        <v>165</v>
      </c>
      <c r="Z1" t="s">
        <v>16</v>
      </c>
      <c r="AA1" t="s">
        <v>15</v>
      </c>
      <c r="AB1" t="s">
        <v>13</v>
      </c>
      <c r="AC1" t="s">
        <v>12</v>
      </c>
    </row>
    <row r="2" spans="1:29" x14ac:dyDescent="0.2">
      <c r="A2" t="s">
        <v>151</v>
      </c>
      <c r="B2" t="s">
        <v>192</v>
      </c>
      <c r="C2" t="s">
        <v>152</v>
      </c>
      <c r="D2">
        <v>1</v>
      </c>
      <c r="E2" t="s">
        <v>58</v>
      </c>
      <c r="F2">
        <v>659</v>
      </c>
      <c r="G2">
        <v>42</v>
      </c>
      <c r="H2">
        <v>3390.2</v>
      </c>
      <c r="I2">
        <v>39245.1</v>
      </c>
      <c r="J2">
        <v>100</v>
      </c>
      <c r="K2">
        <v>10.9</v>
      </c>
      <c r="L2">
        <v>226.2</v>
      </c>
      <c r="M2">
        <v>80.3</v>
      </c>
      <c r="N2" s="6">
        <f>I2/$I$3*100</f>
        <v>74.577279309204641</v>
      </c>
      <c r="O2" t="s">
        <v>107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W2" t="s">
        <v>107</v>
      </c>
      <c r="X2">
        <v>1</v>
      </c>
      <c r="Y2">
        <v>1</v>
      </c>
      <c r="AB2">
        <v>1</v>
      </c>
      <c r="AC2">
        <v>1</v>
      </c>
    </row>
    <row r="3" spans="1:29" x14ac:dyDescent="0.2">
      <c r="A3" t="s">
        <v>107</v>
      </c>
      <c r="B3" t="s">
        <v>192</v>
      </c>
      <c r="C3" t="s">
        <v>142</v>
      </c>
      <c r="D3">
        <v>1</v>
      </c>
      <c r="E3" t="s">
        <v>58</v>
      </c>
      <c r="F3">
        <v>652</v>
      </c>
      <c r="G3">
        <v>42</v>
      </c>
      <c r="H3">
        <v>4606.8999999999996</v>
      </c>
      <c r="I3">
        <v>52623.4</v>
      </c>
      <c r="J3">
        <v>100</v>
      </c>
      <c r="K3">
        <v>10.7</v>
      </c>
      <c r="L3">
        <v>370.7</v>
      </c>
      <c r="M3">
        <v>102</v>
      </c>
      <c r="N3" s="6">
        <f>I3/$I$3*100</f>
        <v>100</v>
      </c>
      <c r="O3" t="s">
        <v>153</v>
      </c>
      <c r="P3">
        <v>0.91745027098662801</v>
      </c>
      <c r="Q3">
        <v>1.0035395627450276</v>
      </c>
      <c r="R3">
        <v>1.0586299533962691</v>
      </c>
      <c r="S3">
        <v>0.84582186629075307</v>
      </c>
      <c r="T3">
        <v>0.88607779187657354</v>
      </c>
      <c r="U3">
        <v>0.96480467400163838</v>
      </c>
      <c r="W3" t="s">
        <v>153</v>
      </c>
      <c r="X3">
        <v>0.91745027098662801</v>
      </c>
      <c r="Y3">
        <v>1.0035395627450276</v>
      </c>
      <c r="AB3">
        <v>0.88607779187657354</v>
      </c>
      <c r="AC3">
        <v>0.96480467400163838</v>
      </c>
    </row>
    <row r="4" spans="1:29" x14ac:dyDescent="0.2">
      <c r="A4" t="s">
        <v>153</v>
      </c>
      <c r="B4" t="s">
        <v>192</v>
      </c>
      <c r="C4" t="s">
        <v>154</v>
      </c>
      <c r="D4">
        <v>1</v>
      </c>
      <c r="E4" t="s">
        <v>58</v>
      </c>
      <c r="F4">
        <v>651</v>
      </c>
      <c r="G4">
        <v>42</v>
      </c>
      <c r="H4">
        <v>4246.3</v>
      </c>
      <c r="I4">
        <v>46536.6</v>
      </c>
      <c r="J4">
        <v>100</v>
      </c>
      <c r="K4">
        <v>10.3</v>
      </c>
      <c r="L4">
        <v>325.7</v>
      </c>
      <c r="M4">
        <v>87.8</v>
      </c>
      <c r="N4" s="6">
        <f t="shared" ref="N4:N12" si="0">I4/$I$3*100</f>
        <v>88.43328253210548</v>
      </c>
      <c r="O4" t="s">
        <v>156</v>
      </c>
      <c r="P4">
        <v>0.67597692098681461</v>
      </c>
      <c r="Q4">
        <v>0.97550997568411568</v>
      </c>
      <c r="R4">
        <v>1.2845170881668857</v>
      </c>
      <c r="S4">
        <v>0.88706226381448972</v>
      </c>
      <c r="T4">
        <v>1.1589756846095132</v>
      </c>
      <c r="U4">
        <v>0.67070807427021384</v>
      </c>
      <c r="W4" t="s">
        <v>156</v>
      </c>
      <c r="X4">
        <v>0.67597692098681461</v>
      </c>
      <c r="Y4">
        <v>0.97550997568411568</v>
      </c>
      <c r="AB4">
        <v>1.1589756846095132</v>
      </c>
      <c r="AC4">
        <v>0.67070807427021384</v>
      </c>
    </row>
    <row r="5" spans="1:29" x14ac:dyDescent="0.2">
      <c r="A5" t="s">
        <v>156</v>
      </c>
      <c r="B5" t="s">
        <v>192</v>
      </c>
      <c r="C5" t="s">
        <v>143</v>
      </c>
      <c r="D5">
        <v>1</v>
      </c>
      <c r="E5" t="s">
        <v>58</v>
      </c>
      <c r="F5">
        <v>653</v>
      </c>
      <c r="G5">
        <v>43</v>
      </c>
      <c r="H5">
        <v>3608.8</v>
      </c>
      <c r="I5">
        <v>42324.6</v>
      </c>
      <c r="J5">
        <v>100</v>
      </c>
      <c r="K5">
        <v>11</v>
      </c>
      <c r="L5">
        <v>254</v>
      </c>
      <c r="M5">
        <v>77.099999999999994</v>
      </c>
      <c r="N5" s="6">
        <f t="shared" si="0"/>
        <v>80.429238703694551</v>
      </c>
      <c r="O5" t="s">
        <v>155</v>
      </c>
      <c r="P5">
        <v>0.64833373934016358</v>
      </c>
      <c r="Q5">
        <v>0.51496822872074932</v>
      </c>
      <c r="R5">
        <v>1.04441782979716</v>
      </c>
      <c r="S5">
        <v>0.72432932578696485</v>
      </c>
      <c r="T5">
        <v>0.98258651959533849</v>
      </c>
      <c r="U5">
        <v>0.49775152183898264</v>
      </c>
      <c r="W5" t="s">
        <v>155</v>
      </c>
      <c r="X5">
        <v>0.64833373934016358</v>
      </c>
      <c r="Y5">
        <v>0.51496822872074932</v>
      </c>
      <c r="AB5">
        <v>0.98258651959533849</v>
      </c>
      <c r="AC5">
        <v>0.49775152183898264</v>
      </c>
    </row>
    <row r="6" spans="1:29" x14ac:dyDescent="0.2">
      <c r="A6" t="s">
        <v>155</v>
      </c>
      <c r="B6" t="s">
        <v>192</v>
      </c>
      <c r="C6" t="s">
        <v>144</v>
      </c>
      <c r="D6">
        <v>1</v>
      </c>
      <c r="E6" t="s">
        <v>58</v>
      </c>
      <c r="F6">
        <v>650</v>
      </c>
      <c r="G6">
        <v>42</v>
      </c>
      <c r="H6">
        <v>5511.2</v>
      </c>
      <c r="I6">
        <v>65101.7</v>
      </c>
      <c r="J6">
        <v>100</v>
      </c>
      <c r="K6">
        <v>11.1</v>
      </c>
      <c r="L6">
        <v>326.3</v>
      </c>
      <c r="M6">
        <v>105.7</v>
      </c>
      <c r="N6" s="6">
        <f t="shared" si="0"/>
        <v>123.71245491549385</v>
      </c>
      <c r="O6" t="s">
        <v>157</v>
      </c>
      <c r="P6">
        <v>0.2948226198302013</v>
      </c>
      <c r="Q6">
        <v>0.11699709444303125</v>
      </c>
      <c r="R6">
        <v>0.80198236649082333</v>
      </c>
      <c r="S6">
        <v>0.39030683063562543</v>
      </c>
      <c r="T6">
        <v>0.67307837105573587</v>
      </c>
      <c r="U6">
        <v>0.16940116014571921</v>
      </c>
      <c r="W6" t="s">
        <v>157</v>
      </c>
      <c r="X6">
        <v>0.2948226198302013</v>
      </c>
      <c r="Y6">
        <v>0.11699709444303125</v>
      </c>
      <c r="AB6">
        <v>0.67307837105573587</v>
      </c>
      <c r="AC6">
        <v>0.16940116014571921</v>
      </c>
    </row>
    <row r="7" spans="1:29" x14ac:dyDescent="0.2">
      <c r="A7" t="s">
        <v>157</v>
      </c>
      <c r="B7" t="s">
        <v>192</v>
      </c>
      <c r="C7" t="s">
        <v>145</v>
      </c>
      <c r="D7">
        <v>1</v>
      </c>
      <c r="E7" t="s">
        <v>58</v>
      </c>
      <c r="F7">
        <v>648</v>
      </c>
      <c r="G7">
        <v>43</v>
      </c>
      <c r="H7">
        <v>10611.6</v>
      </c>
      <c r="I7">
        <v>120022.7</v>
      </c>
      <c r="J7">
        <v>100</v>
      </c>
      <c r="K7">
        <v>10.6</v>
      </c>
      <c r="L7">
        <v>637.6</v>
      </c>
      <c r="M7">
        <v>100</v>
      </c>
      <c r="N7" s="6">
        <f t="shared" si="0"/>
        <v>228.07857341030794</v>
      </c>
      <c r="O7" t="s">
        <v>158</v>
      </c>
      <c r="P7">
        <v>1.2790740342741604</v>
      </c>
      <c r="Q7">
        <v>1.123013879228044</v>
      </c>
      <c r="R7">
        <v>1.5403001215752605</v>
      </c>
      <c r="S7">
        <v>1.1645151765723012</v>
      </c>
      <c r="T7">
        <v>1.3333929372882203</v>
      </c>
      <c r="U7">
        <v>1.0768129277726211</v>
      </c>
      <c r="W7" t="s">
        <v>158</v>
      </c>
      <c r="X7">
        <v>1.2790740342741604</v>
      </c>
      <c r="Y7">
        <v>1.123013879228044</v>
      </c>
      <c r="AB7">
        <v>1.3333929372882203</v>
      </c>
      <c r="AC7">
        <v>1.0768129277726211</v>
      </c>
    </row>
    <row r="8" spans="1:29" x14ac:dyDescent="0.2">
      <c r="A8" t="s">
        <v>158</v>
      </c>
      <c r="B8" t="s">
        <v>192</v>
      </c>
      <c r="C8" t="s">
        <v>146</v>
      </c>
      <c r="D8">
        <v>1</v>
      </c>
      <c r="E8" t="s">
        <v>58</v>
      </c>
      <c r="F8">
        <v>655</v>
      </c>
      <c r="G8">
        <v>43</v>
      </c>
      <c r="H8">
        <v>3389.4</v>
      </c>
      <c r="I8">
        <v>36808.300000000003</v>
      </c>
      <c r="J8">
        <v>100</v>
      </c>
      <c r="K8">
        <v>10.199999999999999</v>
      </c>
      <c r="L8">
        <v>243.9</v>
      </c>
      <c r="M8">
        <v>105.8</v>
      </c>
      <c r="N8" s="6">
        <f t="shared" si="0"/>
        <v>69.946639707810604</v>
      </c>
      <c r="O8" t="s">
        <v>159</v>
      </c>
      <c r="P8">
        <v>0.37002970845826522</v>
      </c>
      <c r="Q8">
        <v>0.21188902907134385</v>
      </c>
      <c r="R8">
        <v>1.0150127003333125</v>
      </c>
      <c r="S8">
        <v>0.62807721464331945</v>
      </c>
      <c r="T8">
        <v>0.76429671782409048</v>
      </c>
      <c r="U8">
        <v>0.23490664636248637</v>
      </c>
      <c r="W8" t="s">
        <v>159</v>
      </c>
      <c r="X8">
        <v>0.37002970845826522</v>
      </c>
      <c r="Y8">
        <v>0.21188902907134385</v>
      </c>
      <c r="AB8">
        <v>0.76429671782409048</v>
      </c>
      <c r="AC8">
        <v>0.23490664636248637</v>
      </c>
    </row>
    <row r="9" spans="1:29" x14ac:dyDescent="0.2">
      <c r="A9" t="s">
        <v>159</v>
      </c>
      <c r="B9" t="s">
        <v>192</v>
      </c>
      <c r="C9" t="s">
        <v>147</v>
      </c>
      <c r="D9">
        <v>1</v>
      </c>
      <c r="E9" t="s">
        <v>58</v>
      </c>
      <c r="F9">
        <v>646</v>
      </c>
      <c r="G9">
        <v>43</v>
      </c>
      <c r="H9">
        <v>6312.4</v>
      </c>
      <c r="I9">
        <v>73962.899999999994</v>
      </c>
      <c r="J9">
        <v>100</v>
      </c>
      <c r="K9">
        <v>11</v>
      </c>
      <c r="L9">
        <v>520.4</v>
      </c>
      <c r="M9">
        <v>66.099999999999994</v>
      </c>
      <c r="N9" s="6">
        <f t="shared" si="0"/>
        <v>140.55135168005106</v>
      </c>
      <c r="O9" t="s">
        <v>160</v>
      </c>
      <c r="P9">
        <v>0.38022865702533715</v>
      </c>
      <c r="Q9">
        <v>5.092551006528441E-2</v>
      </c>
      <c r="R9">
        <v>1.0485707438235805</v>
      </c>
      <c r="S9">
        <v>0.4191220295636382</v>
      </c>
      <c r="T9">
        <v>0.70178067602266514</v>
      </c>
      <c r="U9">
        <v>0</v>
      </c>
      <c r="W9" t="s">
        <v>160</v>
      </c>
      <c r="X9">
        <v>0.38022865702533715</v>
      </c>
      <c r="Y9">
        <v>5.092551006528441E-2</v>
      </c>
      <c r="AB9">
        <v>0.70178067602266514</v>
      </c>
      <c r="AC9">
        <v>0</v>
      </c>
    </row>
    <row r="10" spans="1:29" x14ac:dyDescent="0.2">
      <c r="A10" t="s">
        <v>160</v>
      </c>
      <c r="B10" t="s">
        <v>192</v>
      </c>
      <c r="C10" t="s">
        <v>148</v>
      </c>
      <c r="D10">
        <v>1</v>
      </c>
      <c r="E10" t="s">
        <v>58</v>
      </c>
      <c r="F10">
        <v>655</v>
      </c>
      <c r="G10">
        <v>43</v>
      </c>
      <c r="H10">
        <v>9459</v>
      </c>
      <c r="I10">
        <v>99886.8</v>
      </c>
      <c r="J10">
        <v>100</v>
      </c>
      <c r="K10">
        <v>9.9</v>
      </c>
      <c r="L10">
        <v>511</v>
      </c>
      <c r="M10">
        <v>90.1</v>
      </c>
      <c r="N10" s="6">
        <f t="shared" si="0"/>
        <v>189.81441716042673</v>
      </c>
      <c r="O10" t="s">
        <v>161</v>
      </c>
      <c r="P10">
        <v>0.98318206223576543</v>
      </c>
      <c r="Q10">
        <v>1.1964342323056789</v>
      </c>
      <c r="R10">
        <v>1.2948266496278946</v>
      </c>
      <c r="S10">
        <v>0.96381368600683692</v>
      </c>
      <c r="T10">
        <v>1.0044342093982657</v>
      </c>
      <c r="U10">
        <v>0.43637642820364869</v>
      </c>
      <c r="W10" t="s">
        <v>161</v>
      </c>
      <c r="X10">
        <v>0.98318206223576543</v>
      </c>
      <c r="Y10">
        <v>1.1964342323056789</v>
      </c>
      <c r="AB10">
        <v>1.0044342093982657</v>
      </c>
      <c r="AC10">
        <v>0.43637642820364869</v>
      </c>
    </row>
    <row r="11" spans="1:29" x14ac:dyDescent="0.2">
      <c r="A11" t="s">
        <v>161</v>
      </c>
      <c r="B11" t="s">
        <v>192</v>
      </c>
      <c r="C11" t="s">
        <v>149</v>
      </c>
      <c r="D11">
        <v>1</v>
      </c>
      <c r="E11" t="s">
        <v>58</v>
      </c>
      <c r="F11">
        <v>651</v>
      </c>
      <c r="G11">
        <v>42</v>
      </c>
      <c r="H11">
        <v>3430</v>
      </c>
      <c r="I11">
        <v>38644.699999999997</v>
      </c>
      <c r="J11">
        <v>100</v>
      </c>
      <c r="K11">
        <v>10.6</v>
      </c>
      <c r="L11">
        <v>292.7</v>
      </c>
      <c r="M11">
        <v>74.900000000000006</v>
      </c>
      <c r="N11" s="6">
        <f t="shared" si="0"/>
        <v>73.436342007547964</v>
      </c>
      <c r="O11" t="s">
        <v>162</v>
      </c>
      <c r="P11">
        <v>0.97726627096094432</v>
      </c>
      <c r="Q11">
        <v>0.82577639387465629</v>
      </c>
      <c r="R11">
        <v>0.87578993157344454</v>
      </c>
      <c r="S11">
        <v>0.76338354711078238</v>
      </c>
      <c r="T11">
        <v>0.98395870111657058</v>
      </c>
      <c r="U11">
        <v>2.186629152034425</v>
      </c>
      <c r="W11" t="s">
        <v>162</v>
      </c>
      <c r="X11">
        <v>0.97726627096094432</v>
      </c>
      <c r="Y11">
        <v>0.82577639387465629</v>
      </c>
      <c r="AB11">
        <v>0.98395870111657058</v>
      </c>
      <c r="AC11">
        <v>2.186629152034425</v>
      </c>
    </row>
    <row r="12" spans="1:29" x14ac:dyDescent="0.2">
      <c r="A12" t="s">
        <v>162</v>
      </c>
      <c r="B12" t="s">
        <v>192</v>
      </c>
      <c r="C12" t="s">
        <v>150</v>
      </c>
      <c r="D12">
        <v>1</v>
      </c>
      <c r="E12" t="s">
        <v>58</v>
      </c>
      <c r="F12">
        <v>650</v>
      </c>
      <c r="G12">
        <v>42</v>
      </c>
      <c r="H12">
        <v>8432.6</v>
      </c>
      <c r="I12">
        <v>88995</v>
      </c>
      <c r="J12">
        <v>100</v>
      </c>
      <c r="K12">
        <v>9.9</v>
      </c>
      <c r="L12">
        <v>590.1</v>
      </c>
      <c r="M12">
        <v>92.8</v>
      </c>
      <c r="N12" s="6">
        <f t="shared" si="0"/>
        <v>169.1167807477282</v>
      </c>
    </row>
    <row r="15" spans="1:29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102</v>
      </c>
      <c r="L15" t="s">
        <v>103</v>
      </c>
      <c r="M15" t="s">
        <v>10</v>
      </c>
      <c r="N15" t="s">
        <v>171</v>
      </c>
      <c r="O15" t="s">
        <v>193</v>
      </c>
    </row>
    <row r="16" spans="1:29" x14ac:dyDescent="0.2">
      <c r="A16" t="s">
        <v>151</v>
      </c>
      <c r="B16" t="s">
        <v>194</v>
      </c>
      <c r="C16" t="s">
        <v>88</v>
      </c>
      <c r="D16">
        <v>1</v>
      </c>
      <c r="E16" t="s">
        <v>195</v>
      </c>
      <c r="F16">
        <v>513</v>
      </c>
      <c r="G16">
        <v>18</v>
      </c>
      <c r="H16">
        <v>1102.4000000000001</v>
      </c>
      <c r="I16">
        <v>14712.3</v>
      </c>
      <c r="J16">
        <v>100</v>
      </c>
      <c r="K16">
        <v>12.5</v>
      </c>
      <c r="L16">
        <v>44.5</v>
      </c>
      <c r="M16">
        <v>133.69999999999999</v>
      </c>
      <c r="N16">
        <f>I16/I2</f>
        <v>0.37488246940382364</v>
      </c>
      <c r="O16" s="6">
        <f>N16/$N$17*100</f>
        <v>90.407272604236212</v>
      </c>
      <c r="Q16">
        <f>I16/I2</f>
        <v>0.37488246940382364</v>
      </c>
    </row>
    <row r="17" spans="1:17" x14ac:dyDescent="0.2">
      <c r="A17" t="s">
        <v>107</v>
      </c>
      <c r="B17" t="s">
        <v>194</v>
      </c>
      <c r="C17" t="s">
        <v>91</v>
      </c>
      <c r="D17">
        <v>1</v>
      </c>
      <c r="E17" t="s">
        <v>195</v>
      </c>
      <c r="F17">
        <v>507</v>
      </c>
      <c r="G17">
        <v>18</v>
      </c>
      <c r="H17">
        <v>1313</v>
      </c>
      <c r="I17">
        <v>21820.799999999999</v>
      </c>
      <c r="J17">
        <v>100</v>
      </c>
      <c r="K17">
        <v>15.6</v>
      </c>
      <c r="L17">
        <v>50.1</v>
      </c>
      <c r="M17">
        <v>137.6</v>
      </c>
      <c r="N17">
        <f t="shared" ref="N17:N26" si="1">I17/I3</f>
        <v>0.41465963810776191</v>
      </c>
      <c r="O17" s="6">
        <f>N17/$N$17*100</f>
        <v>100</v>
      </c>
      <c r="P17">
        <f>N17/N$17</f>
        <v>1</v>
      </c>
      <c r="Q17">
        <f t="shared" ref="Q17:Q26" si="2">I17/I3</f>
        <v>0.41465963810776191</v>
      </c>
    </row>
    <row r="18" spans="1:17" x14ac:dyDescent="0.2">
      <c r="A18" t="s">
        <v>153</v>
      </c>
      <c r="B18" t="s">
        <v>194</v>
      </c>
      <c r="C18" t="s">
        <v>92</v>
      </c>
      <c r="D18">
        <v>1</v>
      </c>
      <c r="E18" t="s">
        <v>195</v>
      </c>
      <c r="F18">
        <v>505</v>
      </c>
      <c r="G18">
        <v>18</v>
      </c>
      <c r="H18">
        <v>1155.5</v>
      </c>
      <c r="I18">
        <v>17703.900000000001</v>
      </c>
      <c r="J18">
        <v>100</v>
      </c>
      <c r="K18">
        <v>14.4</v>
      </c>
      <c r="L18">
        <v>56.6</v>
      </c>
      <c r="M18">
        <v>143.80000000000001</v>
      </c>
      <c r="N18">
        <f t="shared" si="1"/>
        <v>0.38042959734918325</v>
      </c>
      <c r="O18" s="6">
        <f t="shared" ref="O18:O26" si="3">N18/$N$17*100</f>
        <v>91.745027098662803</v>
      </c>
      <c r="P18">
        <f t="shared" ref="P18:P26" si="4">N18/N$17</f>
        <v>0.91745027098662801</v>
      </c>
      <c r="Q18">
        <f t="shared" si="2"/>
        <v>0.38042959734918325</v>
      </c>
    </row>
    <row r="19" spans="1:17" x14ac:dyDescent="0.2">
      <c r="A19" t="s">
        <v>156</v>
      </c>
      <c r="B19" t="s">
        <v>194</v>
      </c>
      <c r="C19" t="s">
        <v>93</v>
      </c>
      <c r="D19">
        <v>1</v>
      </c>
      <c r="E19" t="s">
        <v>195</v>
      </c>
      <c r="F19">
        <v>510</v>
      </c>
      <c r="G19">
        <v>18</v>
      </c>
      <c r="H19">
        <v>820.4</v>
      </c>
      <c r="I19">
        <v>11863.6</v>
      </c>
      <c r="J19">
        <v>100</v>
      </c>
      <c r="K19">
        <v>13.6</v>
      </c>
      <c r="L19">
        <v>41.6</v>
      </c>
      <c r="M19">
        <v>129.69999999999999</v>
      </c>
      <c r="N19">
        <f t="shared" si="1"/>
        <v>0.28030034542559173</v>
      </c>
      <c r="O19" s="6">
        <f t="shared" si="3"/>
        <v>67.597692098681463</v>
      </c>
      <c r="P19">
        <f t="shared" si="4"/>
        <v>0.67597692098681461</v>
      </c>
      <c r="Q19">
        <f t="shared" si="2"/>
        <v>0.28030034542559173</v>
      </c>
    </row>
    <row r="20" spans="1:17" x14ac:dyDescent="0.2">
      <c r="A20" t="s">
        <v>155</v>
      </c>
      <c r="B20" t="s">
        <v>194</v>
      </c>
      <c r="C20" t="s">
        <v>94</v>
      </c>
      <c r="D20">
        <v>1</v>
      </c>
      <c r="E20" t="s">
        <v>195</v>
      </c>
      <c r="F20">
        <v>501</v>
      </c>
      <c r="G20">
        <v>18</v>
      </c>
      <c r="H20">
        <v>1174.4000000000001</v>
      </c>
      <c r="I20">
        <v>17501.8</v>
      </c>
      <c r="J20">
        <v>100</v>
      </c>
      <c r="K20">
        <v>14</v>
      </c>
      <c r="L20">
        <v>48.4</v>
      </c>
      <c r="M20">
        <v>123.5</v>
      </c>
      <c r="N20">
        <f t="shared" si="1"/>
        <v>0.26883783372784426</v>
      </c>
      <c r="O20" s="6">
        <f t="shared" si="3"/>
        <v>64.833373934016365</v>
      </c>
      <c r="P20">
        <f t="shared" si="4"/>
        <v>0.64833373934016358</v>
      </c>
      <c r="Q20">
        <f t="shared" si="2"/>
        <v>0.26883783372784426</v>
      </c>
    </row>
    <row r="21" spans="1:17" x14ac:dyDescent="0.2">
      <c r="A21" t="s">
        <v>157</v>
      </c>
      <c r="B21" t="s">
        <v>194</v>
      </c>
      <c r="C21" t="s">
        <v>98</v>
      </c>
      <c r="D21">
        <v>1</v>
      </c>
      <c r="E21" t="s">
        <v>195</v>
      </c>
      <c r="F21">
        <v>500</v>
      </c>
      <c r="G21">
        <v>18</v>
      </c>
      <c r="H21">
        <v>770.8</v>
      </c>
      <c r="I21">
        <v>14672.9</v>
      </c>
      <c r="J21">
        <v>100</v>
      </c>
      <c r="K21">
        <v>17.899999999999999</v>
      </c>
      <c r="L21">
        <v>30.9</v>
      </c>
      <c r="M21">
        <v>118.2</v>
      </c>
      <c r="N21">
        <f t="shared" si="1"/>
        <v>0.12225104084477353</v>
      </c>
      <c r="O21" s="6">
        <f t="shared" si="3"/>
        <v>29.48226198302013</v>
      </c>
      <c r="P21">
        <f t="shared" si="4"/>
        <v>0.2948226198302013</v>
      </c>
      <c r="Q21">
        <f t="shared" si="2"/>
        <v>0.12225104084477353</v>
      </c>
    </row>
    <row r="22" spans="1:17" x14ac:dyDescent="0.2">
      <c r="A22" t="s">
        <v>158</v>
      </c>
      <c r="B22" t="s">
        <v>194</v>
      </c>
      <c r="C22" t="s">
        <v>99</v>
      </c>
      <c r="D22">
        <v>1</v>
      </c>
      <c r="E22" t="s">
        <v>195</v>
      </c>
      <c r="F22">
        <v>503</v>
      </c>
      <c r="G22">
        <v>18</v>
      </c>
      <c r="H22">
        <v>1224</v>
      </c>
      <c r="I22">
        <v>19522.400000000001</v>
      </c>
      <c r="J22">
        <v>100</v>
      </c>
      <c r="K22">
        <v>15</v>
      </c>
      <c r="L22">
        <v>50.2</v>
      </c>
      <c r="M22">
        <v>131.69999999999999</v>
      </c>
      <c r="N22">
        <f t="shared" si="1"/>
        <v>0.53038037616515843</v>
      </c>
      <c r="O22" s="6">
        <f t="shared" si="3"/>
        <v>127.90740342741604</v>
      </c>
      <c r="P22">
        <f t="shared" si="4"/>
        <v>1.2790740342741604</v>
      </c>
      <c r="Q22">
        <f t="shared" si="2"/>
        <v>0.53038037616515843</v>
      </c>
    </row>
    <row r="23" spans="1:17" x14ac:dyDescent="0.2">
      <c r="A23" t="s">
        <v>159</v>
      </c>
      <c r="B23" t="s">
        <v>194</v>
      </c>
      <c r="C23" t="s">
        <v>100</v>
      </c>
      <c r="D23">
        <v>1</v>
      </c>
      <c r="E23" t="s">
        <v>195</v>
      </c>
      <c r="F23">
        <v>500</v>
      </c>
      <c r="G23">
        <v>18</v>
      </c>
      <c r="H23">
        <v>856.9</v>
      </c>
      <c r="I23">
        <v>11348.6</v>
      </c>
      <c r="J23">
        <v>100</v>
      </c>
      <c r="K23">
        <v>12.4</v>
      </c>
      <c r="L23">
        <v>35.6</v>
      </c>
      <c r="M23">
        <v>140.5</v>
      </c>
      <c r="N23">
        <f t="shared" si="1"/>
        <v>0.15343638499842491</v>
      </c>
      <c r="O23" s="6">
        <f t="shared" si="3"/>
        <v>37.002970845826525</v>
      </c>
      <c r="P23">
        <f t="shared" si="4"/>
        <v>0.37002970845826522</v>
      </c>
      <c r="Q23">
        <f t="shared" si="2"/>
        <v>0.15343638499842491</v>
      </c>
    </row>
    <row r="24" spans="1:17" x14ac:dyDescent="0.2">
      <c r="A24" t="s">
        <v>160</v>
      </c>
      <c r="B24" t="s">
        <v>194</v>
      </c>
      <c r="C24" t="s">
        <v>101</v>
      </c>
      <c r="D24">
        <v>1</v>
      </c>
      <c r="E24" t="s">
        <v>195</v>
      </c>
      <c r="F24">
        <v>510</v>
      </c>
      <c r="G24">
        <v>19</v>
      </c>
      <c r="H24">
        <v>990.3</v>
      </c>
      <c r="I24">
        <v>15748.7</v>
      </c>
      <c r="J24">
        <v>100</v>
      </c>
      <c r="K24">
        <v>14.9</v>
      </c>
      <c r="L24">
        <v>40.1</v>
      </c>
      <c r="M24">
        <v>124.4</v>
      </c>
      <c r="N24">
        <f t="shared" si="1"/>
        <v>0.15766547732032662</v>
      </c>
      <c r="O24" s="6">
        <f t="shared" si="3"/>
        <v>38.022865702533714</v>
      </c>
      <c r="P24">
        <f t="shared" si="4"/>
        <v>0.38022865702533715</v>
      </c>
      <c r="Q24">
        <f t="shared" si="2"/>
        <v>0.15766547732032662</v>
      </c>
    </row>
    <row r="25" spans="1:17" x14ac:dyDescent="0.2">
      <c r="A25" t="s">
        <v>161</v>
      </c>
      <c r="B25" t="s">
        <v>194</v>
      </c>
      <c r="C25" t="s">
        <v>140</v>
      </c>
      <c r="D25">
        <v>1</v>
      </c>
      <c r="E25" t="s">
        <v>195</v>
      </c>
      <c r="F25">
        <v>500</v>
      </c>
      <c r="G25">
        <v>19</v>
      </c>
      <c r="H25">
        <v>1012.4</v>
      </c>
      <c r="I25">
        <v>15754.9</v>
      </c>
      <c r="J25">
        <v>100</v>
      </c>
      <c r="K25">
        <v>14.6</v>
      </c>
      <c r="L25">
        <v>52.7</v>
      </c>
      <c r="M25">
        <v>120</v>
      </c>
      <c r="N25">
        <f t="shared" si="1"/>
        <v>0.40768591812072552</v>
      </c>
      <c r="O25" s="6">
        <f t="shared" si="3"/>
        <v>98.318206223576539</v>
      </c>
      <c r="P25">
        <f t="shared" si="4"/>
        <v>0.98318206223576543</v>
      </c>
      <c r="Q25">
        <f t="shared" si="2"/>
        <v>0.40768591812072552</v>
      </c>
    </row>
    <row r="26" spans="1:17" x14ac:dyDescent="0.2">
      <c r="A26" t="s">
        <v>162</v>
      </c>
      <c r="B26" t="s">
        <v>194</v>
      </c>
      <c r="C26" t="s">
        <v>141</v>
      </c>
      <c r="D26">
        <v>1</v>
      </c>
      <c r="E26" t="s">
        <v>195</v>
      </c>
      <c r="F26">
        <v>499</v>
      </c>
      <c r="G26">
        <v>18</v>
      </c>
      <c r="H26">
        <v>2425.1</v>
      </c>
      <c r="I26">
        <v>36063.699999999997</v>
      </c>
      <c r="J26">
        <v>100</v>
      </c>
      <c r="K26">
        <v>14</v>
      </c>
      <c r="L26">
        <v>94.4</v>
      </c>
      <c r="M26">
        <v>133</v>
      </c>
      <c r="N26">
        <f t="shared" si="1"/>
        <v>0.40523287825158716</v>
      </c>
      <c r="O26" s="6">
        <f t="shared" si="3"/>
        <v>97.726627096094433</v>
      </c>
      <c r="P26">
        <f t="shared" si="4"/>
        <v>0.97726627096094432</v>
      </c>
      <c r="Q26">
        <f t="shared" si="2"/>
        <v>0.40523287825158716</v>
      </c>
    </row>
    <row r="29" spans="1:17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102</v>
      </c>
      <c r="L29" t="s">
        <v>103</v>
      </c>
      <c r="M29" t="s">
        <v>10</v>
      </c>
      <c r="N29" t="s">
        <v>171</v>
      </c>
      <c r="O29" t="s">
        <v>193</v>
      </c>
      <c r="P29" t="s">
        <v>196</v>
      </c>
    </row>
    <row r="30" spans="1:17" x14ac:dyDescent="0.2">
      <c r="A30" t="s">
        <v>151</v>
      </c>
      <c r="B30" t="s">
        <v>197</v>
      </c>
      <c r="C30" t="s">
        <v>78</v>
      </c>
      <c r="D30">
        <v>1</v>
      </c>
      <c r="E30" t="s">
        <v>169</v>
      </c>
      <c r="F30">
        <v>737</v>
      </c>
      <c r="G30">
        <v>61</v>
      </c>
      <c r="H30">
        <v>3417.5</v>
      </c>
      <c r="I30">
        <v>78610.600000000006</v>
      </c>
      <c r="J30">
        <v>35.200000000000003</v>
      </c>
      <c r="K30">
        <v>21.6</v>
      </c>
      <c r="L30">
        <v>121.1</v>
      </c>
      <c r="M30">
        <v>102.1</v>
      </c>
      <c r="N30" s="7">
        <f>I30/I2</f>
        <v>2.0030678989224135</v>
      </c>
      <c r="O30" s="6">
        <f>N30/$N$31*100</f>
        <v>107.11795291868896</v>
      </c>
      <c r="P30" s="7">
        <f>N30+N44</f>
        <v>5.6900734104385009</v>
      </c>
    </row>
    <row r="31" spans="1:17" x14ac:dyDescent="0.2">
      <c r="A31" t="s">
        <v>107</v>
      </c>
      <c r="B31" t="s">
        <v>197</v>
      </c>
      <c r="C31" t="s">
        <v>79</v>
      </c>
      <c r="D31">
        <v>1</v>
      </c>
      <c r="E31" t="s">
        <v>169</v>
      </c>
      <c r="F31">
        <v>733</v>
      </c>
      <c r="G31">
        <v>61</v>
      </c>
      <c r="H31">
        <v>4119.7</v>
      </c>
      <c r="I31">
        <v>98403.9</v>
      </c>
      <c r="J31">
        <v>36.6</v>
      </c>
      <c r="K31">
        <v>22.4</v>
      </c>
      <c r="L31">
        <v>244.9</v>
      </c>
      <c r="M31">
        <v>39.200000000000003</v>
      </c>
      <c r="N31" s="7">
        <f t="shared" ref="N31:N40" si="5">I31/I3</f>
        <v>1.8699646925132163</v>
      </c>
      <c r="O31" s="6">
        <f>N31/$N$31*100</f>
        <v>100</v>
      </c>
      <c r="P31" s="7">
        <f t="shared" ref="P31:P40" si="6">N31+N45</f>
        <v>5.1160396325588993</v>
      </c>
      <c r="Q31">
        <f>P31/P$31</f>
        <v>1</v>
      </c>
    </row>
    <row r="32" spans="1:17" x14ac:dyDescent="0.2">
      <c r="A32" t="s">
        <v>153</v>
      </c>
      <c r="B32" t="s">
        <v>197</v>
      </c>
      <c r="C32" t="s">
        <v>80</v>
      </c>
      <c r="D32">
        <v>1</v>
      </c>
      <c r="E32" t="s">
        <v>169</v>
      </c>
      <c r="F32">
        <v>727</v>
      </c>
      <c r="G32">
        <v>61</v>
      </c>
      <c r="H32">
        <v>3365.3</v>
      </c>
      <c r="I32">
        <v>82187.5</v>
      </c>
      <c r="J32">
        <v>34.4</v>
      </c>
      <c r="K32">
        <v>22.9</v>
      </c>
      <c r="L32">
        <v>139.30000000000001</v>
      </c>
      <c r="M32">
        <v>76.7</v>
      </c>
      <c r="N32" s="7">
        <f t="shared" si="5"/>
        <v>1.7660830400158156</v>
      </c>
      <c r="O32" s="6">
        <f t="shared" ref="O32:O40" si="7">N32/$N$31*100</f>
        <v>94.444726528083024</v>
      </c>
      <c r="P32" s="7">
        <f t="shared" si="6"/>
        <v>5.1341481758443894</v>
      </c>
      <c r="Q32">
        <f t="shared" ref="Q32:Q40" si="8">P32/P$31</f>
        <v>1.0035395627450276</v>
      </c>
    </row>
    <row r="33" spans="1:17" x14ac:dyDescent="0.2">
      <c r="A33" t="s">
        <v>156</v>
      </c>
      <c r="B33" t="s">
        <v>197</v>
      </c>
      <c r="C33" t="s">
        <v>81</v>
      </c>
      <c r="D33">
        <v>1</v>
      </c>
      <c r="E33" t="s">
        <v>169</v>
      </c>
      <c r="F33">
        <v>730</v>
      </c>
      <c r="G33">
        <v>61</v>
      </c>
      <c r="H33">
        <v>3520.4</v>
      </c>
      <c r="I33">
        <v>79697.5</v>
      </c>
      <c r="J33">
        <v>37.700000000000003</v>
      </c>
      <c r="K33">
        <v>21.3</v>
      </c>
      <c r="L33">
        <v>206.4</v>
      </c>
      <c r="M33">
        <v>63.2</v>
      </c>
      <c r="N33" s="7">
        <f t="shared" si="5"/>
        <v>1.88300657300955</v>
      </c>
      <c r="O33" s="6">
        <f t="shared" si="7"/>
        <v>100.69743993287945</v>
      </c>
      <c r="P33" s="7">
        <f t="shared" si="6"/>
        <v>4.9907476975565039</v>
      </c>
      <c r="Q33">
        <f t="shared" si="8"/>
        <v>0.97550997568411568</v>
      </c>
    </row>
    <row r="34" spans="1:17" x14ac:dyDescent="0.2">
      <c r="A34" t="s">
        <v>155</v>
      </c>
      <c r="B34" t="s">
        <v>197</v>
      </c>
      <c r="C34" t="s">
        <v>82</v>
      </c>
      <c r="D34">
        <v>1</v>
      </c>
      <c r="E34" t="s">
        <v>169</v>
      </c>
      <c r="F34">
        <v>728</v>
      </c>
      <c r="G34">
        <v>61</v>
      </c>
      <c r="H34">
        <v>3482.6</v>
      </c>
      <c r="I34">
        <v>71014.3</v>
      </c>
      <c r="J34">
        <v>41.4</v>
      </c>
      <c r="K34">
        <v>19.2</v>
      </c>
      <c r="L34">
        <v>222.1</v>
      </c>
      <c r="M34">
        <v>72.8</v>
      </c>
      <c r="N34" s="7">
        <f t="shared" si="5"/>
        <v>1.0908209770251776</v>
      </c>
      <c r="O34" s="6">
        <f t="shared" si="7"/>
        <v>58.333773968701173</v>
      </c>
      <c r="P34" s="7">
        <f t="shared" si="6"/>
        <v>2.6345978676440094</v>
      </c>
      <c r="Q34">
        <f t="shared" si="8"/>
        <v>0.51496822872074932</v>
      </c>
    </row>
    <row r="35" spans="1:17" x14ac:dyDescent="0.2">
      <c r="A35" t="s">
        <v>157</v>
      </c>
      <c r="B35" t="s">
        <v>197</v>
      </c>
      <c r="C35" t="s">
        <v>83</v>
      </c>
      <c r="D35">
        <v>1</v>
      </c>
      <c r="E35" t="s">
        <v>169</v>
      </c>
      <c r="F35">
        <v>727</v>
      </c>
      <c r="G35">
        <v>61</v>
      </c>
      <c r="H35">
        <v>1352</v>
      </c>
      <c r="I35">
        <v>30114.9</v>
      </c>
      <c r="J35">
        <v>41.9</v>
      </c>
      <c r="K35">
        <v>20.9</v>
      </c>
      <c r="L35">
        <v>112.6</v>
      </c>
      <c r="M35">
        <v>42.7</v>
      </c>
      <c r="N35" s="7">
        <f t="shared" si="5"/>
        <v>0.25091003618482172</v>
      </c>
      <c r="O35" s="6">
        <f t="shared" si="7"/>
        <v>13.417902337375196</v>
      </c>
      <c r="P35" s="7">
        <f t="shared" si="6"/>
        <v>0.59856177206478445</v>
      </c>
      <c r="Q35">
        <f t="shared" si="8"/>
        <v>0.11699709444303125</v>
      </c>
    </row>
    <row r="36" spans="1:17" x14ac:dyDescent="0.2">
      <c r="A36" t="s">
        <v>158</v>
      </c>
      <c r="B36" t="s">
        <v>197</v>
      </c>
      <c r="C36" t="s">
        <v>84</v>
      </c>
      <c r="D36">
        <v>1</v>
      </c>
      <c r="E36" t="s">
        <v>169</v>
      </c>
      <c r="F36">
        <v>731</v>
      </c>
      <c r="G36">
        <v>61</v>
      </c>
      <c r="H36">
        <v>4003.2</v>
      </c>
      <c r="I36">
        <v>89946.4</v>
      </c>
      <c r="J36">
        <v>42.5</v>
      </c>
      <c r="K36">
        <v>21.1</v>
      </c>
      <c r="L36">
        <v>231</v>
      </c>
      <c r="M36">
        <v>66.7</v>
      </c>
      <c r="N36" s="7">
        <f t="shared" si="5"/>
        <v>2.4436445040928265</v>
      </c>
      <c r="O36" s="6">
        <f t="shared" si="7"/>
        <v>130.67864403410684</v>
      </c>
      <c r="P36" s="7">
        <f t="shared" si="6"/>
        <v>5.7453835140443861</v>
      </c>
      <c r="Q36">
        <f t="shared" si="8"/>
        <v>1.123013879228044</v>
      </c>
    </row>
    <row r="37" spans="1:17" x14ac:dyDescent="0.2">
      <c r="A37" t="s">
        <v>159</v>
      </c>
      <c r="B37" t="s">
        <v>197</v>
      </c>
      <c r="C37" t="s">
        <v>85</v>
      </c>
      <c r="D37">
        <v>1</v>
      </c>
      <c r="E37" t="s">
        <v>169</v>
      </c>
      <c r="F37">
        <v>727</v>
      </c>
      <c r="G37">
        <v>61</v>
      </c>
      <c r="H37">
        <v>1830.4</v>
      </c>
      <c r="I37">
        <v>32686.7</v>
      </c>
      <c r="J37">
        <v>40.799999999999997</v>
      </c>
      <c r="K37">
        <v>16.8</v>
      </c>
      <c r="L37">
        <v>138.4</v>
      </c>
      <c r="M37">
        <v>60.4</v>
      </c>
      <c r="N37" s="7">
        <f t="shared" si="5"/>
        <v>0.44193372623301685</v>
      </c>
      <c r="O37" s="6">
        <f t="shared" si="7"/>
        <v>23.633265804557077</v>
      </c>
      <c r="P37" s="7">
        <f t="shared" si="6"/>
        <v>1.08403267043342</v>
      </c>
      <c r="Q37">
        <f t="shared" si="8"/>
        <v>0.21188902907134385</v>
      </c>
    </row>
    <row r="38" spans="1:17" x14ac:dyDescent="0.2">
      <c r="A38" t="s">
        <v>160</v>
      </c>
      <c r="B38" t="s">
        <v>197</v>
      </c>
      <c r="C38" t="s">
        <v>86</v>
      </c>
      <c r="D38">
        <v>1</v>
      </c>
      <c r="E38" t="s">
        <v>169</v>
      </c>
      <c r="F38">
        <v>733</v>
      </c>
      <c r="G38">
        <v>61</v>
      </c>
      <c r="H38">
        <v>714.8</v>
      </c>
      <c r="I38">
        <v>17276.400000000001</v>
      </c>
      <c r="J38">
        <v>66.400000000000006</v>
      </c>
      <c r="K38">
        <v>22.7</v>
      </c>
      <c r="L38">
        <v>41.7</v>
      </c>
      <c r="M38">
        <v>47.7</v>
      </c>
      <c r="N38" s="7">
        <f t="shared" si="5"/>
        <v>0.17295979048282656</v>
      </c>
      <c r="O38" s="6">
        <f t="shared" si="7"/>
        <v>9.2493612941092547</v>
      </c>
      <c r="P38" s="7">
        <f t="shared" si="6"/>
        <v>0.26053692780227217</v>
      </c>
      <c r="Q38">
        <f t="shared" si="8"/>
        <v>5.092551006528441E-2</v>
      </c>
    </row>
    <row r="39" spans="1:17" x14ac:dyDescent="0.2">
      <c r="A39" t="s">
        <v>161</v>
      </c>
      <c r="B39" t="s">
        <v>197</v>
      </c>
      <c r="C39" t="s">
        <v>137</v>
      </c>
      <c r="D39">
        <v>1</v>
      </c>
      <c r="E39" t="s">
        <v>169</v>
      </c>
      <c r="F39">
        <v>725</v>
      </c>
      <c r="G39">
        <v>61</v>
      </c>
      <c r="H39">
        <v>3616.7</v>
      </c>
      <c r="I39">
        <v>81174</v>
      </c>
      <c r="J39">
        <v>34.299999999999997</v>
      </c>
      <c r="K39">
        <v>21.1</v>
      </c>
      <c r="L39">
        <v>186</v>
      </c>
      <c r="M39">
        <v>55.6</v>
      </c>
      <c r="N39" s="7">
        <f t="shared" si="5"/>
        <v>2.1005208993730062</v>
      </c>
      <c r="O39" s="6">
        <f t="shared" si="7"/>
        <v>112.3294417152831</v>
      </c>
      <c r="P39" s="7">
        <f t="shared" si="6"/>
        <v>6.121004950226034</v>
      </c>
      <c r="Q39">
        <f t="shared" si="8"/>
        <v>1.1964342323056789</v>
      </c>
    </row>
    <row r="40" spans="1:17" x14ac:dyDescent="0.2">
      <c r="A40" t="s">
        <v>162</v>
      </c>
      <c r="B40" t="s">
        <v>197</v>
      </c>
      <c r="C40" t="s">
        <v>138</v>
      </c>
      <c r="D40">
        <v>1</v>
      </c>
      <c r="E40" t="s">
        <v>169</v>
      </c>
      <c r="F40">
        <v>728</v>
      </c>
      <c r="G40">
        <v>61</v>
      </c>
      <c r="H40">
        <v>5281.9</v>
      </c>
      <c r="I40">
        <v>118977.60000000001</v>
      </c>
      <c r="J40">
        <v>31.6</v>
      </c>
      <c r="K40">
        <v>21.2</v>
      </c>
      <c r="L40">
        <v>423.2</v>
      </c>
      <c r="M40">
        <v>45.4</v>
      </c>
      <c r="N40" s="7">
        <f t="shared" si="5"/>
        <v>1.3369020731501771</v>
      </c>
      <c r="O40" s="6">
        <f t="shared" si="7"/>
        <v>71.493439341541375</v>
      </c>
      <c r="P40" s="7">
        <f t="shared" si="6"/>
        <v>4.2247047586943092</v>
      </c>
      <c r="Q40">
        <f t="shared" si="8"/>
        <v>0.82577639387465629</v>
      </c>
    </row>
    <row r="43" spans="1:17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102</v>
      </c>
      <c r="L43" t="s">
        <v>103</v>
      </c>
      <c r="M43" t="s">
        <v>10</v>
      </c>
    </row>
    <row r="44" spans="1:17" x14ac:dyDescent="0.2">
      <c r="A44" t="s">
        <v>151</v>
      </c>
      <c r="B44" t="s">
        <v>197</v>
      </c>
      <c r="C44" t="s">
        <v>78</v>
      </c>
      <c r="D44">
        <v>2</v>
      </c>
      <c r="E44" t="s">
        <v>170</v>
      </c>
      <c r="F44">
        <v>767</v>
      </c>
      <c r="G44">
        <v>72</v>
      </c>
      <c r="H44">
        <v>6839.5</v>
      </c>
      <c r="I44">
        <v>144696.9</v>
      </c>
      <c r="J44">
        <v>64.8</v>
      </c>
      <c r="K44">
        <v>19.899999999999999</v>
      </c>
      <c r="L44">
        <v>317.5</v>
      </c>
      <c r="M44">
        <v>116.7</v>
      </c>
      <c r="N44">
        <f>I44/I2</f>
        <v>3.6870055115160874</v>
      </c>
      <c r="O44" s="6">
        <f>N44/$N$45*100</f>
        <v>113.58349944515449</v>
      </c>
    </row>
    <row r="45" spans="1:17" x14ac:dyDescent="0.2">
      <c r="A45" t="s">
        <v>107</v>
      </c>
      <c r="B45" t="s">
        <v>197</v>
      </c>
      <c r="C45" t="s">
        <v>79</v>
      </c>
      <c r="D45">
        <v>2</v>
      </c>
      <c r="E45" t="s">
        <v>170</v>
      </c>
      <c r="F45">
        <v>761</v>
      </c>
      <c r="G45">
        <v>71</v>
      </c>
      <c r="H45">
        <v>7335.9</v>
      </c>
      <c r="I45">
        <v>170819.5</v>
      </c>
      <c r="J45">
        <v>63.4</v>
      </c>
      <c r="K45">
        <v>21.9</v>
      </c>
      <c r="L45">
        <v>431.4</v>
      </c>
      <c r="M45">
        <v>42.2</v>
      </c>
      <c r="N45">
        <f t="shared" ref="N45:N54" si="9">I45/I3</f>
        <v>3.2460749400456832</v>
      </c>
      <c r="O45" s="6">
        <f>N45/$N$45*100</f>
        <v>100</v>
      </c>
    </row>
    <row r="46" spans="1:17" x14ac:dyDescent="0.2">
      <c r="A46" t="s">
        <v>153</v>
      </c>
      <c r="B46" t="s">
        <v>197</v>
      </c>
      <c r="C46" t="s">
        <v>80</v>
      </c>
      <c r="D46">
        <v>2</v>
      </c>
      <c r="E46" t="s">
        <v>170</v>
      </c>
      <c r="F46">
        <v>758</v>
      </c>
      <c r="G46">
        <v>72</v>
      </c>
      <c r="H46">
        <v>6853.4</v>
      </c>
      <c r="I46">
        <v>156738.29999999999</v>
      </c>
      <c r="J46">
        <v>65.599999999999994</v>
      </c>
      <c r="K46">
        <v>21.5</v>
      </c>
      <c r="L46">
        <v>381.7</v>
      </c>
      <c r="M46">
        <v>81.599999999999994</v>
      </c>
      <c r="N46">
        <f t="shared" si="9"/>
        <v>3.3680651358285734</v>
      </c>
      <c r="O46" s="6">
        <f t="shared" ref="O46:O54" si="10">N46/$N$45*100</f>
        <v>103.75808316308228</v>
      </c>
    </row>
    <row r="47" spans="1:17" x14ac:dyDescent="0.2">
      <c r="A47" t="s">
        <v>156</v>
      </c>
      <c r="B47" t="s">
        <v>197</v>
      </c>
      <c r="C47" t="s">
        <v>81</v>
      </c>
      <c r="D47">
        <v>2</v>
      </c>
      <c r="E47" t="s">
        <v>170</v>
      </c>
      <c r="F47">
        <v>758</v>
      </c>
      <c r="G47">
        <v>72</v>
      </c>
      <c r="H47">
        <v>6190.9</v>
      </c>
      <c r="I47">
        <v>131533.9</v>
      </c>
      <c r="J47">
        <v>62.3</v>
      </c>
      <c r="K47">
        <v>20</v>
      </c>
      <c r="L47">
        <v>336.6</v>
      </c>
      <c r="M47">
        <v>65.099999999999994</v>
      </c>
      <c r="N47">
        <f t="shared" si="9"/>
        <v>3.1077411245469539</v>
      </c>
      <c r="O47" s="6">
        <f t="shared" si="10"/>
        <v>95.738428161588203</v>
      </c>
    </row>
    <row r="48" spans="1:17" x14ac:dyDescent="0.2">
      <c r="A48" t="s">
        <v>155</v>
      </c>
      <c r="B48" t="s">
        <v>197</v>
      </c>
      <c r="C48" t="s">
        <v>82</v>
      </c>
      <c r="D48">
        <v>2</v>
      </c>
      <c r="E48" t="s">
        <v>170</v>
      </c>
      <c r="F48">
        <v>756</v>
      </c>
      <c r="G48">
        <v>73</v>
      </c>
      <c r="H48">
        <v>4652.1000000000004</v>
      </c>
      <c r="I48">
        <v>100502.5</v>
      </c>
      <c r="J48">
        <v>58.6</v>
      </c>
      <c r="K48">
        <v>20.3</v>
      </c>
      <c r="L48">
        <v>310.89999999999998</v>
      </c>
      <c r="M48">
        <v>73.5</v>
      </c>
      <c r="N48">
        <f t="shared" si="9"/>
        <v>1.5437768906188318</v>
      </c>
      <c r="O48" s="6">
        <f t="shared" si="10"/>
        <v>47.558264030623569</v>
      </c>
    </row>
    <row r="49" spans="1:17" x14ac:dyDescent="0.2">
      <c r="A49" t="s">
        <v>157</v>
      </c>
      <c r="B49" t="s">
        <v>197</v>
      </c>
      <c r="C49" t="s">
        <v>83</v>
      </c>
      <c r="D49">
        <v>2</v>
      </c>
      <c r="E49" t="s">
        <v>170</v>
      </c>
      <c r="F49">
        <v>756</v>
      </c>
      <c r="G49">
        <v>72</v>
      </c>
      <c r="H49">
        <v>1977</v>
      </c>
      <c r="I49">
        <v>41726.1</v>
      </c>
      <c r="J49">
        <v>58.1</v>
      </c>
      <c r="K49">
        <v>19.8</v>
      </c>
      <c r="L49">
        <v>206.9</v>
      </c>
      <c r="M49">
        <v>42.1</v>
      </c>
      <c r="N49">
        <f t="shared" si="9"/>
        <v>0.34765173587996273</v>
      </c>
      <c r="O49" s="6">
        <f t="shared" si="10"/>
        <v>10.70991096327154</v>
      </c>
    </row>
    <row r="50" spans="1:17" x14ac:dyDescent="0.2">
      <c r="A50" t="s">
        <v>158</v>
      </c>
      <c r="B50" t="s">
        <v>197</v>
      </c>
      <c r="C50" t="s">
        <v>84</v>
      </c>
      <c r="D50">
        <v>2</v>
      </c>
      <c r="E50" t="s">
        <v>170</v>
      </c>
      <c r="F50">
        <v>759</v>
      </c>
      <c r="G50">
        <v>73</v>
      </c>
      <c r="H50">
        <v>5642.8</v>
      </c>
      <c r="I50">
        <v>121531.4</v>
      </c>
      <c r="J50">
        <v>57.5</v>
      </c>
      <c r="K50">
        <v>20.2</v>
      </c>
      <c r="L50">
        <v>334</v>
      </c>
      <c r="M50">
        <v>68.900000000000006</v>
      </c>
      <c r="N50">
        <f t="shared" si="9"/>
        <v>3.3017390099515596</v>
      </c>
      <c r="O50" s="6">
        <f t="shared" si="10"/>
        <v>101.71481160891169</v>
      </c>
    </row>
    <row r="51" spans="1:17" x14ac:dyDescent="0.2">
      <c r="A51" t="s">
        <v>159</v>
      </c>
      <c r="B51" t="s">
        <v>197</v>
      </c>
      <c r="C51" t="s">
        <v>85</v>
      </c>
      <c r="D51">
        <v>2</v>
      </c>
      <c r="E51" t="s">
        <v>170</v>
      </c>
      <c r="F51">
        <v>752</v>
      </c>
      <c r="G51">
        <v>73</v>
      </c>
      <c r="H51">
        <v>1791.2</v>
      </c>
      <c r="I51">
        <v>47491.5</v>
      </c>
      <c r="J51">
        <v>59.2</v>
      </c>
      <c r="K51">
        <v>24.9</v>
      </c>
      <c r="L51">
        <v>134.5</v>
      </c>
      <c r="M51">
        <v>62.6</v>
      </c>
      <c r="N51">
        <f t="shared" si="9"/>
        <v>0.64209894420040325</v>
      </c>
      <c r="O51" s="6">
        <f t="shared" si="10"/>
        <v>19.780780051595688</v>
      </c>
    </row>
    <row r="52" spans="1:17" x14ac:dyDescent="0.2">
      <c r="A52" t="s">
        <v>160</v>
      </c>
      <c r="B52" t="s">
        <v>197</v>
      </c>
      <c r="C52" t="s">
        <v>86</v>
      </c>
      <c r="D52">
        <v>2</v>
      </c>
      <c r="E52" t="s">
        <v>170</v>
      </c>
      <c r="F52">
        <v>760</v>
      </c>
      <c r="G52">
        <v>73</v>
      </c>
      <c r="H52">
        <v>437.2</v>
      </c>
      <c r="I52">
        <v>8747.7999999999993</v>
      </c>
      <c r="J52">
        <v>33.6</v>
      </c>
      <c r="K52">
        <v>18.8</v>
      </c>
      <c r="L52">
        <v>29.4</v>
      </c>
      <c r="M52">
        <v>50.5</v>
      </c>
      <c r="N52">
        <f t="shared" si="9"/>
        <v>8.7577137319445608E-2</v>
      </c>
      <c r="O52" s="6">
        <f t="shared" si="10"/>
        <v>2.6979394788160098</v>
      </c>
    </row>
    <row r="53" spans="1:17" x14ac:dyDescent="0.2">
      <c r="A53" t="s">
        <v>161</v>
      </c>
      <c r="B53" t="s">
        <v>197</v>
      </c>
      <c r="C53" t="s">
        <v>137</v>
      </c>
      <c r="D53">
        <v>2</v>
      </c>
      <c r="E53" t="s">
        <v>170</v>
      </c>
      <c r="F53">
        <v>753</v>
      </c>
      <c r="G53">
        <v>72</v>
      </c>
      <c r="H53">
        <v>6747.8</v>
      </c>
      <c r="I53">
        <v>155370.4</v>
      </c>
      <c r="J53">
        <v>65.7</v>
      </c>
      <c r="K53">
        <v>21.6</v>
      </c>
      <c r="L53">
        <v>334.4</v>
      </c>
      <c r="M53">
        <v>60.6</v>
      </c>
      <c r="N53">
        <f t="shared" si="9"/>
        <v>4.0204840508530282</v>
      </c>
      <c r="O53" s="6">
        <f t="shared" si="10"/>
        <v>123.85678473573523</v>
      </c>
    </row>
    <row r="54" spans="1:17" x14ac:dyDescent="0.2">
      <c r="A54" t="s">
        <v>162</v>
      </c>
      <c r="B54" t="s">
        <v>197</v>
      </c>
      <c r="C54" t="s">
        <v>138</v>
      </c>
      <c r="D54">
        <v>2</v>
      </c>
      <c r="E54" t="s">
        <v>170</v>
      </c>
      <c r="F54">
        <v>756</v>
      </c>
      <c r="G54">
        <v>73</v>
      </c>
      <c r="H54">
        <v>10218.1</v>
      </c>
      <c r="I54">
        <v>257000</v>
      </c>
      <c r="J54">
        <v>68.400000000000006</v>
      </c>
      <c r="K54">
        <v>23.6</v>
      </c>
      <c r="L54">
        <v>826.5</v>
      </c>
      <c r="M54">
        <v>44.4</v>
      </c>
      <c r="N54">
        <f t="shared" si="9"/>
        <v>2.8878026855441319</v>
      </c>
      <c r="O54" s="6">
        <f t="shared" si="10"/>
        <v>88.962908709171415</v>
      </c>
    </row>
    <row r="57" spans="1:17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102</v>
      </c>
      <c r="L57" t="s">
        <v>103</v>
      </c>
      <c r="M57" t="s">
        <v>10</v>
      </c>
    </row>
    <row r="58" spans="1:17" x14ac:dyDescent="0.2">
      <c r="A58" t="s">
        <v>151</v>
      </c>
      <c r="B58" t="s">
        <v>77</v>
      </c>
      <c r="C58" t="s">
        <v>68</v>
      </c>
      <c r="D58">
        <v>1</v>
      </c>
      <c r="E58" t="s">
        <v>16</v>
      </c>
      <c r="F58">
        <v>719</v>
      </c>
      <c r="G58">
        <v>58</v>
      </c>
      <c r="H58">
        <v>10228.5</v>
      </c>
      <c r="I58">
        <v>183607.2</v>
      </c>
      <c r="J58">
        <v>100</v>
      </c>
      <c r="K58">
        <v>16.899999999999999</v>
      </c>
      <c r="L58">
        <v>58.4</v>
      </c>
      <c r="M58">
        <v>2539.3000000000002</v>
      </c>
      <c r="N58">
        <f>I58/I2</f>
        <v>4.67847451019363</v>
      </c>
      <c r="O58" s="6">
        <f>N58/$N$59*100</f>
        <v>131.68620437250362</v>
      </c>
      <c r="Q58">
        <f>I58/I2</f>
        <v>4.67847451019363</v>
      </c>
    </row>
    <row r="59" spans="1:17" x14ac:dyDescent="0.2">
      <c r="A59" t="s">
        <v>107</v>
      </c>
      <c r="B59" t="s">
        <v>77</v>
      </c>
      <c r="C59" t="s">
        <v>69</v>
      </c>
      <c r="D59">
        <v>1</v>
      </c>
      <c r="E59" t="s">
        <v>16</v>
      </c>
      <c r="F59">
        <v>721</v>
      </c>
      <c r="G59">
        <v>59</v>
      </c>
      <c r="H59">
        <v>10294.299999999999</v>
      </c>
      <c r="I59">
        <v>186957.5</v>
      </c>
      <c r="J59">
        <v>100</v>
      </c>
      <c r="K59">
        <v>17.100000000000001</v>
      </c>
      <c r="L59">
        <v>69</v>
      </c>
      <c r="M59">
        <v>2440.4</v>
      </c>
      <c r="N59">
        <f t="shared" ref="N59:N68" si="11">I59/I3</f>
        <v>3.5527445965102977</v>
      </c>
      <c r="O59" s="6">
        <f>N59/$N$59*100</f>
        <v>100</v>
      </c>
      <c r="P59">
        <f>N59/N$59</f>
        <v>1</v>
      </c>
      <c r="Q59">
        <f t="shared" ref="Q59:Q68" si="12">I59/I3</f>
        <v>3.5527445965102977</v>
      </c>
    </row>
    <row r="60" spans="1:17" x14ac:dyDescent="0.2">
      <c r="A60" t="s">
        <v>153</v>
      </c>
      <c r="B60" t="s">
        <v>77</v>
      </c>
      <c r="C60" t="s">
        <v>70</v>
      </c>
      <c r="D60">
        <v>1</v>
      </c>
      <c r="E60" t="s">
        <v>16</v>
      </c>
      <c r="F60">
        <v>718</v>
      </c>
      <c r="G60">
        <v>58</v>
      </c>
      <c r="H60">
        <v>9436.1</v>
      </c>
      <c r="I60">
        <v>175026.1</v>
      </c>
      <c r="J60">
        <v>100</v>
      </c>
      <c r="K60">
        <v>17.399999999999999</v>
      </c>
      <c r="L60">
        <v>63.9</v>
      </c>
      <c r="M60">
        <v>2381.8000000000002</v>
      </c>
      <c r="N60">
        <f t="shared" si="11"/>
        <v>3.7610418466325433</v>
      </c>
      <c r="O60" s="6">
        <f t="shared" ref="O60:O68" si="13">N60/$N$59*100</f>
        <v>105.86299533962691</v>
      </c>
      <c r="P60">
        <f t="shared" ref="P60:P68" si="14">N60/N$59</f>
        <v>1.0586299533962691</v>
      </c>
      <c r="Q60">
        <f t="shared" si="12"/>
        <v>3.7610418466325433</v>
      </c>
    </row>
    <row r="61" spans="1:17" x14ac:dyDescent="0.2">
      <c r="A61" t="s">
        <v>156</v>
      </c>
      <c r="B61" t="s">
        <v>77</v>
      </c>
      <c r="C61" t="s">
        <v>71</v>
      </c>
      <c r="D61">
        <v>1</v>
      </c>
      <c r="E61" t="s">
        <v>16</v>
      </c>
      <c r="F61">
        <v>716</v>
      </c>
      <c r="G61">
        <v>58</v>
      </c>
      <c r="H61">
        <v>10785.1</v>
      </c>
      <c r="I61">
        <v>193150.9</v>
      </c>
      <c r="J61">
        <v>100</v>
      </c>
      <c r="K61">
        <v>16.8</v>
      </c>
      <c r="L61">
        <v>60.3</v>
      </c>
      <c r="M61">
        <v>2485</v>
      </c>
      <c r="N61">
        <f t="shared" si="11"/>
        <v>4.5635611441100448</v>
      </c>
      <c r="O61" s="6">
        <f t="shared" si="13"/>
        <v>128.45170881668858</v>
      </c>
      <c r="P61">
        <f t="shared" si="14"/>
        <v>1.2845170881668857</v>
      </c>
      <c r="Q61">
        <f t="shared" si="12"/>
        <v>4.5635611441100448</v>
      </c>
    </row>
    <row r="62" spans="1:17" x14ac:dyDescent="0.2">
      <c r="A62" t="s">
        <v>155</v>
      </c>
      <c r="B62" t="s">
        <v>77</v>
      </c>
      <c r="C62" t="s">
        <v>72</v>
      </c>
      <c r="D62">
        <v>1</v>
      </c>
      <c r="E62" t="s">
        <v>16</v>
      </c>
      <c r="F62">
        <v>715</v>
      </c>
      <c r="G62">
        <v>59</v>
      </c>
      <c r="H62">
        <v>13858.4</v>
      </c>
      <c r="I62">
        <v>241563.1</v>
      </c>
      <c r="J62">
        <v>100</v>
      </c>
      <c r="K62">
        <v>16.399999999999999</v>
      </c>
      <c r="L62">
        <v>84.7</v>
      </c>
      <c r="M62">
        <v>2512.6999999999998</v>
      </c>
      <c r="N62">
        <f t="shared" si="11"/>
        <v>3.7105498013108722</v>
      </c>
      <c r="O62" s="6">
        <f t="shared" si="13"/>
        <v>104.44178297971601</v>
      </c>
      <c r="P62">
        <f t="shared" si="14"/>
        <v>1.04441782979716</v>
      </c>
      <c r="Q62">
        <f t="shared" si="12"/>
        <v>3.7105498013108722</v>
      </c>
    </row>
    <row r="63" spans="1:17" x14ac:dyDescent="0.2">
      <c r="A63" t="s">
        <v>157</v>
      </c>
      <c r="B63" t="s">
        <v>77</v>
      </c>
      <c r="C63" t="s">
        <v>73</v>
      </c>
      <c r="D63">
        <v>1</v>
      </c>
      <c r="E63" t="s">
        <v>16</v>
      </c>
      <c r="F63">
        <v>715</v>
      </c>
      <c r="G63">
        <v>59</v>
      </c>
      <c r="H63">
        <v>19023.400000000001</v>
      </c>
      <c r="I63">
        <v>341973.3</v>
      </c>
      <c r="J63">
        <v>100</v>
      </c>
      <c r="K63">
        <v>16.899999999999999</v>
      </c>
      <c r="L63">
        <v>117.4</v>
      </c>
      <c r="M63">
        <v>2602</v>
      </c>
      <c r="N63">
        <f t="shared" si="11"/>
        <v>2.8492385190468137</v>
      </c>
      <c r="O63" s="6">
        <f t="shared" si="13"/>
        <v>80.198236649082332</v>
      </c>
      <c r="P63">
        <f t="shared" si="14"/>
        <v>0.80198236649082333</v>
      </c>
      <c r="Q63">
        <f t="shared" si="12"/>
        <v>2.8492385190468137</v>
      </c>
    </row>
    <row r="64" spans="1:17" x14ac:dyDescent="0.2">
      <c r="A64" t="s">
        <v>158</v>
      </c>
      <c r="B64" t="s">
        <v>77</v>
      </c>
      <c r="C64" t="s">
        <v>74</v>
      </c>
      <c r="D64">
        <v>1</v>
      </c>
      <c r="E64" t="s">
        <v>16</v>
      </c>
      <c r="F64">
        <v>716</v>
      </c>
      <c r="G64">
        <v>59</v>
      </c>
      <c r="H64">
        <v>11539.3</v>
      </c>
      <c r="I64">
        <v>201425.8</v>
      </c>
      <c r="J64">
        <v>100</v>
      </c>
      <c r="K64">
        <v>16.399999999999999</v>
      </c>
      <c r="L64">
        <v>62.3</v>
      </c>
      <c r="M64">
        <v>2422.4</v>
      </c>
      <c r="N64">
        <f t="shared" si="11"/>
        <v>5.4722929339306612</v>
      </c>
      <c r="O64" s="6">
        <f t="shared" si="13"/>
        <v>154.03001215752604</v>
      </c>
      <c r="P64">
        <f t="shared" si="14"/>
        <v>1.5403001215752605</v>
      </c>
      <c r="Q64">
        <f t="shared" si="12"/>
        <v>5.4722929339306612</v>
      </c>
    </row>
    <row r="65" spans="1:17" x14ac:dyDescent="0.2">
      <c r="A65" t="s">
        <v>159</v>
      </c>
      <c r="B65" t="s">
        <v>77</v>
      </c>
      <c r="C65" t="s">
        <v>75</v>
      </c>
      <c r="D65">
        <v>1</v>
      </c>
      <c r="E65" t="s">
        <v>16</v>
      </c>
      <c r="F65">
        <v>715</v>
      </c>
      <c r="G65">
        <v>58</v>
      </c>
      <c r="H65">
        <v>15254.3</v>
      </c>
      <c r="I65">
        <v>266716.2</v>
      </c>
      <c r="J65">
        <v>100</v>
      </c>
      <c r="K65">
        <v>16.399999999999999</v>
      </c>
      <c r="L65">
        <v>101.4</v>
      </c>
      <c r="M65">
        <v>2417.1999999999998</v>
      </c>
      <c r="N65">
        <f t="shared" si="11"/>
        <v>3.6060808864985017</v>
      </c>
      <c r="O65" s="6">
        <f t="shared" si="13"/>
        <v>101.50127003333125</v>
      </c>
      <c r="P65">
        <f t="shared" si="14"/>
        <v>1.0150127003333125</v>
      </c>
      <c r="Q65">
        <f t="shared" si="12"/>
        <v>3.6060808864985017</v>
      </c>
    </row>
    <row r="66" spans="1:17" x14ac:dyDescent="0.2">
      <c r="A66" t="s">
        <v>160</v>
      </c>
      <c r="B66" t="s">
        <v>77</v>
      </c>
      <c r="C66" t="s">
        <v>76</v>
      </c>
      <c r="D66">
        <v>1</v>
      </c>
      <c r="E66" t="s">
        <v>16</v>
      </c>
      <c r="F66">
        <v>713</v>
      </c>
      <c r="G66">
        <v>58</v>
      </c>
      <c r="H66">
        <v>20643.5</v>
      </c>
      <c r="I66">
        <v>372108.7</v>
      </c>
      <c r="J66">
        <v>100</v>
      </c>
      <c r="K66">
        <v>16.899999999999999</v>
      </c>
      <c r="L66">
        <v>131.1</v>
      </c>
      <c r="M66">
        <v>2448.4</v>
      </c>
      <c r="N66">
        <f t="shared" si="11"/>
        <v>3.7253040441780096</v>
      </c>
      <c r="O66" s="6">
        <f t="shared" si="13"/>
        <v>104.85707438235805</v>
      </c>
      <c r="P66">
        <f t="shared" si="14"/>
        <v>1.0485707438235805</v>
      </c>
      <c r="Q66">
        <f t="shared" si="12"/>
        <v>3.7253040441780096</v>
      </c>
    </row>
    <row r="67" spans="1:17" x14ac:dyDescent="0.2">
      <c r="A67" t="s">
        <v>161</v>
      </c>
      <c r="B67" t="s">
        <v>77</v>
      </c>
      <c r="C67" t="s">
        <v>132</v>
      </c>
      <c r="D67">
        <v>1</v>
      </c>
      <c r="E67" t="s">
        <v>16</v>
      </c>
      <c r="F67">
        <v>712</v>
      </c>
      <c r="G67">
        <v>59</v>
      </c>
      <c r="H67">
        <v>10406.1</v>
      </c>
      <c r="I67">
        <v>177772.9</v>
      </c>
      <c r="J67">
        <v>100</v>
      </c>
      <c r="K67">
        <v>16</v>
      </c>
      <c r="L67">
        <v>71.099999999999994</v>
      </c>
      <c r="M67">
        <v>2338.4</v>
      </c>
      <c r="N67">
        <f t="shared" si="11"/>
        <v>4.6001883828830348</v>
      </c>
      <c r="O67" s="6">
        <f t="shared" si="13"/>
        <v>129.48266496278947</v>
      </c>
      <c r="P67">
        <f t="shared" si="14"/>
        <v>1.2948266496278946</v>
      </c>
      <c r="Q67">
        <f t="shared" si="12"/>
        <v>4.6001883828830348</v>
      </c>
    </row>
    <row r="68" spans="1:17" x14ac:dyDescent="0.2">
      <c r="A68" t="s">
        <v>162</v>
      </c>
      <c r="B68" t="s">
        <v>77</v>
      </c>
      <c r="C68" t="s">
        <v>134</v>
      </c>
      <c r="D68">
        <v>1</v>
      </c>
      <c r="E68" t="s">
        <v>16</v>
      </c>
      <c r="F68">
        <v>709</v>
      </c>
      <c r="G68">
        <v>59</v>
      </c>
      <c r="H68">
        <v>15369.4</v>
      </c>
      <c r="I68">
        <v>276904.2</v>
      </c>
      <c r="J68">
        <v>100</v>
      </c>
      <c r="K68">
        <v>16.899999999999999</v>
      </c>
      <c r="L68">
        <v>93.1</v>
      </c>
      <c r="M68">
        <v>2573.8000000000002</v>
      </c>
      <c r="N68">
        <f t="shared" si="11"/>
        <v>3.1114579470756785</v>
      </c>
      <c r="O68" s="6">
        <f t="shared" si="13"/>
        <v>87.578993157344456</v>
      </c>
      <c r="P68">
        <f t="shared" si="14"/>
        <v>0.87578993157344454</v>
      </c>
      <c r="Q68">
        <f t="shared" si="12"/>
        <v>3.1114579470756785</v>
      </c>
    </row>
    <row r="71" spans="1:17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102</v>
      </c>
      <c r="L71" t="s">
        <v>103</v>
      </c>
      <c r="M71" t="s">
        <v>10</v>
      </c>
    </row>
    <row r="72" spans="1:17" x14ac:dyDescent="0.2">
      <c r="A72" t="s">
        <v>151</v>
      </c>
      <c r="B72" t="s">
        <v>198</v>
      </c>
      <c r="C72" t="s">
        <v>57</v>
      </c>
      <c r="D72">
        <v>1</v>
      </c>
      <c r="E72" t="s">
        <v>15</v>
      </c>
      <c r="F72">
        <v>758</v>
      </c>
      <c r="G72">
        <v>77</v>
      </c>
      <c r="H72">
        <v>1469.8</v>
      </c>
      <c r="I72">
        <v>24921.3</v>
      </c>
      <c r="J72">
        <v>100</v>
      </c>
      <c r="K72">
        <v>15.9</v>
      </c>
      <c r="L72">
        <v>209.4</v>
      </c>
      <c r="M72">
        <v>32.6</v>
      </c>
      <c r="N72">
        <f>I72/I2</f>
        <v>0.63501685560745169</v>
      </c>
      <c r="O72" s="6">
        <f>N72/$N$73*100</f>
        <v>90.580170713281703</v>
      </c>
      <c r="Q72">
        <f>I72/I2</f>
        <v>0.63501685560745169</v>
      </c>
    </row>
    <row r="73" spans="1:17" x14ac:dyDescent="0.2">
      <c r="A73" t="s">
        <v>107</v>
      </c>
      <c r="B73" t="s">
        <v>198</v>
      </c>
      <c r="C73" t="s">
        <v>59</v>
      </c>
      <c r="D73">
        <v>1</v>
      </c>
      <c r="E73" t="s">
        <v>15</v>
      </c>
      <c r="F73">
        <v>757</v>
      </c>
      <c r="G73">
        <v>76</v>
      </c>
      <c r="H73">
        <v>2144.6999999999998</v>
      </c>
      <c r="I73">
        <v>36891.9</v>
      </c>
      <c r="J73">
        <v>100</v>
      </c>
      <c r="K73">
        <v>16.2</v>
      </c>
      <c r="L73">
        <v>248.5</v>
      </c>
      <c r="M73">
        <v>30.8</v>
      </c>
      <c r="N73">
        <f t="shared" ref="N73:N82" si="15">I73/I3</f>
        <v>0.70105504395383045</v>
      </c>
      <c r="O73" s="6">
        <f>N73/$N$73*100</f>
        <v>100</v>
      </c>
      <c r="P73">
        <f>N73/N$73</f>
        <v>1</v>
      </c>
      <c r="Q73">
        <f t="shared" ref="Q73:Q82" si="16">I73/I3</f>
        <v>0.70105504395383045</v>
      </c>
    </row>
    <row r="74" spans="1:17" x14ac:dyDescent="0.2">
      <c r="A74" t="s">
        <v>153</v>
      </c>
      <c r="B74" t="s">
        <v>198</v>
      </c>
      <c r="C74" t="s">
        <v>60</v>
      </c>
      <c r="D74">
        <v>1</v>
      </c>
      <c r="E74" t="s">
        <v>15</v>
      </c>
      <c r="F74">
        <v>757</v>
      </c>
      <c r="G74">
        <v>77</v>
      </c>
      <c r="H74">
        <v>1532</v>
      </c>
      <c r="I74">
        <v>27594.7</v>
      </c>
      <c r="J74">
        <v>100</v>
      </c>
      <c r="K74">
        <v>16.899999999999999</v>
      </c>
      <c r="L74">
        <v>188.4</v>
      </c>
      <c r="M74">
        <v>31.1</v>
      </c>
      <c r="N74">
        <f t="shared" si="15"/>
        <v>0.5929676856495748</v>
      </c>
      <c r="O74" s="6">
        <f t="shared" ref="O74:O82" si="17">N74/$N$73*100</f>
        <v>84.582186629075309</v>
      </c>
      <c r="P74">
        <f t="shared" ref="P74:P82" si="18">N74/N$73</f>
        <v>0.84582186629075307</v>
      </c>
      <c r="Q74">
        <f t="shared" si="16"/>
        <v>0.5929676856495748</v>
      </c>
    </row>
    <row r="75" spans="1:17" x14ac:dyDescent="0.2">
      <c r="A75" t="s">
        <v>156</v>
      </c>
      <c r="B75" t="s">
        <v>198</v>
      </c>
      <c r="C75" t="s">
        <v>61</v>
      </c>
      <c r="D75">
        <v>1</v>
      </c>
      <c r="E75" t="s">
        <v>15</v>
      </c>
      <c r="F75">
        <v>759</v>
      </c>
      <c r="G75">
        <v>77</v>
      </c>
      <c r="H75">
        <v>1417.1</v>
      </c>
      <c r="I75">
        <v>26320.799999999999</v>
      </c>
      <c r="J75">
        <v>100</v>
      </c>
      <c r="K75">
        <v>17.399999999999999</v>
      </c>
      <c r="L75">
        <v>151</v>
      </c>
      <c r="M75">
        <v>37.6</v>
      </c>
      <c r="N75">
        <f t="shared" si="15"/>
        <v>0.62187947434825142</v>
      </c>
      <c r="O75" s="6">
        <f t="shared" si="17"/>
        <v>88.706226381448971</v>
      </c>
      <c r="P75">
        <f t="shared" si="18"/>
        <v>0.88706226381448972</v>
      </c>
      <c r="Q75">
        <f t="shared" si="16"/>
        <v>0.62187947434825142</v>
      </c>
    </row>
    <row r="76" spans="1:17" x14ac:dyDescent="0.2">
      <c r="A76" t="s">
        <v>155</v>
      </c>
      <c r="B76" t="s">
        <v>198</v>
      </c>
      <c r="C76" t="s">
        <v>62</v>
      </c>
      <c r="D76">
        <v>1</v>
      </c>
      <c r="E76" t="s">
        <v>15</v>
      </c>
      <c r="F76">
        <v>751</v>
      </c>
      <c r="G76">
        <v>78</v>
      </c>
      <c r="H76">
        <v>1908</v>
      </c>
      <c r="I76">
        <v>33058.300000000003</v>
      </c>
      <c r="J76">
        <v>100</v>
      </c>
      <c r="K76">
        <v>16.3</v>
      </c>
      <c r="L76">
        <v>343.6</v>
      </c>
      <c r="M76">
        <v>25.5</v>
      </c>
      <c r="N76">
        <f t="shared" si="15"/>
        <v>0.507794727326629</v>
      </c>
      <c r="O76" s="6">
        <f t="shared" si="17"/>
        <v>72.43293257869648</v>
      </c>
      <c r="P76">
        <f t="shared" si="18"/>
        <v>0.72432932578696485</v>
      </c>
      <c r="Q76">
        <f t="shared" si="16"/>
        <v>0.507794727326629</v>
      </c>
    </row>
    <row r="77" spans="1:17" x14ac:dyDescent="0.2">
      <c r="A77" t="s">
        <v>157</v>
      </c>
      <c r="B77" t="s">
        <v>198</v>
      </c>
      <c r="C77" t="s">
        <v>63</v>
      </c>
      <c r="D77">
        <v>1</v>
      </c>
      <c r="E77" t="s">
        <v>15</v>
      </c>
      <c r="F77">
        <v>755</v>
      </c>
      <c r="G77">
        <v>77</v>
      </c>
      <c r="H77">
        <v>1635.4</v>
      </c>
      <c r="I77">
        <v>32841.4</v>
      </c>
      <c r="J77">
        <v>100</v>
      </c>
      <c r="K77">
        <v>18.899999999999999</v>
      </c>
      <c r="L77">
        <v>148.5</v>
      </c>
      <c r="M77">
        <v>28.3</v>
      </c>
      <c r="N77">
        <f t="shared" si="15"/>
        <v>0.27362657230673865</v>
      </c>
      <c r="O77" s="6">
        <f t="shared" si="17"/>
        <v>39.030683063562542</v>
      </c>
      <c r="P77">
        <f t="shared" si="18"/>
        <v>0.39030683063562543</v>
      </c>
      <c r="Q77">
        <f t="shared" si="16"/>
        <v>0.27362657230673865</v>
      </c>
    </row>
    <row r="78" spans="1:17" x14ac:dyDescent="0.2">
      <c r="A78" t="s">
        <v>158</v>
      </c>
      <c r="B78" t="s">
        <v>198</v>
      </c>
      <c r="C78" t="s">
        <v>64</v>
      </c>
      <c r="D78">
        <v>1</v>
      </c>
      <c r="E78" t="s">
        <v>15</v>
      </c>
      <c r="F78">
        <v>754</v>
      </c>
      <c r="G78">
        <v>75</v>
      </c>
      <c r="H78">
        <v>1639.6</v>
      </c>
      <c r="I78">
        <v>30049.9</v>
      </c>
      <c r="J78">
        <v>100</v>
      </c>
      <c r="K78">
        <v>17.2</v>
      </c>
      <c r="L78">
        <v>155.4</v>
      </c>
      <c r="M78">
        <v>32.799999999999997</v>
      </c>
      <c r="N78">
        <f t="shared" si="15"/>
        <v>0.81638923829679721</v>
      </c>
      <c r="O78" s="6">
        <f t="shared" si="17"/>
        <v>116.45151765723011</v>
      </c>
      <c r="P78">
        <f t="shared" si="18"/>
        <v>1.1645151765723012</v>
      </c>
      <c r="Q78">
        <f t="shared" si="16"/>
        <v>0.81638923829679721</v>
      </c>
    </row>
    <row r="79" spans="1:17" x14ac:dyDescent="0.2">
      <c r="A79" t="s">
        <v>159</v>
      </c>
      <c r="B79" t="s">
        <v>198</v>
      </c>
      <c r="C79" t="s">
        <v>65</v>
      </c>
      <c r="D79">
        <v>1</v>
      </c>
      <c r="E79" t="s">
        <v>15</v>
      </c>
      <c r="F79">
        <v>757</v>
      </c>
      <c r="G79">
        <v>78</v>
      </c>
      <c r="H79">
        <v>1819.8</v>
      </c>
      <c r="I79">
        <v>32567.1</v>
      </c>
      <c r="J79">
        <v>100</v>
      </c>
      <c r="K79">
        <v>16.8</v>
      </c>
      <c r="L79">
        <v>210.2</v>
      </c>
      <c r="M79">
        <v>29</v>
      </c>
      <c r="N79">
        <f t="shared" si="15"/>
        <v>0.44031669931817169</v>
      </c>
      <c r="O79" s="6">
        <f t="shared" si="17"/>
        <v>62.807721464331948</v>
      </c>
      <c r="P79">
        <f t="shared" si="18"/>
        <v>0.62807721464331945</v>
      </c>
      <c r="Q79">
        <f t="shared" si="16"/>
        <v>0.44031669931817169</v>
      </c>
    </row>
    <row r="80" spans="1:17" x14ac:dyDescent="0.2">
      <c r="A80" t="s">
        <v>160</v>
      </c>
      <c r="B80" t="s">
        <v>198</v>
      </c>
      <c r="C80" t="s">
        <v>66</v>
      </c>
      <c r="D80">
        <v>1</v>
      </c>
      <c r="E80" t="s">
        <v>15</v>
      </c>
      <c r="F80">
        <v>756</v>
      </c>
      <c r="G80">
        <v>81</v>
      </c>
      <c r="H80">
        <v>1571.9</v>
      </c>
      <c r="I80">
        <v>29349.5</v>
      </c>
      <c r="J80">
        <v>100</v>
      </c>
      <c r="K80">
        <v>17.5</v>
      </c>
      <c r="L80">
        <v>178.7</v>
      </c>
      <c r="M80">
        <v>28.4</v>
      </c>
      <c r="N80">
        <f t="shared" si="15"/>
        <v>0.29382761285775499</v>
      </c>
      <c r="O80" s="6">
        <f t="shared" si="17"/>
        <v>41.912202956363821</v>
      </c>
      <c r="P80">
        <f t="shared" si="18"/>
        <v>0.4191220295636382</v>
      </c>
      <c r="Q80">
        <f t="shared" si="16"/>
        <v>0.29382761285775499</v>
      </c>
    </row>
    <row r="81" spans="1:19" x14ac:dyDescent="0.2">
      <c r="A81" t="s">
        <v>161</v>
      </c>
      <c r="B81" t="s">
        <v>198</v>
      </c>
      <c r="C81" t="s">
        <v>125</v>
      </c>
      <c r="D81">
        <v>1</v>
      </c>
      <c r="E81" t="s">
        <v>15</v>
      </c>
      <c r="F81">
        <v>753</v>
      </c>
      <c r="G81">
        <v>77</v>
      </c>
      <c r="H81">
        <v>1430.1</v>
      </c>
      <c r="I81">
        <v>26111.7</v>
      </c>
      <c r="J81">
        <v>100</v>
      </c>
      <c r="K81">
        <v>17.2</v>
      </c>
      <c r="L81">
        <v>156.30000000000001</v>
      </c>
      <c r="M81">
        <v>23.4</v>
      </c>
      <c r="N81">
        <f t="shared" si="15"/>
        <v>0.67568644600682637</v>
      </c>
      <c r="O81" s="6">
        <f t="shared" si="17"/>
        <v>96.381368600683686</v>
      </c>
      <c r="P81">
        <f t="shared" si="18"/>
        <v>0.96381368600683692</v>
      </c>
      <c r="Q81">
        <f t="shared" si="16"/>
        <v>0.67568644600682637</v>
      </c>
    </row>
    <row r="82" spans="1:19" x14ac:dyDescent="0.2">
      <c r="A82" t="s">
        <v>162</v>
      </c>
      <c r="B82" t="s">
        <v>198</v>
      </c>
      <c r="C82" t="s">
        <v>126</v>
      </c>
      <c r="D82">
        <v>1</v>
      </c>
      <c r="E82" t="s">
        <v>15</v>
      </c>
      <c r="F82">
        <v>752</v>
      </c>
      <c r="G82">
        <v>78</v>
      </c>
      <c r="H82">
        <v>2595.6</v>
      </c>
      <c r="I82">
        <v>47627.8</v>
      </c>
      <c r="J82">
        <v>100</v>
      </c>
      <c r="K82">
        <v>17.2</v>
      </c>
      <c r="L82">
        <v>305</v>
      </c>
      <c r="M82">
        <v>40.799999999999997</v>
      </c>
      <c r="N82">
        <f t="shared" si="15"/>
        <v>0.53517388617338058</v>
      </c>
      <c r="O82" s="6">
        <f t="shared" si="17"/>
        <v>76.338354711078239</v>
      </c>
      <c r="P82">
        <f t="shared" si="18"/>
        <v>0.76338354711078238</v>
      </c>
      <c r="Q82">
        <f t="shared" si="16"/>
        <v>0.53517388617338058</v>
      </c>
    </row>
    <row r="85" spans="1:19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102</v>
      </c>
      <c r="L85" t="s">
        <v>103</v>
      </c>
      <c r="M85" t="s">
        <v>10</v>
      </c>
    </row>
    <row r="86" spans="1:19" x14ac:dyDescent="0.2">
      <c r="A86" t="s">
        <v>151</v>
      </c>
      <c r="B86" t="s">
        <v>115</v>
      </c>
      <c r="C86" t="s">
        <v>46</v>
      </c>
      <c r="D86">
        <v>1</v>
      </c>
      <c r="E86" t="s">
        <v>13</v>
      </c>
      <c r="F86">
        <v>768</v>
      </c>
      <c r="G86">
        <v>88</v>
      </c>
      <c r="H86">
        <v>757.2</v>
      </c>
      <c r="I86">
        <v>18182.599999999999</v>
      </c>
      <c r="J86">
        <v>100</v>
      </c>
      <c r="K86">
        <v>22.6</v>
      </c>
      <c r="L86">
        <v>10.199999999999999</v>
      </c>
      <c r="M86">
        <v>647.9</v>
      </c>
      <c r="N86">
        <f>I86/$I$2*100</f>
        <v>46.330879523813159</v>
      </c>
      <c r="O86" s="6">
        <f>N86/$N$87*100</f>
        <v>82.509041570805593</v>
      </c>
      <c r="R86">
        <f>I86/I2</f>
        <v>0.46330879523813162</v>
      </c>
    </row>
    <row r="87" spans="1:19" x14ac:dyDescent="0.2">
      <c r="A87" t="s">
        <v>107</v>
      </c>
      <c r="B87" t="s">
        <v>115</v>
      </c>
      <c r="C87" t="s">
        <v>48</v>
      </c>
      <c r="D87">
        <v>1</v>
      </c>
      <c r="E87" t="s">
        <v>13</v>
      </c>
      <c r="F87">
        <v>762</v>
      </c>
      <c r="G87">
        <v>88</v>
      </c>
      <c r="H87">
        <v>913.6</v>
      </c>
      <c r="I87">
        <v>22037.1</v>
      </c>
      <c r="J87">
        <v>100</v>
      </c>
      <c r="K87">
        <v>22.7</v>
      </c>
      <c r="L87">
        <v>15.5</v>
      </c>
      <c r="M87">
        <v>683.6</v>
      </c>
      <c r="N87">
        <f>I87/$I$2*100</f>
        <v>56.152487826505727</v>
      </c>
      <c r="O87" s="6">
        <f>N87/$N$87*100</f>
        <v>100</v>
      </c>
      <c r="P87">
        <f>N87/N$87</f>
        <v>1</v>
      </c>
      <c r="R87">
        <f t="shared" ref="R87:R96" si="19">I87/I3</f>
        <v>0.41876997685440315</v>
      </c>
      <c r="S87">
        <f>R87/R$87</f>
        <v>1</v>
      </c>
    </row>
    <row r="88" spans="1:19" x14ac:dyDescent="0.2">
      <c r="A88" t="s">
        <v>153</v>
      </c>
      <c r="B88" t="s">
        <v>115</v>
      </c>
      <c r="C88" t="s">
        <v>49</v>
      </c>
      <c r="D88">
        <v>1</v>
      </c>
      <c r="E88" t="s">
        <v>13</v>
      </c>
      <c r="F88">
        <v>764</v>
      </c>
      <c r="G88">
        <v>89</v>
      </c>
      <c r="H88">
        <v>743.2</v>
      </c>
      <c r="I88">
        <v>17268</v>
      </c>
      <c r="J88">
        <v>100</v>
      </c>
      <c r="K88">
        <v>21.8</v>
      </c>
      <c r="L88">
        <v>10.5</v>
      </c>
      <c r="M88">
        <v>690.1</v>
      </c>
      <c r="N88">
        <f>I88/$I$2*100</f>
        <v>44.00039750185374</v>
      </c>
      <c r="O88" s="6">
        <f t="shared" ref="O88:O96" si="20">N88/$N$87*100</f>
        <v>78.358767714445193</v>
      </c>
      <c r="P88">
        <f t="shared" ref="P88:P96" si="21">N88/N$87</f>
        <v>0.78358767714445199</v>
      </c>
      <c r="R88">
        <f t="shared" si="19"/>
        <v>0.37106277639535334</v>
      </c>
      <c r="S88">
        <f t="shared" ref="S88:S96" si="22">R88/R$87</f>
        <v>0.88607779187657354</v>
      </c>
    </row>
    <row r="89" spans="1:19" x14ac:dyDescent="0.2">
      <c r="A89" t="s">
        <v>156</v>
      </c>
      <c r="B89" t="s">
        <v>115</v>
      </c>
      <c r="C89" t="s">
        <v>50</v>
      </c>
      <c r="D89">
        <v>1</v>
      </c>
      <c r="E89" t="s">
        <v>13</v>
      </c>
      <c r="F89">
        <v>766</v>
      </c>
      <c r="G89">
        <v>89</v>
      </c>
      <c r="H89">
        <v>862.9</v>
      </c>
      <c r="I89">
        <v>20542</v>
      </c>
      <c r="J89">
        <v>100</v>
      </c>
      <c r="K89">
        <v>22.4</v>
      </c>
      <c r="L89">
        <v>10.8</v>
      </c>
      <c r="M89">
        <v>663.7</v>
      </c>
      <c r="N89">
        <f t="shared" ref="N89:N96" si="23">I89/$I$2*100</f>
        <v>52.342840252668488</v>
      </c>
      <c r="O89" s="6">
        <f t="shared" si="20"/>
        <v>93.215531989236339</v>
      </c>
      <c r="P89">
        <f t="shared" si="21"/>
        <v>0.93215531989236344</v>
      </c>
      <c r="R89">
        <f t="shared" si="19"/>
        <v>0.48534422061874183</v>
      </c>
      <c r="S89">
        <f t="shared" si="22"/>
        <v>1.1589756846095132</v>
      </c>
    </row>
    <row r="90" spans="1:19" x14ac:dyDescent="0.2">
      <c r="A90" t="s">
        <v>155</v>
      </c>
      <c r="B90" t="s">
        <v>115</v>
      </c>
      <c r="C90" t="s">
        <v>51</v>
      </c>
      <c r="D90">
        <v>2</v>
      </c>
      <c r="E90" t="s">
        <v>13</v>
      </c>
      <c r="F90">
        <v>766</v>
      </c>
      <c r="G90">
        <v>89</v>
      </c>
      <c r="H90">
        <v>1166.3</v>
      </c>
      <c r="I90">
        <v>26787.9</v>
      </c>
      <c r="J90">
        <v>100</v>
      </c>
      <c r="K90">
        <v>21.6</v>
      </c>
      <c r="L90">
        <v>17.100000000000001</v>
      </c>
      <c r="M90">
        <v>717.1</v>
      </c>
      <c r="N90">
        <f t="shared" si="23"/>
        <v>68.257948126008088</v>
      </c>
      <c r="O90" s="6">
        <f t="shared" si="20"/>
        <v>121.55819050601033</v>
      </c>
      <c r="P90">
        <f t="shared" si="21"/>
        <v>1.2155819050601033</v>
      </c>
      <c r="R90">
        <f t="shared" si="19"/>
        <v>0.41147773406838845</v>
      </c>
      <c r="S90">
        <f t="shared" si="22"/>
        <v>0.98258651959533849</v>
      </c>
    </row>
    <row r="91" spans="1:19" x14ac:dyDescent="0.2">
      <c r="A91" t="s">
        <v>157</v>
      </c>
      <c r="B91" t="s">
        <v>115</v>
      </c>
      <c r="C91" t="s">
        <v>52</v>
      </c>
      <c r="D91">
        <v>1</v>
      </c>
      <c r="E91" t="s">
        <v>13</v>
      </c>
      <c r="F91">
        <v>758</v>
      </c>
      <c r="G91">
        <v>89</v>
      </c>
      <c r="H91">
        <v>1462.5</v>
      </c>
      <c r="I91">
        <v>33830.199999999997</v>
      </c>
      <c r="J91">
        <v>100</v>
      </c>
      <c r="K91">
        <v>21.7</v>
      </c>
      <c r="L91">
        <v>11.4</v>
      </c>
      <c r="M91">
        <v>786.9</v>
      </c>
      <c r="N91">
        <f t="shared" si="23"/>
        <v>86.202353924438967</v>
      </c>
      <c r="O91" s="6">
        <f t="shared" si="20"/>
        <v>153.51475466372617</v>
      </c>
      <c r="P91">
        <f t="shared" si="21"/>
        <v>1.5351475466372617</v>
      </c>
      <c r="R91">
        <f t="shared" si="19"/>
        <v>0.28186501386820989</v>
      </c>
      <c r="S91">
        <f t="shared" si="22"/>
        <v>0.67307837105573587</v>
      </c>
    </row>
    <row r="92" spans="1:19" x14ac:dyDescent="0.2">
      <c r="A92" t="s">
        <v>158</v>
      </c>
      <c r="B92" t="s">
        <v>115</v>
      </c>
      <c r="C92" t="s">
        <v>53</v>
      </c>
      <c r="D92">
        <v>1</v>
      </c>
      <c r="E92" t="s">
        <v>13</v>
      </c>
      <c r="F92">
        <v>758</v>
      </c>
      <c r="G92">
        <v>90</v>
      </c>
      <c r="H92">
        <v>851.1</v>
      </c>
      <c r="I92">
        <v>20553.2</v>
      </c>
      <c r="J92">
        <v>100</v>
      </c>
      <c r="K92">
        <v>22.7</v>
      </c>
      <c r="L92">
        <v>7.2</v>
      </c>
      <c r="M92">
        <v>724.2</v>
      </c>
      <c r="N92">
        <f t="shared" si="23"/>
        <v>52.371378847295588</v>
      </c>
      <c r="O92" s="6">
        <f t="shared" si="20"/>
        <v>93.266355373438444</v>
      </c>
      <c r="P92">
        <f t="shared" si="21"/>
        <v>0.93266355373438437</v>
      </c>
      <c r="R92">
        <f t="shared" si="19"/>
        <v>0.55838492948601259</v>
      </c>
      <c r="S92">
        <f t="shared" si="22"/>
        <v>1.3333929372882203</v>
      </c>
    </row>
    <row r="93" spans="1:19" x14ac:dyDescent="0.2">
      <c r="A93" t="s">
        <v>159</v>
      </c>
      <c r="B93" t="s">
        <v>115</v>
      </c>
      <c r="C93" t="s">
        <v>54</v>
      </c>
      <c r="D93">
        <v>1</v>
      </c>
      <c r="E93" t="s">
        <v>13</v>
      </c>
      <c r="F93">
        <v>758</v>
      </c>
      <c r="G93">
        <v>89</v>
      </c>
      <c r="H93">
        <v>1104.0999999999999</v>
      </c>
      <c r="I93">
        <v>23672.9</v>
      </c>
      <c r="J93">
        <v>100</v>
      </c>
      <c r="K93">
        <v>20.100000000000001</v>
      </c>
      <c r="L93">
        <v>14.2</v>
      </c>
      <c r="M93">
        <v>693.1</v>
      </c>
      <c r="N93">
        <f t="shared" si="23"/>
        <v>60.320651495345921</v>
      </c>
      <c r="O93" s="6">
        <f t="shared" si="20"/>
        <v>107.42293677480251</v>
      </c>
      <c r="P93">
        <f t="shared" si="21"/>
        <v>1.074229367748025</v>
      </c>
      <c r="R93">
        <f t="shared" si="19"/>
        <v>0.32006451883309067</v>
      </c>
      <c r="S93">
        <f t="shared" si="22"/>
        <v>0.76429671782409048</v>
      </c>
    </row>
    <row r="94" spans="1:19" x14ac:dyDescent="0.2">
      <c r="A94" t="s">
        <v>160</v>
      </c>
      <c r="B94" t="s">
        <v>115</v>
      </c>
      <c r="C94" t="s">
        <v>55</v>
      </c>
      <c r="D94">
        <v>1</v>
      </c>
      <c r="E94" t="s">
        <v>13</v>
      </c>
      <c r="F94">
        <v>755</v>
      </c>
      <c r="G94">
        <v>86</v>
      </c>
      <c r="H94">
        <v>1336.6</v>
      </c>
      <c r="I94">
        <v>29355.200000000001</v>
      </c>
      <c r="J94">
        <v>100</v>
      </c>
      <c r="K94">
        <v>20.6</v>
      </c>
      <c r="L94">
        <v>15.9</v>
      </c>
      <c r="M94">
        <v>718</v>
      </c>
      <c r="N94">
        <f t="shared" si="23"/>
        <v>74.799656517628961</v>
      </c>
      <c r="O94" s="6">
        <f t="shared" si="20"/>
        <v>133.20808999369248</v>
      </c>
      <c r="P94">
        <f t="shared" si="21"/>
        <v>1.3320808999369247</v>
      </c>
      <c r="R94">
        <f t="shared" si="19"/>
        <v>0.2938846774548789</v>
      </c>
      <c r="S94">
        <f t="shared" si="22"/>
        <v>0.70178067602266514</v>
      </c>
    </row>
    <row r="95" spans="1:19" x14ac:dyDescent="0.2">
      <c r="A95" t="s">
        <v>161</v>
      </c>
      <c r="B95" t="s">
        <v>115</v>
      </c>
      <c r="C95" t="s">
        <v>122</v>
      </c>
      <c r="D95">
        <v>1</v>
      </c>
      <c r="E95" t="s">
        <v>13</v>
      </c>
      <c r="F95">
        <v>751</v>
      </c>
      <c r="G95">
        <v>87</v>
      </c>
      <c r="H95">
        <v>691.7</v>
      </c>
      <c r="I95">
        <v>16255</v>
      </c>
      <c r="J95">
        <v>100</v>
      </c>
      <c r="K95">
        <v>22.1</v>
      </c>
      <c r="L95">
        <v>9.5</v>
      </c>
      <c r="M95">
        <v>710.7</v>
      </c>
      <c r="N95">
        <f t="shared" si="23"/>
        <v>41.419183541384783</v>
      </c>
      <c r="O95" s="6">
        <f t="shared" si="20"/>
        <v>73.761974125452085</v>
      </c>
      <c r="P95">
        <f t="shared" si="21"/>
        <v>0.73761974125452079</v>
      </c>
      <c r="R95">
        <f t="shared" si="19"/>
        <v>0.4206268906214824</v>
      </c>
      <c r="S95">
        <f t="shared" si="22"/>
        <v>1.0044342093982657</v>
      </c>
    </row>
    <row r="96" spans="1:19" x14ac:dyDescent="0.2">
      <c r="A96" t="s">
        <v>162</v>
      </c>
      <c r="B96" t="s">
        <v>115</v>
      </c>
      <c r="C96" t="s">
        <v>123</v>
      </c>
      <c r="D96">
        <v>1</v>
      </c>
      <c r="E96" t="s">
        <v>13</v>
      </c>
      <c r="F96">
        <v>757</v>
      </c>
      <c r="G96">
        <v>89</v>
      </c>
      <c r="H96">
        <v>1765.5</v>
      </c>
      <c r="I96">
        <v>36670.6</v>
      </c>
      <c r="J96">
        <v>100</v>
      </c>
      <c r="K96">
        <v>19.5</v>
      </c>
      <c r="L96">
        <v>28.4</v>
      </c>
      <c r="M96">
        <v>829.1</v>
      </c>
      <c r="N96">
        <f t="shared" si="23"/>
        <v>93.439945368975998</v>
      </c>
      <c r="O96" s="6">
        <f t="shared" si="20"/>
        <v>166.40392792155046</v>
      </c>
      <c r="P96">
        <f t="shared" si="21"/>
        <v>1.6640392792155048</v>
      </c>
      <c r="R96">
        <f t="shared" si="19"/>
        <v>0.41205236249227484</v>
      </c>
      <c r="S96">
        <f t="shared" si="22"/>
        <v>0.98395870111657058</v>
      </c>
    </row>
    <row r="99" spans="1:15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102</v>
      </c>
      <c r="L99" t="s">
        <v>103</v>
      </c>
      <c r="M99" t="s">
        <v>10</v>
      </c>
    </row>
    <row r="100" spans="1:15" x14ac:dyDescent="0.2">
      <c r="A100" t="s">
        <v>151</v>
      </c>
      <c r="B100" t="s">
        <v>108</v>
      </c>
      <c r="C100" t="s">
        <v>36</v>
      </c>
      <c r="D100">
        <v>1</v>
      </c>
      <c r="F100">
        <v>811</v>
      </c>
      <c r="G100">
        <v>126</v>
      </c>
      <c r="H100">
        <v>2205.6999999999998</v>
      </c>
      <c r="I100">
        <v>52722.400000000001</v>
      </c>
      <c r="K100">
        <v>22.5</v>
      </c>
      <c r="L100">
        <v>115.9</v>
      </c>
      <c r="M100">
        <v>85.9</v>
      </c>
      <c r="N100">
        <f>I100/I2*100</f>
        <v>134.34135726498343</v>
      </c>
    </row>
    <row r="101" spans="1:15" x14ac:dyDescent="0.2">
      <c r="A101" t="s">
        <v>107</v>
      </c>
      <c r="B101" t="s">
        <v>108</v>
      </c>
      <c r="C101" t="s">
        <v>37</v>
      </c>
      <c r="D101">
        <v>1</v>
      </c>
      <c r="F101">
        <v>809</v>
      </c>
      <c r="G101">
        <v>125</v>
      </c>
      <c r="H101">
        <v>3100.5</v>
      </c>
      <c r="I101">
        <v>72938.8</v>
      </c>
      <c r="K101">
        <v>22.1</v>
      </c>
      <c r="L101">
        <v>111.4</v>
      </c>
      <c r="M101">
        <v>119.5</v>
      </c>
      <c r="N101">
        <f>I101/I3*100</f>
        <v>138.60525925728859</v>
      </c>
      <c r="O101">
        <f>(N101/N$101)</f>
        <v>1</v>
      </c>
    </row>
    <row r="102" spans="1:15" x14ac:dyDescent="0.2">
      <c r="A102" t="s">
        <v>153</v>
      </c>
      <c r="B102" t="s">
        <v>108</v>
      </c>
      <c r="C102" t="s">
        <v>38</v>
      </c>
      <c r="D102">
        <v>1</v>
      </c>
      <c r="F102">
        <v>812</v>
      </c>
      <c r="G102">
        <v>126</v>
      </c>
      <c r="H102">
        <v>2694</v>
      </c>
      <c r="I102">
        <v>62232</v>
      </c>
      <c r="K102">
        <v>21.7</v>
      </c>
      <c r="L102">
        <v>97.5</v>
      </c>
      <c r="M102">
        <v>97.4</v>
      </c>
      <c r="N102">
        <f t="shared" ref="N102:N107" si="24">I102/I4*100</f>
        <v>133.72700197264089</v>
      </c>
      <c r="O102">
        <f t="shared" ref="O102:O110" si="25">(N102/N$101)</f>
        <v>0.96480467400163838</v>
      </c>
    </row>
    <row r="103" spans="1:15" x14ac:dyDescent="0.2">
      <c r="A103" t="s">
        <v>156</v>
      </c>
      <c r="B103" t="s">
        <v>108</v>
      </c>
      <c r="C103" t="s">
        <v>39</v>
      </c>
      <c r="D103">
        <v>1</v>
      </c>
      <c r="F103">
        <v>809</v>
      </c>
      <c r="G103">
        <v>128</v>
      </c>
      <c r="H103">
        <v>1662.5</v>
      </c>
      <c r="I103">
        <v>39346.5</v>
      </c>
      <c r="K103">
        <v>22.2</v>
      </c>
      <c r="L103">
        <v>74.599999999999994</v>
      </c>
      <c r="M103">
        <v>100.9</v>
      </c>
      <c r="N103">
        <f t="shared" si="24"/>
        <v>92.963666520179757</v>
      </c>
      <c r="O103">
        <f t="shared" si="25"/>
        <v>0.67070807427021384</v>
      </c>
    </row>
    <row r="104" spans="1:15" x14ac:dyDescent="0.2">
      <c r="A104" t="s">
        <v>155</v>
      </c>
      <c r="B104" t="s">
        <v>108</v>
      </c>
      <c r="C104" t="s">
        <v>40</v>
      </c>
      <c r="D104">
        <v>1</v>
      </c>
      <c r="F104">
        <v>807</v>
      </c>
      <c r="G104">
        <v>128</v>
      </c>
      <c r="H104">
        <v>1929.8</v>
      </c>
      <c r="I104">
        <v>44914.3</v>
      </c>
      <c r="K104">
        <v>21.9</v>
      </c>
      <c r="L104">
        <v>122.4</v>
      </c>
      <c r="M104">
        <v>96.2</v>
      </c>
      <c r="N104">
        <f t="shared" si="24"/>
        <v>68.99097873020213</v>
      </c>
      <c r="O104">
        <f t="shared" si="25"/>
        <v>0.49775152183898264</v>
      </c>
    </row>
    <row r="105" spans="1:15" x14ac:dyDescent="0.2">
      <c r="A105" t="s">
        <v>157</v>
      </c>
      <c r="B105" t="s">
        <v>108</v>
      </c>
      <c r="C105" t="s">
        <v>41</v>
      </c>
      <c r="D105">
        <v>1</v>
      </c>
      <c r="F105">
        <v>804</v>
      </c>
      <c r="G105">
        <v>126</v>
      </c>
      <c r="H105">
        <v>1102.5</v>
      </c>
      <c r="I105">
        <v>28181.200000000001</v>
      </c>
      <c r="K105">
        <v>24</v>
      </c>
      <c r="L105">
        <v>46.6</v>
      </c>
      <c r="M105">
        <v>77.599999999999994</v>
      </c>
      <c r="N105">
        <f t="shared" si="24"/>
        <v>23.479891720482875</v>
      </c>
      <c r="O105">
        <f t="shared" si="25"/>
        <v>0.16940116014571921</v>
      </c>
    </row>
    <row r="106" spans="1:15" x14ac:dyDescent="0.2">
      <c r="A106" t="s">
        <v>158</v>
      </c>
      <c r="B106" t="s">
        <v>108</v>
      </c>
      <c r="C106" t="s">
        <v>42</v>
      </c>
      <c r="D106">
        <v>1</v>
      </c>
      <c r="F106">
        <v>804</v>
      </c>
      <c r="G106">
        <v>128</v>
      </c>
      <c r="H106">
        <v>2324.8000000000002</v>
      </c>
      <c r="I106">
        <v>54937.1</v>
      </c>
      <c r="K106">
        <v>22.2</v>
      </c>
      <c r="L106">
        <v>81.3</v>
      </c>
      <c r="M106">
        <v>85.9</v>
      </c>
      <c r="N106">
        <f t="shared" si="24"/>
        <v>149.25193502552412</v>
      </c>
      <c r="O106">
        <f t="shared" si="25"/>
        <v>1.0768129277726211</v>
      </c>
    </row>
    <row r="107" spans="1:15" x14ac:dyDescent="0.2">
      <c r="A107" t="s">
        <v>159</v>
      </c>
      <c r="B107" t="s">
        <v>108</v>
      </c>
      <c r="C107" t="s">
        <v>43</v>
      </c>
      <c r="D107">
        <v>1</v>
      </c>
      <c r="F107">
        <v>805</v>
      </c>
      <c r="G107">
        <v>127</v>
      </c>
      <c r="H107">
        <v>1008.1</v>
      </c>
      <c r="I107">
        <v>24081.8</v>
      </c>
      <c r="K107">
        <v>22.4</v>
      </c>
      <c r="L107">
        <v>37.4</v>
      </c>
      <c r="M107">
        <v>70.5</v>
      </c>
      <c r="N107">
        <f t="shared" si="24"/>
        <v>32.559296620332631</v>
      </c>
      <c r="O107">
        <f t="shared" si="25"/>
        <v>0.23490664636248637</v>
      </c>
    </row>
    <row r="108" spans="1:15" x14ac:dyDescent="0.2">
      <c r="O108">
        <f t="shared" si="25"/>
        <v>0</v>
      </c>
    </row>
    <row r="109" spans="1:15" x14ac:dyDescent="0.2">
      <c r="A109" t="s">
        <v>161</v>
      </c>
      <c r="B109" t="s">
        <v>108</v>
      </c>
      <c r="C109" t="s">
        <v>117</v>
      </c>
      <c r="D109">
        <v>1</v>
      </c>
      <c r="F109">
        <v>810</v>
      </c>
      <c r="G109">
        <v>127</v>
      </c>
      <c r="H109">
        <v>2388.1</v>
      </c>
      <c r="I109">
        <v>60415.6</v>
      </c>
      <c r="K109">
        <v>23.8</v>
      </c>
      <c r="L109">
        <v>106.2</v>
      </c>
      <c r="M109">
        <v>84.7</v>
      </c>
      <c r="N109">
        <f>I109/I10*100</f>
        <v>60.484067964936308</v>
      </c>
      <c r="O109">
        <f t="shared" si="25"/>
        <v>0.43637642820364869</v>
      </c>
    </row>
    <row r="110" spans="1:15" x14ac:dyDescent="0.2">
      <c r="A110" t="s">
        <v>162</v>
      </c>
      <c r="B110" t="s">
        <v>108</v>
      </c>
      <c r="C110" t="s">
        <v>119</v>
      </c>
      <c r="D110">
        <v>1</v>
      </c>
      <c r="F110">
        <v>803</v>
      </c>
      <c r="G110">
        <v>128</v>
      </c>
      <c r="H110">
        <v>4777.7</v>
      </c>
      <c r="I110">
        <v>117123.7</v>
      </c>
      <c r="K110">
        <v>23</v>
      </c>
      <c r="L110">
        <v>176.5</v>
      </c>
      <c r="M110">
        <v>152.4</v>
      </c>
      <c r="N110">
        <f>I110/I11*100</f>
        <v>303.0783005172766</v>
      </c>
      <c r="O110">
        <f t="shared" si="25"/>
        <v>2.186629152034425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61EE-8E3D-4257-BDD3-1641E4DDE865}">
  <dimension ref="D5:AA33"/>
  <sheetViews>
    <sheetView topLeftCell="A13" workbookViewId="0">
      <selection activeCell="O18" sqref="O18"/>
    </sheetView>
  </sheetViews>
  <sheetFormatPr baseColWidth="10" defaultColWidth="8.83203125" defaultRowHeight="15" x14ac:dyDescent="0.2"/>
  <cols>
    <col min="4" max="4" width="23" customWidth="1"/>
    <col min="5" max="5" width="10.5" customWidth="1"/>
    <col min="6" max="6" width="13.5" customWidth="1"/>
    <col min="7" max="8" width="21" customWidth="1"/>
    <col min="10" max="10" width="15.83203125" customWidth="1"/>
  </cols>
  <sheetData>
    <row r="5" spans="4:27" x14ac:dyDescent="0.2">
      <c r="D5" t="s">
        <v>0</v>
      </c>
      <c r="E5" t="s">
        <v>199</v>
      </c>
      <c r="F5" t="s">
        <v>200</v>
      </c>
      <c r="G5" t="s">
        <v>201</v>
      </c>
      <c r="H5" t="s">
        <v>202</v>
      </c>
      <c r="I5" t="s">
        <v>203</v>
      </c>
      <c r="J5" t="s">
        <v>202</v>
      </c>
    </row>
    <row r="6" spans="4:27" x14ac:dyDescent="0.2">
      <c r="D6" t="s">
        <v>151</v>
      </c>
      <c r="E6" t="s">
        <v>204</v>
      </c>
      <c r="F6">
        <v>0.4</v>
      </c>
      <c r="G6">
        <v>2.5</v>
      </c>
      <c r="H6" s="4">
        <f>1/F6</f>
        <v>2.5</v>
      </c>
      <c r="I6">
        <v>7.5</v>
      </c>
      <c r="J6" s="4">
        <f>10-H6</f>
        <v>7.5</v>
      </c>
      <c r="L6" s="3" t="s">
        <v>187</v>
      </c>
      <c r="M6" s="3" t="s">
        <v>205</v>
      </c>
      <c r="N6" s="3"/>
    </row>
    <row r="7" spans="4:27" x14ac:dyDescent="0.2">
      <c r="D7" t="s">
        <v>107</v>
      </c>
      <c r="E7" t="s">
        <v>206</v>
      </c>
      <c r="F7">
        <v>0.75</v>
      </c>
      <c r="G7">
        <v>1.3</v>
      </c>
      <c r="H7" s="4">
        <f t="shared" ref="H7:H16" si="0">1/F7</f>
        <v>1.3333333333333333</v>
      </c>
      <c r="I7">
        <v>8.6999999999999993</v>
      </c>
      <c r="J7" s="4">
        <f t="shared" ref="J7:J16" si="1">10-H7</f>
        <v>8.6666666666666661</v>
      </c>
      <c r="K7">
        <v>0.7552299675251114</v>
      </c>
      <c r="L7" s="3">
        <v>0.7552299675251114</v>
      </c>
      <c r="M7" s="3">
        <f>10/G7</f>
        <v>7.6923076923076916</v>
      </c>
      <c r="N7" s="3"/>
    </row>
    <row r="8" spans="4:27" x14ac:dyDescent="0.2">
      <c r="D8" s="1" t="s">
        <v>153</v>
      </c>
      <c r="E8" s="1" t="s">
        <v>207</v>
      </c>
      <c r="F8" s="1">
        <v>0.75</v>
      </c>
      <c r="G8" s="1">
        <v>1.3</v>
      </c>
      <c r="H8" s="4">
        <f t="shared" si="0"/>
        <v>1.3333333333333333</v>
      </c>
      <c r="I8" s="1">
        <v>8.6999999999999993</v>
      </c>
      <c r="J8" s="4">
        <f t="shared" si="1"/>
        <v>8.6666666666666661</v>
      </c>
      <c r="L8" s="3">
        <f>(F8+K9)/2</f>
        <v>0.4768780402781948</v>
      </c>
      <c r="M8" s="3">
        <f t="shared" ref="M8:M16" si="2">10/G8</f>
        <v>7.6923076923076916</v>
      </c>
      <c r="N8" s="3"/>
      <c r="P8" t="s">
        <v>18</v>
      </c>
    </row>
    <row r="9" spans="4:27" x14ac:dyDescent="0.2">
      <c r="D9" t="s">
        <v>157</v>
      </c>
      <c r="E9" t="s">
        <v>208</v>
      </c>
      <c r="F9">
        <v>0.2</v>
      </c>
      <c r="G9">
        <v>5</v>
      </c>
      <c r="H9" s="4">
        <f t="shared" si="0"/>
        <v>5</v>
      </c>
      <c r="I9">
        <v>5</v>
      </c>
      <c r="J9" s="4">
        <f t="shared" si="1"/>
        <v>5</v>
      </c>
      <c r="K9">
        <v>0.20375608055638955</v>
      </c>
      <c r="L9" s="3">
        <v>0.375</v>
      </c>
      <c r="M9" s="3">
        <f t="shared" si="2"/>
        <v>2</v>
      </c>
      <c r="N9" s="3"/>
      <c r="P9" t="s">
        <v>104</v>
      </c>
      <c r="Q9">
        <v>10</v>
      </c>
      <c r="S9">
        <v>0.7552299675251114</v>
      </c>
      <c r="T9">
        <v>0.20375608055638955</v>
      </c>
      <c r="U9">
        <v>0.36029180148675144</v>
      </c>
      <c r="V9">
        <v>0.55276101264443045</v>
      </c>
      <c r="W9">
        <v>9.9999845045350394E-2</v>
      </c>
      <c r="X9">
        <v>0.20513759987262839</v>
      </c>
      <c r="Y9">
        <v>0.57537190671519123</v>
      </c>
      <c r="Z9">
        <v>0.22250365354840232</v>
      </c>
      <c r="AA9">
        <v>0.60629243924453602</v>
      </c>
    </row>
    <row r="10" spans="4:27" x14ac:dyDescent="0.2">
      <c r="D10" t="s">
        <v>155</v>
      </c>
      <c r="E10" t="s">
        <v>209</v>
      </c>
      <c r="F10">
        <v>0.36</v>
      </c>
      <c r="G10">
        <v>2.8</v>
      </c>
      <c r="H10" s="4">
        <f t="shared" si="0"/>
        <v>2.7777777777777777</v>
      </c>
      <c r="I10">
        <v>7.2</v>
      </c>
      <c r="J10" s="4">
        <f t="shared" si="1"/>
        <v>7.2222222222222223</v>
      </c>
      <c r="K10">
        <v>0.36029180148675144</v>
      </c>
      <c r="L10" s="3">
        <v>0.1</v>
      </c>
      <c r="M10" s="3">
        <f t="shared" si="2"/>
        <v>3.5714285714285716</v>
      </c>
      <c r="N10" s="3"/>
      <c r="Q10">
        <v>1</v>
      </c>
    </row>
    <row r="11" spans="4:27" x14ac:dyDescent="0.2">
      <c r="D11" t="s">
        <v>156</v>
      </c>
      <c r="E11" t="s">
        <v>210</v>
      </c>
      <c r="F11">
        <v>0.55000000000000004</v>
      </c>
      <c r="G11">
        <v>1.8</v>
      </c>
      <c r="H11" s="4">
        <f t="shared" si="0"/>
        <v>1.8181818181818181</v>
      </c>
      <c r="I11">
        <v>8.1999999999999993</v>
      </c>
      <c r="J11" s="4">
        <f t="shared" si="1"/>
        <v>8.1818181818181817</v>
      </c>
      <c r="K11">
        <v>0.55276101264443045</v>
      </c>
      <c r="L11" s="3">
        <v>0.18</v>
      </c>
      <c r="M11" s="3">
        <f t="shared" si="2"/>
        <v>5.5555555555555554</v>
      </c>
      <c r="N11" s="3"/>
      <c r="Q11">
        <v>0.1</v>
      </c>
    </row>
    <row r="12" spans="4:27" x14ac:dyDescent="0.2">
      <c r="D12" t="s">
        <v>160</v>
      </c>
      <c r="E12" t="s">
        <v>211</v>
      </c>
      <c r="F12">
        <v>0.1</v>
      </c>
      <c r="G12">
        <v>10</v>
      </c>
      <c r="H12" s="4">
        <f t="shared" si="0"/>
        <v>10</v>
      </c>
      <c r="I12">
        <v>0</v>
      </c>
      <c r="J12" s="4">
        <f t="shared" si="1"/>
        <v>0</v>
      </c>
      <c r="K12">
        <v>9.9999845045350394E-2</v>
      </c>
      <c r="L12" s="3">
        <v>0.55276101264443045</v>
      </c>
      <c r="M12" s="3">
        <f t="shared" si="2"/>
        <v>1</v>
      </c>
      <c r="N12" s="3"/>
      <c r="P12" t="s">
        <v>105</v>
      </c>
      <c r="Q12">
        <v>10</v>
      </c>
    </row>
    <row r="13" spans="4:27" x14ac:dyDescent="0.2">
      <c r="D13" t="s">
        <v>159</v>
      </c>
      <c r="E13" t="s">
        <v>212</v>
      </c>
      <c r="F13">
        <v>0.2</v>
      </c>
      <c r="G13">
        <v>5</v>
      </c>
      <c r="H13" s="4">
        <f t="shared" si="0"/>
        <v>5</v>
      </c>
      <c r="I13">
        <v>5</v>
      </c>
      <c r="J13" s="4">
        <f t="shared" si="1"/>
        <v>5</v>
      </c>
      <c r="K13">
        <v>0.20513759987262839</v>
      </c>
      <c r="L13" s="3">
        <v>9.9999845045350394E-2</v>
      </c>
      <c r="M13" s="3">
        <f t="shared" si="2"/>
        <v>2</v>
      </c>
      <c r="N13" s="3"/>
      <c r="Q13">
        <v>1</v>
      </c>
    </row>
    <row r="14" spans="4:27" x14ac:dyDescent="0.2">
      <c r="D14" t="s">
        <v>158</v>
      </c>
      <c r="E14" t="s">
        <v>213</v>
      </c>
      <c r="F14">
        <v>0.56999999999999995</v>
      </c>
      <c r="G14">
        <v>1.8</v>
      </c>
      <c r="H14" s="4">
        <f t="shared" si="0"/>
        <v>1.7543859649122808</v>
      </c>
      <c r="I14">
        <v>8.1999999999999993</v>
      </c>
      <c r="J14" s="4">
        <f t="shared" si="1"/>
        <v>8.2456140350877192</v>
      </c>
      <c r="K14">
        <v>0.57537190671519123</v>
      </c>
      <c r="L14" s="3">
        <v>0.20513759987262839</v>
      </c>
      <c r="M14" s="3">
        <f t="shared" si="2"/>
        <v>5.5555555555555554</v>
      </c>
      <c r="N14" s="3"/>
      <c r="Q14">
        <v>0.1</v>
      </c>
    </row>
    <row r="15" spans="4:27" x14ac:dyDescent="0.2">
      <c r="D15" t="s">
        <v>162</v>
      </c>
      <c r="E15" t="s">
        <v>214</v>
      </c>
      <c r="F15">
        <v>0.22</v>
      </c>
      <c r="G15">
        <v>4.5</v>
      </c>
      <c r="H15" s="4">
        <f t="shared" si="0"/>
        <v>4.5454545454545459</v>
      </c>
      <c r="I15">
        <v>5.5</v>
      </c>
      <c r="J15" s="4">
        <f t="shared" si="1"/>
        <v>5.4545454545454541</v>
      </c>
      <c r="K15">
        <v>0.22250365354840232</v>
      </c>
      <c r="L15" s="3">
        <v>0.57537190671519123</v>
      </c>
      <c r="M15" s="3">
        <f t="shared" si="2"/>
        <v>2.2222222222222223</v>
      </c>
      <c r="N15" s="3"/>
      <c r="P15" t="s">
        <v>106</v>
      </c>
      <c r="Q15">
        <v>1</v>
      </c>
    </row>
    <row r="16" spans="4:27" x14ac:dyDescent="0.2">
      <c r="D16" t="s">
        <v>161</v>
      </c>
      <c r="E16" t="s">
        <v>215</v>
      </c>
      <c r="F16">
        <v>0.6</v>
      </c>
      <c r="G16">
        <v>1.7</v>
      </c>
      <c r="H16" s="4">
        <f t="shared" si="0"/>
        <v>1.6666666666666667</v>
      </c>
      <c r="I16">
        <v>8.3000000000000007</v>
      </c>
      <c r="J16" s="4">
        <f t="shared" si="1"/>
        <v>8.3333333333333339</v>
      </c>
      <c r="K16">
        <v>0.60629243924453602</v>
      </c>
      <c r="L16" s="3">
        <v>0.22250365354840232</v>
      </c>
      <c r="M16" s="3">
        <f t="shared" si="2"/>
        <v>5.882352941176471</v>
      </c>
      <c r="N16" s="3"/>
      <c r="Q16">
        <v>0.1</v>
      </c>
    </row>
    <row r="17" spans="4:13" x14ac:dyDescent="0.2">
      <c r="L17">
        <v>0.60629243924453602</v>
      </c>
      <c r="M17" s="3">
        <f t="shared" ref="M17" si="3">10/G16</f>
        <v>5.882352941176471</v>
      </c>
    </row>
    <row r="22" spans="4:13" x14ac:dyDescent="0.2">
      <c r="E22" t="s">
        <v>58</v>
      </c>
    </row>
    <row r="23" spans="4:13" x14ac:dyDescent="0.2">
      <c r="D23" t="s">
        <v>151</v>
      </c>
      <c r="J23" t="s">
        <v>205</v>
      </c>
    </row>
    <row r="24" spans="4:13" x14ac:dyDescent="0.2">
      <c r="D24" t="s">
        <v>107</v>
      </c>
      <c r="E24">
        <v>100</v>
      </c>
      <c r="F24">
        <f>E24/$E$24</f>
        <v>1</v>
      </c>
      <c r="H24" t="s">
        <v>107</v>
      </c>
      <c r="I24">
        <v>1</v>
      </c>
      <c r="J24">
        <v>7.6923076923076916</v>
      </c>
      <c r="K24">
        <f>I24*J24</f>
        <v>7.6923076923076916</v>
      </c>
    </row>
    <row r="25" spans="4:13" x14ac:dyDescent="0.2">
      <c r="D25" t="s">
        <v>153</v>
      </c>
      <c r="E25">
        <v>53.56829482304768</v>
      </c>
      <c r="F25">
        <f t="shared" ref="F25:F33" si="4">E25/$E$24</f>
        <v>0.5356829482304768</v>
      </c>
      <c r="H25" t="s">
        <v>166</v>
      </c>
      <c r="I25">
        <v>1.9412108803743788</v>
      </c>
      <c r="J25">
        <v>2</v>
      </c>
      <c r="K25">
        <f t="shared" ref="K25:K32" si="5">I25*J25</f>
        <v>3.8824217607487577</v>
      </c>
    </row>
    <row r="26" spans="4:13" x14ac:dyDescent="0.2">
      <c r="D26" t="s">
        <v>156</v>
      </c>
      <c r="E26">
        <v>49.166422930681485</v>
      </c>
      <c r="F26">
        <f t="shared" si="4"/>
        <v>0.49166422930681486</v>
      </c>
      <c r="H26" t="s">
        <v>155</v>
      </c>
      <c r="I26">
        <v>0.95671248903188078</v>
      </c>
      <c r="J26">
        <v>3.5714285714285716</v>
      </c>
      <c r="K26">
        <f t="shared" si="5"/>
        <v>3.4168303179710029</v>
      </c>
    </row>
    <row r="27" spans="4:13" x14ac:dyDescent="0.2">
      <c r="D27" t="s">
        <v>155</v>
      </c>
      <c r="E27">
        <v>95.671248903188072</v>
      </c>
      <c r="F27">
        <f t="shared" si="4"/>
        <v>0.95671248903188078</v>
      </c>
      <c r="H27" t="s">
        <v>156</v>
      </c>
      <c r="I27">
        <v>0.49166422930681486</v>
      </c>
      <c r="J27">
        <v>5.5555555555555554</v>
      </c>
      <c r="K27">
        <f t="shared" si="5"/>
        <v>2.7314679405934159</v>
      </c>
    </row>
    <row r="28" spans="4:13" x14ac:dyDescent="0.2">
      <c r="D28" t="s">
        <v>157</v>
      </c>
      <c r="E28">
        <v>194.12108803743789</v>
      </c>
      <c r="F28">
        <f t="shared" si="4"/>
        <v>1.9412108803743788</v>
      </c>
      <c r="H28" t="s">
        <v>160</v>
      </c>
      <c r="I28">
        <v>3.0665399239543727</v>
      </c>
      <c r="J28">
        <v>1</v>
      </c>
      <c r="K28">
        <f t="shared" si="5"/>
        <v>3.0665399239543727</v>
      </c>
    </row>
    <row r="29" spans="4:13" x14ac:dyDescent="0.2">
      <c r="D29" t="s">
        <v>158</v>
      </c>
      <c r="E29">
        <v>65.472360339280485</v>
      </c>
      <c r="F29">
        <f t="shared" si="4"/>
        <v>0.65472360339280489</v>
      </c>
      <c r="H29" t="s">
        <v>159</v>
      </c>
      <c r="I29">
        <v>1.6130447499268794</v>
      </c>
      <c r="J29">
        <v>2</v>
      </c>
      <c r="K29">
        <f t="shared" si="5"/>
        <v>3.2260894998537588</v>
      </c>
    </row>
    <row r="30" spans="4:13" x14ac:dyDescent="0.2">
      <c r="D30" t="s">
        <v>159</v>
      </c>
      <c r="E30">
        <v>161.30447499268794</v>
      </c>
      <c r="F30">
        <f t="shared" si="4"/>
        <v>1.6130447499268794</v>
      </c>
      <c r="H30" t="s">
        <v>158</v>
      </c>
      <c r="I30">
        <v>0.65472360339280489</v>
      </c>
      <c r="J30">
        <v>5.5555555555555554</v>
      </c>
      <c r="K30">
        <f t="shared" si="5"/>
        <v>3.6373533521822492</v>
      </c>
    </row>
    <row r="31" spans="4:13" x14ac:dyDescent="0.2">
      <c r="D31" t="s">
        <v>160</v>
      </c>
      <c r="E31">
        <v>306.65399239543729</v>
      </c>
      <c r="F31">
        <f t="shared" si="4"/>
        <v>3.0665399239543727</v>
      </c>
      <c r="H31" t="s">
        <v>162</v>
      </c>
      <c r="I31">
        <v>1.310324656332261</v>
      </c>
      <c r="J31">
        <v>2.2222222222222223</v>
      </c>
      <c r="K31">
        <f t="shared" si="5"/>
        <v>2.9118325696272467</v>
      </c>
    </row>
    <row r="32" spans="4:13" x14ac:dyDescent="0.2">
      <c r="D32" t="s">
        <v>161</v>
      </c>
      <c r="E32">
        <v>87.116115823340166</v>
      </c>
      <c r="F32">
        <f t="shared" si="4"/>
        <v>0.87116115823340168</v>
      </c>
      <c r="H32" t="s">
        <v>161</v>
      </c>
      <c r="I32">
        <v>0.87116115823340168</v>
      </c>
      <c r="J32">
        <v>5.882352941176471</v>
      </c>
      <c r="K32">
        <f t="shared" si="5"/>
        <v>5.1244774013729515</v>
      </c>
    </row>
    <row r="33" spans="4:6" x14ac:dyDescent="0.2">
      <c r="D33" t="s">
        <v>162</v>
      </c>
      <c r="E33">
        <v>131.03246563322611</v>
      </c>
      <c r="F33">
        <f t="shared" si="4"/>
        <v>1.310324656332261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B5A8-CB07-4743-BE8B-ED8702326771}">
  <dimension ref="A1:M18"/>
  <sheetViews>
    <sheetView workbookViewId="0">
      <selection activeCell="I10" sqref="I10:I18"/>
    </sheetView>
  </sheetViews>
  <sheetFormatPr baseColWidth="10" defaultColWidth="8.83203125" defaultRowHeight="15" x14ac:dyDescent="0.2"/>
  <sheetData>
    <row r="1" spans="1:13" x14ac:dyDescent="0.2">
      <c r="A1" t="s">
        <v>107</v>
      </c>
      <c r="B1" t="s">
        <v>120</v>
      </c>
      <c r="C1" t="s">
        <v>48</v>
      </c>
      <c r="D1">
        <v>1</v>
      </c>
      <c r="E1" t="s">
        <v>121</v>
      </c>
      <c r="F1">
        <v>487</v>
      </c>
      <c r="G1">
        <v>16</v>
      </c>
      <c r="H1">
        <v>211.2</v>
      </c>
      <c r="I1">
        <v>2402.6999999999998</v>
      </c>
      <c r="J1">
        <v>100</v>
      </c>
      <c r="K1">
        <v>10.7</v>
      </c>
      <c r="L1">
        <v>17.2</v>
      </c>
      <c r="M1">
        <v>61.6</v>
      </c>
    </row>
    <row r="2" spans="1:13" x14ac:dyDescent="0.2">
      <c r="A2" t="s">
        <v>109</v>
      </c>
      <c r="B2" t="s">
        <v>120</v>
      </c>
      <c r="C2" t="s">
        <v>50</v>
      </c>
      <c r="D2">
        <v>1</v>
      </c>
      <c r="E2" t="s">
        <v>121</v>
      </c>
      <c r="F2">
        <v>484</v>
      </c>
      <c r="G2">
        <v>16</v>
      </c>
      <c r="H2">
        <v>311</v>
      </c>
      <c r="I2">
        <v>3568.1</v>
      </c>
      <c r="J2">
        <v>100</v>
      </c>
      <c r="K2">
        <v>10.8</v>
      </c>
      <c r="L2">
        <v>37.4</v>
      </c>
      <c r="M2">
        <v>51.8</v>
      </c>
    </row>
    <row r="3" spans="1:13" x14ac:dyDescent="0.2">
      <c r="A3" t="s">
        <v>109</v>
      </c>
      <c r="B3" t="s">
        <v>120</v>
      </c>
      <c r="C3" t="s">
        <v>51</v>
      </c>
      <c r="D3">
        <v>1</v>
      </c>
      <c r="E3" t="s">
        <v>121</v>
      </c>
      <c r="F3">
        <v>486</v>
      </c>
      <c r="G3">
        <v>16</v>
      </c>
      <c r="H3">
        <v>118</v>
      </c>
      <c r="I3">
        <v>1840.3</v>
      </c>
      <c r="J3">
        <v>100</v>
      </c>
      <c r="K3">
        <v>14.6</v>
      </c>
      <c r="L3">
        <v>13.6</v>
      </c>
      <c r="M3">
        <v>46.4</v>
      </c>
    </row>
    <row r="4" spans="1:13" x14ac:dyDescent="0.2">
      <c r="A4" t="s">
        <v>109</v>
      </c>
      <c r="B4" t="s">
        <v>120</v>
      </c>
      <c r="C4" t="s">
        <v>52</v>
      </c>
      <c r="D4">
        <v>1</v>
      </c>
      <c r="E4" t="s">
        <v>121</v>
      </c>
      <c r="F4">
        <v>483</v>
      </c>
      <c r="G4">
        <v>16</v>
      </c>
      <c r="H4">
        <v>448.4</v>
      </c>
      <c r="I4">
        <v>5107.7</v>
      </c>
      <c r="J4">
        <v>100</v>
      </c>
      <c r="K4">
        <v>10.7</v>
      </c>
      <c r="L4">
        <v>41.2</v>
      </c>
      <c r="M4">
        <v>55.4</v>
      </c>
    </row>
    <row r="5" spans="1:13" x14ac:dyDescent="0.2">
      <c r="A5" t="s">
        <v>105</v>
      </c>
      <c r="B5" t="s">
        <v>120</v>
      </c>
      <c r="C5" t="s">
        <v>53</v>
      </c>
      <c r="D5">
        <v>1</v>
      </c>
      <c r="E5" t="s">
        <v>121</v>
      </c>
      <c r="F5">
        <v>491</v>
      </c>
      <c r="G5">
        <v>17</v>
      </c>
      <c r="H5">
        <v>86.9</v>
      </c>
      <c r="I5">
        <v>573.70000000000005</v>
      </c>
      <c r="J5">
        <v>100</v>
      </c>
      <c r="K5">
        <v>6.2</v>
      </c>
      <c r="L5">
        <v>8.6999999999999993</v>
      </c>
      <c r="M5">
        <v>54.7</v>
      </c>
    </row>
    <row r="6" spans="1:13" x14ac:dyDescent="0.2">
      <c r="A6" t="s">
        <v>105</v>
      </c>
      <c r="B6" t="s">
        <v>120</v>
      </c>
      <c r="C6" t="s">
        <v>54</v>
      </c>
      <c r="D6">
        <v>1</v>
      </c>
      <c r="E6" t="s">
        <v>121</v>
      </c>
      <c r="F6">
        <v>485</v>
      </c>
      <c r="G6">
        <v>16</v>
      </c>
      <c r="H6">
        <v>23.2</v>
      </c>
      <c r="I6">
        <v>217.7</v>
      </c>
      <c r="J6">
        <v>100</v>
      </c>
      <c r="K6">
        <v>8.8000000000000007</v>
      </c>
      <c r="L6">
        <v>3.3</v>
      </c>
      <c r="M6">
        <v>51.7</v>
      </c>
    </row>
    <row r="7" spans="1:13" x14ac:dyDescent="0.2">
      <c r="A7" t="s">
        <v>105</v>
      </c>
      <c r="B7" t="s">
        <v>120</v>
      </c>
      <c r="C7" t="s">
        <v>55</v>
      </c>
      <c r="D7">
        <v>1</v>
      </c>
      <c r="E7" t="s">
        <v>121</v>
      </c>
      <c r="F7">
        <v>488</v>
      </c>
      <c r="G7">
        <v>16</v>
      </c>
      <c r="H7">
        <v>195.7</v>
      </c>
      <c r="I7">
        <v>1941.8</v>
      </c>
      <c r="J7">
        <v>100</v>
      </c>
      <c r="K7">
        <v>9.3000000000000007</v>
      </c>
      <c r="L7">
        <v>17.399999999999999</v>
      </c>
      <c r="M7">
        <v>57.3</v>
      </c>
    </row>
    <row r="8" spans="1:13" x14ac:dyDescent="0.2">
      <c r="A8" t="s">
        <v>112</v>
      </c>
      <c r="B8" t="s">
        <v>120</v>
      </c>
      <c r="C8" t="s">
        <v>122</v>
      </c>
      <c r="D8">
        <v>1</v>
      </c>
      <c r="E8" t="s">
        <v>121</v>
      </c>
      <c r="F8">
        <v>476</v>
      </c>
      <c r="G8">
        <v>16</v>
      </c>
      <c r="H8">
        <v>229.1</v>
      </c>
      <c r="I8">
        <v>4468.5</v>
      </c>
      <c r="J8">
        <v>100</v>
      </c>
      <c r="K8">
        <v>18.3</v>
      </c>
      <c r="L8">
        <v>22.6</v>
      </c>
      <c r="M8">
        <v>53.3</v>
      </c>
    </row>
    <row r="9" spans="1:13" x14ac:dyDescent="0.2">
      <c r="A9" t="s">
        <v>112</v>
      </c>
      <c r="B9" t="s">
        <v>120</v>
      </c>
      <c r="C9" t="s">
        <v>123</v>
      </c>
      <c r="D9">
        <v>1</v>
      </c>
      <c r="E9" t="s">
        <v>121</v>
      </c>
      <c r="F9">
        <v>485</v>
      </c>
      <c r="G9">
        <v>16</v>
      </c>
      <c r="H9">
        <v>100.6</v>
      </c>
      <c r="I9">
        <v>1228.8</v>
      </c>
      <c r="J9">
        <v>100</v>
      </c>
      <c r="K9">
        <v>11.5</v>
      </c>
      <c r="L9">
        <v>9.1</v>
      </c>
      <c r="M9">
        <v>56.4</v>
      </c>
    </row>
    <row r="10" spans="1:13" x14ac:dyDescent="0.2">
      <c r="A10" t="s">
        <v>107</v>
      </c>
      <c r="B10" t="s">
        <v>167</v>
      </c>
      <c r="C10" t="s">
        <v>59</v>
      </c>
      <c r="D10">
        <v>1</v>
      </c>
      <c r="E10" t="s">
        <v>121</v>
      </c>
      <c r="F10">
        <v>500</v>
      </c>
      <c r="G10">
        <v>17</v>
      </c>
      <c r="H10">
        <v>34019.699999999997</v>
      </c>
      <c r="I10">
        <v>647318.4</v>
      </c>
      <c r="J10">
        <v>100</v>
      </c>
      <c r="K10">
        <v>17.899999999999999</v>
      </c>
      <c r="L10">
        <v>732.2</v>
      </c>
      <c r="M10">
        <v>382.8</v>
      </c>
    </row>
    <row r="11" spans="1:13" x14ac:dyDescent="0.2">
      <c r="A11" t="s">
        <v>109</v>
      </c>
      <c r="B11" t="s">
        <v>167</v>
      </c>
      <c r="C11" t="s">
        <v>61</v>
      </c>
      <c r="D11">
        <v>1</v>
      </c>
      <c r="E11" t="s">
        <v>121</v>
      </c>
      <c r="F11">
        <v>495</v>
      </c>
      <c r="G11">
        <v>17</v>
      </c>
      <c r="H11">
        <v>16418.8</v>
      </c>
      <c r="I11">
        <v>241109.6</v>
      </c>
      <c r="J11">
        <v>100</v>
      </c>
      <c r="K11">
        <v>13.8</v>
      </c>
      <c r="L11">
        <v>396.5</v>
      </c>
      <c r="M11">
        <v>376.3</v>
      </c>
    </row>
    <row r="12" spans="1:13" x14ac:dyDescent="0.2">
      <c r="A12" t="s">
        <v>109</v>
      </c>
      <c r="B12" t="s">
        <v>167</v>
      </c>
      <c r="C12" t="s">
        <v>62</v>
      </c>
      <c r="D12">
        <v>1</v>
      </c>
      <c r="E12" t="s">
        <v>121</v>
      </c>
      <c r="F12">
        <v>494</v>
      </c>
      <c r="G12">
        <v>17</v>
      </c>
      <c r="H12">
        <v>27989.200000000001</v>
      </c>
      <c r="I12">
        <v>430421.1</v>
      </c>
      <c r="J12">
        <v>100</v>
      </c>
      <c r="K12">
        <v>14.4</v>
      </c>
      <c r="L12">
        <v>637.29999999999995</v>
      </c>
      <c r="M12">
        <v>335.7</v>
      </c>
    </row>
    <row r="13" spans="1:13" x14ac:dyDescent="0.2">
      <c r="A13" t="s">
        <v>109</v>
      </c>
      <c r="B13" t="s">
        <v>167</v>
      </c>
      <c r="C13" t="s">
        <v>63</v>
      </c>
      <c r="D13">
        <v>1</v>
      </c>
      <c r="E13" t="s">
        <v>121</v>
      </c>
      <c r="F13">
        <v>494</v>
      </c>
      <c r="G13">
        <v>16</v>
      </c>
      <c r="H13">
        <v>32872.5</v>
      </c>
      <c r="I13">
        <v>525320.19999999995</v>
      </c>
      <c r="J13">
        <v>100</v>
      </c>
      <c r="K13">
        <v>15</v>
      </c>
      <c r="L13">
        <v>711.2</v>
      </c>
      <c r="M13">
        <v>421</v>
      </c>
    </row>
    <row r="14" spans="1:13" x14ac:dyDescent="0.2">
      <c r="A14" t="s">
        <v>105</v>
      </c>
      <c r="B14" t="s">
        <v>167</v>
      </c>
      <c r="C14" t="s">
        <v>64</v>
      </c>
      <c r="D14">
        <v>1</v>
      </c>
      <c r="E14" t="s">
        <v>121</v>
      </c>
      <c r="F14">
        <v>494</v>
      </c>
      <c r="G14">
        <v>16</v>
      </c>
      <c r="H14">
        <v>10731.4</v>
      </c>
      <c r="I14">
        <v>151667.4</v>
      </c>
      <c r="J14">
        <v>100</v>
      </c>
      <c r="K14">
        <v>13.3</v>
      </c>
      <c r="L14">
        <v>252.3</v>
      </c>
      <c r="M14">
        <v>361.4</v>
      </c>
    </row>
    <row r="15" spans="1:13" x14ac:dyDescent="0.2">
      <c r="A15" t="s">
        <v>105</v>
      </c>
      <c r="B15" t="s">
        <v>167</v>
      </c>
      <c r="C15" t="s">
        <v>65</v>
      </c>
      <c r="D15">
        <v>1</v>
      </c>
      <c r="E15" t="s">
        <v>121</v>
      </c>
      <c r="F15">
        <v>494</v>
      </c>
      <c r="G15">
        <v>17</v>
      </c>
      <c r="H15">
        <v>17368.5</v>
      </c>
      <c r="I15">
        <v>234708.3</v>
      </c>
      <c r="J15">
        <v>100</v>
      </c>
      <c r="K15">
        <v>12.7</v>
      </c>
      <c r="L15">
        <v>497.6</v>
      </c>
      <c r="M15">
        <v>336.9</v>
      </c>
    </row>
    <row r="16" spans="1:13" x14ac:dyDescent="0.2">
      <c r="A16" t="s">
        <v>105</v>
      </c>
      <c r="B16" t="s">
        <v>167</v>
      </c>
      <c r="C16" t="s">
        <v>66</v>
      </c>
      <c r="D16">
        <v>1</v>
      </c>
      <c r="E16" t="s">
        <v>121</v>
      </c>
      <c r="F16">
        <v>490</v>
      </c>
      <c r="G16">
        <v>17</v>
      </c>
      <c r="H16">
        <v>37894.400000000001</v>
      </c>
      <c r="I16">
        <v>614318.9</v>
      </c>
      <c r="J16">
        <v>100</v>
      </c>
      <c r="K16">
        <v>15.2</v>
      </c>
      <c r="L16">
        <v>698.7</v>
      </c>
      <c r="M16">
        <v>363</v>
      </c>
    </row>
    <row r="17" spans="1:13" x14ac:dyDescent="0.2">
      <c r="A17" t="s">
        <v>112</v>
      </c>
      <c r="B17" t="s">
        <v>167</v>
      </c>
      <c r="C17" t="s">
        <v>125</v>
      </c>
      <c r="D17">
        <v>1</v>
      </c>
      <c r="E17" t="s">
        <v>121</v>
      </c>
      <c r="F17">
        <v>485</v>
      </c>
      <c r="G17">
        <v>16</v>
      </c>
      <c r="H17">
        <v>30472.9</v>
      </c>
      <c r="I17">
        <v>514976.7</v>
      </c>
      <c r="J17">
        <v>100</v>
      </c>
      <c r="K17">
        <v>15.9</v>
      </c>
      <c r="L17">
        <v>653.20000000000005</v>
      </c>
      <c r="M17">
        <v>387.9</v>
      </c>
    </row>
    <row r="18" spans="1:13" x14ac:dyDescent="0.2">
      <c r="A18" t="s">
        <v>112</v>
      </c>
      <c r="B18" t="s">
        <v>167</v>
      </c>
      <c r="C18" t="s">
        <v>126</v>
      </c>
      <c r="D18">
        <v>1</v>
      </c>
      <c r="E18" t="s">
        <v>121</v>
      </c>
      <c r="F18">
        <v>493</v>
      </c>
      <c r="G18">
        <v>17</v>
      </c>
      <c r="H18">
        <v>38928.800000000003</v>
      </c>
      <c r="I18">
        <v>628659.69999999995</v>
      </c>
      <c r="J18">
        <v>100</v>
      </c>
      <c r="K18">
        <v>15.2</v>
      </c>
      <c r="L18">
        <v>843.3</v>
      </c>
      <c r="M18">
        <v>386.7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3A07-9A94-45E7-8CDD-FCA64BF26266}">
  <dimension ref="A1:M15"/>
  <sheetViews>
    <sheetView workbookViewId="0">
      <selection activeCell="E15" sqref="E15:M15"/>
    </sheetView>
  </sheetViews>
  <sheetFormatPr baseColWidth="10" defaultColWidth="8.83203125" defaultRowHeight="15" x14ac:dyDescent="0.2"/>
  <cols>
    <col min="9" max="9" width="8.6640625" style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102</v>
      </c>
      <c r="L1" t="s">
        <v>103</v>
      </c>
      <c r="M1" t="s">
        <v>10</v>
      </c>
    </row>
    <row r="2" spans="1:13" x14ac:dyDescent="0.2">
      <c r="A2" t="s">
        <v>107</v>
      </c>
      <c r="B2" t="s">
        <v>58</v>
      </c>
      <c r="C2" t="s">
        <v>37</v>
      </c>
      <c r="D2">
        <v>1</v>
      </c>
      <c r="E2" t="s">
        <v>58</v>
      </c>
      <c r="F2">
        <v>643</v>
      </c>
      <c r="G2">
        <v>42</v>
      </c>
      <c r="H2">
        <v>20435.099999999999</v>
      </c>
      <c r="I2" s="1">
        <v>220050.5</v>
      </c>
      <c r="J2">
        <v>100</v>
      </c>
      <c r="K2">
        <v>10.1</v>
      </c>
      <c r="L2">
        <v>2842.7</v>
      </c>
      <c r="M2">
        <v>32.700000000000003</v>
      </c>
    </row>
    <row r="3" spans="1:13" x14ac:dyDescent="0.2">
      <c r="A3" t="s">
        <v>109</v>
      </c>
      <c r="B3" t="s">
        <v>58</v>
      </c>
      <c r="C3" t="s">
        <v>39</v>
      </c>
      <c r="D3">
        <v>1</v>
      </c>
      <c r="E3" t="s">
        <v>58</v>
      </c>
      <c r="F3">
        <v>643</v>
      </c>
      <c r="G3">
        <v>42</v>
      </c>
      <c r="H3">
        <v>6360.4</v>
      </c>
      <c r="I3" s="1">
        <v>67615.8</v>
      </c>
      <c r="J3">
        <v>100</v>
      </c>
      <c r="K3">
        <v>10</v>
      </c>
      <c r="L3">
        <v>1223.5</v>
      </c>
      <c r="M3">
        <v>32.799999999999997</v>
      </c>
    </row>
    <row r="4" spans="1:13" x14ac:dyDescent="0.2">
      <c r="A4" t="s">
        <v>109</v>
      </c>
      <c r="B4" t="s">
        <v>58</v>
      </c>
      <c r="C4" t="s">
        <v>40</v>
      </c>
      <c r="D4">
        <v>1</v>
      </c>
      <c r="E4" t="s">
        <v>58</v>
      </c>
      <c r="F4">
        <v>639</v>
      </c>
      <c r="G4">
        <v>42</v>
      </c>
      <c r="H4">
        <v>10390.200000000001</v>
      </c>
      <c r="I4" s="1">
        <v>108656.2</v>
      </c>
      <c r="J4">
        <v>100</v>
      </c>
      <c r="K4">
        <v>9.8000000000000007</v>
      </c>
      <c r="L4">
        <v>1381.6</v>
      </c>
      <c r="M4">
        <v>25.5</v>
      </c>
    </row>
    <row r="5" spans="1:13" x14ac:dyDescent="0.2">
      <c r="A5" t="s">
        <v>109</v>
      </c>
      <c r="B5" t="s">
        <v>58</v>
      </c>
      <c r="C5" t="s">
        <v>41</v>
      </c>
      <c r="D5">
        <v>1</v>
      </c>
      <c r="E5" t="s">
        <v>58</v>
      </c>
      <c r="F5">
        <v>637</v>
      </c>
      <c r="G5">
        <v>42</v>
      </c>
      <c r="H5">
        <v>14531.5</v>
      </c>
      <c r="I5" s="1">
        <v>170555.2</v>
      </c>
      <c r="J5">
        <v>100</v>
      </c>
      <c r="K5">
        <v>11</v>
      </c>
      <c r="L5">
        <v>1723.8</v>
      </c>
      <c r="M5">
        <v>36.700000000000003</v>
      </c>
    </row>
    <row r="6" spans="1:13" x14ac:dyDescent="0.2">
      <c r="A6" t="s">
        <v>105</v>
      </c>
      <c r="B6" t="s">
        <v>58</v>
      </c>
      <c r="C6" t="s">
        <v>42</v>
      </c>
      <c r="D6">
        <v>1</v>
      </c>
      <c r="E6" t="s">
        <v>58</v>
      </c>
      <c r="F6">
        <v>644</v>
      </c>
      <c r="G6">
        <v>42</v>
      </c>
      <c r="H6">
        <v>2787.7</v>
      </c>
      <c r="I6" s="1">
        <v>28349.200000000001</v>
      </c>
      <c r="J6">
        <v>100</v>
      </c>
      <c r="K6">
        <v>9.6</v>
      </c>
      <c r="L6">
        <v>507.2</v>
      </c>
      <c r="M6">
        <v>32.299999999999997</v>
      </c>
    </row>
    <row r="7" spans="1:13" x14ac:dyDescent="0.2">
      <c r="A7" t="s">
        <v>105</v>
      </c>
      <c r="B7" t="s">
        <v>58</v>
      </c>
      <c r="C7" t="s">
        <v>43</v>
      </c>
      <c r="D7">
        <v>1</v>
      </c>
      <c r="E7" t="s">
        <v>58</v>
      </c>
      <c r="F7">
        <v>641</v>
      </c>
      <c r="G7">
        <v>42</v>
      </c>
      <c r="H7">
        <v>5643.2</v>
      </c>
      <c r="I7" s="1">
        <v>61630.6</v>
      </c>
      <c r="J7">
        <v>100</v>
      </c>
      <c r="K7">
        <v>10.3</v>
      </c>
      <c r="L7">
        <v>927.1</v>
      </c>
      <c r="M7">
        <v>36.1</v>
      </c>
    </row>
    <row r="8" spans="1:13" x14ac:dyDescent="0.2">
      <c r="A8" t="s">
        <v>105</v>
      </c>
      <c r="B8" t="s">
        <v>58</v>
      </c>
      <c r="C8" t="s">
        <v>44</v>
      </c>
      <c r="D8">
        <v>1</v>
      </c>
      <c r="E8" t="s">
        <v>58</v>
      </c>
      <c r="F8">
        <v>637</v>
      </c>
      <c r="G8">
        <v>42</v>
      </c>
      <c r="H8">
        <v>15985.7</v>
      </c>
      <c r="I8" s="1">
        <v>165235.79999999999</v>
      </c>
      <c r="J8">
        <v>100</v>
      </c>
      <c r="K8">
        <v>9.6999999999999993</v>
      </c>
      <c r="L8">
        <v>2498.8000000000002</v>
      </c>
      <c r="M8">
        <v>34.6</v>
      </c>
    </row>
    <row r="9" spans="1:13" x14ac:dyDescent="0.2">
      <c r="A9" t="s">
        <v>112</v>
      </c>
      <c r="B9" t="s">
        <v>58</v>
      </c>
      <c r="C9" t="s">
        <v>117</v>
      </c>
      <c r="D9">
        <v>1</v>
      </c>
      <c r="E9" t="s">
        <v>58</v>
      </c>
      <c r="F9">
        <v>641</v>
      </c>
      <c r="G9">
        <v>43</v>
      </c>
      <c r="H9">
        <v>5990.4</v>
      </c>
      <c r="I9" s="1">
        <v>65052.3</v>
      </c>
      <c r="J9">
        <v>100</v>
      </c>
      <c r="K9">
        <v>10.199999999999999</v>
      </c>
      <c r="L9">
        <v>871.4</v>
      </c>
      <c r="M9">
        <v>28.7</v>
      </c>
    </row>
    <row r="10" spans="1:13" x14ac:dyDescent="0.2">
      <c r="A10" t="s">
        <v>112</v>
      </c>
      <c r="B10" t="s">
        <v>58</v>
      </c>
      <c r="C10" t="s">
        <v>119</v>
      </c>
      <c r="D10">
        <v>1</v>
      </c>
      <c r="E10" t="s">
        <v>58</v>
      </c>
      <c r="F10">
        <v>637</v>
      </c>
      <c r="G10">
        <v>42</v>
      </c>
      <c r="H10">
        <v>17320.3</v>
      </c>
      <c r="I10" s="1">
        <v>190081.4</v>
      </c>
      <c r="J10">
        <v>100</v>
      </c>
      <c r="K10">
        <v>10.3</v>
      </c>
      <c r="L10">
        <v>2291.6999999999998</v>
      </c>
      <c r="M10">
        <v>39</v>
      </c>
    </row>
    <row r="14" spans="1:13" x14ac:dyDescent="0.2">
      <c r="E14" s="1">
        <v>220050.5</v>
      </c>
      <c r="F14" s="1">
        <v>67615.8</v>
      </c>
      <c r="G14" s="1">
        <v>108656.2</v>
      </c>
      <c r="H14" s="1">
        <v>170555.2</v>
      </c>
      <c r="I14" s="1">
        <v>28349.200000000001</v>
      </c>
      <c r="J14" s="1">
        <v>61630.6</v>
      </c>
      <c r="K14" s="1">
        <v>165235.79999999999</v>
      </c>
      <c r="L14" s="1">
        <v>65052.3</v>
      </c>
      <c r="M14" s="1">
        <v>190081.4</v>
      </c>
    </row>
    <row r="15" spans="1:13" x14ac:dyDescent="0.2">
      <c r="E15">
        <f>E14/220050.5</f>
        <v>1</v>
      </c>
      <c r="F15">
        <f t="shared" ref="F15:M15" si="0">F14/220050.5</f>
        <v>0.30727401210176758</v>
      </c>
      <c r="G15">
        <f t="shared" si="0"/>
        <v>0.49377847357765603</v>
      </c>
      <c r="H15">
        <f t="shared" si="0"/>
        <v>0.7750729946080559</v>
      </c>
      <c r="I15">
        <f t="shared" si="0"/>
        <v>0.12883042756094623</v>
      </c>
      <c r="J15">
        <f t="shared" si="0"/>
        <v>0.28007480101158599</v>
      </c>
      <c r="K15">
        <f t="shared" si="0"/>
        <v>0.75089945262564728</v>
      </c>
      <c r="L15">
        <f t="shared" si="0"/>
        <v>0.29562441348690416</v>
      </c>
      <c r="M15">
        <f t="shared" si="0"/>
        <v>0.86380808041790402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032123</vt:lpstr>
      <vt:lpstr>040623_analysis</vt:lpstr>
      <vt:lpstr>Fig 6B Supporting Data</vt:lpstr>
      <vt:lpstr>camparison GAPDH</vt:lpstr>
      <vt:lpstr>042123</vt:lpstr>
      <vt:lpstr>dilution </vt:lpstr>
      <vt:lpstr>041023-HbF</vt:lpstr>
      <vt:lpstr>041023_GAPDH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Jianping</dc:creator>
  <cp:keywords/>
  <dc:description/>
  <cp:lastModifiedBy>shane horman</cp:lastModifiedBy>
  <cp:revision/>
  <dcterms:created xsi:type="dcterms:W3CDTF">2023-04-11T20:59:39Z</dcterms:created>
  <dcterms:modified xsi:type="dcterms:W3CDTF">2024-10-25T19:00:36Z</dcterms:modified>
  <cp:category/>
  <cp:contentStatus/>
</cp:coreProperties>
</file>